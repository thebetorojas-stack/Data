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Rates" sheetId="4" state="visible" r:id="rId4"/>
    <sheet xmlns:r="http://schemas.openxmlformats.org/officeDocument/2006/relationships" name="FX" sheetId="5" state="visible" r:id="rId5"/>
    <sheet xmlns:r="http://schemas.openxmlformats.org/officeDocument/2006/relationships" name="Equities" sheetId="6" state="visible" r:id="rId6"/>
    <sheet xmlns:r="http://schemas.openxmlformats.org/officeDocument/2006/relationships" name="Credit" sheetId="7" state="visible" r:id="rId7"/>
    <sheet xmlns:r="http://schemas.openxmlformats.org/officeDocument/2006/relationships" name="Tickers" sheetId="8" state="visible" r:id="rId8"/>
    <sheet xmlns:r="http://schemas.openxmlformats.org/officeDocument/2006/relationships" name="HIST_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dd-mmm-yy"/>
    <numFmt numFmtId="165" formatCode="#,##0;(#,##0);&quot;-&quot;"/>
    <numFmt numFmtId="166" formatCode="+#,##0;-#,##0;&quot;-&quot;"/>
    <numFmt numFmtId="167" formatCode="0.00&quot;x&quot;"/>
    <numFmt numFmtId="168" formatCode="0.000"/>
    <numFmt numFmtId="169" formatCode="+0.0%;-0.0%;&quot;-&quot;"/>
    <numFmt numFmtId="170" formatCode="#,##0.0"/>
    <numFmt numFmtId="171" formatCode="+0.00%;-0.00%;&quot;-&quot;"/>
    <numFmt numFmtId="172" formatCode="+#,##0.0;-#,##0.0;&quot;-&quot;"/>
  </numFmts>
  <fonts count="11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1A1A1A"/>
      <sz val="10"/>
    </font>
    <font>
      <name val="Arial"/>
      <color rgb="000000FF"/>
      <sz val="10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color rgb="00008000"/>
      <sz val="10"/>
    </font>
    <font>
      <name val="Arial"/>
      <b val="1"/>
      <color rgb="001A1A1A"/>
      <sz val="10"/>
    </font>
    <font>
      <name val="Arial"/>
      <color rgb="007030A0"/>
      <sz val="10"/>
    </font>
  </fonts>
  <fills count="6">
    <fill>
      <patternFill/>
    </fill>
    <fill>
      <patternFill patternType="gray125"/>
    </fill>
    <fill>
      <patternFill patternType="solid">
        <fgColor rgb="00E60000"/>
      </patternFill>
    </fill>
    <fill>
      <patternFill patternType="solid">
        <fgColor rgb="00FFF2CC"/>
      </patternFill>
    </fill>
    <fill>
      <patternFill patternType="solid">
        <fgColor rgb="0040404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0" borderId="0" pivotButton="0" quotePrefix="0" xfId="0"/>
    <xf numFmtId="164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3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2" fontId="8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70" fontId="8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9" fillId="0" borderId="1" pivotButton="0" quotePrefix="0" xfId="0"/>
    <xf numFmtId="166" fontId="8" fillId="5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9" fontId="8" fillId="5" borderId="1" applyAlignment="1" pivotButton="0" quotePrefix="0" xfId="0">
      <alignment horizontal="center" vertical="center"/>
    </xf>
    <xf numFmtId="169" fontId="8" fillId="0" borderId="1" applyAlignment="1" pivotButton="0" quotePrefix="0" xfId="0">
      <alignment horizontal="center" vertical="center"/>
    </xf>
    <xf numFmtId="9" fontId="8" fillId="0" borderId="1" applyAlignment="1" pivotButton="0" quotePrefix="0" xfId="0">
      <alignment horizontal="center" vertical="center"/>
    </xf>
    <xf numFmtId="0" fontId="6" fillId="0" borderId="1" pivotButton="0" quotePrefix="0" xfId="0"/>
    <xf numFmtId="166" fontId="6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169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171" fontId="4" fillId="0" borderId="1" applyAlignment="1" pivotButton="0" quotePrefix="0" xfId="0">
      <alignment horizontal="center" vertical="center"/>
    </xf>
    <xf numFmtId="171" fontId="9" fillId="5" borderId="1" applyAlignment="1" pivotButton="0" quotePrefix="0" xfId="0">
      <alignment horizontal="center" vertical="center"/>
    </xf>
    <xf numFmtId="171" fontId="6" fillId="0" borderId="1" applyAlignment="1" pivotButton="0" quotePrefix="0" xfId="0">
      <alignment horizontal="center" vertical="center"/>
    </xf>
    <xf numFmtId="0" fontId="9" fillId="0" borderId="0" pivotButton="0" quotePrefix="0" xfId="0"/>
    <xf numFmtId="166" fontId="9" fillId="5" borderId="1" applyAlignment="1" pivotButton="0" quotePrefix="0" xfId="0">
      <alignment horizontal="center" vertical="center"/>
    </xf>
    <xf numFmtId="172" fontId="8" fillId="0" borderId="1" applyAlignment="1" pivotButton="0" quotePrefix="0" xfId="0">
      <alignment horizontal="center" vertical="center"/>
    </xf>
    <xf numFmtId="172" fontId="9" fillId="5" borderId="1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/>
    </xf>
    <xf numFmtId="0" fontId="0" fillId="4" borderId="0" pivotButton="0" quotePrefix="0" xfId="0"/>
    <xf numFmtId="0" fontId="6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167" fontId="9" fillId="5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169" fontId="9" fillId="5" borderId="1" applyAlignment="1" pivotButton="0" quotePrefix="0" xfId="0">
      <alignment horizontal="center" vertical="center"/>
    </xf>
    <xf numFmtId="169" fontId="9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9" fontId="9" fillId="5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4" fontId="10" fillId="0" borderId="0" pivotButton="0" quotePrefix="0" xfId="0"/>
    <xf numFmtId="168" fontId="10" fillId="0" borderId="0" pivotButton="0" quotePrefix="0" xfId="0"/>
    <xf numFmtId="171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Local rates — past month (bp)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'Charts'!B5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'Charts'!$A$6:$A$10</f>
            </numRef>
          </cat>
          <val>
            <numRef>
              <f>'Charts'!$B$6:$B$10</f>
            </numRef>
          </val>
        </ser>
        <ser>
          <idx val="1"/>
          <order val="1"/>
          <tx>
            <strRef>
              <f>'Charts'!C5</f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rgbClr val="0070C0"/>
              </a:solidFill>
              <a:prstDash val="solid"/>
            </a:ln>
          </spPr>
          <cat>
            <numRef>
              <f>'Charts'!$A$6:$A$10</f>
            </numRef>
          </cat>
          <val>
            <numRef>
              <f>'Charts'!$C$6:$C$10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numFmt formatCode="+0;-0;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Local rates — year to date (bp)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'Charts'!B14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'Charts'!$A$15:$A$19</f>
            </numRef>
          </cat>
          <val>
            <numRef>
              <f>'Charts'!$B$15:$B$19</f>
            </numRef>
          </val>
        </ser>
        <ser>
          <idx val="1"/>
          <order val="1"/>
          <tx>
            <strRef>
              <f>'Charts'!C14</f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rgbClr val="0070C0"/>
              </a:solidFill>
              <a:prstDash val="solid"/>
            </a:ln>
          </spPr>
          <cat>
            <numRef>
              <f>'Charts'!$A$15:$A$19</f>
            </numRef>
          </cat>
          <val>
            <numRef>
              <f>'Charts'!$C$15:$C$19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numFmt formatCode="+0;-0;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FX — past month (return on EM ccy, %)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'Charts'!B23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'Charts'!$A$24:$A$28</f>
            </numRef>
          </cat>
          <val>
            <numRef>
              <f>'Charts'!$B$24:$B$28</f>
            </numRef>
          </val>
        </ser>
        <ser>
          <idx val="1"/>
          <order val="1"/>
          <tx>
            <strRef>
              <f>'Charts'!C23</f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rgbClr val="0070C0"/>
              </a:solidFill>
              <a:prstDash val="solid"/>
            </a:ln>
          </spPr>
          <cat>
            <numRef>
              <f>'Charts'!$A$24:$A$28</f>
            </numRef>
          </cat>
          <val>
            <numRef>
              <f>'Charts'!$C$24:$C$28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return</a:t>
                </a:r>
              </a:p>
            </rich>
          </tx>
        </title>
        <numFmt formatCode="+0.0;-0.0;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FX — year to date (return on EM ccy, %)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'Charts'!B32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'Charts'!$A$33:$A$37</f>
            </numRef>
          </cat>
          <val>
            <numRef>
              <f>'Charts'!$B$33:$B$37</f>
            </numRef>
          </val>
        </ser>
        <ser>
          <idx val="1"/>
          <order val="1"/>
          <tx>
            <strRef>
              <f>'Charts'!C32</f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rgbClr val="0070C0"/>
              </a:solidFill>
              <a:prstDash val="solid"/>
            </a:ln>
          </spPr>
          <cat>
            <numRef>
              <f>'Charts'!$A$33:$A$37</f>
            </numRef>
          </cat>
          <val>
            <numRef>
              <f>'Charts'!$C$33:$C$37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return</a:t>
                </a:r>
              </a:p>
            </rich>
          </tx>
        </title>
        <numFmt formatCode="+0.0;-0.0;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Equities — past month (MSCI, USD, %)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'Charts'!B41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'Charts'!$A$42:$A$46</f>
            </numRef>
          </cat>
          <val>
            <numRef>
              <f>'Charts'!$B$42:$B$46</f>
            </numRef>
          </val>
        </ser>
        <ser>
          <idx val="1"/>
          <order val="1"/>
          <tx>
            <strRef>
              <f>'Charts'!C41</f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rgbClr val="0070C0"/>
              </a:solidFill>
              <a:prstDash val="solid"/>
            </a:ln>
          </spPr>
          <cat>
            <numRef>
              <f>'Charts'!$A$42:$A$46</f>
            </numRef>
          </cat>
          <val>
            <numRef>
              <f>'Charts'!$C$42:$C$46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return</a:t>
                </a:r>
              </a:p>
            </rich>
          </tx>
        </title>
        <numFmt formatCode="+0.0;-0.0;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Equities — year to date (MSCI, USD, %)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'Charts'!B50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'Charts'!$A$51:$A$55</f>
            </numRef>
          </cat>
          <val>
            <numRef>
              <f>'Charts'!$B$51:$B$55</f>
            </numRef>
          </val>
        </ser>
        <ser>
          <idx val="1"/>
          <order val="1"/>
          <tx>
            <strRef>
              <f>'Charts'!C50</f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rgbClr val="0070C0"/>
              </a:solidFill>
              <a:prstDash val="solid"/>
            </a:ln>
          </spPr>
          <cat>
            <numRef>
              <f>'Charts'!$A$51:$A$55</f>
            </numRef>
          </cat>
          <val>
            <numRef>
              <f>'Charts'!$C$51:$C$55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return</a:t>
                </a:r>
              </a:p>
            </rich>
          </tx>
        </title>
        <numFmt formatCode="+0.0;-0.0;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USD credit — past month (bp)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'Charts'!B59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'Charts'!$A$60:$A$64</f>
            </numRef>
          </cat>
          <val>
            <numRef>
              <f>'Charts'!$B$60:$B$64</f>
            </numRef>
          </val>
        </ser>
        <ser>
          <idx val="1"/>
          <order val="1"/>
          <tx>
            <strRef>
              <f>'Charts'!C59</f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rgbClr val="0070C0"/>
              </a:solidFill>
              <a:prstDash val="solid"/>
            </a:ln>
          </spPr>
          <cat>
            <numRef>
              <f>'Charts'!$A$60:$A$64</f>
            </numRef>
          </cat>
          <val>
            <numRef>
              <f>'Charts'!$C$60:$C$64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numFmt formatCode="+0;-0;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USD credit — year to date (bp)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'Charts'!B68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cat>
            <numRef>
              <f>'Charts'!$A$69:$A$73</f>
            </numRef>
          </cat>
          <val>
            <numRef>
              <f>'Charts'!$B$69:$B$73</f>
            </numRef>
          </val>
        </ser>
        <ser>
          <idx val="1"/>
          <order val="1"/>
          <tx>
            <strRef>
              <f>'Charts'!C68</f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rgbClr val="0070C0"/>
              </a:solidFill>
              <a:prstDash val="solid"/>
            </a:ln>
          </spPr>
          <cat>
            <numRef>
              <f>'Charts'!$A$69:$A$73</f>
            </numRef>
          </cat>
          <val>
            <numRef>
              <f>'Charts'!$C$69:$C$73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numFmt formatCode="+0;-0;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Pass-through of the US move,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'Charts'!B77</f>
            </strRef>
          </tx>
          <spPr>
            <a:solidFill xmlns:a="http://schemas.openxmlformats.org/drawingml/2006/main">
              <a:srgbClr val="404040"/>
            </a:solidFill>
            <a:ln xmlns:a="http://schemas.openxmlformats.org/drawingml/2006/main">
              <a:solidFill>
                <a:srgbClr val="404040"/>
              </a:solidFill>
              <a:prstDash val="solid"/>
            </a:ln>
          </spPr>
          <cat>
            <numRef>
              <f>'Charts'!$A$78:$A$82</f>
            </numRef>
          </cat>
          <val>
            <numRef>
              <f>'Charts'!$B$78:$B$82</f>
            </numRef>
          </val>
        </ser>
        <ser>
          <idx val="1"/>
          <order val="1"/>
          <tx>
            <strRef>
              <f>'Charts'!C77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solidFill>
                <a:srgbClr val="A6A6A6"/>
              </a:solidFill>
              <a:prstDash val="solid"/>
            </a:ln>
          </spPr>
          <cat>
            <numRef>
              <f>'Charts'!$A$78:$A$82</f>
            </numRef>
          </cat>
          <val>
            <numRef>
              <f>'Charts'!$C$78:$C$82</f>
            </numRef>
          </val>
        </ser>
        <ser>
          <idx val="2"/>
          <order val="2"/>
          <tx>
            <strRef>
              <f>'Charts'!D77</f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rgbClr val="0070C0"/>
              </a:solidFill>
              <a:prstDash val="solid"/>
            </a:ln>
          </spPr>
          <cat>
            <numRef>
              <f>'Charts'!$A$78:$A$82</f>
            </numRef>
          </cat>
          <val>
            <numRef>
              <f>'Charts'!$D$78:$D$82</f>
            </numRef>
          </val>
        </ser>
        <ser>
          <idx val="3"/>
          <order val="3"/>
          <tx>
            <strRef>
              <f>'Charts'!E77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solidFill>
                <a:srgbClr val="9DC3E6"/>
              </a:solidFill>
              <a:prstDash val="solid"/>
            </a:ln>
          </spPr>
          <cat>
            <numRef>
              <f>'Charts'!$A$78:$A$82</f>
            </numRef>
          </cat>
          <val>
            <numRef>
              <f>'Charts'!$E$78:$E$82</f>
            </numRef>
          </val>
        </ser>
        <ser>
          <idx val="4"/>
          <order val="4"/>
          <tx>
            <strRef>
              <f>'Charts'!F77</f>
            </strRef>
          </tx>
          <spPr>
            <a:solidFill xmlns:a="http://schemas.openxmlformats.org/drawingml/2006/main">
              <a:srgbClr val="E60000"/>
            </a:solidFill>
            <a:ln xmlns:a="http://schemas.openxmlformats.org/drawingml/2006/main">
              <a:solidFill>
                <a:srgbClr val="E60000"/>
              </a:solidFill>
              <a:prstDash val="solid"/>
            </a:ln>
          </spPr>
          <cat>
            <numRef>
              <f>'Charts'!$A$78:$A$82</f>
            </numRef>
          </cat>
          <val>
            <numRef>
              <f>'Charts'!$F$78:$F$82</f>
            </numRef>
          </val>
        </ser>
        <ser>
          <idx val="5"/>
          <order val="5"/>
          <tx>
            <strRef>
              <f>'Charts'!G77</f>
            </strRef>
          </tx>
          <spPr>
            <a:solidFill xmlns:a="http://schemas.openxmlformats.org/drawingml/2006/main">
              <a:srgbClr val="F4A6A6"/>
            </a:solidFill>
            <a:ln xmlns:a="http://schemas.openxmlformats.org/drawingml/2006/main">
              <a:solidFill>
                <a:srgbClr val="F4A6A6"/>
              </a:solidFill>
              <a:prstDash val="solid"/>
            </a:ln>
          </spPr>
          <cat>
            <numRef>
              <f>'Charts'!$A$78:$A$82</f>
            </numRef>
          </cat>
          <val>
            <numRef>
              <f>'Charts'!$G$78:$G$82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 (1.0 = took the full US move)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USD credit: Treasuries as a share of the yield move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'Charts'!B86</f>
            </strRef>
          </tx>
          <spPr>
            <a:solidFill xmlns:a="http://schemas.openxmlformats.org/drawingml/2006/main">
              <a:srgbClr val="404040"/>
            </a:solidFill>
            <a:ln xmlns:a="http://schemas.openxmlformats.org/drawingml/2006/main">
              <a:solidFill>
                <a:srgbClr val="404040"/>
              </a:solidFill>
              <a:prstDash val="solid"/>
            </a:ln>
          </spPr>
          <cat>
            <numRef>
              <f>'Charts'!$A$87:$A$91</f>
            </numRef>
          </cat>
          <val>
            <numRef>
              <f>'Charts'!$B$87:$B$91</f>
            </numRef>
          </val>
        </ser>
        <ser>
          <idx val="1"/>
          <order val="1"/>
          <tx>
            <strRef>
              <f>'Charts'!C86</f>
            </strRef>
          </tx>
          <spPr>
            <a:solidFill xmlns:a="http://schemas.openxmlformats.org/drawingml/2006/main">
              <a:srgbClr val="0070C0"/>
            </a:solidFill>
            <a:ln xmlns:a="http://schemas.openxmlformats.org/drawingml/2006/main">
              <a:solidFill>
                <a:srgbClr val="0070C0"/>
              </a:solidFill>
              <a:prstDash val="solid"/>
            </a:ln>
          </spPr>
          <cat>
            <numRef>
              <f>'Charts'!$A$87:$A$91</f>
            </numRef>
          </cat>
          <val>
            <numRef>
              <f>'Charts'!$C$87:$C$91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3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22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22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41</row>
      <rowOff>0</rowOff>
    </from>
    <ext cx="576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16</col>
      <colOff>0</colOff>
      <row>41</row>
      <rowOff>0</rowOff>
    </from>
    <ext cx="576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5</col>
      <colOff>0</colOff>
      <row>60</row>
      <rowOff>0</rowOff>
    </from>
    <ext cx="576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60</row>
      <rowOff>0</rowOff>
    </from>
    <ext cx="576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5</col>
      <colOff>0</colOff>
      <row>79</row>
      <rowOff>0</rowOff>
    </from>
    <ext cx="576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16</col>
      <colOff>0</colOff>
      <row>79</row>
      <rowOff>0</rowOff>
    </from>
    <ext cx="5760000" cy="32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3" customWidth="1" min="3" max="3"/>
    <col width="80" customWidth="1" min="4" max="4"/>
  </cols>
  <sheetData>
    <row r="1">
      <c r="A1" s="1" t="inlineStr">
        <is>
          <t>EM DECOMPOSITION  —  US factor vs intrinsic EM  (rates, FX, equities, USD credit)</t>
        </is>
      </c>
    </row>
    <row r="2">
      <c r="A2" s="2" t="inlineStr">
        <is>
          <t>Bloomberg-linked; every cell is a formula. Built for A. Rojas, UBS CIO Americas.</t>
        </is>
      </c>
    </row>
    <row r="4" ht="18" customHeight="1">
      <c r="A4" s="3" t="inlineStr">
        <is>
          <t>SETTINGS</t>
        </is>
      </c>
      <c r="B4" s="4" t="n"/>
      <c r="C4" s="4" t="n"/>
      <c r="D4" s="4" t="n"/>
    </row>
    <row r="6">
      <c r="A6" s="5" t="inlineStr">
        <is>
          <t>History start</t>
        </is>
      </c>
      <c r="B6" s="6">
        <f>EDATE(TODAY(),-38)</f>
        <v/>
      </c>
      <c r="D6" s="7" t="inlineStr">
        <is>
          <t>3y buffer so the 2y beta window is always full</t>
        </is>
      </c>
    </row>
    <row r="7">
      <c r="A7" s="5" t="inlineStr">
        <is>
          <t>History end</t>
        </is>
      </c>
      <c r="B7" s="6">
        <f>TODAY()</f>
        <v/>
      </c>
      <c r="D7" s="7" t="inlineStr"/>
    </row>
    <row r="8">
      <c r="A8" s="5" t="inlineStr">
        <is>
          <t>Daily observations pulled</t>
        </is>
      </c>
      <c r="B8" s="8" t="n">
        <v>784</v>
      </c>
      <c r="D8" s="7" t="inlineStr">
        <is>
          <t>HIST_D rows 8:791, newest first</t>
        </is>
      </c>
    </row>
    <row r="9">
      <c r="A9" s="5" t="inlineStr">
        <is>
          <t>bp per 1%</t>
        </is>
      </c>
      <c r="B9" s="8" t="n">
        <v>100</v>
      </c>
      <c r="D9" s="7" t="inlineStr"/>
    </row>
    <row r="10">
      <c r="A10" s="5" t="inlineStr">
        <is>
          <t>1M window (weekday obs back)</t>
        </is>
      </c>
      <c r="B10" s="8" t="n">
        <v>23</v>
      </c>
      <c r="D10" s="7" t="inlineStr">
        <is>
          <t>row offset in HIST_D; 23 = one calendar month</t>
        </is>
      </c>
    </row>
    <row r="11">
      <c r="A11" s="5" t="inlineStr">
        <is>
          <t>YTD window (weekday obs back)</t>
        </is>
      </c>
      <c r="B11" s="8">
        <f>NETWORKDAYS(DATE(YEAR(TODAY())-1,12,31),TODAY())</f>
        <v/>
      </c>
      <c r="D11" s="7" t="inlineStr">
        <is>
          <t>row offset to the prior year-end</t>
        </is>
      </c>
    </row>
    <row r="12">
      <c r="A12" s="5" t="inlineStr">
        <is>
          <t>Beta window (weekday obs)</t>
        </is>
      </c>
      <c r="B12" s="8" t="n">
        <v>523</v>
      </c>
      <c r="D12" s="7" t="inlineStr">
        <is>
          <t>2y of daily changes for every measured beta</t>
        </is>
      </c>
    </row>
    <row r="13">
      <c r="A13" s="5" t="inlineStr">
        <is>
          <t>Minimum US move to form a ratio (bp)</t>
        </is>
      </c>
      <c r="B13" s="8" t="n">
        <v>15</v>
      </c>
      <c r="D13" s="7" t="inlineStr">
        <is>
          <t>pass-through is suppressed as n/m below this</t>
        </is>
      </c>
    </row>
    <row r="14">
      <c r="A14" s="5" t="inlineStr">
        <is>
          <t>EM USD index modified duration (yrs)</t>
        </is>
      </c>
      <c r="B14" s="9" t="n">
        <v>6.6</v>
      </c>
      <c r="D14" s="7" t="inlineStr">
        <is>
          <t>INPUT — embi_tracker.py or Bbg DUR_ADJ_MID</t>
        </is>
      </c>
    </row>
    <row r="15">
      <c r="A15" s="5" t="inlineStr">
        <is>
          <t>EM USD index YTW (%)</t>
        </is>
      </c>
      <c r="B15" s="10" t="n">
        <v>6.55</v>
      </c>
      <c r="D15" s="7" t="inlineStr">
        <is>
          <t>INPUT — embi_tracker.py or INDEX_YIELD_TO_WORST</t>
        </is>
      </c>
    </row>
    <row r="16">
      <c r="A16" s="5" t="inlineStr">
        <is>
          <t>EMBIGD stripped spread now (bp)</t>
        </is>
      </c>
      <c r="B16" s="11" t="n">
        <v>208</v>
      </c>
      <c r="D16" s="7" t="inlineStr">
        <is>
          <t>INPUT — embi_tracker.py 'Dur Wgt STW (Trsy)'</t>
        </is>
      </c>
    </row>
    <row r="17">
      <c r="A17" s="5" t="inlineStr">
        <is>
          <t>EMBIGD stripped spread 1M ago (bp)</t>
        </is>
      </c>
      <c r="B17" s="11" t="n">
        <v>218</v>
      </c>
      <c r="D17" s="7" t="inlineStr">
        <is>
          <t>INPUT — chain-link across the 04-Sep-26 JPM break</t>
        </is>
      </c>
    </row>
    <row r="18">
      <c r="A18" s="5" t="inlineStr">
        <is>
          <t>EMBIGD stripped spread at prior year-end (bp)</t>
        </is>
      </c>
      <c r="B18" s="11" t="n"/>
      <c r="D18" s="7" t="inlineStr">
        <is>
          <t>INPUT — from EMBI_global_history.xlsx</t>
        </is>
      </c>
    </row>
    <row r="21" ht="18" customHeight="1">
      <c r="A21" s="3" t="inlineStr">
        <is>
          <t>THE ONE IDEA, APPLIED THREE TIMES</t>
        </is>
      </c>
      <c r="B21" s="4" t="n"/>
      <c r="C21" s="4" t="n"/>
      <c r="D21" s="4" t="n"/>
    </row>
    <row r="22">
      <c r="A22" s="7" t="inlineStr">
        <is>
          <t>total move  =  US-driven  +  intrinsic EM.   Same split on every tab.</t>
        </is>
      </c>
    </row>
    <row r="23">
      <c r="A23" s="7" t="inlineStr">
        <is>
          <t>Local rates:  d(local 10Y) = d(UST 10Y) + d(local less UST).  US-driven is the UST move; intrinsic is the change in the gap.</t>
        </is>
      </c>
    </row>
    <row r="24">
      <c r="A24" s="7" t="inlineStr">
        <is>
          <t>FX:  return on the EM currency = -(DXY return) + return ex-dollar.  US-driven is the dollar; intrinsic is what is left after the dollar.</t>
        </is>
      </c>
    </row>
    <row r="25">
      <c r="A25" s="7" t="inlineStr">
        <is>
          <t>Equities:  USD return on the MSCI country index = MSCI World return + relative return.  US/DM-driven is World under a beta of one; intrinsic is relative performance.</t>
        </is>
      </c>
    </row>
    <row r="26">
      <c r="A26" s="7" t="inlineStr">
        <is>
          <t>USD credit:  d(UST 5Y + CDS 5Y) = d(UST 5Y) + d(CDS 5Y).  US-driven is Treasuries; intrinsic is the spread. This is exact.</t>
        </is>
      </c>
    </row>
    <row r="27">
      <c r="A27" s="7" t="inlineStr">
        <is>
          <t>The identity assumes a beta of one. Next to it, a measured 2y beta gives the move history would have predicted, and surprise = actual less predicted.</t>
        </is>
      </c>
    </row>
    <row r="28">
      <c r="A28" s="7" t="inlineStr">
        <is>
          <t>Pass-through (rates, FX) = total / US-driven: how much of the US move the market took. Under 1 = absorbed. US share (credit) = Treasuries / total yield move.</t>
        </is>
      </c>
    </row>
    <row r="29">
      <c r="A29" s="7" t="inlineStr">
        <is>
          <t>Region averages are equal-weighted over the flagged members only. Ratios on average rows are ratios of the averages, not averages of the ratios.</t>
        </is>
      </c>
    </row>
    <row r="30">
      <c r="A30" s="7" t="inlineStr">
        <is>
          <t>Turkiye is out of the rates and FX averages; Egypt out of FX; India has no CDS; the GCC has no local curve or floating currency. Each is shown, and each exclusion is written on the row.</t>
        </is>
      </c>
    </row>
    <row r="31">
      <c r="A31" s="7" t="inlineStr">
        <is>
          <t>South Africa is not in any of the four regions you named. It is a memo line in no average.</t>
        </is>
      </c>
    </row>
    <row r="32">
      <c r="A32" s="7" t="inlineStr">
        <is>
          <t>Blue = input. Green = link. Purple = Bloomberg pull. Black = computed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</cols>
  <sheetData>
    <row r="1">
      <c r="A1" s="1" t="inlineStr">
        <is>
          <t>EM DECOMPOSITION  —  SUMMARY</t>
        </is>
      </c>
    </row>
    <row r="2">
      <c r="A2" s="2">
        <f>"As of "&amp;TEXT(INDEX(HIST_D!$A$8:$A$791,1),"d mmm yyyy")&amp;".  Every cell here is a link to the asset tabs."</f>
        <v/>
      </c>
    </row>
    <row r="4" ht="18" customHeight="1">
      <c r="A4" s="3" t="inlineStr">
        <is>
          <t>THE US MOVE  —  what EM was asked to absorb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 ht="40" customHeight="1">
      <c r="A5" s="12" t="inlineStr">
        <is>
          <t>Series</t>
        </is>
      </c>
      <c r="B5" s="12" t="inlineStr">
        <is>
          <t>Level</t>
        </is>
      </c>
      <c r="C5" s="12" t="inlineStr">
        <is>
          <t>d 1M</t>
        </is>
      </c>
      <c r="D5" s="12" t="inlineStr">
        <is>
          <t>d YTD</t>
        </is>
      </c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</row>
    <row r="6">
      <c r="A6" s="13" t="inlineStr">
        <is>
          <t>UST 2Y</t>
        </is>
      </c>
      <c r="B6" s="14">
        <f>INDEX(HIST_D!$D$8:$D$791,1)</f>
        <v/>
      </c>
      <c r="C6" s="15">
        <f>IFERROR((INDEX(HIST_D!$D$8:$D$791,1)-INDEX(HIST_D!$D$8:$D$791,Control!$B$10))*100,"")</f>
        <v/>
      </c>
      <c r="D6" s="15">
        <f>IFERROR((INDEX(HIST_D!$D$8:$D$791,1)-INDEX(HIST_D!$D$8:$D$791,Control!$B$11))*100,"")</f>
        <v/>
      </c>
    </row>
    <row r="7">
      <c r="A7" s="13" t="inlineStr">
        <is>
          <t>UST 5Y</t>
        </is>
      </c>
      <c r="B7" s="14">
        <f>INDEX(HIST_D!$E$8:$E$791,1)</f>
        <v/>
      </c>
      <c r="C7" s="15">
        <f>IFERROR((INDEX(HIST_D!$E$8:$E$791,1)-INDEX(HIST_D!$E$8:$E$791,Control!$B$10))*100,"")</f>
        <v/>
      </c>
      <c r="D7" s="15">
        <f>IFERROR((INDEX(HIST_D!$E$8:$E$791,1)-INDEX(HIST_D!$E$8:$E$791,Control!$B$11))*100,"")</f>
        <v/>
      </c>
    </row>
    <row r="8">
      <c r="A8" s="13" t="inlineStr">
        <is>
          <t>UST 10Y</t>
        </is>
      </c>
      <c r="B8" s="14">
        <f>INDEX(HIST_D!$F$8:$F$791,1)</f>
        <v/>
      </c>
      <c r="C8" s="15">
        <f>IFERROR((INDEX(HIST_D!$F$8:$F$791,1)-INDEX(HIST_D!$F$8:$F$791,Control!$B$10))*100,"")</f>
        <v/>
      </c>
      <c r="D8" s="15">
        <f>IFERROR((INDEX(HIST_D!$F$8:$F$791,1)-INDEX(HIST_D!$F$8:$F$791,Control!$B$11))*100,"")</f>
        <v/>
      </c>
    </row>
    <row r="9">
      <c r="A9" s="13" t="inlineStr">
        <is>
          <t>UST 30Y</t>
        </is>
      </c>
      <c r="B9" s="14">
        <f>INDEX(HIST_D!$G$8:$G$791,1)</f>
        <v/>
      </c>
      <c r="C9" s="15">
        <f>IFERROR((INDEX(HIST_D!$G$8:$G$791,1)-INDEX(HIST_D!$G$8:$G$791,Control!$B$10))*100,"")</f>
        <v/>
      </c>
      <c r="D9" s="15">
        <f>IFERROR((INDEX(HIST_D!$G$8:$G$791,1)-INDEX(HIST_D!$G$8:$G$791,Control!$B$11))*100,"")</f>
        <v/>
      </c>
    </row>
    <row r="10">
      <c r="A10" s="13" t="inlineStr">
        <is>
          <t>UST 10Y real</t>
        </is>
      </c>
      <c r="B10" s="14">
        <f>INDEX(HIST_D!$H$8:$H$791,1)</f>
        <v/>
      </c>
      <c r="C10" s="15">
        <f>IFERROR((INDEX(HIST_D!$H$8:$H$791,1)-INDEX(HIST_D!$H$8:$H$791,Control!$B$10))*100,"")</f>
        <v/>
      </c>
      <c r="D10" s="15">
        <f>IFERROR((INDEX(HIST_D!$H$8:$H$791,1)-INDEX(HIST_D!$H$8:$H$791,Control!$B$11))*100,"")</f>
        <v/>
      </c>
    </row>
    <row r="11">
      <c r="A11" s="13" t="inlineStr">
        <is>
          <t>Breakeven 10Y</t>
        </is>
      </c>
      <c r="B11" s="14">
        <f>INDEX(HIST_D!$I$8:$I$791,1)</f>
        <v/>
      </c>
      <c r="C11" s="15">
        <f>IFERROR((INDEX(HIST_D!$I$8:$I$791,1)-INDEX(HIST_D!$I$8:$I$791,Control!$B$10))*100,"")</f>
        <v/>
      </c>
      <c r="D11" s="15">
        <f>IFERROR((INDEX(HIST_D!$I$8:$I$791,1)-INDEX(HIST_D!$I$8:$I$791,Control!$B$11))*100,"")</f>
        <v/>
      </c>
    </row>
    <row r="12">
      <c r="A12" s="13" t="inlineStr">
        <is>
          <t>ACM term premium 10Y</t>
        </is>
      </c>
      <c r="B12" s="14">
        <f>INDEX(HIST_D!$J$8:$J$791,1)</f>
        <v/>
      </c>
      <c r="C12" s="15">
        <f>IFERROR((INDEX(HIST_D!$J$8:$J$791,1)-INDEX(HIST_D!$J$8:$J$791,Control!$B$10))*100,"")</f>
        <v/>
      </c>
      <c r="D12" s="15">
        <f>IFERROR((INDEX(HIST_D!$J$8:$J$791,1)-INDEX(HIST_D!$J$8:$J$791,Control!$B$11))*100,"")</f>
        <v/>
      </c>
    </row>
    <row r="13">
      <c r="A13" s="13" t="inlineStr">
        <is>
          <t>DXY</t>
        </is>
      </c>
      <c r="B13" s="16">
        <f>INDEX(HIST_D!$K$8:$K$791,1)</f>
        <v/>
      </c>
      <c r="C13" s="17">
        <f>IFERROR(INDEX(HIST_D!$K$8:$K$791,1)/INDEX(HIST_D!$K$8:$K$791,Control!$B$10)-1,"")</f>
        <v/>
      </c>
      <c r="D13" s="17">
        <f>IFERROR(INDEX(HIST_D!$K$8:$K$791,1)/INDEX(HIST_D!$K$8:$K$791,Control!$B$11)-1,"")</f>
        <v/>
      </c>
    </row>
    <row r="14">
      <c r="A14" s="13" t="inlineStr">
        <is>
          <t>MSCI World (USD)</t>
        </is>
      </c>
      <c r="B14" s="14">
        <f>INDEX(HIST_D!$B$8:$B$791,1)</f>
        <v/>
      </c>
      <c r="C14" s="17">
        <f>IFERROR(INDEX(HIST_D!$B$8:$B$791,1)/INDEX(HIST_D!$B$8:$B$791,Control!$B$10)-1,"")</f>
        <v/>
      </c>
      <c r="D14" s="17">
        <f>IFERROR(INDEX(HIST_D!$B$8:$B$791,1)/INDEX(HIST_D!$B$8:$B$791,Control!$B$11)-1,"")</f>
        <v/>
      </c>
    </row>
    <row r="15">
      <c r="A15" s="13" t="inlineStr">
        <is>
          <t>MSCI EM (USD)</t>
        </is>
      </c>
      <c r="B15" s="14">
        <f>INDEX(HIST_D!$C$8:$C$791,1)</f>
        <v/>
      </c>
      <c r="C15" s="17">
        <f>IFERROR(INDEX(HIST_D!$C$8:$C$791,1)/INDEX(HIST_D!$C$8:$C$791,Control!$B$10)-1,"")</f>
        <v/>
      </c>
      <c r="D15" s="17">
        <f>IFERROR(INDEX(HIST_D!$C$8:$C$791,1)/INDEX(HIST_D!$C$8:$C$791,Control!$B$11)-1,"")</f>
        <v/>
      </c>
    </row>
    <row r="16">
      <c r="A16" s="13" t="inlineStr">
        <is>
          <t>EM USD Aggregate OAS (Bbg)</t>
        </is>
      </c>
      <c r="B16" s="16">
        <f>INDEX(HIST_D!$L$8:$L$791,1)</f>
        <v/>
      </c>
      <c r="C16" s="15">
        <f>IFERROR(INDEX(HIST_D!$L$8:$L$791,1)-INDEX(HIST_D!$L$8:$L$791,Control!$B$10),"")</f>
        <v/>
      </c>
      <c r="D16" s="15">
        <f>IFERROR(INDEX(HIST_D!$L$8:$L$791,1)-INDEX(HIST_D!$L$8:$L$791,Control!$B$11),"")</f>
        <v/>
      </c>
    </row>
    <row r="18" ht="18" customHeight="1">
      <c r="A18" s="3" t="inlineStr">
        <is>
          <t>PAST MONTH  —  total = US-driven + intrinsic, by region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 ht="40" customHeight="1">
      <c r="A19" s="12" t="inlineStr">
        <is>
          <t>Region</t>
        </is>
      </c>
      <c r="B19" s="12" t="inlineStr">
        <is>
          <t>Rates: total (bp)</t>
        </is>
      </c>
      <c r="C19" s="12" t="inlineStr">
        <is>
          <t>Rates: US (bp)</t>
        </is>
      </c>
      <c r="D19" s="12" t="inlineStr">
        <is>
          <t>Rates: intrinsic (bp)</t>
        </is>
      </c>
      <c r="E19" s="12" t="inlineStr">
        <is>
          <t>Rates: pass-through</t>
        </is>
      </c>
      <c r="F19" s="12" t="inlineStr">
        <is>
          <t>FX: total</t>
        </is>
      </c>
      <c r="G19" s="12" t="inlineStr">
        <is>
          <t>FX: US</t>
        </is>
      </c>
      <c r="H19" s="12" t="inlineStr">
        <is>
          <t>FX: intrinsic</t>
        </is>
      </c>
      <c r="I19" s="12" t="inlineStr">
        <is>
          <t>FX: pass-through</t>
        </is>
      </c>
      <c r="J19" s="12" t="inlineStr">
        <is>
          <t>Equities: total (USD)</t>
        </is>
      </c>
      <c r="K19" s="12" t="inlineStr">
        <is>
          <t>Equities: World</t>
        </is>
      </c>
      <c r="L19" s="12" t="inlineStr">
        <is>
          <t>Equities: relative</t>
        </is>
      </c>
      <c r="M19" s="12" t="inlineStr">
        <is>
          <t>Equities: pass-through</t>
        </is>
      </c>
      <c r="N19" s="12" t="inlineStr">
        <is>
          <t>Credit: total (bp)</t>
        </is>
      </c>
      <c r="O19" s="12" t="inlineStr">
        <is>
          <t>Credit: US (bp)</t>
        </is>
      </c>
      <c r="P19" s="12" t="inlineStr">
        <is>
          <t>Credit: spread (bp)</t>
        </is>
      </c>
      <c r="Q19" s="12" t="inlineStr">
        <is>
          <t>Credit: US share</t>
        </is>
      </c>
    </row>
    <row r="20">
      <c r="A20" s="18" t="inlineStr">
        <is>
          <t>LatAm</t>
        </is>
      </c>
      <c r="B20" s="19">
        <f>Rates!$E$11</f>
        <v/>
      </c>
      <c r="C20" s="20">
        <f>Rates!$F$11</f>
        <v/>
      </c>
      <c r="D20" s="20">
        <f>Rates!$G$11</f>
        <v/>
      </c>
      <c r="E20" s="21">
        <f>Rates!$H$11</f>
        <v/>
      </c>
      <c r="F20" s="22">
        <f>FX!$E$11</f>
        <v/>
      </c>
      <c r="G20" s="23">
        <f>FX!$F$11</f>
        <v/>
      </c>
      <c r="H20" s="23">
        <f>FX!$G$11</f>
        <v/>
      </c>
      <c r="I20" s="21">
        <f>FX!$H$11</f>
        <v/>
      </c>
      <c r="J20" s="22">
        <f>Equities!$E$11</f>
        <v/>
      </c>
      <c r="K20" s="23">
        <f>Equities!$F$11</f>
        <v/>
      </c>
      <c r="L20" s="23">
        <f>Equities!$G$11</f>
        <v/>
      </c>
      <c r="M20" s="21">
        <f>Equities!$H$11</f>
        <v/>
      </c>
      <c r="N20" s="19">
        <f>Credit!$E$11</f>
        <v/>
      </c>
      <c r="O20" s="20">
        <f>Credit!$F$11</f>
        <v/>
      </c>
      <c r="P20" s="20">
        <f>Credit!$G$11</f>
        <v/>
      </c>
      <c r="Q20" s="24">
        <f>Credit!$H$11</f>
        <v/>
      </c>
    </row>
    <row r="21">
      <c r="A21" s="18" t="inlineStr">
        <is>
          <t>EM Europe</t>
        </is>
      </c>
      <c r="B21" s="19">
        <f>Rates!$E$21</f>
        <v/>
      </c>
      <c r="C21" s="20">
        <f>Rates!$F$21</f>
        <v/>
      </c>
      <c r="D21" s="20">
        <f>Rates!$G$21</f>
        <v/>
      </c>
      <c r="E21" s="21">
        <f>Rates!$H$21</f>
        <v/>
      </c>
      <c r="F21" s="22">
        <f>FX!$E$21</f>
        <v/>
      </c>
      <c r="G21" s="23">
        <f>FX!$F$21</f>
        <v/>
      </c>
      <c r="H21" s="23">
        <f>FX!$G$21</f>
        <v/>
      </c>
      <c r="I21" s="21">
        <f>FX!$H$21</f>
        <v/>
      </c>
      <c r="J21" s="22">
        <f>Equities!$E$21</f>
        <v/>
      </c>
      <c r="K21" s="23">
        <f>Equities!$F$21</f>
        <v/>
      </c>
      <c r="L21" s="23">
        <f>Equities!$G$21</f>
        <v/>
      </c>
      <c r="M21" s="21">
        <f>Equities!$H$21</f>
        <v/>
      </c>
      <c r="N21" s="19">
        <f>Credit!$E$21</f>
        <v/>
      </c>
      <c r="O21" s="20">
        <f>Credit!$F$21</f>
        <v/>
      </c>
      <c r="P21" s="20">
        <f>Credit!$G$21</f>
        <v/>
      </c>
      <c r="Q21" s="24">
        <f>Credit!$H$21</f>
        <v/>
      </c>
    </row>
    <row r="22">
      <c r="A22" s="18" t="inlineStr">
        <is>
          <t>Middle East</t>
        </is>
      </c>
      <c r="B22" s="19">
        <f>Rates!$E$28</f>
        <v/>
      </c>
      <c r="C22" s="20">
        <f>Rates!$F$28</f>
        <v/>
      </c>
      <c r="D22" s="20">
        <f>Rates!$G$28</f>
        <v/>
      </c>
      <c r="E22" s="21">
        <f>Rates!$H$28</f>
        <v/>
      </c>
      <c r="F22" s="22">
        <f>FX!$E$28</f>
        <v/>
      </c>
      <c r="G22" s="23">
        <f>FX!$F$28</f>
        <v/>
      </c>
      <c r="H22" s="23">
        <f>FX!$G$28</f>
        <v/>
      </c>
      <c r="I22" s="21">
        <f>FX!$H$28</f>
        <v/>
      </c>
      <c r="J22" s="22">
        <f>Equities!$E$31</f>
        <v/>
      </c>
      <c r="K22" s="23">
        <f>Equities!$F$31</f>
        <v/>
      </c>
      <c r="L22" s="23">
        <f>Equities!$G$31</f>
        <v/>
      </c>
      <c r="M22" s="21">
        <f>Equities!$H$31</f>
        <v/>
      </c>
      <c r="N22" s="19">
        <f>Credit!$E$31</f>
        <v/>
      </c>
      <c r="O22" s="20">
        <f>Credit!$F$31</f>
        <v/>
      </c>
      <c r="P22" s="20">
        <f>Credit!$G$31</f>
        <v/>
      </c>
      <c r="Q22" s="24">
        <f>Credit!$H$31</f>
        <v/>
      </c>
    </row>
    <row r="23">
      <c r="A23" s="18" t="inlineStr">
        <is>
          <t>EM Asia</t>
        </is>
      </c>
      <c r="B23" s="19">
        <f>Rates!$E$40</f>
        <v/>
      </c>
      <c r="C23" s="20">
        <f>Rates!$F$40</f>
        <v/>
      </c>
      <c r="D23" s="20">
        <f>Rates!$G$40</f>
        <v/>
      </c>
      <c r="E23" s="21">
        <f>Rates!$H$40</f>
        <v/>
      </c>
      <c r="F23" s="22">
        <f>FX!$E$40</f>
        <v/>
      </c>
      <c r="G23" s="23">
        <f>FX!$F$40</f>
        <v/>
      </c>
      <c r="H23" s="23">
        <f>FX!$G$40</f>
        <v/>
      </c>
      <c r="I23" s="21">
        <f>FX!$H$40</f>
        <v/>
      </c>
      <c r="J23" s="22">
        <f>Equities!$E$43</f>
        <v/>
      </c>
      <c r="K23" s="23">
        <f>Equities!$F$43</f>
        <v/>
      </c>
      <c r="L23" s="23">
        <f>Equities!$G$43</f>
        <v/>
      </c>
      <c r="M23" s="21">
        <f>Equities!$H$43</f>
        <v/>
      </c>
      <c r="N23" s="19">
        <f>Credit!$E$42</f>
        <v/>
      </c>
      <c r="O23" s="20">
        <f>Credit!$F$42</f>
        <v/>
      </c>
      <c r="P23" s="20">
        <f>Credit!$G$42</f>
        <v/>
      </c>
      <c r="Q23" s="24">
        <f>Credit!$H$42</f>
        <v/>
      </c>
    </row>
    <row r="24">
      <c r="A24" s="18" t="inlineStr">
        <is>
          <t>EM average</t>
        </is>
      </c>
      <c r="B24" s="19">
        <f>Rates!$E$45</f>
        <v/>
      </c>
      <c r="C24" s="20">
        <f>Rates!$F$45</f>
        <v/>
      </c>
      <c r="D24" s="20">
        <f>Rates!$G$45</f>
        <v/>
      </c>
      <c r="E24" s="21">
        <f>Rates!$H$45</f>
        <v/>
      </c>
      <c r="F24" s="22">
        <f>FX!$E$45</f>
        <v/>
      </c>
      <c r="G24" s="23">
        <f>FX!$F$45</f>
        <v/>
      </c>
      <c r="H24" s="23">
        <f>FX!$G$45</f>
        <v/>
      </c>
      <c r="I24" s="21">
        <f>FX!$H$45</f>
        <v/>
      </c>
      <c r="J24" s="22">
        <f>Equities!$E$48</f>
        <v/>
      </c>
      <c r="K24" s="23">
        <f>Equities!$F$48</f>
        <v/>
      </c>
      <c r="L24" s="23">
        <f>Equities!$G$48</f>
        <v/>
      </c>
      <c r="M24" s="21">
        <f>Equities!$H$48</f>
        <v/>
      </c>
      <c r="N24" s="19">
        <f>Credit!$E$47</f>
        <v/>
      </c>
      <c r="O24" s="20">
        <f>Credit!$F$47</f>
        <v/>
      </c>
      <c r="P24" s="20">
        <f>Credit!$G$47</f>
        <v/>
      </c>
      <c r="Q24" s="24">
        <f>Credit!$H$47</f>
        <v/>
      </c>
    </row>
    <row r="25">
      <c r="A25" s="25" t="inlineStr">
        <is>
          <t>South Africa (memo)</t>
        </is>
      </c>
      <c r="B25" s="26">
        <f>Rates!$E$46</f>
        <v/>
      </c>
      <c r="C25" s="26">
        <f>Rates!$F$46</f>
        <v/>
      </c>
      <c r="D25" s="26">
        <f>Rates!$G$46</f>
        <v/>
      </c>
      <c r="E25" s="27">
        <f>Rates!$H$46</f>
        <v/>
      </c>
      <c r="F25" s="28">
        <f>FX!$E$46</f>
        <v/>
      </c>
      <c r="G25" s="28">
        <f>FX!$F$46</f>
        <v/>
      </c>
      <c r="H25" s="28">
        <f>FX!$G$46</f>
        <v/>
      </c>
      <c r="I25" s="27">
        <f>FX!$H$46</f>
        <v/>
      </c>
      <c r="J25" s="28">
        <f>Equities!$E$49</f>
        <v/>
      </c>
      <c r="K25" s="28">
        <f>Equities!$F$49</f>
        <v/>
      </c>
      <c r="L25" s="28">
        <f>Equities!$G$49</f>
        <v/>
      </c>
      <c r="M25" s="27">
        <f>Equities!$H$49</f>
        <v/>
      </c>
      <c r="N25" s="26">
        <f>Credit!$E$48</f>
        <v/>
      </c>
      <c r="O25" s="26">
        <f>Credit!$F$48</f>
        <v/>
      </c>
      <c r="P25" s="26">
        <f>Credit!$G$48</f>
        <v/>
      </c>
      <c r="Q25" s="29">
        <f>Credit!$H$48</f>
        <v/>
      </c>
    </row>
    <row r="27" ht="18" customHeight="1">
      <c r="A27" s="3" t="inlineStr">
        <is>
          <t>YEAR TO DATE  —  total = US-driven + intrinsic, by region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 ht="40" customHeight="1">
      <c r="A28" s="12" t="inlineStr">
        <is>
          <t>Region</t>
        </is>
      </c>
      <c r="B28" s="12" t="inlineStr">
        <is>
          <t>Rates: total (bp)</t>
        </is>
      </c>
      <c r="C28" s="12" t="inlineStr">
        <is>
          <t>Rates: US (bp)</t>
        </is>
      </c>
      <c r="D28" s="12" t="inlineStr">
        <is>
          <t>Rates: intrinsic (bp)</t>
        </is>
      </c>
      <c r="E28" s="12" t="inlineStr">
        <is>
          <t>Rates: pass-through</t>
        </is>
      </c>
      <c r="F28" s="12" t="inlineStr">
        <is>
          <t>FX: total</t>
        </is>
      </c>
      <c r="G28" s="12" t="inlineStr">
        <is>
          <t>FX: US</t>
        </is>
      </c>
      <c r="H28" s="12" t="inlineStr">
        <is>
          <t>FX: intrinsic</t>
        </is>
      </c>
      <c r="I28" s="12" t="inlineStr">
        <is>
          <t>FX: pass-through</t>
        </is>
      </c>
      <c r="J28" s="12" t="inlineStr">
        <is>
          <t>Equities: total (USD)</t>
        </is>
      </c>
      <c r="K28" s="12" t="inlineStr">
        <is>
          <t>Equities: World</t>
        </is>
      </c>
      <c r="L28" s="12" t="inlineStr">
        <is>
          <t>Equities: relative</t>
        </is>
      </c>
      <c r="M28" s="12" t="inlineStr">
        <is>
          <t>Equities: pass-through</t>
        </is>
      </c>
      <c r="N28" s="12" t="inlineStr">
        <is>
          <t>Credit: total (bp)</t>
        </is>
      </c>
      <c r="O28" s="12" t="inlineStr">
        <is>
          <t>Credit: US (bp)</t>
        </is>
      </c>
      <c r="P28" s="12" t="inlineStr">
        <is>
          <t>Credit: spread (bp)</t>
        </is>
      </c>
      <c r="Q28" s="12" t="inlineStr">
        <is>
          <t>Credit: US share</t>
        </is>
      </c>
    </row>
    <row r="29">
      <c r="A29" s="18" t="inlineStr">
        <is>
          <t>LatAm</t>
        </is>
      </c>
      <c r="B29" s="19">
        <f>Rates!$L$11</f>
        <v/>
      </c>
      <c r="C29" s="20">
        <f>Rates!$M$11</f>
        <v/>
      </c>
      <c r="D29" s="20">
        <f>Rates!$N$11</f>
        <v/>
      </c>
      <c r="E29" s="21">
        <f>Rates!$O$11</f>
        <v/>
      </c>
      <c r="F29" s="22">
        <f>FX!$L$11</f>
        <v/>
      </c>
      <c r="G29" s="23">
        <f>FX!$M$11</f>
        <v/>
      </c>
      <c r="H29" s="23">
        <f>FX!$N$11</f>
        <v/>
      </c>
      <c r="I29" s="21">
        <f>FX!$O$11</f>
        <v/>
      </c>
      <c r="J29" s="22">
        <f>Equities!$L$11</f>
        <v/>
      </c>
      <c r="K29" s="23">
        <f>Equities!$M$11</f>
        <v/>
      </c>
      <c r="L29" s="23">
        <f>Equities!$N$11</f>
        <v/>
      </c>
      <c r="M29" s="21">
        <f>Equities!$O$11</f>
        <v/>
      </c>
      <c r="N29" s="19">
        <f>Credit!$L$11</f>
        <v/>
      </c>
      <c r="O29" s="20">
        <f>Credit!$M$11</f>
        <v/>
      </c>
      <c r="P29" s="20">
        <f>Credit!$N$11</f>
        <v/>
      </c>
      <c r="Q29" s="24">
        <f>Credit!$O$11</f>
        <v/>
      </c>
    </row>
    <row r="30">
      <c r="A30" s="18" t="inlineStr">
        <is>
          <t>EM Europe</t>
        </is>
      </c>
      <c r="B30" s="19">
        <f>Rates!$L$21</f>
        <v/>
      </c>
      <c r="C30" s="20">
        <f>Rates!$M$21</f>
        <v/>
      </c>
      <c r="D30" s="20">
        <f>Rates!$N$21</f>
        <v/>
      </c>
      <c r="E30" s="21">
        <f>Rates!$O$21</f>
        <v/>
      </c>
      <c r="F30" s="22">
        <f>FX!$L$21</f>
        <v/>
      </c>
      <c r="G30" s="23">
        <f>FX!$M$21</f>
        <v/>
      </c>
      <c r="H30" s="23">
        <f>FX!$N$21</f>
        <v/>
      </c>
      <c r="I30" s="21">
        <f>FX!$O$21</f>
        <v/>
      </c>
      <c r="J30" s="22">
        <f>Equities!$L$21</f>
        <v/>
      </c>
      <c r="K30" s="23">
        <f>Equities!$M$21</f>
        <v/>
      </c>
      <c r="L30" s="23">
        <f>Equities!$N$21</f>
        <v/>
      </c>
      <c r="M30" s="21">
        <f>Equities!$O$21</f>
        <v/>
      </c>
      <c r="N30" s="19">
        <f>Credit!$L$21</f>
        <v/>
      </c>
      <c r="O30" s="20">
        <f>Credit!$M$21</f>
        <v/>
      </c>
      <c r="P30" s="20">
        <f>Credit!$N$21</f>
        <v/>
      </c>
      <c r="Q30" s="24">
        <f>Credit!$O$21</f>
        <v/>
      </c>
    </row>
    <row r="31">
      <c r="A31" s="18" t="inlineStr">
        <is>
          <t>Middle East</t>
        </is>
      </c>
      <c r="B31" s="19">
        <f>Rates!$L$28</f>
        <v/>
      </c>
      <c r="C31" s="20">
        <f>Rates!$M$28</f>
        <v/>
      </c>
      <c r="D31" s="20">
        <f>Rates!$N$28</f>
        <v/>
      </c>
      <c r="E31" s="21">
        <f>Rates!$O$28</f>
        <v/>
      </c>
      <c r="F31" s="22">
        <f>FX!$L$28</f>
        <v/>
      </c>
      <c r="G31" s="23">
        <f>FX!$M$28</f>
        <v/>
      </c>
      <c r="H31" s="23">
        <f>FX!$N$28</f>
        <v/>
      </c>
      <c r="I31" s="21">
        <f>FX!$O$28</f>
        <v/>
      </c>
      <c r="J31" s="22">
        <f>Equities!$L$31</f>
        <v/>
      </c>
      <c r="K31" s="23">
        <f>Equities!$M$31</f>
        <v/>
      </c>
      <c r="L31" s="23">
        <f>Equities!$N$31</f>
        <v/>
      </c>
      <c r="M31" s="21">
        <f>Equities!$O$31</f>
        <v/>
      </c>
      <c r="N31" s="19">
        <f>Credit!$L$31</f>
        <v/>
      </c>
      <c r="O31" s="20">
        <f>Credit!$M$31</f>
        <v/>
      </c>
      <c r="P31" s="20">
        <f>Credit!$N$31</f>
        <v/>
      </c>
      <c r="Q31" s="24">
        <f>Credit!$O$31</f>
        <v/>
      </c>
    </row>
    <row r="32">
      <c r="A32" s="18" t="inlineStr">
        <is>
          <t>EM Asia</t>
        </is>
      </c>
      <c r="B32" s="19">
        <f>Rates!$L$40</f>
        <v/>
      </c>
      <c r="C32" s="20">
        <f>Rates!$M$40</f>
        <v/>
      </c>
      <c r="D32" s="20">
        <f>Rates!$N$40</f>
        <v/>
      </c>
      <c r="E32" s="21">
        <f>Rates!$O$40</f>
        <v/>
      </c>
      <c r="F32" s="22">
        <f>FX!$L$40</f>
        <v/>
      </c>
      <c r="G32" s="23">
        <f>FX!$M$40</f>
        <v/>
      </c>
      <c r="H32" s="23">
        <f>FX!$N$40</f>
        <v/>
      </c>
      <c r="I32" s="21">
        <f>FX!$O$40</f>
        <v/>
      </c>
      <c r="J32" s="22">
        <f>Equities!$L$43</f>
        <v/>
      </c>
      <c r="K32" s="23">
        <f>Equities!$M$43</f>
        <v/>
      </c>
      <c r="L32" s="23">
        <f>Equities!$N$43</f>
        <v/>
      </c>
      <c r="M32" s="21">
        <f>Equities!$O$43</f>
        <v/>
      </c>
      <c r="N32" s="19">
        <f>Credit!$L$42</f>
        <v/>
      </c>
      <c r="O32" s="20">
        <f>Credit!$M$42</f>
        <v/>
      </c>
      <c r="P32" s="20">
        <f>Credit!$N$42</f>
        <v/>
      </c>
      <c r="Q32" s="24">
        <f>Credit!$O$42</f>
        <v/>
      </c>
    </row>
    <row r="33">
      <c r="A33" s="18" t="inlineStr">
        <is>
          <t>EM average</t>
        </is>
      </c>
      <c r="B33" s="19">
        <f>Rates!$L$45</f>
        <v/>
      </c>
      <c r="C33" s="20">
        <f>Rates!$M$45</f>
        <v/>
      </c>
      <c r="D33" s="20">
        <f>Rates!$N$45</f>
        <v/>
      </c>
      <c r="E33" s="21">
        <f>Rates!$O$45</f>
        <v/>
      </c>
      <c r="F33" s="22">
        <f>FX!$L$45</f>
        <v/>
      </c>
      <c r="G33" s="23">
        <f>FX!$M$45</f>
        <v/>
      </c>
      <c r="H33" s="23">
        <f>FX!$N$45</f>
        <v/>
      </c>
      <c r="I33" s="21">
        <f>FX!$O$45</f>
        <v/>
      </c>
      <c r="J33" s="22">
        <f>Equities!$L$48</f>
        <v/>
      </c>
      <c r="K33" s="23">
        <f>Equities!$M$48</f>
        <v/>
      </c>
      <c r="L33" s="23">
        <f>Equities!$N$48</f>
        <v/>
      </c>
      <c r="M33" s="21">
        <f>Equities!$O$48</f>
        <v/>
      </c>
      <c r="N33" s="19">
        <f>Credit!$L$47</f>
        <v/>
      </c>
      <c r="O33" s="20">
        <f>Credit!$M$47</f>
        <v/>
      </c>
      <c r="P33" s="20">
        <f>Credit!$N$47</f>
        <v/>
      </c>
      <c r="Q33" s="24">
        <f>Credit!$O$47</f>
        <v/>
      </c>
    </row>
    <row r="34">
      <c r="A34" s="25" t="inlineStr">
        <is>
          <t>South Africa (memo)</t>
        </is>
      </c>
      <c r="B34" s="26">
        <f>Rates!$L$46</f>
        <v/>
      </c>
      <c r="C34" s="26">
        <f>Rates!$M$46</f>
        <v/>
      </c>
      <c r="D34" s="26">
        <f>Rates!$N$46</f>
        <v/>
      </c>
      <c r="E34" s="27">
        <f>Rates!$O$46</f>
        <v/>
      </c>
      <c r="F34" s="28">
        <f>FX!$L$46</f>
        <v/>
      </c>
      <c r="G34" s="28">
        <f>FX!$M$46</f>
        <v/>
      </c>
      <c r="H34" s="28">
        <f>FX!$N$46</f>
        <v/>
      </c>
      <c r="I34" s="27">
        <f>FX!$O$46</f>
        <v/>
      </c>
      <c r="J34" s="28">
        <f>Equities!$L$49</f>
        <v/>
      </c>
      <c r="K34" s="28">
        <f>Equities!$M$49</f>
        <v/>
      </c>
      <c r="L34" s="28">
        <f>Equities!$N$49</f>
        <v/>
      </c>
      <c r="M34" s="27">
        <f>Equities!$O$49</f>
        <v/>
      </c>
      <c r="N34" s="26">
        <f>Credit!$L$48</f>
        <v/>
      </c>
      <c r="O34" s="26">
        <f>Credit!$M$48</f>
        <v/>
      </c>
      <c r="P34" s="26">
        <f>Credit!$N$48</f>
        <v/>
      </c>
      <c r="Q34" s="29">
        <f>Credit!$O$48</f>
        <v/>
      </c>
    </row>
    <row r="36" ht="18" customHeight="1">
      <c r="A36" s="3" t="inlineStr">
        <is>
          <t>WHERE THE US MOVE LANDED  —  pass-through by asset class and region (1M | YTD)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 ht="40" customHeight="1">
      <c r="A37" s="12" t="inlineStr">
        <is>
          <t>Region</t>
        </is>
      </c>
      <c r="B37" s="12" t="inlineStr">
        <is>
          <t>Rates 1M</t>
        </is>
      </c>
      <c r="C37" s="12" t="inlineStr">
        <is>
          <t>FX 1M</t>
        </is>
      </c>
      <c r="D37" s="12" t="inlineStr">
        <is>
          <t>Equities 1M</t>
        </is>
      </c>
      <c r="E37" s="12" t="inlineStr">
        <is>
          <t>Credit US share 1M</t>
        </is>
      </c>
      <c r="F37" s="12" t="inlineStr"/>
      <c r="G37" s="12" t="inlineStr">
        <is>
          <t>Rates YTD</t>
        </is>
      </c>
      <c r="H37" s="12" t="inlineStr">
        <is>
          <t>FX YTD</t>
        </is>
      </c>
      <c r="I37" s="12" t="inlineStr">
        <is>
          <t>Equities YTD</t>
        </is>
      </c>
      <c r="J37" s="12" t="inlineStr">
        <is>
          <t>Credit US share YTD</t>
        </is>
      </c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</row>
    <row r="38">
      <c r="A38" s="18" t="inlineStr">
        <is>
          <t>LatAm</t>
        </is>
      </c>
      <c r="B38" s="21">
        <f>$E$20</f>
        <v/>
      </c>
      <c r="C38" s="21">
        <f>$I$20</f>
        <v/>
      </c>
      <c r="D38" s="21">
        <f>$M$20</f>
        <v/>
      </c>
      <c r="E38" s="24">
        <f>$Q$20</f>
        <v/>
      </c>
      <c r="G38" s="21">
        <f>$E$29</f>
        <v/>
      </c>
      <c r="H38" s="21">
        <f>$I$29</f>
        <v/>
      </c>
      <c r="I38" s="21">
        <f>$M$29</f>
        <v/>
      </c>
      <c r="J38" s="24">
        <f>$Q$29</f>
        <v/>
      </c>
    </row>
    <row r="39">
      <c r="A39" s="18" t="inlineStr">
        <is>
          <t>EM Europe</t>
        </is>
      </c>
      <c r="B39" s="21">
        <f>$E$21</f>
        <v/>
      </c>
      <c r="C39" s="21">
        <f>$I$21</f>
        <v/>
      </c>
      <c r="D39" s="21">
        <f>$M$21</f>
        <v/>
      </c>
      <c r="E39" s="24">
        <f>$Q$21</f>
        <v/>
      </c>
      <c r="G39" s="21">
        <f>$E$30</f>
        <v/>
      </c>
      <c r="H39" s="21">
        <f>$I$30</f>
        <v/>
      </c>
      <c r="I39" s="21">
        <f>$M$30</f>
        <v/>
      </c>
      <c r="J39" s="24">
        <f>$Q$30</f>
        <v/>
      </c>
    </row>
    <row r="40">
      <c r="A40" s="18" t="inlineStr">
        <is>
          <t>Middle East</t>
        </is>
      </c>
      <c r="B40" s="21">
        <f>$E$22</f>
        <v/>
      </c>
      <c r="C40" s="21">
        <f>$I$22</f>
        <v/>
      </c>
      <c r="D40" s="21">
        <f>$M$22</f>
        <v/>
      </c>
      <c r="E40" s="24">
        <f>$Q$22</f>
        <v/>
      </c>
      <c r="G40" s="21">
        <f>$E$31</f>
        <v/>
      </c>
      <c r="H40" s="21">
        <f>$I$31</f>
        <v/>
      </c>
      <c r="I40" s="21">
        <f>$M$31</f>
        <v/>
      </c>
      <c r="J40" s="24">
        <f>$Q$31</f>
        <v/>
      </c>
    </row>
    <row r="41">
      <c r="A41" s="18" t="inlineStr">
        <is>
          <t>EM Asia</t>
        </is>
      </c>
      <c r="B41" s="21">
        <f>$E$23</f>
        <v/>
      </c>
      <c r="C41" s="21">
        <f>$I$23</f>
        <v/>
      </c>
      <c r="D41" s="21">
        <f>$M$23</f>
        <v/>
      </c>
      <c r="E41" s="24">
        <f>$Q$23</f>
        <v/>
      </c>
      <c r="G41" s="21">
        <f>$E$32</f>
        <v/>
      </c>
      <c r="H41" s="21">
        <f>$I$32</f>
        <v/>
      </c>
      <c r="I41" s="21">
        <f>$M$32</f>
        <v/>
      </c>
      <c r="J41" s="24">
        <f>$Q$32</f>
        <v/>
      </c>
    </row>
    <row r="42">
      <c r="A42" s="18" t="inlineStr">
        <is>
          <t>EM average</t>
        </is>
      </c>
      <c r="B42" s="21">
        <f>$E$24</f>
        <v/>
      </c>
      <c r="C42" s="21">
        <f>$I$24</f>
        <v/>
      </c>
      <c r="D42" s="21">
        <f>$M$24</f>
        <v/>
      </c>
      <c r="E42" s="24">
        <f>$Q$24</f>
        <v/>
      </c>
      <c r="G42" s="21">
        <f>$E$33</f>
        <v/>
      </c>
      <c r="H42" s="21">
        <f>$I$33</f>
        <v/>
      </c>
      <c r="I42" s="21">
        <f>$M$33</f>
        <v/>
      </c>
      <c r="J42" s="24">
        <f>$Q$33</f>
        <v/>
      </c>
    </row>
    <row r="43">
      <c r="A43" s="7" t="inlineStr">
        <is>
          <t>Read across a row: the asset class with the lower pass-through is the one that absorbed more. Read down a column: the region with the lower number absorbed more. Rates, FX and equities are pass-through (under 1 = absorbed; for equities, under 1 = lagged the global move). Credit is the share of the yield move that is Treasuries.</t>
        </is>
      </c>
    </row>
    <row r="45" ht="18" customHeight="1">
      <c r="A45" s="3" t="inlineStr">
        <is>
          <t>EM USD CREDIT  —  the index return, leg by leg.  Never netted.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</row>
    <row r="46" ht="40" customHeight="1">
      <c r="A46" s="12" t="inlineStr">
        <is>
          <t>Component</t>
        </is>
      </c>
      <c r="B46" s="12" t="inlineStr">
        <is>
          <t>1M</t>
        </is>
      </c>
      <c r="C46" s="12" t="inlineStr">
        <is>
          <t>YTD</t>
        </is>
      </c>
      <c r="D46" s="12" t="inlineStr">
        <is>
          <t>Note</t>
        </is>
      </c>
      <c r="E46" s="12" t="inlineStr"/>
      <c r="F46" s="12" t="inlineStr"/>
      <c r="G46" s="12" t="inlineStr"/>
      <c r="H46" s="12" t="inlineStr"/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</row>
    <row r="47">
      <c r="A47" s="13" t="inlineStr">
        <is>
          <t>Carry (YTW x window / 262)</t>
        </is>
      </c>
      <c r="B47" s="30">
        <f>IFERROR(Control!$B$15/100*(Control!$B$10-1)/262,"")</f>
        <v/>
      </c>
      <c r="C47" s="30">
        <f>IFERROR(Control!$B$15/100*(Control!$B$11-1)/262,"")</f>
        <v/>
      </c>
      <c r="D47" s="7" t="inlineStr">
        <is>
          <t>YTW from Control</t>
        </is>
      </c>
    </row>
    <row r="48">
      <c r="A48" s="13" t="inlineStr">
        <is>
          <t>Rates leg vs UST 10Y (-D x d UST)</t>
        </is>
      </c>
      <c r="B48" s="30">
        <f>IFERROR(-Control!$B$14*$C$8/10000,"")</f>
        <v/>
      </c>
      <c r="C48" s="30">
        <f>IFERROR(-Control!$B$14*$D$8/10000,"")</f>
        <v/>
      </c>
      <c r="D48" s="7" t="inlineStr">
        <is>
          <t>US factor</t>
        </is>
      </c>
    </row>
    <row r="49">
      <c r="A49" s="13" t="inlineStr">
        <is>
          <t>Rates leg vs UST 5Y (-D x d UST)</t>
        </is>
      </c>
      <c r="B49" s="30">
        <f>IFERROR(-Control!$B$14*$C$7/10000,"")</f>
        <v/>
      </c>
      <c r="C49" s="30">
        <f>IFERROR(-Control!$B$14*$D$7/10000,"")</f>
        <v/>
      </c>
      <c r="D49" s="7" t="inlineStr">
        <is>
          <t>US factor, shorter reference</t>
        </is>
      </c>
    </row>
    <row r="50">
      <c r="A50" s="13" t="inlineStr">
        <is>
          <t>Spread leg (-D x d EMBIGD stripped spread)</t>
        </is>
      </c>
      <c r="B50" s="30">
        <f>IFERROR(-Control!$B$14*(Control!$B$16-Control!$B$17)/10000,"")</f>
        <v/>
      </c>
      <c r="C50" s="30">
        <f>IF(Control!$B$18="","",-Control!$B$14*(Control!$B$16-Control!$B$18)/10000)</f>
        <v/>
      </c>
      <c r="D50" s="7" t="inlineStr">
        <is>
          <t>intrinsic EM; from embi_tracker.py inputs on Control</t>
        </is>
      </c>
    </row>
    <row r="51">
      <c r="A51" s="13" t="inlineStr">
        <is>
          <t>Spread leg, Bbg EM USD Agg OAS instead</t>
        </is>
      </c>
      <c r="B51" s="30">
        <f>IFERROR(-Control!$B$14*(INDEX(HIST_D!$L$8:$L$791,1)-INDEX(HIST_D!$L$8:$L$791,Control!$B$10))/10000,"")</f>
        <v/>
      </c>
      <c r="C51" s="30">
        <f>IFERROR(-Control!$B$14*(INDEX(HIST_D!$L$8:$L$791,1)-INDEX(HIST_D!$L$8:$L$791,Control!$B$11))/10000,"")</f>
        <v/>
      </c>
      <c r="D51" s="7" t="inlineStr">
        <is>
          <t>cross-check on a live Bloomberg series</t>
        </is>
      </c>
    </row>
    <row r="52">
      <c r="A52" s="18" t="inlineStr">
        <is>
          <t>Sum: carry + rates (10Y) + spread (EMBIGD)</t>
        </is>
      </c>
      <c r="B52" s="31">
        <f>IFERROR($B$47+$B$48+$B$50,"")</f>
        <v/>
      </c>
      <c r="C52" s="31">
        <f>IF($C$50="","",$C$47+$C$48+$C$50)</f>
        <v/>
      </c>
      <c r="D52" s="7" t="inlineStr"/>
    </row>
    <row r="53">
      <c r="A53" s="13" t="inlineStr">
        <is>
          <t>Realised: Bbg EM USD Aggregate TR</t>
        </is>
      </c>
      <c r="B53" s="30">
        <f>IFERROR(INDEX(HIST_D!$M$8:$M$791,1)/INDEX(HIST_D!$M$8:$M$791,Control!$B$10)-1,"")</f>
        <v/>
      </c>
      <c r="C53" s="30">
        <f>IFERROR(INDEX(HIST_D!$M$8:$M$791,1)/INDEX(HIST_D!$M$8:$M$791,Control!$B$11)-1,"")</f>
        <v/>
      </c>
      <c r="D53" s="7" t="inlineStr">
        <is>
          <t>from the TR index, not derived</t>
        </is>
      </c>
    </row>
    <row r="54">
      <c r="A54" s="25" t="inlineStr">
        <is>
          <t>Residual (realised less sum)</t>
        </is>
      </c>
      <c r="B54" s="32">
        <f>IFERROR($B$53-$B$52,"")</f>
        <v/>
      </c>
      <c r="C54" s="32">
        <f>IF($C$52="","",$C$53-$C$52)</f>
        <v/>
      </c>
      <c r="D54" s="7" t="inlineStr">
        <is>
          <t>what the decomposition does not explain</t>
        </is>
      </c>
    </row>
    <row r="56">
      <c r="A56" s="7" t="inlineStr">
        <is>
          <t>Read: if the rates leg is the bulk of a negative month and the spread leg is flat or positive, EM USD credit is being repriced for US duration, not for EM risk — and the carry keeps accruing underneath.</t>
        </is>
      </c>
    </row>
    <row r="58" ht="18" customHeight="1">
      <c r="A58" s="3" t="inlineStr">
        <is>
          <t>CONCLUSION  —  generated from the cells above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</row>
    <row r="59">
      <c r="A59" s="5">
        <f>IFERROR("US: over the past month UST 10Y "&amp;TEXT($C$8,"+0;-0")&amp;"bp, UST 5Y "&amp;TEXT($C$7,"+0;-0")&amp;"bp, DXY "&amp;TEXT($C$13,"+0.0%;-0.0%")&amp;". YTD: UST 10Y "&amp;TEXT($D$8,"+0;-0")&amp;"bp, DXY "&amp;TEXT($D$13,"+0.0%;-0.0%")&amp;".","")</f>
        <v/>
      </c>
    </row>
    <row r="60">
      <c r="A60" s="5">
        <f>IFERROR("EM local rates: the average local 10Y moved "&amp;TEXT($B$24,"+0;-0")&amp;"bp on the month, of which "&amp;TEXT($C$24,"+0;-0")&amp;"bp is the US move and "&amp;TEXT($D$24,"+0;-0")&amp;"bp is intrinsic"&amp;IF(ISNUMBER($E$24),"; pass-through "&amp;TEXT($E$24,"0.00")&amp;"x","")&amp;". YTD "&amp;TEXT($B$33,"+0;-0")&amp;"bp, intrinsic "&amp;TEXT($D$33,"+0;-0")&amp;"bp.","")</f>
        <v/>
      </c>
    </row>
    <row r="61">
      <c r="A61" s="5">
        <f>IFERROR("EM FX: the average currency returned "&amp;TEXT($F$24,"+0.0%;-0.0%")&amp;" on the month against a dollar-implied "&amp;TEXT($G$24,"+0.0%;-0.0%")&amp;", so "&amp;TEXT($H$24,"+0.0%;-0.0%")&amp;" is ex-dollar. YTD "&amp;TEXT($F$33,"+0.0%;-0.0%")&amp;", ex-dollar "&amp;TEXT($H$33,"+0.0%;-0.0%")&amp;".","")</f>
        <v/>
      </c>
    </row>
    <row r="62">
      <c r="A62" s="5">
        <f>IFERROR("EM equities: the equal-weighted MSCI country average returned "&amp;TEXT($J$24,"+0.0%;-0.0%")&amp;" in USD on the month against MSCI World "&amp;TEXT($K$24,"+0.0%;-0.0%")&amp;", so "&amp;TEXT($L$24,"+0.0%;-0.0%")&amp;" is relative. MSCI EM itself "&amp;TEXT($C$15,"+0.0%;-0.0%")&amp;" ("&amp;TEXT($C$15-$C$14,"+0.0%;-0.0%")&amp;" vs World). YTD: average "&amp;TEXT($J$33,"+0.0%;-0.0%")&amp;", relative "&amp;TEXT($L$33,"+0.0%;-0.0%")&amp;"; MSCI EM "&amp;TEXT($D$15,"+0.0%;-0.0%")&amp;" ("&amp;TEXT($D$15-$D$14,"+0.0%;-0.0%")&amp;" vs World).","")</f>
        <v/>
      </c>
    </row>
    <row r="63">
      <c r="A63" s="5">
        <f>IFERROR("EM USD credit: the 5y yield proxy moved "&amp;TEXT($N$24,"+0;-0")&amp;"bp on the month — "&amp;TEXT($O$24,"+0;-0")&amp;"bp Treasuries and "&amp;TEXT($P$24,"+0;-0")&amp;"bp spread"&amp;IF(ISNUMBER($Q$24),", "&amp;TEXT($Q$24,"0%")&amp;" US","")&amp;". YTD "&amp;TEXT($N$33,"+0;-0")&amp;"bp: "&amp;TEXT($O$33,"+0;-0")&amp;"bp Treasuries, "&amp;TEXT($P$33,"+0;-0")&amp;"bp spread. Index-level: rates leg "&amp;TEXT($B$48,"+0.00%;-0.00%")&amp;", spread leg "&amp;TEXT($B$50,"+0.00%;-0.00%")&amp;".","")</f>
        <v/>
      </c>
    </row>
    <row r="64">
      <c r="A64" s="33">
        <f>IFERROR("Verdict: "&amp;IF(AND($P$24&lt;=0,$D$24&lt;=0,$H$24&gt;=-0.005),"on every leg the intrinsic EM component is flat or favourable while the US component carries the move. The asset class has digested it.",IF(AND($P$24&lt;=5,$D$24&lt;=10),"the US component carries the move in rates and credit; FX is the leg to watch. Largely digested.","the intrinsic EM component is doing real work on at least one leg — this is not purely a US story, and the digestion claim needs qualifying by region.")),"")</f>
        <v/>
      </c>
    </row>
    <row r="66">
      <c r="A66" s="7" t="inlineStr">
        <is>
          <t>Per-region reads are on the bottom of each asset tab. Region-level 'which asset class took more' is the pass-through grid above.</t>
        </is>
      </c>
    </row>
  </sheetData>
  <conditionalFormatting sqref="D20:D25">
    <cfRule type="colorScale" priority="1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H20:H25">
    <cfRule type="colorScale" priority="2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conditionalFormatting sqref="L20:L25">
    <cfRule type="colorScale" priority="3">
      <colorScale>
        <cfvo type="num" val="-0.06"/>
        <cfvo type="num" val="0"/>
        <cfvo type="num" val="0.06"/>
        <color rgb="00F8696B"/>
        <color rgb="00FFFFFF"/>
        <color rgb="0063BE7B"/>
      </colorScale>
    </cfRule>
  </conditionalFormatting>
  <conditionalFormatting sqref="P20:P25">
    <cfRule type="colorScale" priority="4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Q20:Q25">
    <cfRule type="colorScale" priority="5">
      <colorScale>
        <cfvo type="num" val="0"/>
        <cfvo type="num" val="1"/>
        <color rgb="00FFFFFF"/>
        <color rgb="009BC2E6"/>
      </colorScale>
    </cfRule>
  </conditionalFormatting>
  <conditionalFormatting sqref="D29:D34">
    <cfRule type="colorScale" priority="6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H29:H34">
    <cfRule type="colorScale" priority="7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conditionalFormatting sqref="L29:L34">
    <cfRule type="colorScale" priority="8">
      <colorScale>
        <cfvo type="num" val="-0.06"/>
        <cfvo type="num" val="0"/>
        <cfvo type="num" val="0.06"/>
        <color rgb="00F8696B"/>
        <color rgb="00FFFFFF"/>
        <color rgb="0063BE7B"/>
      </colorScale>
    </cfRule>
  </conditionalFormatting>
  <conditionalFormatting sqref="P29:P34">
    <cfRule type="colorScale" priority="9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Q29:Q34">
    <cfRule type="colorScale" priority="10">
      <colorScale>
        <cfvo type="num" val="0"/>
        <cfvo type="num" val="1"/>
        <color rgb="00FFFFFF"/>
        <color rgb="009BC2E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CHARTS  —  the decomposition, by region and EM average</t>
        </is>
      </c>
    </row>
    <row r="2">
      <c r="A2" s="2" t="inlineStr">
        <is>
          <t>Units: rates and credit in bp, FX in percent (the Summary decimals are multiplied by 100 in the block). Each bar is the total move; the two segments are the US-driven part (grey) and the intrinsic EM part (blue). Segments with opposite signs sit on either side of zero, so a short bar with two long segments means EM offset the US. Data blocks on the left are links to Summary; the charts read the blocks.</t>
        </is>
      </c>
    </row>
    <row r="4">
      <c r="A4" s="33" t="inlineStr">
        <is>
          <t>Local rates — past month (bp)</t>
        </is>
      </c>
    </row>
    <row r="5" ht="40" customHeight="1">
      <c r="A5" s="12" t="inlineStr">
        <is>
          <t>Region</t>
        </is>
      </c>
      <c r="B5" s="12" t="inlineStr">
        <is>
          <t>US-driven</t>
        </is>
      </c>
      <c r="C5" s="12" t="inlineStr">
        <is>
          <t>Intrinsic EM</t>
        </is>
      </c>
      <c r="D5" s="12" t="inlineStr">
        <is>
          <t>Total</t>
        </is>
      </c>
    </row>
    <row r="6">
      <c r="A6" s="13" t="inlineStr">
        <is>
          <t>LatAm</t>
        </is>
      </c>
      <c r="B6" s="20">
        <f>IF(ISNUMBER(Summary!$C$20),Summary!$C$20,0)</f>
        <v/>
      </c>
      <c r="C6" s="20">
        <f>IF(ISNUMBER(Summary!$D$20),Summary!$D$20,0)</f>
        <v/>
      </c>
      <c r="D6" s="34">
        <f>B6+C6</f>
        <v/>
      </c>
    </row>
    <row r="7">
      <c r="A7" s="13" t="inlineStr">
        <is>
          <t>EM Europe</t>
        </is>
      </c>
      <c r="B7" s="20">
        <f>IF(ISNUMBER(Summary!$C$21),Summary!$C$21,0)</f>
        <v/>
      </c>
      <c r="C7" s="20">
        <f>IF(ISNUMBER(Summary!$D$21),Summary!$D$21,0)</f>
        <v/>
      </c>
      <c r="D7" s="34">
        <f>B7+C7</f>
        <v/>
      </c>
    </row>
    <row r="8">
      <c r="A8" s="13" t="inlineStr">
        <is>
          <t>Middle East</t>
        </is>
      </c>
      <c r="B8" s="20">
        <f>IF(ISNUMBER(Summary!$C$22),Summary!$C$22,0)</f>
        <v/>
      </c>
      <c r="C8" s="20">
        <f>IF(ISNUMBER(Summary!$D$22),Summary!$D$22,0)</f>
        <v/>
      </c>
      <c r="D8" s="34">
        <f>B8+C8</f>
        <v/>
      </c>
    </row>
    <row r="9">
      <c r="A9" s="13" t="inlineStr">
        <is>
          <t>EM Asia</t>
        </is>
      </c>
      <c r="B9" s="20">
        <f>IF(ISNUMBER(Summary!$C$23),Summary!$C$23,0)</f>
        <v/>
      </c>
      <c r="C9" s="20">
        <f>IF(ISNUMBER(Summary!$D$23),Summary!$D$23,0)</f>
        <v/>
      </c>
      <c r="D9" s="34">
        <f>B9+C9</f>
        <v/>
      </c>
    </row>
    <row r="10">
      <c r="A10" s="13" t="inlineStr">
        <is>
          <t>EM average</t>
        </is>
      </c>
      <c r="B10" s="20">
        <f>IF(ISNUMBER(Summary!$C$24),Summary!$C$24,0)</f>
        <v/>
      </c>
      <c r="C10" s="20">
        <f>IF(ISNUMBER(Summary!$D$24),Summary!$D$24,0)</f>
        <v/>
      </c>
      <c r="D10" s="34">
        <f>B10+C10</f>
        <v/>
      </c>
    </row>
    <row r="13">
      <c r="A13" s="33" t="inlineStr">
        <is>
          <t>Local rates — year to date (bp)</t>
        </is>
      </c>
    </row>
    <row r="14" ht="40" customHeight="1">
      <c r="A14" s="12" t="inlineStr">
        <is>
          <t>Region</t>
        </is>
      </c>
      <c r="B14" s="12" t="inlineStr">
        <is>
          <t>US-driven</t>
        </is>
      </c>
      <c r="C14" s="12" t="inlineStr">
        <is>
          <t>Intrinsic EM</t>
        </is>
      </c>
      <c r="D14" s="12" t="inlineStr">
        <is>
          <t>Total</t>
        </is>
      </c>
    </row>
    <row r="15">
      <c r="A15" s="13" t="inlineStr">
        <is>
          <t>LatAm</t>
        </is>
      </c>
      <c r="B15" s="20">
        <f>IF(ISNUMBER(Summary!$C$29),Summary!$C$29,0)</f>
        <v/>
      </c>
      <c r="C15" s="20">
        <f>IF(ISNUMBER(Summary!$D$29),Summary!$D$29,0)</f>
        <v/>
      </c>
      <c r="D15" s="34">
        <f>B15+C15</f>
        <v/>
      </c>
    </row>
    <row r="16">
      <c r="A16" s="13" t="inlineStr">
        <is>
          <t>EM Europe</t>
        </is>
      </c>
      <c r="B16" s="20">
        <f>IF(ISNUMBER(Summary!$C$30),Summary!$C$30,0)</f>
        <v/>
      </c>
      <c r="C16" s="20">
        <f>IF(ISNUMBER(Summary!$D$30),Summary!$D$30,0)</f>
        <v/>
      </c>
      <c r="D16" s="34">
        <f>B16+C16</f>
        <v/>
      </c>
    </row>
    <row r="17">
      <c r="A17" s="13" t="inlineStr">
        <is>
          <t>Middle East</t>
        </is>
      </c>
      <c r="B17" s="20">
        <f>IF(ISNUMBER(Summary!$C$31),Summary!$C$31,0)</f>
        <v/>
      </c>
      <c r="C17" s="20">
        <f>IF(ISNUMBER(Summary!$D$31),Summary!$D$31,0)</f>
        <v/>
      </c>
      <c r="D17" s="34">
        <f>B17+C17</f>
        <v/>
      </c>
    </row>
    <row r="18">
      <c r="A18" s="13" t="inlineStr">
        <is>
          <t>EM Asia</t>
        </is>
      </c>
      <c r="B18" s="20">
        <f>IF(ISNUMBER(Summary!$C$32),Summary!$C$32,0)</f>
        <v/>
      </c>
      <c r="C18" s="20">
        <f>IF(ISNUMBER(Summary!$D$32),Summary!$D$32,0)</f>
        <v/>
      </c>
      <c r="D18" s="34">
        <f>B18+C18</f>
        <v/>
      </c>
    </row>
    <row r="19">
      <c r="A19" s="13" t="inlineStr">
        <is>
          <t>EM average</t>
        </is>
      </c>
      <c r="B19" s="20">
        <f>IF(ISNUMBER(Summary!$C$33),Summary!$C$33,0)</f>
        <v/>
      </c>
      <c r="C19" s="20">
        <f>IF(ISNUMBER(Summary!$D$33),Summary!$D$33,0)</f>
        <v/>
      </c>
      <c r="D19" s="34">
        <f>B19+C19</f>
        <v/>
      </c>
    </row>
    <row r="22">
      <c r="A22" s="33" t="inlineStr">
        <is>
          <t>FX — past month (return on EM ccy, %)</t>
        </is>
      </c>
    </row>
    <row r="23" ht="40" customHeight="1">
      <c r="A23" s="12" t="inlineStr">
        <is>
          <t>Region</t>
        </is>
      </c>
      <c r="B23" s="12" t="inlineStr">
        <is>
          <t>US-driven</t>
        </is>
      </c>
      <c r="C23" s="12" t="inlineStr">
        <is>
          <t>Intrinsic EM</t>
        </is>
      </c>
      <c r="D23" s="12" t="inlineStr">
        <is>
          <t>Total</t>
        </is>
      </c>
    </row>
    <row r="24">
      <c r="A24" s="13" t="inlineStr">
        <is>
          <t>LatAm</t>
        </is>
      </c>
      <c r="B24" s="35">
        <f>IF(ISNUMBER(Summary!$G$20),Summary!$G$20*100,0)</f>
        <v/>
      </c>
      <c r="C24" s="35">
        <f>IF(ISNUMBER(Summary!$H$20),Summary!$H$20*100,0)</f>
        <v/>
      </c>
      <c r="D24" s="36">
        <f>B24+C24</f>
        <v/>
      </c>
    </row>
    <row r="25">
      <c r="A25" s="13" t="inlineStr">
        <is>
          <t>EM Europe</t>
        </is>
      </c>
      <c r="B25" s="35">
        <f>IF(ISNUMBER(Summary!$G$21),Summary!$G$21*100,0)</f>
        <v/>
      </c>
      <c r="C25" s="35">
        <f>IF(ISNUMBER(Summary!$H$21),Summary!$H$21*100,0)</f>
        <v/>
      </c>
      <c r="D25" s="36">
        <f>B25+C25</f>
        <v/>
      </c>
    </row>
    <row r="26">
      <c r="A26" s="13" t="inlineStr">
        <is>
          <t>Middle East</t>
        </is>
      </c>
      <c r="B26" s="35">
        <f>IF(ISNUMBER(Summary!$G$22),Summary!$G$22*100,0)</f>
        <v/>
      </c>
      <c r="C26" s="35">
        <f>IF(ISNUMBER(Summary!$H$22),Summary!$H$22*100,0)</f>
        <v/>
      </c>
      <c r="D26" s="36">
        <f>B26+C26</f>
        <v/>
      </c>
    </row>
    <row r="27">
      <c r="A27" s="13" t="inlineStr">
        <is>
          <t>EM Asia</t>
        </is>
      </c>
      <c r="B27" s="35">
        <f>IF(ISNUMBER(Summary!$G$23),Summary!$G$23*100,0)</f>
        <v/>
      </c>
      <c r="C27" s="35">
        <f>IF(ISNUMBER(Summary!$H$23),Summary!$H$23*100,0)</f>
        <v/>
      </c>
      <c r="D27" s="36">
        <f>B27+C27</f>
        <v/>
      </c>
    </row>
    <row r="28">
      <c r="A28" s="13" t="inlineStr">
        <is>
          <t>EM average</t>
        </is>
      </c>
      <c r="B28" s="35">
        <f>IF(ISNUMBER(Summary!$G$24),Summary!$G$24*100,0)</f>
        <v/>
      </c>
      <c r="C28" s="35">
        <f>IF(ISNUMBER(Summary!$H$24),Summary!$H$24*100,0)</f>
        <v/>
      </c>
      <c r="D28" s="36">
        <f>B28+C28</f>
        <v/>
      </c>
    </row>
    <row r="31">
      <c r="A31" s="33" t="inlineStr">
        <is>
          <t>FX — year to date (return on EM ccy, %)</t>
        </is>
      </c>
    </row>
    <row r="32" ht="40" customHeight="1">
      <c r="A32" s="12" t="inlineStr">
        <is>
          <t>Region</t>
        </is>
      </c>
      <c r="B32" s="12" t="inlineStr">
        <is>
          <t>US-driven</t>
        </is>
      </c>
      <c r="C32" s="12" t="inlineStr">
        <is>
          <t>Intrinsic EM</t>
        </is>
      </c>
      <c r="D32" s="12" t="inlineStr">
        <is>
          <t>Total</t>
        </is>
      </c>
    </row>
    <row r="33">
      <c r="A33" s="13" t="inlineStr">
        <is>
          <t>LatAm</t>
        </is>
      </c>
      <c r="B33" s="35">
        <f>IF(ISNUMBER(Summary!$G$29),Summary!$G$29*100,0)</f>
        <v/>
      </c>
      <c r="C33" s="35">
        <f>IF(ISNUMBER(Summary!$H$29),Summary!$H$29*100,0)</f>
        <v/>
      </c>
      <c r="D33" s="36">
        <f>B33+C33</f>
        <v/>
      </c>
    </row>
    <row r="34">
      <c r="A34" s="13" t="inlineStr">
        <is>
          <t>EM Europe</t>
        </is>
      </c>
      <c r="B34" s="35">
        <f>IF(ISNUMBER(Summary!$G$30),Summary!$G$30*100,0)</f>
        <v/>
      </c>
      <c r="C34" s="35">
        <f>IF(ISNUMBER(Summary!$H$30),Summary!$H$30*100,0)</f>
        <v/>
      </c>
      <c r="D34" s="36">
        <f>B34+C34</f>
        <v/>
      </c>
    </row>
    <row r="35">
      <c r="A35" s="13" t="inlineStr">
        <is>
          <t>Middle East</t>
        </is>
      </c>
      <c r="B35" s="35">
        <f>IF(ISNUMBER(Summary!$G$31),Summary!$G$31*100,0)</f>
        <v/>
      </c>
      <c r="C35" s="35">
        <f>IF(ISNUMBER(Summary!$H$31),Summary!$H$31*100,0)</f>
        <v/>
      </c>
      <c r="D35" s="36">
        <f>B35+C35</f>
        <v/>
      </c>
    </row>
    <row r="36">
      <c r="A36" s="13" t="inlineStr">
        <is>
          <t>EM Asia</t>
        </is>
      </c>
      <c r="B36" s="35">
        <f>IF(ISNUMBER(Summary!$G$32),Summary!$G$32*100,0)</f>
        <v/>
      </c>
      <c r="C36" s="35">
        <f>IF(ISNUMBER(Summary!$H$32),Summary!$H$32*100,0)</f>
        <v/>
      </c>
      <c r="D36" s="36">
        <f>B36+C36</f>
        <v/>
      </c>
    </row>
    <row r="37">
      <c r="A37" s="13" t="inlineStr">
        <is>
          <t>EM average</t>
        </is>
      </c>
      <c r="B37" s="35">
        <f>IF(ISNUMBER(Summary!$G$33),Summary!$G$33*100,0)</f>
        <v/>
      </c>
      <c r="C37" s="35">
        <f>IF(ISNUMBER(Summary!$H$33),Summary!$H$33*100,0)</f>
        <v/>
      </c>
      <c r="D37" s="36">
        <f>B37+C37</f>
        <v/>
      </c>
    </row>
    <row r="40">
      <c r="A40" s="33" t="inlineStr">
        <is>
          <t>Equities — past month (MSCI, USD, %)</t>
        </is>
      </c>
    </row>
    <row r="41" ht="40" customHeight="1">
      <c r="A41" s="12" t="inlineStr">
        <is>
          <t>Region</t>
        </is>
      </c>
      <c r="B41" s="12" t="inlineStr">
        <is>
          <t>US-driven</t>
        </is>
      </c>
      <c r="C41" s="12" t="inlineStr">
        <is>
          <t>Intrinsic EM</t>
        </is>
      </c>
      <c r="D41" s="12" t="inlineStr">
        <is>
          <t>Total</t>
        </is>
      </c>
    </row>
    <row r="42">
      <c r="A42" s="13" t="inlineStr">
        <is>
          <t>LatAm</t>
        </is>
      </c>
      <c r="B42" s="35">
        <f>IF(ISNUMBER(Summary!$K$20),Summary!$K$20*100,0)</f>
        <v/>
      </c>
      <c r="C42" s="35">
        <f>IF(ISNUMBER(Summary!$L$20),Summary!$L$20*100,0)</f>
        <v/>
      </c>
      <c r="D42" s="36">
        <f>B42+C42</f>
        <v/>
      </c>
    </row>
    <row r="43">
      <c r="A43" s="13" t="inlineStr">
        <is>
          <t>EM Europe</t>
        </is>
      </c>
      <c r="B43" s="35">
        <f>IF(ISNUMBER(Summary!$K$21),Summary!$K$21*100,0)</f>
        <v/>
      </c>
      <c r="C43" s="35">
        <f>IF(ISNUMBER(Summary!$L$21),Summary!$L$21*100,0)</f>
        <v/>
      </c>
      <c r="D43" s="36">
        <f>B43+C43</f>
        <v/>
      </c>
    </row>
    <row r="44">
      <c r="A44" s="13" t="inlineStr">
        <is>
          <t>Middle East</t>
        </is>
      </c>
      <c r="B44" s="35">
        <f>IF(ISNUMBER(Summary!$K$22),Summary!$K$22*100,0)</f>
        <v/>
      </c>
      <c r="C44" s="35">
        <f>IF(ISNUMBER(Summary!$L$22),Summary!$L$22*100,0)</f>
        <v/>
      </c>
      <c r="D44" s="36">
        <f>B44+C44</f>
        <v/>
      </c>
    </row>
    <row r="45">
      <c r="A45" s="13" t="inlineStr">
        <is>
          <t>EM Asia</t>
        </is>
      </c>
      <c r="B45" s="35">
        <f>IF(ISNUMBER(Summary!$K$23),Summary!$K$23*100,0)</f>
        <v/>
      </c>
      <c r="C45" s="35">
        <f>IF(ISNUMBER(Summary!$L$23),Summary!$L$23*100,0)</f>
        <v/>
      </c>
      <c r="D45" s="36">
        <f>B45+C45</f>
        <v/>
      </c>
    </row>
    <row r="46">
      <c r="A46" s="13" t="inlineStr">
        <is>
          <t>EM average</t>
        </is>
      </c>
      <c r="B46" s="35">
        <f>IF(ISNUMBER(Summary!$K$24),Summary!$K$24*100,0)</f>
        <v/>
      </c>
      <c r="C46" s="35">
        <f>IF(ISNUMBER(Summary!$L$24),Summary!$L$24*100,0)</f>
        <v/>
      </c>
      <c r="D46" s="36">
        <f>B46+C46</f>
        <v/>
      </c>
    </row>
    <row r="49">
      <c r="A49" s="33" t="inlineStr">
        <is>
          <t>Equities — year to date (MSCI, USD, %)</t>
        </is>
      </c>
    </row>
    <row r="50" ht="40" customHeight="1">
      <c r="A50" s="12" t="inlineStr">
        <is>
          <t>Region</t>
        </is>
      </c>
      <c r="B50" s="12" t="inlineStr">
        <is>
          <t>US-driven</t>
        </is>
      </c>
      <c r="C50" s="12" t="inlineStr">
        <is>
          <t>Intrinsic EM</t>
        </is>
      </c>
      <c r="D50" s="12" t="inlineStr">
        <is>
          <t>Total</t>
        </is>
      </c>
    </row>
    <row r="51">
      <c r="A51" s="13" t="inlineStr">
        <is>
          <t>LatAm</t>
        </is>
      </c>
      <c r="B51" s="35">
        <f>IF(ISNUMBER(Summary!$K$29),Summary!$K$29*100,0)</f>
        <v/>
      </c>
      <c r="C51" s="35">
        <f>IF(ISNUMBER(Summary!$L$29),Summary!$L$29*100,0)</f>
        <v/>
      </c>
      <c r="D51" s="36">
        <f>B51+C51</f>
        <v/>
      </c>
    </row>
    <row r="52">
      <c r="A52" s="13" t="inlineStr">
        <is>
          <t>EM Europe</t>
        </is>
      </c>
      <c r="B52" s="35">
        <f>IF(ISNUMBER(Summary!$K$30),Summary!$K$30*100,0)</f>
        <v/>
      </c>
      <c r="C52" s="35">
        <f>IF(ISNUMBER(Summary!$L$30),Summary!$L$30*100,0)</f>
        <v/>
      </c>
      <c r="D52" s="36">
        <f>B52+C52</f>
        <v/>
      </c>
    </row>
    <row r="53">
      <c r="A53" s="13" t="inlineStr">
        <is>
          <t>Middle East</t>
        </is>
      </c>
      <c r="B53" s="35">
        <f>IF(ISNUMBER(Summary!$K$31),Summary!$K$31*100,0)</f>
        <v/>
      </c>
      <c r="C53" s="35">
        <f>IF(ISNUMBER(Summary!$L$31),Summary!$L$31*100,0)</f>
        <v/>
      </c>
      <c r="D53" s="36">
        <f>B53+C53</f>
        <v/>
      </c>
    </row>
    <row r="54">
      <c r="A54" s="13" t="inlineStr">
        <is>
          <t>EM Asia</t>
        </is>
      </c>
      <c r="B54" s="35">
        <f>IF(ISNUMBER(Summary!$K$32),Summary!$K$32*100,0)</f>
        <v/>
      </c>
      <c r="C54" s="35">
        <f>IF(ISNUMBER(Summary!$L$32),Summary!$L$32*100,0)</f>
        <v/>
      </c>
      <c r="D54" s="36">
        <f>B54+C54</f>
        <v/>
      </c>
    </row>
    <row r="55">
      <c r="A55" s="13" t="inlineStr">
        <is>
          <t>EM average</t>
        </is>
      </c>
      <c r="B55" s="35">
        <f>IF(ISNUMBER(Summary!$K$33),Summary!$K$33*100,0)</f>
        <v/>
      </c>
      <c r="C55" s="35">
        <f>IF(ISNUMBER(Summary!$L$33),Summary!$L$33*100,0)</f>
        <v/>
      </c>
      <c r="D55" s="36">
        <f>B55+C55</f>
        <v/>
      </c>
    </row>
    <row r="58">
      <c r="A58" s="33" t="inlineStr">
        <is>
          <t>USD credit — past month (bp)</t>
        </is>
      </c>
    </row>
    <row r="59" ht="40" customHeight="1">
      <c r="A59" s="12" t="inlineStr">
        <is>
          <t>Region</t>
        </is>
      </c>
      <c r="B59" s="12" t="inlineStr">
        <is>
          <t>US-driven</t>
        </is>
      </c>
      <c r="C59" s="12" t="inlineStr">
        <is>
          <t>Intrinsic EM</t>
        </is>
      </c>
      <c r="D59" s="12" t="inlineStr">
        <is>
          <t>Total</t>
        </is>
      </c>
    </row>
    <row r="60">
      <c r="A60" s="13" t="inlineStr">
        <is>
          <t>LatAm</t>
        </is>
      </c>
      <c r="B60" s="20">
        <f>IF(ISNUMBER(Summary!$O$20),Summary!$O$20,0)</f>
        <v/>
      </c>
      <c r="C60" s="20">
        <f>IF(ISNUMBER(Summary!$P$20),Summary!$P$20,0)</f>
        <v/>
      </c>
      <c r="D60" s="34">
        <f>B60+C60</f>
        <v/>
      </c>
    </row>
    <row r="61">
      <c r="A61" s="13" t="inlineStr">
        <is>
          <t>EM Europe</t>
        </is>
      </c>
      <c r="B61" s="20">
        <f>IF(ISNUMBER(Summary!$O$21),Summary!$O$21,0)</f>
        <v/>
      </c>
      <c r="C61" s="20">
        <f>IF(ISNUMBER(Summary!$P$21),Summary!$P$21,0)</f>
        <v/>
      </c>
      <c r="D61" s="34">
        <f>B61+C61</f>
        <v/>
      </c>
    </row>
    <row r="62">
      <c r="A62" s="13" t="inlineStr">
        <is>
          <t>Middle East</t>
        </is>
      </c>
      <c r="B62" s="20">
        <f>IF(ISNUMBER(Summary!$O$22),Summary!$O$22,0)</f>
        <v/>
      </c>
      <c r="C62" s="20">
        <f>IF(ISNUMBER(Summary!$P$22),Summary!$P$22,0)</f>
        <v/>
      </c>
      <c r="D62" s="34">
        <f>B62+C62</f>
        <v/>
      </c>
    </row>
    <row r="63">
      <c r="A63" s="13" t="inlineStr">
        <is>
          <t>EM Asia</t>
        </is>
      </c>
      <c r="B63" s="20">
        <f>IF(ISNUMBER(Summary!$O$23),Summary!$O$23,0)</f>
        <v/>
      </c>
      <c r="C63" s="20">
        <f>IF(ISNUMBER(Summary!$P$23),Summary!$P$23,0)</f>
        <v/>
      </c>
      <c r="D63" s="34">
        <f>B63+C63</f>
        <v/>
      </c>
    </row>
    <row r="64">
      <c r="A64" s="13" t="inlineStr">
        <is>
          <t>EM average</t>
        </is>
      </c>
      <c r="B64" s="20">
        <f>IF(ISNUMBER(Summary!$O$24),Summary!$O$24,0)</f>
        <v/>
      </c>
      <c r="C64" s="20">
        <f>IF(ISNUMBER(Summary!$P$24),Summary!$P$24,0)</f>
        <v/>
      </c>
      <c r="D64" s="34">
        <f>B64+C64</f>
        <v/>
      </c>
    </row>
    <row r="67">
      <c r="A67" s="33" t="inlineStr">
        <is>
          <t>USD credit — year to date (bp)</t>
        </is>
      </c>
    </row>
    <row r="68" ht="40" customHeight="1">
      <c r="A68" s="12" t="inlineStr">
        <is>
          <t>Region</t>
        </is>
      </c>
      <c r="B68" s="12" t="inlineStr">
        <is>
          <t>US-driven</t>
        </is>
      </c>
      <c r="C68" s="12" t="inlineStr">
        <is>
          <t>Intrinsic EM</t>
        </is>
      </c>
      <c r="D68" s="12" t="inlineStr">
        <is>
          <t>Total</t>
        </is>
      </c>
    </row>
    <row r="69">
      <c r="A69" s="13" t="inlineStr">
        <is>
          <t>LatAm</t>
        </is>
      </c>
      <c r="B69" s="20">
        <f>IF(ISNUMBER(Summary!$O$29),Summary!$O$29,0)</f>
        <v/>
      </c>
      <c r="C69" s="20">
        <f>IF(ISNUMBER(Summary!$P$29),Summary!$P$29,0)</f>
        <v/>
      </c>
      <c r="D69" s="34">
        <f>B69+C69</f>
        <v/>
      </c>
    </row>
    <row r="70">
      <c r="A70" s="13" t="inlineStr">
        <is>
          <t>EM Europe</t>
        </is>
      </c>
      <c r="B70" s="20">
        <f>IF(ISNUMBER(Summary!$O$30),Summary!$O$30,0)</f>
        <v/>
      </c>
      <c r="C70" s="20">
        <f>IF(ISNUMBER(Summary!$P$30),Summary!$P$30,0)</f>
        <v/>
      </c>
      <c r="D70" s="34">
        <f>B70+C70</f>
        <v/>
      </c>
    </row>
    <row r="71">
      <c r="A71" s="13" t="inlineStr">
        <is>
          <t>Middle East</t>
        </is>
      </c>
      <c r="B71" s="20">
        <f>IF(ISNUMBER(Summary!$O$31),Summary!$O$31,0)</f>
        <v/>
      </c>
      <c r="C71" s="20">
        <f>IF(ISNUMBER(Summary!$P$31),Summary!$P$31,0)</f>
        <v/>
      </c>
      <c r="D71" s="34">
        <f>B71+C71</f>
        <v/>
      </c>
    </row>
    <row r="72">
      <c r="A72" s="13" t="inlineStr">
        <is>
          <t>EM Asia</t>
        </is>
      </c>
      <c r="B72" s="20">
        <f>IF(ISNUMBER(Summary!$O$32),Summary!$O$32,0)</f>
        <v/>
      </c>
      <c r="C72" s="20">
        <f>IF(ISNUMBER(Summary!$P$32),Summary!$P$32,0)</f>
        <v/>
      </c>
      <c r="D72" s="34">
        <f>B72+C72</f>
        <v/>
      </c>
    </row>
    <row r="73">
      <c r="A73" s="13" t="inlineStr">
        <is>
          <t>EM average</t>
        </is>
      </c>
      <c r="B73" s="20">
        <f>IF(ISNUMBER(Summary!$O$33),Summary!$O$33,0)</f>
        <v/>
      </c>
      <c r="C73" s="20">
        <f>IF(ISNUMBER(Summary!$P$33),Summary!$P$33,0)</f>
        <v/>
      </c>
      <c r="D73" s="34">
        <f>B73+C73</f>
        <v/>
      </c>
    </row>
    <row r="76">
      <c r="A76" s="33" t="inlineStr">
        <is>
          <t>Pass-through — how much of the US move each region took (under 1 = absorbed)</t>
        </is>
      </c>
    </row>
    <row r="77" ht="40" customHeight="1">
      <c r="A77" s="12" t="inlineStr">
        <is>
          <t>Region</t>
        </is>
      </c>
      <c r="B77" s="12" t="inlineStr">
        <is>
          <t>Rates 1M</t>
        </is>
      </c>
      <c r="C77" s="12" t="inlineStr">
        <is>
          <t>Rates YTD</t>
        </is>
      </c>
      <c r="D77" s="12" t="inlineStr">
        <is>
          <t>FX 1M</t>
        </is>
      </c>
      <c r="E77" s="12" t="inlineStr">
        <is>
          <t>FX YTD</t>
        </is>
      </c>
      <c r="F77" s="12" t="inlineStr">
        <is>
          <t>Equities 1M</t>
        </is>
      </c>
      <c r="G77" s="12" t="inlineStr">
        <is>
          <t>Equities YTD</t>
        </is>
      </c>
    </row>
    <row r="78">
      <c r="A78" s="13" t="inlineStr">
        <is>
          <t>LatAm</t>
        </is>
      </c>
      <c r="B78" s="21">
        <f>IF(ISNUMBER(Summary!$E$20),Summary!$E$20,0)</f>
        <v/>
      </c>
      <c r="C78" s="21">
        <f>IF(ISNUMBER(Summary!$E$29),Summary!$E$29,0)</f>
        <v/>
      </c>
      <c r="D78" s="21">
        <f>IF(ISNUMBER(Summary!$I$20),Summary!$I$20,0)</f>
        <v/>
      </c>
      <c r="E78" s="21">
        <f>IF(ISNUMBER(Summary!$I$29),Summary!$I$29,0)</f>
        <v/>
      </c>
      <c r="F78" s="21">
        <f>IF(ISNUMBER(Summary!$M$20),Summary!$M$20,0)</f>
        <v/>
      </c>
      <c r="G78" s="21">
        <f>IF(ISNUMBER(Summary!$M$29),Summary!$M$29,0)</f>
        <v/>
      </c>
    </row>
    <row r="79">
      <c r="A79" s="13" t="inlineStr">
        <is>
          <t>EM Europe</t>
        </is>
      </c>
      <c r="B79" s="21">
        <f>IF(ISNUMBER(Summary!$E$21),Summary!$E$21,0)</f>
        <v/>
      </c>
      <c r="C79" s="21">
        <f>IF(ISNUMBER(Summary!$E$30),Summary!$E$30,0)</f>
        <v/>
      </c>
      <c r="D79" s="21">
        <f>IF(ISNUMBER(Summary!$I$21),Summary!$I$21,0)</f>
        <v/>
      </c>
      <c r="E79" s="21">
        <f>IF(ISNUMBER(Summary!$I$30),Summary!$I$30,0)</f>
        <v/>
      </c>
      <c r="F79" s="21">
        <f>IF(ISNUMBER(Summary!$M$21),Summary!$M$21,0)</f>
        <v/>
      </c>
      <c r="G79" s="21">
        <f>IF(ISNUMBER(Summary!$M$30),Summary!$M$30,0)</f>
        <v/>
      </c>
    </row>
    <row r="80">
      <c r="A80" s="13" t="inlineStr">
        <is>
          <t>Middle East</t>
        </is>
      </c>
      <c r="B80" s="21">
        <f>IF(ISNUMBER(Summary!$E$22),Summary!$E$22,0)</f>
        <v/>
      </c>
      <c r="C80" s="21">
        <f>IF(ISNUMBER(Summary!$E$31),Summary!$E$31,0)</f>
        <v/>
      </c>
      <c r="D80" s="21">
        <f>IF(ISNUMBER(Summary!$I$22),Summary!$I$22,0)</f>
        <v/>
      </c>
      <c r="E80" s="21">
        <f>IF(ISNUMBER(Summary!$I$31),Summary!$I$31,0)</f>
        <v/>
      </c>
      <c r="F80" s="21">
        <f>IF(ISNUMBER(Summary!$M$22),Summary!$M$22,0)</f>
        <v/>
      </c>
      <c r="G80" s="21">
        <f>IF(ISNUMBER(Summary!$M$31),Summary!$M$31,0)</f>
        <v/>
      </c>
    </row>
    <row r="81">
      <c r="A81" s="13" t="inlineStr">
        <is>
          <t>EM Asia</t>
        </is>
      </c>
      <c r="B81" s="21">
        <f>IF(ISNUMBER(Summary!$E$23),Summary!$E$23,0)</f>
        <v/>
      </c>
      <c r="C81" s="21">
        <f>IF(ISNUMBER(Summary!$E$32),Summary!$E$32,0)</f>
        <v/>
      </c>
      <c r="D81" s="21">
        <f>IF(ISNUMBER(Summary!$I$23),Summary!$I$23,0)</f>
        <v/>
      </c>
      <c r="E81" s="21">
        <f>IF(ISNUMBER(Summary!$I$32),Summary!$I$32,0)</f>
        <v/>
      </c>
      <c r="F81" s="21">
        <f>IF(ISNUMBER(Summary!$M$23),Summary!$M$23,0)</f>
        <v/>
      </c>
      <c r="G81" s="21">
        <f>IF(ISNUMBER(Summary!$M$32),Summary!$M$32,0)</f>
        <v/>
      </c>
    </row>
    <row r="82">
      <c r="A82" s="13" t="inlineStr">
        <is>
          <t>EM average</t>
        </is>
      </c>
      <c r="B82" s="21">
        <f>IF(ISNUMBER(Summary!$E$24),Summary!$E$24,0)</f>
        <v/>
      </c>
      <c r="C82" s="21">
        <f>IF(ISNUMBER(Summary!$E$33),Summary!$E$33,0)</f>
        <v/>
      </c>
      <c r="D82" s="21">
        <f>IF(ISNUMBER(Summary!$I$24),Summary!$I$24,0)</f>
        <v/>
      </c>
      <c r="E82" s="21">
        <f>IF(ISNUMBER(Summary!$I$33),Summary!$I$33,0)</f>
        <v/>
      </c>
      <c r="F82" s="21">
        <f>IF(ISNUMBER(Summary!$M$24),Summary!$M$24,0)</f>
        <v/>
      </c>
      <c r="G82" s="21">
        <f>IF(ISNUMBER(Summary!$M$33),Summary!$M$33,0)</f>
        <v/>
      </c>
    </row>
    <row r="85">
      <c r="A85" s="33" t="inlineStr">
        <is>
          <t>USD credit — share of the yield move that is Treasuries (near 100% = spreads did nothing)</t>
        </is>
      </c>
    </row>
    <row r="86" ht="40" customHeight="1">
      <c r="A86" s="12" t="inlineStr">
        <is>
          <t>Region</t>
        </is>
      </c>
      <c r="B86" s="12" t="inlineStr">
        <is>
          <t>1M</t>
        </is>
      </c>
      <c r="C86" s="12" t="inlineStr">
        <is>
          <t>YTD</t>
        </is>
      </c>
    </row>
    <row r="87">
      <c r="A87" s="13" t="inlineStr">
        <is>
          <t>LatAm</t>
        </is>
      </c>
      <c r="B87" s="24">
        <f>IF(ISNUMBER(Summary!$Q$20),Summary!$Q$20,0)</f>
        <v/>
      </c>
      <c r="C87" s="24">
        <f>IF(ISNUMBER(Summary!$Q$29),Summary!$Q$29,0)</f>
        <v/>
      </c>
    </row>
    <row r="88">
      <c r="A88" s="13" t="inlineStr">
        <is>
          <t>EM Europe</t>
        </is>
      </c>
      <c r="B88" s="24">
        <f>IF(ISNUMBER(Summary!$Q$21),Summary!$Q$21,0)</f>
        <v/>
      </c>
      <c r="C88" s="24">
        <f>IF(ISNUMBER(Summary!$Q$30),Summary!$Q$30,0)</f>
        <v/>
      </c>
    </row>
    <row r="89">
      <c r="A89" s="13" t="inlineStr">
        <is>
          <t>Middle East</t>
        </is>
      </c>
      <c r="B89" s="24">
        <f>IF(ISNUMBER(Summary!$Q$22),Summary!$Q$22,0)</f>
        <v/>
      </c>
      <c r="C89" s="24">
        <f>IF(ISNUMBER(Summary!$Q$31),Summary!$Q$31,0)</f>
        <v/>
      </c>
    </row>
    <row r="90">
      <c r="A90" s="13" t="inlineStr">
        <is>
          <t>EM Asia</t>
        </is>
      </c>
      <c r="B90" s="24">
        <f>IF(ISNUMBER(Summary!$Q$23),Summary!$Q$23,0)</f>
        <v/>
      </c>
      <c r="C90" s="24">
        <f>IF(ISNUMBER(Summary!$Q$32),Summary!$Q$32,0)</f>
        <v/>
      </c>
    </row>
    <row r="91">
      <c r="A91" s="13" t="inlineStr">
        <is>
          <t>EM average</t>
        </is>
      </c>
      <c r="B91" s="24">
        <f>IF(ISNUMBER(Summary!$Q$24),Summary!$Q$24,0)</f>
        <v/>
      </c>
      <c r="C91" s="24">
        <f>IF(ISNUMBER(Summary!$Q$33),Summary!$Q$33,0)</f>
        <v/>
      </c>
    </row>
    <row r="93">
      <c r="A93" s="7" t="inlineStr">
        <is>
          <t>Above 100% means spreads tightened while Treasuries sold off — more than all of the move was the US. That is the strongest form of the digestion result.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EM LOCAL RATES  —  10Y generic, by country and region</t>
        </is>
      </c>
    </row>
    <row r="2">
      <c r="A2" s="2" t="inlineStr">
        <is>
          <t>d(local 10Y) = d(UST 10Y) + d(local less UST). US-driven is the Treasury move; intrinsic is the change in the gap to Treasuries. Pass-through = total / US-driven: how much of the US move the local curve took. Under 1.0 = absorbed.</t>
        </is>
      </c>
    </row>
    <row r="4" ht="16" customHeight="1">
      <c r="A4" s="37" t="inlineStr">
        <is>
          <t>LATAM</t>
        </is>
      </c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</row>
    <row r="5" ht="40" customHeight="1">
      <c r="A5" s="12" t="inlineStr">
        <is>
          <t>Country</t>
        </is>
      </c>
      <c r="B5" s="12" t="inlineStr">
        <is>
          <t>Region</t>
        </is>
      </c>
      <c r="C5" s="12" t="inlineStr">
        <is>
          <t>Level</t>
        </is>
      </c>
      <c r="D5" s="12" t="inlineStr">
        <is>
          <t>In avg</t>
        </is>
      </c>
      <c r="E5" s="12" t="inlineStr">
        <is>
          <t>1M: Total move (bp)</t>
        </is>
      </c>
      <c r="F5" s="12" t="inlineStr">
        <is>
          <t>1M: US-driven: d UST 10Y (bp)</t>
        </is>
      </c>
      <c r="G5" s="12" t="inlineStr">
        <is>
          <t>1M: Intrinsic: d gap to UST (bp)</t>
        </is>
      </c>
      <c r="H5" s="12" t="inlineStr">
        <is>
          <t>1M: Pass-through (total / US)</t>
        </is>
      </c>
      <c r="I5" s="12" t="inlineStr">
        <is>
          <t>1M: Beta to UST 10Y (2y)</t>
        </is>
      </c>
      <c r="J5" s="12" t="inlineStr">
        <is>
          <t>1M: Predicted by beta (bp)</t>
        </is>
      </c>
      <c r="K5" s="12" t="inlineStr">
        <is>
          <t>1M: Surprise: actual less predicted (bp)</t>
        </is>
      </c>
      <c r="L5" s="12" t="inlineStr">
        <is>
          <t>YTD: Total move (bp)</t>
        </is>
      </c>
      <c r="M5" s="12" t="inlineStr">
        <is>
          <t>YTD: US-driven: d UST 10Y (bp)</t>
        </is>
      </c>
      <c r="N5" s="12" t="inlineStr">
        <is>
          <t>YTD: Intrinsic: d gap to UST (bp)</t>
        </is>
      </c>
      <c r="O5" s="12" t="inlineStr">
        <is>
          <t>YTD: Pass-through (total / US)</t>
        </is>
      </c>
      <c r="P5" s="12" t="inlineStr">
        <is>
          <t>YTD: Beta to UST 10Y (2y)</t>
        </is>
      </c>
      <c r="Q5" s="12" t="inlineStr">
        <is>
          <t>YTD: Predicted by beta (bp)</t>
        </is>
      </c>
      <c r="R5" s="12" t="inlineStr">
        <is>
          <t>YTD: Surprise: actual less predicted (bp)</t>
        </is>
      </c>
    </row>
    <row r="6">
      <c r="A6" s="13" t="inlineStr">
        <is>
          <t>Brazil</t>
        </is>
      </c>
      <c r="B6" s="39" t="inlineStr">
        <is>
          <t>LatAm</t>
        </is>
      </c>
      <c r="C6" s="14">
        <f>INDEX(HIST_D!$AH$8:$AH$791,1)</f>
        <v/>
      </c>
      <c r="D6" s="39" t="inlineStr">
        <is>
          <t>yes</t>
        </is>
      </c>
      <c r="E6" s="34">
        <f>IFERROR((INDEX(HIST_D!$AH$8:$AH$791,1)-INDEX(HIST_D!$AH$8:$AH$791,Control!$B$10))*100,"")</f>
        <v/>
      </c>
      <c r="F6" s="15">
        <f>IFERROR((INDEX(HIST_D!$F$8:$F$791,1)-INDEX(HIST_D!$F$8:$F$791,Control!$B$10))*100,"")</f>
        <v/>
      </c>
      <c r="G6" s="15">
        <f>IFERROR(E6-F6,"")</f>
        <v/>
      </c>
      <c r="H6" s="40">
        <f>IFERROR(IF(ABS(F6)&lt;Control!$B$13,"n/m",E6/F6),"n/m")</f>
        <v/>
      </c>
      <c r="I6" s="41">
        <f>IFERROR(SLOPE(HIST_D!$CY$8:INDEX(HIST_D!$CY$8:$CY$791,Control!$B$12),HIST_D!$CV$8:INDEX(HIST_D!$CV$8:$CV$791,Control!$B$12)),"")</f>
        <v/>
      </c>
      <c r="J6" s="15">
        <f>IFERROR(I6*(INDEX(HIST_D!$F$8:$F$791,1)-INDEX(HIST_D!$F$8:$F$791,Control!$B$10))*100,"")</f>
        <v/>
      </c>
      <c r="K6" s="42">
        <f>IFERROR(E6-J6,"")</f>
        <v/>
      </c>
      <c r="L6" s="34">
        <f>IFERROR((INDEX(HIST_D!$AH$8:$AH$791,1)-INDEX(HIST_D!$AH$8:$AH$791,Control!$B$11))*100,"")</f>
        <v/>
      </c>
      <c r="M6" s="15">
        <f>IFERROR((INDEX(HIST_D!$F$8:$F$791,1)-INDEX(HIST_D!$F$8:$F$791,Control!$B$11))*100,"")</f>
        <v/>
      </c>
      <c r="N6" s="15">
        <f>IFERROR(L6-M6,"")</f>
        <v/>
      </c>
      <c r="O6" s="40">
        <f>IFERROR(IF(ABS(M6)&lt;Control!$B$13,"n/m",L6/M6),"n/m")</f>
        <v/>
      </c>
      <c r="P6" s="41">
        <f>IFERROR(SLOPE(HIST_D!$CY$8:INDEX(HIST_D!$CY$8:$CY$791,Control!$B$12),HIST_D!$CV$8:INDEX(HIST_D!$CV$8:$CV$791,Control!$B$12)),"")</f>
        <v/>
      </c>
      <c r="Q6" s="15">
        <f>IFERROR(P6*(INDEX(HIST_D!$F$8:$F$791,1)-INDEX(HIST_D!$F$8:$F$791,Control!$B$11))*100,"")</f>
        <v/>
      </c>
      <c r="R6" s="42">
        <f>IFERROR(L6-Q6,"")</f>
        <v/>
      </c>
    </row>
    <row r="7">
      <c r="A7" s="13" t="inlineStr">
        <is>
          <t>Mexico</t>
        </is>
      </c>
      <c r="B7" s="39" t="inlineStr">
        <is>
          <t>LatAm</t>
        </is>
      </c>
      <c r="C7" s="14">
        <f>INDEX(HIST_D!$AI$8:$AI$791,1)</f>
        <v/>
      </c>
      <c r="D7" s="39" t="inlineStr">
        <is>
          <t>yes</t>
        </is>
      </c>
      <c r="E7" s="34">
        <f>IFERROR((INDEX(HIST_D!$AI$8:$AI$791,1)-INDEX(HIST_D!$AI$8:$AI$791,Control!$B$10))*100,"")</f>
        <v/>
      </c>
      <c r="F7" s="15">
        <f>IFERROR((INDEX(HIST_D!$F$8:$F$791,1)-INDEX(HIST_D!$F$8:$F$791,Control!$B$10))*100,"")</f>
        <v/>
      </c>
      <c r="G7" s="15">
        <f>IFERROR(E7-F7,"")</f>
        <v/>
      </c>
      <c r="H7" s="40">
        <f>IFERROR(IF(ABS(F7)&lt;Control!$B$13,"n/m",E7/F7),"n/m")</f>
        <v/>
      </c>
      <c r="I7" s="41">
        <f>IFERROR(SLOPE(HIST_D!$CZ$8:INDEX(HIST_D!$CZ$8:$CZ$791,Control!$B$12),HIST_D!$CV$8:INDEX(HIST_D!$CV$8:$CV$791,Control!$B$12)),"")</f>
        <v/>
      </c>
      <c r="J7" s="15">
        <f>IFERROR(I7*(INDEX(HIST_D!$F$8:$F$791,1)-INDEX(HIST_D!$F$8:$F$791,Control!$B$10))*100,"")</f>
        <v/>
      </c>
      <c r="K7" s="42">
        <f>IFERROR(E7-J7,"")</f>
        <v/>
      </c>
      <c r="L7" s="34">
        <f>IFERROR((INDEX(HIST_D!$AI$8:$AI$791,1)-INDEX(HIST_D!$AI$8:$AI$791,Control!$B$11))*100,"")</f>
        <v/>
      </c>
      <c r="M7" s="15">
        <f>IFERROR((INDEX(HIST_D!$F$8:$F$791,1)-INDEX(HIST_D!$F$8:$F$791,Control!$B$11))*100,"")</f>
        <v/>
      </c>
      <c r="N7" s="15">
        <f>IFERROR(L7-M7,"")</f>
        <v/>
      </c>
      <c r="O7" s="40">
        <f>IFERROR(IF(ABS(M7)&lt;Control!$B$13,"n/m",L7/M7),"n/m")</f>
        <v/>
      </c>
      <c r="P7" s="41">
        <f>IFERROR(SLOPE(HIST_D!$CZ$8:INDEX(HIST_D!$CZ$8:$CZ$791,Control!$B$12),HIST_D!$CV$8:INDEX(HIST_D!$CV$8:$CV$791,Control!$B$12)),"")</f>
        <v/>
      </c>
      <c r="Q7" s="15">
        <f>IFERROR(P7*(INDEX(HIST_D!$F$8:$F$791,1)-INDEX(HIST_D!$F$8:$F$791,Control!$B$11))*100,"")</f>
        <v/>
      </c>
      <c r="R7" s="42">
        <f>IFERROR(L7-Q7,"")</f>
        <v/>
      </c>
    </row>
    <row r="8">
      <c r="A8" s="13" t="inlineStr">
        <is>
          <t>Chile</t>
        </is>
      </c>
      <c r="B8" s="39" t="inlineStr">
        <is>
          <t>LatAm</t>
        </is>
      </c>
      <c r="C8" s="14">
        <f>INDEX(HIST_D!$AJ$8:$AJ$791,1)</f>
        <v/>
      </c>
      <c r="D8" s="39" t="inlineStr">
        <is>
          <t>yes</t>
        </is>
      </c>
      <c r="E8" s="34">
        <f>IFERROR((INDEX(HIST_D!$AJ$8:$AJ$791,1)-INDEX(HIST_D!$AJ$8:$AJ$791,Control!$B$10))*100,"")</f>
        <v/>
      </c>
      <c r="F8" s="15">
        <f>IFERROR((INDEX(HIST_D!$F$8:$F$791,1)-INDEX(HIST_D!$F$8:$F$791,Control!$B$10))*100,"")</f>
        <v/>
      </c>
      <c r="G8" s="15">
        <f>IFERROR(E8-F8,"")</f>
        <v/>
      </c>
      <c r="H8" s="40">
        <f>IFERROR(IF(ABS(F8)&lt;Control!$B$13,"n/m",E8/F8),"n/m")</f>
        <v/>
      </c>
      <c r="I8" s="41">
        <f>IFERROR(SLOPE(HIST_D!$DA$8:INDEX(HIST_D!$DA$8:$DA$791,Control!$B$12),HIST_D!$CV$8:INDEX(HIST_D!$CV$8:$CV$791,Control!$B$12)),"")</f>
        <v/>
      </c>
      <c r="J8" s="15">
        <f>IFERROR(I8*(INDEX(HIST_D!$F$8:$F$791,1)-INDEX(HIST_D!$F$8:$F$791,Control!$B$10))*100,"")</f>
        <v/>
      </c>
      <c r="K8" s="42">
        <f>IFERROR(E8-J8,"")</f>
        <v/>
      </c>
      <c r="L8" s="34">
        <f>IFERROR((INDEX(HIST_D!$AJ$8:$AJ$791,1)-INDEX(HIST_D!$AJ$8:$AJ$791,Control!$B$11))*100,"")</f>
        <v/>
      </c>
      <c r="M8" s="15">
        <f>IFERROR((INDEX(HIST_D!$F$8:$F$791,1)-INDEX(HIST_D!$F$8:$F$791,Control!$B$11))*100,"")</f>
        <v/>
      </c>
      <c r="N8" s="15">
        <f>IFERROR(L8-M8,"")</f>
        <v/>
      </c>
      <c r="O8" s="40">
        <f>IFERROR(IF(ABS(M8)&lt;Control!$B$13,"n/m",L8/M8),"n/m")</f>
        <v/>
      </c>
      <c r="P8" s="41">
        <f>IFERROR(SLOPE(HIST_D!$DA$8:INDEX(HIST_D!$DA$8:$DA$791,Control!$B$12),HIST_D!$CV$8:INDEX(HIST_D!$CV$8:$CV$791,Control!$B$12)),"")</f>
        <v/>
      </c>
      <c r="Q8" s="15">
        <f>IFERROR(P8*(INDEX(HIST_D!$F$8:$F$791,1)-INDEX(HIST_D!$F$8:$F$791,Control!$B$11))*100,"")</f>
        <v/>
      </c>
      <c r="R8" s="42">
        <f>IFERROR(L8-Q8,"")</f>
        <v/>
      </c>
    </row>
    <row r="9">
      <c r="A9" s="13" t="inlineStr">
        <is>
          <t>Colombia</t>
        </is>
      </c>
      <c r="B9" s="39" t="inlineStr">
        <is>
          <t>LatAm</t>
        </is>
      </c>
      <c r="C9" s="14">
        <f>INDEX(HIST_D!$AK$8:$AK$791,1)</f>
        <v/>
      </c>
      <c r="D9" s="39" t="inlineStr">
        <is>
          <t>yes</t>
        </is>
      </c>
      <c r="E9" s="34">
        <f>IFERROR((INDEX(HIST_D!$AK$8:$AK$791,1)-INDEX(HIST_D!$AK$8:$AK$791,Control!$B$10))*100,"")</f>
        <v/>
      </c>
      <c r="F9" s="15">
        <f>IFERROR((INDEX(HIST_D!$F$8:$F$791,1)-INDEX(HIST_D!$F$8:$F$791,Control!$B$10))*100,"")</f>
        <v/>
      </c>
      <c r="G9" s="15">
        <f>IFERROR(E9-F9,"")</f>
        <v/>
      </c>
      <c r="H9" s="40">
        <f>IFERROR(IF(ABS(F9)&lt;Control!$B$13,"n/m",E9/F9),"n/m")</f>
        <v/>
      </c>
      <c r="I9" s="41">
        <f>IFERROR(SLOPE(HIST_D!$DB$8:INDEX(HIST_D!$DB$8:$DB$791,Control!$B$12),HIST_D!$CV$8:INDEX(HIST_D!$CV$8:$CV$791,Control!$B$12)),"")</f>
        <v/>
      </c>
      <c r="J9" s="15">
        <f>IFERROR(I9*(INDEX(HIST_D!$F$8:$F$791,1)-INDEX(HIST_D!$F$8:$F$791,Control!$B$10))*100,"")</f>
        <v/>
      </c>
      <c r="K9" s="42">
        <f>IFERROR(E9-J9,"")</f>
        <v/>
      </c>
      <c r="L9" s="34">
        <f>IFERROR((INDEX(HIST_D!$AK$8:$AK$791,1)-INDEX(HIST_D!$AK$8:$AK$791,Control!$B$11))*100,"")</f>
        <v/>
      </c>
      <c r="M9" s="15">
        <f>IFERROR((INDEX(HIST_D!$F$8:$F$791,1)-INDEX(HIST_D!$F$8:$F$791,Control!$B$11))*100,"")</f>
        <v/>
      </c>
      <c r="N9" s="15">
        <f>IFERROR(L9-M9,"")</f>
        <v/>
      </c>
      <c r="O9" s="40">
        <f>IFERROR(IF(ABS(M9)&lt;Control!$B$13,"n/m",L9/M9),"n/m")</f>
        <v/>
      </c>
      <c r="P9" s="41">
        <f>IFERROR(SLOPE(HIST_D!$DB$8:INDEX(HIST_D!$DB$8:$DB$791,Control!$B$12),HIST_D!$CV$8:INDEX(HIST_D!$CV$8:$CV$791,Control!$B$12)),"")</f>
        <v/>
      </c>
      <c r="Q9" s="15">
        <f>IFERROR(P9*(INDEX(HIST_D!$F$8:$F$791,1)-INDEX(HIST_D!$F$8:$F$791,Control!$B$11))*100,"")</f>
        <v/>
      </c>
      <c r="R9" s="42">
        <f>IFERROR(L9-Q9,"")</f>
        <v/>
      </c>
    </row>
    <row r="10">
      <c r="A10" s="13" t="inlineStr">
        <is>
          <t>Peru</t>
        </is>
      </c>
      <c r="B10" s="39" t="inlineStr">
        <is>
          <t>LatAm</t>
        </is>
      </c>
      <c r="C10" s="14">
        <f>INDEX(HIST_D!$AL$8:$AL$791,1)</f>
        <v/>
      </c>
      <c r="D10" s="39" t="inlineStr">
        <is>
          <t>yes</t>
        </is>
      </c>
      <c r="E10" s="34">
        <f>IFERROR((INDEX(HIST_D!$AL$8:$AL$791,1)-INDEX(HIST_D!$AL$8:$AL$791,Control!$B$10))*100,"")</f>
        <v/>
      </c>
      <c r="F10" s="15">
        <f>IFERROR((INDEX(HIST_D!$F$8:$F$791,1)-INDEX(HIST_D!$F$8:$F$791,Control!$B$10))*100,"")</f>
        <v/>
      </c>
      <c r="G10" s="15">
        <f>IFERROR(E10-F10,"")</f>
        <v/>
      </c>
      <c r="H10" s="40">
        <f>IFERROR(IF(ABS(F10)&lt;Control!$B$13,"n/m",E10/F10),"n/m")</f>
        <v/>
      </c>
      <c r="I10" s="41">
        <f>IFERROR(SLOPE(HIST_D!$DC$8:INDEX(HIST_D!$DC$8:$DC$791,Control!$B$12),HIST_D!$CV$8:INDEX(HIST_D!$CV$8:$CV$791,Control!$B$12)),"")</f>
        <v/>
      </c>
      <c r="J10" s="15">
        <f>IFERROR(I10*(INDEX(HIST_D!$F$8:$F$791,1)-INDEX(HIST_D!$F$8:$F$791,Control!$B$10))*100,"")</f>
        <v/>
      </c>
      <c r="K10" s="42">
        <f>IFERROR(E10-J10,"")</f>
        <v/>
      </c>
      <c r="L10" s="34">
        <f>IFERROR((INDEX(HIST_D!$AL$8:$AL$791,1)-INDEX(HIST_D!$AL$8:$AL$791,Control!$B$11))*100,"")</f>
        <v/>
      </c>
      <c r="M10" s="15">
        <f>IFERROR((INDEX(HIST_D!$F$8:$F$791,1)-INDEX(HIST_D!$F$8:$F$791,Control!$B$11))*100,"")</f>
        <v/>
      </c>
      <c r="N10" s="15">
        <f>IFERROR(L10-M10,"")</f>
        <v/>
      </c>
      <c r="O10" s="40">
        <f>IFERROR(IF(ABS(M10)&lt;Control!$B$13,"n/m",L10/M10),"n/m")</f>
        <v/>
      </c>
      <c r="P10" s="41">
        <f>IFERROR(SLOPE(HIST_D!$DC$8:INDEX(HIST_D!$DC$8:$DC$791,Control!$B$12),HIST_D!$CV$8:INDEX(HIST_D!$CV$8:$CV$791,Control!$B$12)),"")</f>
        <v/>
      </c>
      <c r="Q10" s="15">
        <f>IFERROR(P10*(INDEX(HIST_D!$F$8:$F$791,1)-INDEX(HIST_D!$F$8:$F$791,Control!$B$11))*100,"")</f>
        <v/>
      </c>
      <c r="R10" s="42">
        <f>IFERROR(L10-Q10,"")</f>
        <v/>
      </c>
    </row>
    <row r="11">
      <c r="A11" s="18" t="inlineStr">
        <is>
          <t>LatAm average</t>
        </is>
      </c>
      <c r="B11" s="39" t="inlineStr">
        <is>
          <t>n=5</t>
        </is>
      </c>
      <c r="C11" s="13" t="inlineStr"/>
      <c r="D11" s="13" t="inlineStr"/>
      <c r="E11" s="34">
        <f>IFERROR(AVERAGE(E6,E7,E8,E9,E10),"")</f>
        <v/>
      </c>
      <c r="F11" s="34">
        <f>IFERROR(AVERAGE(F6,F7,F8,F9,F10),"")</f>
        <v/>
      </c>
      <c r="G11" s="34">
        <f>IFERROR(AVERAGE(G6,G7,G8,G9,G10),"")</f>
        <v/>
      </c>
      <c r="H11" s="43">
        <f>IFERROR(IF(ABS(F11)&lt;Control!$B$13,"n/m",E11/F11),"n/m")</f>
        <v/>
      </c>
      <c r="I11" s="44">
        <f>IFERROR(AVERAGE(I6,I7,I8,I9,I10),"")</f>
        <v/>
      </c>
      <c r="J11" s="34">
        <f>IFERROR(AVERAGE(J6,J7,J8,J9,J10),"")</f>
        <v/>
      </c>
      <c r="K11" s="34">
        <f>IFERROR(AVERAGE(K6,K7,K8,K9,K10),"")</f>
        <v/>
      </c>
      <c r="L11" s="34">
        <f>IFERROR(AVERAGE(L6,L7,L8,L9,L10),"")</f>
        <v/>
      </c>
      <c r="M11" s="34">
        <f>IFERROR(AVERAGE(M6,M7,M8,M9,M10),"")</f>
        <v/>
      </c>
      <c r="N11" s="34">
        <f>IFERROR(AVERAGE(N6,N7,N8,N9,N10),"")</f>
        <v/>
      </c>
      <c r="O11" s="43">
        <f>IFERROR(IF(ABS(M11)&lt;Control!$B$13,"n/m",L11/M11),"n/m")</f>
        <v/>
      </c>
      <c r="P11" s="44">
        <f>IFERROR(AVERAGE(P6,P7,P8,P9,P10),"")</f>
        <v/>
      </c>
      <c r="Q11" s="34">
        <f>IFERROR(AVERAGE(Q6,Q7,Q8,Q9,Q10),"")</f>
        <v/>
      </c>
      <c r="R11" s="34">
        <f>IFERROR(AVERAGE(R6,R7,R8,R9,R10),"")</f>
        <v/>
      </c>
    </row>
    <row r="12">
      <c r="A12" s="7">
        <f>IFERROR("LatAm: local 10Y "&amp;TEXT($E$11,"+0;-0")&amp;"bp on the month against UST 10Y "&amp;TEXT($F$11,"+0;-0")&amp;"bp, so the gap to Treasuries moved "&amp;TEXT($G$11,"+0;-0")&amp;"bp"&amp;IF(ISNUMBER($H$11)," (pass-through "&amp;TEXT($H$11,"0.00")&amp;"x)","")&amp;". History (2y beta "&amp;TEXT($I$11,"0.00")&amp;") would have predicted "&amp;TEXT($J$11,"+0;-0")&amp;"bp; the surprise is "&amp;TEXT($K$11,"+0;-0")&amp;"bp. YTD: "&amp;TEXT($L$11,"+0;-0")&amp;"bp against "&amp;TEXT($M$11,"+0;-0")&amp;"bp, gap "&amp;TEXT($N$11,"+0;-0")&amp;"bp"&amp;IF(ISNUMBER($O$11)," (pass-through "&amp;TEXT($O$11,"0.00")&amp;"x)","")&amp;". "&amp;IF($K$11&lt;-5,"The curve did better than its own history — absorbed.",IF($K$11&gt;5,"The curve did worse than its own history — imported.","Moved in line with its own history.")),"")</f>
        <v/>
      </c>
    </row>
    <row r="14" ht="16" customHeight="1">
      <c r="A14" s="37" t="inlineStr">
        <is>
          <t>EM EUROPE</t>
        </is>
      </c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</row>
    <row r="15" ht="40" customHeight="1">
      <c r="A15" s="12" t="inlineStr">
        <is>
          <t>Country</t>
        </is>
      </c>
      <c r="B15" s="12" t="inlineStr">
        <is>
          <t>Region</t>
        </is>
      </c>
      <c r="C15" s="12" t="inlineStr">
        <is>
          <t>Level</t>
        </is>
      </c>
      <c r="D15" s="12" t="inlineStr">
        <is>
          <t>In avg</t>
        </is>
      </c>
      <c r="E15" s="12" t="inlineStr">
        <is>
          <t>1M: Total move (bp)</t>
        </is>
      </c>
      <c r="F15" s="12" t="inlineStr">
        <is>
          <t>1M: US-driven: d UST 10Y (bp)</t>
        </is>
      </c>
      <c r="G15" s="12" t="inlineStr">
        <is>
          <t>1M: Intrinsic: d gap to UST (bp)</t>
        </is>
      </c>
      <c r="H15" s="12" t="inlineStr">
        <is>
          <t>1M: Pass-through (total / US)</t>
        </is>
      </c>
      <c r="I15" s="12" t="inlineStr">
        <is>
          <t>1M: Beta to UST 10Y (2y)</t>
        </is>
      </c>
      <c r="J15" s="12" t="inlineStr">
        <is>
          <t>1M: Predicted by beta (bp)</t>
        </is>
      </c>
      <c r="K15" s="12" t="inlineStr">
        <is>
          <t>1M: Surprise: actual less predicted (bp)</t>
        </is>
      </c>
      <c r="L15" s="12" t="inlineStr">
        <is>
          <t>YTD: Total move (bp)</t>
        </is>
      </c>
      <c r="M15" s="12" t="inlineStr">
        <is>
          <t>YTD: US-driven: d UST 10Y (bp)</t>
        </is>
      </c>
      <c r="N15" s="12" t="inlineStr">
        <is>
          <t>YTD: Intrinsic: d gap to UST (bp)</t>
        </is>
      </c>
      <c r="O15" s="12" t="inlineStr">
        <is>
          <t>YTD: Pass-through (total / US)</t>
        </is>
      </c>
      <c r="P15" s="12" t="inlineStr">
        <is>
          <t>YTD: Beta to UST 10Y (2y)</t>
        </is>
      </c>
      <c r="Q15" s="12" t="inlineStr">
        <is>
          <t>YTD: Predicted by beta (bp)</t>
        </is>
      </c>
      <c r="R15" s="12" t="inlineStr">
        <is>
          <t>YTD: Surprise: actual less predicted (bp)</t>
        </is>
      </c>
    </row>
    <row r="16">
      <c r="A16" s="13" t="inlineStr">
        <is>
          <t>Poland</t>
        </is>
      </c>
      <c r="B16" s="39" t="inlineStr">
        <is>
          <t>EM Europe</t>
        </is>
      </c>
      <c r="C16" s="14">
        <f>INDEX(HIST_D!$AM$8:$AM$791,1)</f>
        <v/>
      </c>
      <c r="D16" s="39" t="inlineStr">
        <is>
          <t>yes</t>
        </is>
      </c>
      <c r="E16" s="34">
        <f>IFERROR((INDEX(HIST_D!$AM$8:$AM$791,1)-INDEX(HIST_D!$AM$8:$AM$791,Control!$B$10))*100,"")</f>
        <v/>
      </c>
      <c r="F16" s="15">
        <f>IFERROR((INDEX(HIST_D!$F$8:$F$791,1)-INDEX(HIST_D!$F$8:$F$791,Control!$B$10))*100,"")</f>
        <v/>
      </c>
      <c r="G16" s="15">
        <f>IFERROR(E16-F16,"")</f>
        <v/>
      </c>
      <c r="H16" s="40">
        <f>IFERROR(IF(ABS(F16)&lt;Control!$B$13,"n/m",E16/F16),"n/m")</f>
        <v/>
      </c>
      <c r="I16" s="41">
        <f>IFERROR(SLOPE(HIST_D!$DD$8:INDEX(HIST_D!$DD$8:$DD$791,Control!$B$12),HIST_D!$CV$8:INDEX(HIST_D!$CV$8:$CV$791,Control!$B$12)),"")</f>
        <v/>
      </c>
      <c r="J16" s="15">
        <f>IFERROR(I16*(INDEX(HIST_D!$F$8:$F$791,1)-INDEX(HIST_D!$F$8:$F$791,Control!$B$10))*100,"")</f>
        <v/>
      </c>
      <c r="K16" s="42">
        <f>IFERROR(E16-J16,"")</f>
        <v/>
      </c>
      <c r="L16" s="34">
        <f>IFERROR((INDEX(HIST_D!$AM$8:$AM$791,1)-INDEX(HIST_D!$AM$8:$AM$791,Control!$B$11))*100,"")</f>
        <v/>
      </c>
      <c r="M16" s="15">
        <f>IFERROR((INDEX(HIST_D!$F$8:$F$791,1)-INDEX(HIST_D!$F$8:$F$791,Control!$B$11))*100,"")</f>
        <v/>
      </c>
      <c r="N16" s="15">
        <f>IFERROR(L16-M16,"")</f>
        <v/>
      </c>
      <c r="O16" s="40">
        <f>IFERROR(IF(ABS(M16)&lt;Control!$B$13,"n/m",L16/M16),"n/m")</f>
        <v/>
      </c>
      <c r="P16" s="41">
        <f>IFERROR(SLOPE(HIST_D!$DD$8:INDEX(HIST_D!$DD$8:$DD$791,Control!$B$12),HIST_D!$CV$8:INDEX(HIST_D!$CV$8:$CV$791,Control!$B$12)),"")</f>
        <v/>
      </c>
      <c r="Q16" s="15">
        <f>IFERROR(P16*(INDEX(HIST_D!$F$8:$F$791,1)-INDEX(HIST_D!$F$8:$F$791,Control!$B$11))*100,"")</f>
        <v/>
      </c>
      <c r="R16" s="42">
        <f>IFERROR(L16-Q16,"")</f>
        <v/>
      </c>
    </row>
    <row r="17">
      <c r="A17" s="13" t="inlineStr">
        <is>
          <t>Hungary</t>
        </is>
      </c>
      <c r="B17" s="39" t="inlineStr">
        <is>
          <t>EM Europe</t>
        </is>
      </c>
      <c r="C17" s="14">
        <f>INDEX(HIST_D!$AN$8:$AN$791,1)</f>
        <v/>
      </c>
      <c r="D17" s="39" t="inlineStr">
        <is>
          <t>yes</t>
        </is>
      </c>
      <c r="E17" s="34">
        <f>IFERROR((INDEX(HIST_D!$AN$8:$AN$791,1)-INDEX(HIST_D!$AN$8:$AN$791,Control!$B$10))*100,"")</f>
        <v/>
      </c>
      <c r="F17" s="15">
        <f>IFERROR((INDEX(HIST_D!$F$8:$F$791,1)-INDEX(HIST_D!$F$8:$F$791,Control!$B$10))*100,"")</f>
        <v/>
      </c>
      <c r="G17" s="15">
        <f>IFERROR(E17-F17,"")</f>
        <v/>
      </c>
      <c r="H17" s="40">
        <f>IFERROR(IF(ABS(F17)&lt;Control!$B$13,"n/m",E17/F17),"n/m")</f>
        <v/>
      </c>
      <c r="I17" s="41">
        <f>IFERROR(SLOPE(HIST_D!$DE$8:INDEX(HIST_D!$DE$8:$DE$791,Control!$B$12),HIST_D!$CV$8:INDEX(HIST_D!$CV$8:$CV$791,Control!$B$12)),"")</f>
        <v/>
      </c>
      <c r="J17" s="15">
        <f>IFERROR(I17*(INDEX(HIST_D!$F$8:$F$791,1)-INDEX(HIST_D!$F$8:$F$791,Control!$B$10))*100,"")</f>
        <v/>
      </c>
      <c r="K17" s="42">
        <f>IFERROR(E17-J17,"")</f>
        <v/>
      </c>
      <c r="L17" s="34">
        <f>IFERROR((INDEX(HIST_D!$AN$8:$AN$791,1)-INDEX(HIST_D!$AN$8:$AN$791,Control!$B$11))*100,"")</f>
        <v/>
      </c>
      <c r="M17" s="15">
        <f>IFERROR((INDEX(HIST_D!$F$8:$F$791,1)-INDEX(HIST_D!$F$8:$F$791,Control!$B$11))*100,"")</f>
        <v/>
      </c>
      <c r="N17" s="15">
        <f>IFERROR(L17-M17,"")</f>
        <v/>
      </c>
      <c r="O17" s="40">
        <f>IFERROR(IF(ABS(M17)&lt;Control!$B$13,"n/m",L17/M17),"n/m")</f>
        <v/>
      </c>
      <c r="P17" s="41">
        <f>IFERROR(SLOPE(HIST_D!$DE$8:INDEX(HIST_D!$DE$8:$DE$791,Control!$B$12),HIST_D!$CV$8:INDEX(HIST_D!$CV$8:$CV$791,Control!$B$12)),"")</f>
        <v/>
      </c>
      <c r="Q17" s="15">
        <f>IFERROR(P17*(INDEX(HIST_D!$F$8:$F$791,1)-INDEX(HIST_D!$F$8:$F$791,Control!$B$11))*100,"")</f>
        <v/>
      </c>
      <c r="R17" s="42">
        <f>IFERROR(L17-Q17,"")</f>
        <v/>
      </c>
    </row>
    <row r="18">
      <c r="A18" s="13" t="inlineStr">
        <is>
          <t>Czechia</t>
        </is>
      </c>
      <c r="B18" s="39" t="inlineStr">
        <is>
          <t>EM Europe</t>
        </is>
      </c>
      <c r="C18" s="14">
        <f>INDEX(HIST_D!$AO$8:$AO$791,1)</f>
        <v/>
      </c>
      <c r="D18" s="39" t="inlineStr">
        <is>
          <t>yes</t>
        </is>
      </c>
      <c r="E18" s="34">
        <f>IFERROR((INDEX(HIST_D!$AO$8:$AO$791,1)-INDEX(HIST_D!$AO$8:$AO$791,Control!$B$10))*100,"")</f>
        <v/>
      </c>
      <c r="F18" s="15">
        <f>IFERROR((INDEX(HIST_D!$F$8:$F$791,1)-INDEX(HIST_D!$F$8:$F$791,Control!$B$10))*100,"")</f>
        <v/>
      </c>
      <c r="G18" s="15">
        <f>IFERROR(E18-F18,"")</f>
        <v/>
      </c>
      <c r="H18" s="40">
        <f>IFERROR(IF(ABS(F18)&lt;Control!$B$13,"n/m",E18/F18),"n/m")</f>
        <v/>
      </c>
      <c r="I18" s="41">
        <f>IFERROR(SLOPE(HIST_D!$DF$8:INDEX(HIST_D!$DF$8:$DF$791,Control!$B$12),HIST_D!$CV$8:INDEX(HIST_D!$CV$8:$CV$791,Control!$B$12)),"")</f>
        <v/>
      </c>
      <c r="J18" s="15">
        <f>IFERROR(I18*(INDEX(HIST_D!$F$8:$F$791,1)-INDEX(HIST_D!$F$8:$F$791,Control!$B$10))*100,"")</f>
        <v/>
      </c>
      <c r="K18" s="42">
        <f>IFERROR(E18-J18,"")</f>
        <v/>
      </c>
      <c r="L18" s="34">
        <f>IFERROR((INDEX(HIST_D!$AO$8:$AO$791,1)-INDEX(HIST_D!$AO$8:$AO$791,Control!$B$11))*100,"")</f>
        <v/>
      </c>
      <c r="M18" s="15">
        <f>IFERROR((INDEX(HIST_D!$F$8:$F$791,1)-INDEX(HIST_D!$F$8:$F$791,Control!$B$11))*100,"")</f>
        <v/>
      </c>
      <c r="N18" s="15">
        <f>IFERROR(L18-M18,"")</f>
        <v/>
      </c>
      <c r="O18" s="40">
        <f>IFERROR(IF(ABS(M18)&lt;Control!$B$13,"n/m",L18/M18),"n/m")</f>
        <v/>
      </c>
      <c r="P18" s="41">
        <f>IFERROR(SLOPE(HIST_D!$DF$8:INDEX(HIST_D!$DF$8:$DF$791,Control!$B$12),HIST_D!$CV$8:INDEX(HIST_D!$CV$8:$CV$791,Control!$B$12)),"")</f>
        <v/>
      </c>
      <c r="Q18" s="15">
        <f>IFERROR(P18*(INDEX(HIST_D!$F$8:$F$791,1)-INDEX(HIST_D!$F$8:$F$791,Control!$B$11))*100,"")</f>
        <v/>
      </c>
      <c r="R18" s="42">
        <f>IFERROR(L18-Q18,"")</f>
        <v/>
      </c>
    </row>
    <row r="19">
      <c r="A19" s="13" t="inlineStr">
        <is>
          <t>Romania</t>
        </is>
      </c>
      <c r="B19" s="39" t="inlineStr">
        <is>
          <t>EM Europe</t>
        </is>
      </c>
      <c r="C19" s="14">
        <f>INDEX(HIST_D!$AP$8:$AP$791,1)</f>
        <v/>
      </c>
      <c r="D19" s="39" t="inlineStr">
        <is>
          <t>yes</t>
        </is>
      </c>
      <c r="E19" s="34">
        <f>IFERROR((INDEX(HIST_D!$AP$8:$AP$791,1)-INDEX(HIST_D!$AP$8:$AP$791,Control!$B$10))*100,"")</f>
        <v/>
      </c>
      <c r="F19" s="15">
        <f>IFERROR((INDEX(HIST_D!$F$8:$F$791,1)-INDEX(HIST_D!$F$8:$F$791,Control!$B$10))*100,"")</f>
        <v/>
      </c>
      <c r="G19" s="15">
        <f>IFERROR(E19-F19,"")</f>
        <v/>
      </c>
      <c r="H19" s="40">
        <f>IFERROR(IF(ABS(F19)&lt;Control!$B$13,"n/m",E19/F19),"n/m")</f>
        <v/>
      </c>
      <c r="I19" s="41">
        <f>IFERROR(SLOPE(HIST_D!$DG$8:INDEX(HIST_D!$DG$8:$DG$791,Control!$B$12),HIST_D!$CV$8:INDEX(HIST_D!$CV$8:$CV$791,Control!$B$12)),"")</f>
        <v/>
      </c>
      <c r="J19" s="15">
        <f>IFERROR(I19*(INDEX(HIST_D!$F$8:$F$791,1)-INDEX(HIST_D!$F$8:$F$791,Control!$B$10))*100,"")</f>
        <v/>
      </c>
      <c r="K19" s="42">
        <f>IFERROR(E19-J19,"")</f>
        <v/>
      </c>
      <c r="L19" s="34">
        <f>IFERROR((INDEX(HIST_D!$AP$8:$AP$791,1)-INDEX(HIST_D!$AP$8:$AP$791,Control!$B$11))*100,"")</f>
        <v/>
      </c>
      <c r="M19" s="15">
        <f>IFERROR((INDEX(HIST_D!$F$8:$F$791,1)-INDEX(HIST_D!$F$8:$F$791,Control!$B$11))*100,"")</f>
        <v/>
      </c>
      <c r="N19" s="15">
        <f>IFERROR(L19-M19,"")</f>
        <v/>
      </c>
      <c r="O19" s="40">
        <f>IFERROR(IF(ABS(M19)&lt;Control!$B$13,"n/m",L19/M19),"n/m")</f>
        <v/>
      </c>
      <c r="P19" s="41">
        <f>IFERROR(SLOPE(HIST_D!$DG$8:INDEX(HIST_D!$DG$8:$DG$791,Control!$B$12),HIST_D!$CV$8:INDEX(HIST_D!$CV$8:$CV$791,Control!$B$12)),"")</f>
        <v/>
      </c>
      <c r="Q19" s="15">
        <f>IFERROR(P19*(INDEX(HIST_D!$F$8:$F$791,1)-INDEX(HIST_D!$F$8:$F$791,Control!$B$11))*100,"")</f>
        <v/>
      </c>
      <c r="R19" s="42">
        <f>IFERROR(L19-Q19,"")</f>
        <v/>
      </c>
    </row>
    <row r="20">
      <c r="A20" s="13" t="inlineStr">
        <is>
          <t>Turkiye</t>
        </is>
      </c>
      <c r="B20" s="39" t="inlineStr">
        <is>
          <t>EM Europe</t>
        </is>
      </c>
      <c r="C20" s="14">
        <f>INDEX(HIST_D!$AQ$8:$AQ$791,1)</f>
        <v/>
      </c>
      <c r="D20" s="45" t="inlineStr">
        <is>
          <t>no</t>
        </is>
      </c>
      <c r="E20" s="34">
        <f>IFERROR((INDEX(HIST_D!$AQ$8:$AQ$791,1)-INDEX(HIST_D!$AQ$8:$AQ$791,Control!$B$10))*100,"")</f>
        <v/>
      </c>
      <c r="F20" s="15">
        <f>IFERROR((INDEX(HIST_D!$F$8:$F$791,1)-INDEX(HIST_D!$F$8:$F$791,Control!$B$10))*100,"")</f>
        <v/>
      </c>
      <c r="G20" s="15">
        <f>IFERROR(E20-F20,"")</f>
        <v/>
      </c>
      <c r="H20" s="40">
        <f>IFERROR(IF(ABS(F20)&lt;Control!$B$13,"n/m",E20/F20),"n/m")</f>
        <v/>
      </c>
      <c r="I20" s="41">
        <f>IFERROR(SLOPE(HIST_D!$DH$8:INDEX(HIST_D!$DH$8:$DH$791,Control!$B$12),HIST_D!$CV$8:INDEX(HIST_D!$CV$8:$CV$791,Control!$B$12)),"")</f>
        <v/>
      </c>
      <c r="J20" s="15">
        <f>IFERROR(I20*(INDEX(HIST_D!$F$8:$F$791,1)-INDEX(HIST_D!$F$8:$F$791,Control!$B$10))*100,"")</f>
        <v/>
      </c>
      <c r="K20" s="42">
        <f>IFERROR(E20-J20,"")</f>
        <v/>
      </c>
      <c r="L20" s="34">
        <f>IFERROR((INDEX(HIST_D!$AQ$8:$AQ$791,1)-INDEX(HIST_D!$AQ$8:$AQ$791,Control!$B$11))*100,"")</f>
        <v/>
      </c>
      <c r="M20" s="15">
        <f>IFERROR((INDEX(HIST_D!$F$8:$F$791,1)-INDEX(HIST_D!$F$8:$F$791,Control!$B$11))*100,"")</f>
        <v/>
      </c>
      <c r="N20" s="15">
        <f>IFERROR(L20-M20,"")</f>
        <v/>
      </c>
      <c r="O20" s="40">
        <f>IFERROR(IF(ABS(M20)&lt;Control!$B$13,"n/m",L20/M20),"n/m")</f>
        <v/>
      </c>
      <c r="P20" s="41">
        <f>IFERROR(SLOPE(HIST_D!$DH$8:INDEX(HIST_D!$DH$8:$DH$791,Control!$B$12),HIST_D!$CV$8:INDEX(HIST_D!$CV$8:$CV$791,Control!$B$12)),"")</f>
        <v/>
      </c>
      <c r="Q20" s="15">
        <f>IFERROR(P20*(INDEX(HIST_D!$F$8:$F$791,1)-INDEX(HIST_D!$F$8:$F$791,Control!$B$11))*100,"")</f>
        <v/>
      </c>
      <c r="R20" s="42">
        <f>IFERROR(L20-Q20,"")</f>
        <v/>
      </c>
      <c r="S20" s="7" t="inlineStr">
        <is>
          <t>excluded from rates and FX averages: structural depreciation and a 30% curve swamp an equal weight</t>
        </is>
      </c>
    </row>
    <row r="21">
      <c r="A21" s="18" t="inlineStr">
        <is>
          <t>EM Europe average</t>
        </is>
      </c>
      <c r="B21" s="39" t="inlineStr">
        <is>
          <t>n=4</t>
        </is>
      </c>
      <c r="C21" s="13" t="inlineStr"/>
      <c r="D21" s="13" t="inlineStr"/>
      <c r="E21" s="34">
        <f>IFERROR(AVERAGE(E16,E17,E18,E19),"")</f>
        <v/>
      </c>
      <c r="F21" s="34">
        <f>IFERROR(AVERAGE(F16,F17,F18,F19),"")</f>
        <v/>
      </c>
      <c r="G21" s="34">
        <f>IFERROR(AVERAGE(G16,G17,G18,G19),"")</f>
        <v/>
      </c>
      <c r="H21" s="43">
        <f>IFERROR(IF(ABS(F21)&lt;Control!$B$13,"n/m",E21/F21),"n/m")</f>
        <v/>
      </c>
      <c r="I21" s="44">
        <f>IFERROR(AVERAGE(I16,I17,I18,I19),"")</f>
        <v/>
      </c>
      <c r="J21" s="34">
        <f>IFERROR(AVERAGE(J16,J17,J18,J19),"")</f>
        <v/>
      </c>
      <c r="K21" s="34">
        <f>IFERROR(AVERAGE(K16,K17,K18,K19),"")</f>
        <v/>
      </c>
      <c r="L21" s="34">
        <f>IFERROR(AVERAGE(L16,L17,L18,L19),"")</f>
        <v/>
      </c>
      <c r="M21" s="34">
        <f>IFERROR(AVERAGE(M16,M17,M18,M19),"")</f>
        <v/>
      </c>
      <c r="N21" s="34">
        <f>IFERROR(AVERAGE(N16,N17,N18,N19),"")</f>
        <v/>
      </c>
      <c r="O21" s="43">
        <f>IFERROR(IF(ABS(M21)&lt;Control!$B$13,"n/m",L21/M21),"n/m")</f>
        <v/>
      </c>
      <c r="P21" s="44">
        <f>IFERROR(AVERAGE(P16,P17,P18,P19),"")</f>
        <v/>
      </c>
      <c r="Q21" s="34">
        <f>IFERROR(AVERAGE(Q16,Q17,Q18,Q19),"")</f>
        <v/>
      </c>
      <c r="R21" s="34">
        <f>IFERROR(AVERAGE(R16,R17,R18,R19),"")</f>
        <v/>
      </c>
    </row>
    <row r="22">
      <c r="A22" s="7">
        <f>IFERROR("EM Europe: local 10Y "&amp;TEXT($E$21,"+0;-0")&amp;"bp on the month against UST 10Y "&amp;TEXT($F$21,"+0;-0")&amp;"bp, so the gap to Treasuries moved "&amp;TEXT($G$21,"+0;-0")&amp;"bp"&amp;IF(ISNUMBER($H$21)," (pass-through "&amp;TEXT($H$21,"0.00")&amp;"x)","")&amp;". History (2y beta "&amp;TEXT($I$21,"0.00")&amp;") would have predicted "&amp;TEXT($J$21,"+0;-0")&amp;"bp; the surprise is "&amp;TEXT($K$21,"+0;-0")&amp;"bp. YTD: "&amp;TEXT($L$21,"+0;-0")&amp;"bp against "&amp;TEXT($M$21,"+0;-0")&amp;"bp, gap "&amp;TEXT($N$21,"+0;-0")&amp;"bp"&amp;IF(ISNUMBER($O$21)," (pass-through "&amp;TEXT($O$21,"0.00")&amp;"x)","")&amp;". "&amp;IF($K$21&lt;-5,"The curve did better than its own history — absorbed.",IF($K$21&gt;5,"The curve did worse than its own history — imported.","Moved in line with its own history.")),"")</f>
        <v/>
      </c>
    </row>
    <row r="24" ht="16" customHeight="1">
      <c r="A24" s="37" t="inlineStr">
        <is>
          <t>MIDDLE EAST</t>
        </is>
      </c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</row>
    <row r="25" ht="40" customHeight="1">
      <c r="A25" s="12" t="inlineStr">
        <is>
          <t>Country</t>
        </is>
      </c>
      <c r="B25" s="12" t="inlineStr">
        <is>
          <t>Region</t>
        </is>
      </c>
      <c r="C25" s="12" t="inlineStr">
        <is>
          <t>Level</t>
        </is>
      </c>
      <c r="D25" s="12" t="inlineStr">
        <is>
          <t>In avg</t>
        </is>
      </c>
      <c r="E25" s="12" t="inlineStr">
        <is>
          <t>1M: Total move (bp)</t>
        </is>
      </c>
      <c r="F25" s="12" t="inlineStr">
        <is>
          <t>1M: US-driven: d UST 10Y (bp)</t>
        </is>
      </c>
      <c r="G25" s="12" t="inlineStr">
        <is>
          <t>1M: Intrinsic: d gap to UST (bp)</t>
        </is>
      </c>
      <c r="H25" s="12" t="inlineStr">
        <is>
          <t>1M: Pass-through (total / US)</t>
        </is>
      </c>
      <c r="I25" s="12" t="inlineStr">
        <is>
          <t>1M: Beta to UST 10Y (2y)</t>
        </is>
      </c>
      <c r="J25" s="12" t="inlineStr">
        <is>
          <t>1M: Predicted by beta (bp)</t>
        </is>
      </c>
      <c r="K25" s="12" t="inlineStr">
        <is>
          <t>1M: Surprise: actual less predicted (bp)</t>
        </is>
      </c>
      <c r="L25" s="12" t="inlineStr">
        <is>
          <t>YTD: Total move (bp)</t>
        </is>
      </c>
      <c r="M25" s="12" t="inlineStr">
        <is>
          <t>YTD: US-driven: d UST 10Y (bp)</t>
        </is>
      </c>
      <c r="N25" s="12" t="inlineStr">
        <is>
          <t>YTD: Intrinsic: d gap to UST (bp)</t>
        </is>
      </c>
      <c r="O25" s="12" t="inlineStr">
        <is>
          <t>YTD: Pass-through (total / US)</t>
        </is>
      </c>
      <c r="P25" s="12" t="inlineStr">
        <is>
          <t>YTD: Beta to UST 10Y (2y)</t>
        </is>
      </c>
      <c r="Q25" s="12" t="inlineStr">
        <is>
          <t>YTD: Predicted by beta (bp)</t>
        </is>
      </c>
      <c r="R25" s="12" t="inlineStr">
        <is>
          <t>YTD: Surprise: actual less predicted (bp)</t>
        </is>
      </c>
    </row>
    <row r="26">
      <c r="A26" s="13" t="inlineStr">
        <is>
          <t>Israel</t>
        </is>
      </c>
      <c r="B26" s="39" t="inlineStr">
        <is>
          <t>Middle East</t>
        </is>
      </c>
      <c r="C26" s="14">
        <f>INDEX(HIST_D!$AR$8:$AR$791,1)</f>
        <v/>
      </c>
      <c r="D26" s="39" t="inlineStr">
        <is>
          <t>yes</t>
        </is>
      </c>
      <c r="E26" s="34">
        <f>IFERROR((INDEX(HIST_D!$AR$8:$AR$791,1)-INDEX(HIST_D!$AR$8:$AR$791,Control!$B$10))*100,"")</f>
        <v/>
      </c>
      <c r="F26" s="15">
        <f>IFERROR((INDEX(HIST_D!$F$8:$F$791,1)-INDEX(HIST_D!$F$8:$F$791,Control!$B$10))*100,"")</f>
        <v/>
      </c>
      <c r="G26" s="15">
        <f>IFERROR(E26-F26,"")</f>
        <v/>
      </c>
      <c r="H26" s="40">
        <f>IFERROR(IF(ABS(F26)&lt;Control!$B$13,"n/m",E26/F26),"n/m")</f>
        <v/>
      </c>
      <c r="I26" s="41">
        <f>IFERROR(SLOPE(HIST_D!$DI$8:INDEX(HIST_D!$DI$8:$DI$791,Control!$B$12),HIST_D!$CV$8:INDEX(HIST_D!$CV$8:$CV$791,Control!$B$12)),"")</f>
        <v/>
      </c>
      <c r="J26" s="15">
        <f>IFERROR(I26*(INDEX(HIST_D!$F$8:$F$791,1)-INDEX(HIST_D!$F$8:$F$791,Control!$B$10))*100,"")</f>
        <v/>
      </c>
      <c r="K26" s="42">
        <f>IFERROR(E26-J26,"")</f>
        <v/>
      </c>
      <c r="L26" s="34">
        <f>IFERROR((INDEX(HIST_D!$AR$8:$AR$791,1)-INDEX(HIST_D!$AR$8:$AR$791,Control!$B$11))*100,"")</f>
        <v/>
      </c>
      <c r="M26" s="15">
        <f>IFERROR((INDEX(HIST_D!$F$8:$F$791,1)-INDEX(HIST_D!$F$8:$F$791,Control!$B$11))*100,"")</f>
        <v/>
      </c>
      <c r="N26" s="15">
        <f>IFERROR(L26-M26,"")</f>
        <v/>
      </c>
      <c r="O26" s="40">
        <f>IFERROR(IF(ABS(M26)&lt;Control!$B$13,"n/m",L26/M26),"n/m")</f>
        <v/>
      </c>
      <c r="P26" s="41">
        <f>IFERROR(SLOPE(HIST_D!$DI$8:INDEX(HIST_D!$DI$8:$DI$791,Control!$B$12),HIST_D!$CV$8:INDEX(HIST_D!$CV$8:$CV$791,Control!$B$12)),"")</f>
        <v/>
      </c>
      <c r="Q26" s="15">
        <f>IFERROR(P26*(INDEX(HIST_D!$F$8:$F$791,1)-INDEX(HIST_D!$F$8:$F$791,Control!$B$11))*100,"")</f>
        <v/>
      </c>
      <c r="R26" s="42">
        <f>IFERROR(L26-Q26,"")</f>
        <v/>
      </c>
    </row>
    <row r="27">
      <c r="A27" s="13" t="inlineStr">
        <is>
          <t>Egypt</t>
        </is>
      </c>
      <c r="B27" s="39" t="inlineStr">
        <is>
          <t>Middle East</t>
        </is>
      </c>
      <c r="C27" s="14">
        <f>INDEX(HIST_D!$AS$8:$AS$791,1)</f>
        <v/>
      </c>
      <c r="D27" s="39" t="inlineStr">
        <is>
          <t>yes</t>
        </is>
      </c>
      <c r="E27" s="34">
        <f>IFERROR((INDEX(HIST_D!$AS$8:$AS$791,1)-INDEX(HIST_D!$AS$8:$AS$791,Control!$B$10))*100,"")</f>
        <v/>
      </c>
      <c r="F27" s="15">
        <f>IFERROR((INDEX(HIST_D!$F$8:$F$791,1)-INDEX(HIST_D!$F$8:$F$791,Control!$B$10))*100,"")</f>
        <v/>
      </c>
      <c r="G27" s="15">
        <f>IFERROR(E27-F27,"")</f>
        <v/>
      </c>
      <c r="H27" s="40">
        <f>IFERROR(IF(ABS(F27)&lt;Control!$B$13,"n/m",E27/F27),"n/m")</f>
        <v/>
      </c>
      <c r="I27" s="41">
        <f>IFERROR(SLOPE(HIST_D!$DJ$8:INDEX(HIST_D!$DJ$8:$DJ$791,Control!$B$12),HIST_D!$CV$8:INDEX(HIST_D!$CV$8:$CV$791,Control!$B$12)),"")</f>
        <v/>
      </c>
      <c r="J27" s="15">
        <f>IFERROR(I27*(INDEX(HIST_D!$F$8:$F$791,1)-INDEX(HIST_D!$F$8:$F$791,Control!$B$10))*100,"")</f>
        <v/>
      </c>
      <c r="K27" s="42">
        <f>IFERROR(E27-J27,"")</f>
        <v/>
      </c>
      <c r="L27" s="34">
        <f>IFERROR((INDEX(HIST_D!$AS$8:$AS$791,1)-INDEX(HIST_D!$AS$8:$AS$791,Control!$B$11))*100,"")</f>
        <v/>
      </c>
      <c r="M27" s="15">
        <f>IFERROR((INDEX(HIST_D!$F$8:$F$791,1)-INDEX(HIST_D!$F$8:$F$791,Control!$B$11))*100,"")</f>
        <v/>
      </c>
      <c r="N27" s="15">
        <f>IFERROR(L27-M27,"")</f>
        <v/>
      </c>
      <c r="O27" s="40">
        <f>IFERROR(IF(ABS(M27)&lt;Control!$B$13,"n/m",L27/M27),"n/m")</f>
        <v/>
      </c>
      <c r="P27" s="41">
        <f>IFERROR(SLOPE(HIST_D!$DJ$8:INDEX(HIST_D!$DJ$8:$DJ$791,Control!$B$12),HIST_D!$CV$8:INDEX(HIST_D!$CV$8:$CV$791,Control!$B$12)),"")</f>
        <v/>
      </c>
      <c r="Q27" s="15">
        <f>IFERROR(P27*(INDEX(HIST_D!$F$8:$F$791,1)-INDEX(HIST_D!$F$8:$F$791,Control!$B$11))*100,"")</f>
        <v/>
      </c>
      <c r="R27" s="42">
        <f>IFERROR(L27-Q27,"")</f>
        <v/>
      </c>
      <c r="S27" s="7" t="inlineStr">
        <is>
          <t>excluded from FX average: managed float with step devaluations; GTEGP10Y is Verify</t>
        </is>
      </c>
    </row>
    <row r="28">
      <c r="A28" s="18" t="inlineStr">
        <is>
          <t>Middle East average</t>
        </is>
      </c>
      <c r="B28" s="39" t="inlineStr">
        <is>
          <t>n=2</t>
        </is>
      </c>
      <c r="C28" s="13" t="inlineStr"/>
      <c r="D28" s="13" t="inlineStr"/>
      <c r="E28" s="34">
        <f>IFERROR(AVERAGE(E26,E27),"")</f>
        <v/>
      </c>
      <c r="F28" s="34">
        <f>IFERROR(AVERAGE(F26,F27),"")</f>
        <v/>
      </c>
      <c r="G28" s="34">
        <f>IFERROR(AVERAGE(G26,G27),"")</f>
        <v/>
      </c>
      <c r="H28" s="43">
        <f>IFERROR(IF(ABS(F28)&lt;Control!$B$13,"n/m",E28/F28),"n/m")</f>
        <v/>
      </c>
      <c r="I28" s="44">
        <f>IFERROR(AVERAGE(I26,I27),"")</f>
        <v/>
      </c>
      <c r="J28" s="34">
        <f>IFERROR(AVERAGE(J26,J27),"")</f>
        <v/>
      </c>
      <c r="K28" s="34">
        <f>IFERROR(AVERAGE(K26,K27),"")</f>
        <v/>
      </c>
      <c r="L28" s="34">
        <f>IFERROR(AVERAGE(L26,L27),"")</f>
        <v/>
      </c>
      <c r="M28" s="34">
        <f>IFERROR(AVERAGE(M26,M27),"")</f>
        <v/>
      </c>
      <c r="N28" s="34">
        <f>IFERROR(AVERAGE(N26,N27),"")</f>
        <v/>
      </c>
      <c r="O28" s="43">
        <f>IFERROR(IF(ABS(M28)&lt;Control!$B$13,"n/m",L28/M28),"n/m")</f>
        <v/>
      </c>
      <c r="P28" s="44">
        <f>IFERROR(AVERAGE(P26,P27),"")</f>
        <v/>
      </c>
      <c r="Q28" s="34">
        <f>IFERROR(AVERAGE(Q26,Q27),"")</f>
        <v/>
      </c>
      <c r="R28" s="34">
        <f>IFERROR(AVERAGE(R26,R27),"")</f>
        <v/>
      </c>
    </row>
    <row r="29">
      <c r="A29" s="7">
        <f>IFERROR("Middle East: local 10Y "&amp;TEXT($E$28,"+0;-0")&amp;"bp on the month against UST 10Y "&amp;TEXT($F$28,"+0;-0")&amp;"bp, so the gap to Treasuries moved "&amp;TEXT($G$28,"+0;-0")&amp;"bp"&amp;IF(ISNUMBER($H$28)," (pass-through "&amp;TEXT($H$28,"0.00")&amp;"x)","")&amp;". History (2y beta "&amp;TEXT($I$28,"0.00")&amp;") would have predicted "&amp;TEXT($J$28,"+0;-0")&amp;"bp; the surprise is "&amp;TEXT($K$28,"+0;-0")&amp;"bp. YTD: "&amp;TEXT($L$28,"+0;-0")&amp;"bp against "&amp;TEXT($M$28,"+0;-0")&amp;"bp, gap "&amp;TEXT($N$28,"+0;-0")&amp;"bp"&amp;IF(ISNUMBER($O$28)," (pass-through "&amp;TEXT($O$28,"0.00")&amp;"x)","")&amp;". "&amp;IF($K$28&lt;-5,"The curve did better than its own history — absorbed.",IF($K$28&gt;5,"The curve did worse than its own history — imported.","Moved in line with its own history.")),"")</f>
        <v/>
      </c>
    </row>
    <row r="31" ht="16" customHeight="1">
      <c r="A31" s="37" t="inlineStr">
        <is>
          <t>EM ASIA</t>
        </is>
      </c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</row>
    <row r="32" ht="40" customHeight="1">
      <c r="A32" s="12" t="inlineStr">
        <is>
          <t>Country</t>
        </is>
      </c>
      <c r="B32" s="12" t="inlineStr">
        <is>
          <t>Region</t>
        </is>
      </c>
      <c r="C32" s="12" t="inlineStr">
        <is>
          <t>Level</t>
        </is>
      </c>
      <c r="D32" s="12" t="inlineStr">
        <is>
          <t>In avg</t>
        </is>
      </c>
      <c r="E32" s="12" t="inlineStr">
        <is>
          <t>1M: Total move (bp)</t>
        </is>
      </c>
      <c r="F32" s="12" t="inlineStr">
        <is>
          <t>1M: US-driven: d UST 10Y (bp)</t>
        </is>
      </c>
      <c r="G32" s="12" t="inlineStr">
        <is>
          <t>1M: Intrinsic: d gap to UST (bp)</t>
        </is>
      </c>
      <c r="H32" s="12" t="inlineStr">
        <is>
          <t>1M: Pass-through (total / US)</t>
        </is>
      </c>
      <c r="I32" s="12" t="inlineStr">
        <is>
          <t>1M: Beta to UST 10Y (2y)</t>
        </is>
      </c>
      <c r="J32" s="12" t="inlineStr">
        <is>
          <t>1M: Predicted by beta (bp)</t>
        </is>
      </c>
      <c r="K32" s="12" t="inlineStr">
        <is>
          <t>1M: Surprise: actual less predicted (bp)</t>
        </is>
      </c>
      <c r="L32" s="12" t="inlineStr">
        <is>
          <t>YTD: Total move (bp)</t>
        </is>
      </c>
      <c r="M32" s="12" t="inlineStr">
        <is>
          <t>YTD: US-driven: d UST 10Y (bp)</t>
        </is>
      </c>
      <c r="N32" s="12" t="inlineStr">
        <is>
          <t>YTD: Intrinsic: d gap to UST (bp)</t>
        </is>
      </c>
      <c r="O32" s="12" t="inlineStr">
        <is>
          <t>YTD: Pass-through (total / US)</t>
        </is>
      </c>
      <c r="P32" s="12" t="inlineStr">
        <is>
          <t>YTD: Beta to UST 10Y (2y)</t>
        </is>
      </c>
      <c r="Q32" s="12" t="inlineStr">
        <is>
          <t>YTD: Predicted by beta (bp)</t>
        </is>
      </c>
      <c r="R32" s="12" t="inlineStr">
        <is>
          <t>YTD: Surprise: actual less predicted (bp)</t>
        </is>
      </c>
    </row>
    <row r="33">
      <c r="A33" s="13" t="inlineStr">
        <is>
          <t>China</t>
        </is>
      </c>
      <c r="B33" s="39" t="inlineStr">
        <is>
          <t>EM Asia</t>
        </is>
      </c>
      <c r="C33" s="14">
        <f>INDEX(HIST_D!$AT$8:$AT$791,1)</f>
        <v/>
      </c>
      <c r="D33" s="39" t="inlineStr">
        <is>
          <t>yes</t>
        </is>
      </c>
      <c r="E33" s="34">
        <f>IFERROR((INDEX(HIST_D!$AT$8:$AT$791,1)-INDEX(HIST_D!$AT$8:$AT$791,Control!$B$10))*100,"")</f>
        <v/>
      </c>
      <c r="F33" s="15">
        <f>IFERROR((INDEX(HIST_D!$F$8:$F$791,1)-INDEX(HIST_D!$F$8:$F$791,Control!$B$10))*100,"")</f>
        <v/>
      </c>
      <c r="G33" s="15">
        <f>IFERROR(E33-F33,"")</f>
        <v/>
      </c>
      <c r="H33" s="40">
        <f>IFERROR(IF(ABS(F33)&lt;Control!$B$13,"n/m",E33/F33),"n/m")</f>
        <v/>
      </c>
      <c r="I33" s="41">
        <f>IFERROR(SLOPE(HIST_D!$DK$8:INDEX(HIST_D!$DK$8:$DK$791,Control!$B$12),HIST_D!$CV$8:INDEX(HIST_D!$CV$8:$CV$791,Control!$B$12)),"")</f>
        <v/>
      </c>
      <c r="J33" s="15">
        <f>IFERROR(I33*(INDEX(HIST_D!$F$8:$F$791,1)-INDEX(HIST_D!$F$8:$F$791,Control!$B$10))*100,"")</f>
        <v/>
      </c>
      <c r="K33" s="42">
        <f>IFERROR(E33-J33,"")</f>
        <v/>
      </c>
      <c r="L33" s="34">
        <f>IFERROR((INDEX(HIST_D!$AT$8:$AT$791,1)-INDEX(HIST_D!$AT$8:$AT$791,Control!$B$11))*100,"")</f>
        <v/>
      </c>
      <c r="M33" s="15">
        <f>IFERROR((INDEX(HIST_D!$F$8:$F$791,1)-INDEX(HIST_D!$F$8:$F$791,Control!$B$11))*100,"")</f>
        <v/>
      </c>
      <c r="N33" s="15">
        <f>IFERROR(L33-M33,"")</f>
        <v/>
      </c>
      <c r="O33" s="40">
        <f>IFERROR(IF(ABS(M33)&lt;Control!$B$13,"n/m",L33/M33),"n/m")</f>
        <v/>
      </c>
      <c r="P33" s="41">
        <f>IFERROR(SLOPE(HIST_D!$DK$8:INDEX(HIST_D!$DK$8:$DK$791,Control!$B$12),HIST_D!$CV$8:INDEX(HIST_D!$CV$8:$CV$791,Control!$B$12)),"")</f>
        <v/>
      </c>
      <c r="Q33" s="15">
        <f>IFERROR(P33*(INDEX(HIST_D!$F$8:$F$791,1)-INDEX(HIST_D!$F$8:$F$791,Control!$B$11))*100,"")</f>
        <v/>
      </c>
      <c r="R33" s="42">
        <f>IFERROR(L33-Q33,"")</f>
        <v/>
      </c>
    </row>
    <row r="34">
      <c r="A34" s="13" t="inlineStr">
        <is>
          <t>India</t>
        </is>
      </c>
      <c r="B34" s="39" t="inlineStr">
        <is>
          <t>EM Asia</t>
        </is>
      </c>
      <c r="C34" s="14">
        <f>INDEX(HIST_D!$AU$8:$AU$791,1)</f>
        <v/>
      </c>
      <c r="D34" s="39" t="inlineStr">
        <is>
          <t>yes</t>
        </is>
      </c>
      <c r="E34" s="34">
        <f>IFERROR((INDEX(HIST_D!$AU$8:$AU$791,1)-INDEX(HIST_D!$AU$8:$AU$791,Control!$B$10))*100,"")</f>
        <v/>
      </c>
      <c r="F34" s="15">
        <f>IFERROR((INDEX(HIST_D!$F$8:$F$791,1)-INDEX(HIST_D!$F$8:$F$791,Control!$B$10))*100,"")</f>
        <v/>
      </c>
      <c r="G34" s="15">
        <f>IFERROR(E34-F34,"")</f>
        <v/>
      </c>
      <c r="H34" s="40">
        <f>IFERROR(IF(ABS(F34)&lt;Control!$B$13,"n/m",E34/F34),"n/m")</f>
        <v/>
      </c>
      <c r="I34" s="41">
        <f>IFERROR(SLOPE(HIST_D!$DL$8:INDEX(HIST_D!$DL$8:$DL$791,Control!$B$12),HIST_D!$CV$8:INDEX(HIST_D!$CV$8:$CV$791,Control!$B$12)),"")</f>
        <v/>
      </c>
      <c r="J34" s="15">
        <f>IFERROR(I34*(INDEX(HIST_D!$F$8:$F$791,1)-INDEX(HIST_D!$F$8:$F$791,Control!$B$10))*100,"")</f>
        <v/>
      </c>
      <c r="K34" s="42">
        <f>IFERROR(E34-J34,"")</f>
        <v/>
      </c>
      <c r="L34" s="34">
        <f>IFERROR((INDEX(HIST_D!$AU$8:$AU$791,1)-INDEX(HIST_D!$AU$8:$AU$791,Control!$B$11))*100,"")</f>
        <v/>
      </c>
      <c r="M34" s="15">
        <f>IFERROR((INDEX(HIST_D!$F$8:$F$791,1)-INDEX(HIST_D!$F$8:$F$791,Control!$B$11))*100,"")</f>
        <v/>
      </c>
      <c r="N34" s="15">
        <f>IFERROR(L34-M34,"")</f>
        <v/>
      </c>
      <c r="O34" s="40">
        <f>IFERROR(IF(ABS(M34)&lt;Control!$B$13,"n/m",L34/M34),"n/m")</f>
        <v/>
      </c>
      <c r="P34" s="41">
        <f>IFERROR(SLOPE(HIST_D!$DL$8:INDEX(HIST_D!$DL$8:$DL$791,Control!$B$12),HIST_D!$CV$8:INDEX(HIST_D!$CV$8:$CV$791,Control!$B$12)),"")</f>
        <v/>
      </c>
      <c r="Q34" s="15">
        <f>IFERROR(P34*(INDEX(HIST_D!$F$8:$F$791,1)-INDEX(HIST_D!$F$8:$F$791,Control!$B$11))*100,"")</f>
        <v/>
      </c>
      <c r="R34" s="42">
        <f>IFERROR(L34-Q34,"")</f>
        <v/>
      </c>
      <c r="S34" s="7" t="inlineStr">
        <is>
          <t>no sovereign USD debt, no CDS — rates and FX only</t>
        </is>
      </c>
    </row>
    <row r="35">
      <c r="A35" s="13" t="inlineStr">
        <is>
          <t>Indonesia</t>
        </is>
      </c>
      <c r="B35" s="39" t="inlineStr">
        <is>
          <t>EM Asia</t>
        </is>
      </c>
      <c r="C35" s="14">
        <f>INDEX(HIST_D!$AV$8:$AV$791,1)</f>
        <v/>
      </c>
      <c r="D35" s="39" t="inlineStr">
        <is>
          <t>yes</t>
        </is>
      </c>
      <c r="E35" s="34">
        <f>IFERROR((INDEX(HIST_D!$AV$8:$AV$791,1)-INDEX(HIST_D!$AV$8:$AV$791,Control!$B$10))*100,"")</f>
        <v/>
      </c>
      <c r="F35" s="15">
        <f>IFERROR((INDEX(HIST_D!$F$8:$F$791,1)-INDEX(HIST_D!$F$8:$F$791,Control!$B$10))*100,"")</f>
        <v/>
      </c>
      <c r="G35" s="15">
        <f>IFERROR(E35-F35,"")</f>
        <v/>
      </c>
      <c r="H35" s="40">
        <f>IFERROR(IF(ABS(F35)&lt;Control!$B$13,"n/m",E35/F35),"n/m")</f>
        <v/>
      </c>
      <c r="I35" s="41">
        <f>IFERROR(SLOPE(HIST_D!$DM$8:INDEX(HIST_D!$DM$8:$DM$791,Control!$B$12),HIST_D!$CV$8:INDEX(HIST_D!$CV$8:$CV$791,Control!$B$12)),"")</f>
        <v/>
      </c>
      <c r="J35" s="15">
        <f>IFERROR(I35*(INDEX(HIST_D!$F$8:$F$791,1)-INDEX(HIST_D!$F$8:$F$791,Control!$B$10))*100,"")</f>
        <v/>
      </c>
      <c r="K35" s="42">
        <f>IFERROR(E35-J35,"")</f>
        <v/>
      </c>
      <c r="L35" s="34">
        <f>IFERROR((INDEX(HIST_D!$AV$8:$AV$791,1)-INDEX(HIST_D!$AV$8:$AV$791,Control!$B$11))*100,"")</f>
        <v/>
      </c>
      <c r="M35" s="15">
        <f>IFERROR((INDEX(HIST_D!$F$8:$F$791,1)-INDEX(HIST_D!$F$8:$F$791,Control!$B$11))*100,"")</f>
        <v/>
      </c>
      <c r="N35" s="15">
        <f>IFERROR(L35-M35,"")</f>
        <v/>
      </c>
      <c r="O35" s="40">
        <f>IFERROR(IF(ABS(M35)&lt;Control!$B$13,"n/m",L35/M35),"n/m")</f>
        <v/>
      </c>
      <c r="P35" s="41">
        <f>IFERROR(SLOPE(HIST_D!$DM$8:INDEX(HIST_D!$DM$8:$DM$791,Control!$B$12),HIST_D!$CV$8:INDEX(HIST_D!$CV$8:$CV$791,Control!$B$12)),"")</f>
        <v/>
      </c>
      <c r="Q35" s="15">
        <f>IFERROR(P35*(INDEX(HIST_D!$F$8:$F$791,1)-INDEX(HIST_D!$F$8:$F$791,Control!$B$11))*100,"")</f>
        <v/>
      </c>
      <c r="R35" s="42">
        <f>IFERROR(L35-Q35,"")</f>
        <v/>
      </c>
    </row>
    <row r="36">
      <c r="A36" s="13" t="inlineStr">
        <is>
          <t>Korea</t>
        </is>
      </c>
      <c r="B36" s="39" t="inlineStr">
        <is>
          <t>EM Asia</t>
        </is>
      </c>
      <c r="C36" s="14">
        <f>INDEX(HIST_D!$AW$8:$AW$791,1)</f>
        <v/>
      </c>
      <c r="D36" s="39" t="inlineStr">
        <is>
          <t>yes</t>
        </is>
      </c>
      <c r="E36" s="34">
        <f>IFERROR((INDEX(HIST_D!$AW$8:$AW$791,1)-INDEX(HIST_D!$AW$8:$AW$791,Control!$B$10))*100,"")</f>
        <v/>
      </c>
      <c r="F36" s="15">
        <f>IFERROR((INDEX(HIST_D!$F$8:$F$791,1)-INDEX(HIST_D!$F$8:$F$791,Control!$B$10))*100,"")</f>
        <v/>
      </c>
      <c r="G36" s="15">
        <f>IFERROR(E36-F36,"")</f>
        <v/>
      </c>
      <c r="H36" s="40">
        <f>IFERROR(IF(ABS(F36)&lt;Control!$B$13,"n/m",E36/F36),"n/m")</f>
        <v/>
      </c>
      <c r="I36" s="41">
        <f>IFERROR(SLOPE(HIST_D!$DN$8:INDEX(HIST_D!$DN$8:$DN$791,Control!$B$12),HIST_D!$CV$8:INDEX(HIST_D!$CV$8:$CV$791,Control!$B$12)),"")</f>
        <v/>
      </c>
      <c r="J36" s="15">
        <f>IFERROR(I36*(INDEX(HIST_D!$F$8:$F$791,1)-INDEX(HIST_D!$F$8:$F$791,Control!$B$10))*100,"")</f>
        <v/>
      </c>
      <c r="K36" s="42">
        <f>IFERROR(E36-J36,"")</f>
        <v/>
      </c>
      <c r="L36" s="34">
        <f>IFERROR((INDEX(HIST_D!$AW$8:$AW$791,1)-INDEX(HIST_D!$AW$8:$AW$791,Control!$B$11))*100,"")</f>
        <v/>
      </c>
      <c r="M36" s="15">
        <f>IFERROR((INDEX(HIST_D!$F$8:$F$791,1)-INDEX(HIST_D!$F$8:$F$791,Control!$B$11))*100,"")</f>
        <v/>
      </c>
      <c r="N36" s="15">
        <f>IFERROR(L36-M36,"")</f>
        <v/>
      </c>
      <c r="O36" s="40">
        <f>IFERROR(IF(ABS(M36)&lt;Control!$B$13,"n/m",L36/M36),"n/m")</f>
        <v/>
      </c>
      <c r="P36" s="41">
        <f>IFERROR(SLOPE(HIST_D!$DN$8:INDEX(HIST_D!$DN$8:$DN$791,Control!$B$12),HIST_D!$CV$8:INDEX(HIST_D!$CV$8:$CV$791,Control!$B$12)),"")</f>
        <v/>
      </c>
      <c r="Q36" s="15">
        <f>IFERROR(P36*(INDEX(HIST_D!$F$8:$F$791,1)-INDEX(HIST_D!$F$8:$F$791,Control!$B$11))*100,"")</f>
        <v/>
      </c>
      <c r="R36" s="42">
        <f>IFERROR(L36-Q36,"")</f>
        <v/>
      </c>
    </row>
    <row r="37">
      <c r="A37" s="13" t="inlineStr">
        <is>
          <t>Thailand</t>
        </is>
      </c>
      <c r="B37" s="39" t="inlineStr">
        <is>
          <t>EM Asia</t>
        </is>
      </c>
      <c r="C37" s="14">
        <f>INDEX(HIST_D!$AX$8:$AX$791,1)</f>
        <v/>
      </c>
      <c r="D37" s="39" t="inlineStr">
        <is>
          <t>yes</t>
        </is>
      </c>
      <c r="E37" s="34">
        <f>IFERROR((INDEX(HIST_D!$AX$8:$AX$791,1)-INDEX(HIST_D!$AX$8:$AX$791,Control!$B$10))*100,"")</f>
        <v/>
      </c>
      <c r="F37" s="15">
        <f>IFERROR((INDEX(HIST_D!$F$8:$F$791,1)-INDEX(HIST_D!$F$8:$F$791,Control!$B$10))*100,"")</f>
        <v/>
      </c>
      <c r="G37" s="15">
        <f>IFERROR(E37-F37,"")</f>
        <v/>
      </c>
      <c r="H37" s="40">
        <f>IFERROR(IF(ABS(F37)&lt;Control!$B$13,"n/m",E37/F37),"n/m")</f>
        <v/>
      </c>
      <c r="I37" s="41">
        <f>IFERROR(SLOPE(HIST_D!$DO$8:INDEX(HIST_D!$DO$8:$DO$791,Control!$B$12),HIST_D!$CV$8:INDEX(HIST_D!$CV$8:$CV$791,Control!$B$12)),"")</f>
        <v/>
      </c>
      <c r="J37" s="15">
        <f>IFERROR(I37*(INDEX(HIST_D!$F$8:$F$791,1)-INDEX(HIST_D!$F$8:$F$791,Control!$B$10))*100,"")</f>
        <v/>
      </c>
      <c r="K37" s="42">
        <f>IFERROR(E37-J37,"")</f>
        <v/>
      </c>
      <c r="L37" s="34">
        <f>IFERROR((INDEX(HIST_D!$AX$8:$AX$791,1)-INDEX(HIST_D!$AX$8:$AX$791,Control!$B$11))*100,"")</f>
        <v/>
      </c>
      <c r="M37" s="15">
        <f>IFERROR((INDEX(HIST_D!$F$8:$F$791,1)-INDEX(HIST_D!$F$8:$F$791,Control!$B$11))*100,"")</f>
        <v/>
      </c>
      <c r="N37" s="15">
        <f>IFERROR(L37-M37,"")</f>
        <v/>
      </c>
      <c r="O37" s="40">
        <f>IFERROR(IF(ABS(M37)&lt;Control!$B$13,"n/m",L37/M37),"n/m")</f>
        <v/>
      </c>
      <c r="P37" s="41">
        <f>IFERROR(SLOPE(HIST_D!$DO$8:INDEX(HIST_D!$DO$8:$DO$791,Control!$B$12),HIST_D!$CV$8:INDEX(HIST_D!$CV$8:$CV$791,Control!$B$12)),"")</f>
        <v/>
      </c>
      <c r="Q37" s="15">
        <f>IFERROR(P37*(INDEX(HIST_D!$F$8:$F$791,1)-INDEX(HIST_D!$F$8:$F$791,Control!$B$11))*100,"")</f>
        <v/>
      </c>
      <c r="R37" s="42">
        <f>IFERROR(L37-Q37,"")</f>
        <v/>
      </c>
    </row>
    <row r="38">
      <c r="A38" s="13" t="inlineStr">
        <is>
          <t>Malaysia</t>
        </is>
      </c>
      <c r="B38" s="39" t="inlineStr">
        <is>
          <t>EM Asia</t>
        </is>
      </c>
      <c r="C38" s="14">
        <f>INDEX(HIST_D!$AY$8:$AY$791,1)</f>
        <v/>
      </c>
      <c r="D38" s="39" t="inlineStr">
        <is>
          <t>yes</t>
        </is>
      </c>
      <c r="E38" s="34">
        <f>IFERROR((INDEX(HIST_D!$AY$8:$AY$791,1)-INDEX(HIST_D!$AY$8:$AY$791,Control!$B$10))*100,"")</f>
        <v/>
      </c>
      <c r="F38" s="15">
        <f>IFERROR((INDEX(HIST_D!$F$8:$F$791,1)-INDEX(HIST_D!$F$8:$F$791,Control!$B$10))*100,"")</f>
        <v/>
      </c>
      <c r="G38" s="15">
        <f>IFERROR(E38-F38,"")</f>
        <v/>
      </c>
      <c r="H38" s="40">
        <f>IFERROR(IF(ABS(F38)&lt;Control!$B$13,"n/m",E38/F38),"n/m")</f>
        <v/>
      </c>
      <c r="I38" s="41">
        <f>IFERROR(SLOPE(HIST_D!$DP$8:INDEX(HIST_D!$DP$8:$DP$791,Control!$B$12),HIST_D!$CV$8:INDEX(HIST_D!$CV$8:$CV$791,Control!$B$12)),"")</f>
        <v/>
      </c>
      <c r="J38" s="15">
        <f>IFERROR(I38*(INDEX(HIST_D!$F$8:$F$791,1)-INDEX(HIST_D!$F$8:$F$791,Control!$B$10))*100,"")</f>
        <v/>
      </c>
      <c r="K38" s="42">
        <f>IFERROR(E38-J38,"")</f>
        <v/>
      </c>
      <c r="L38" s="34">
        <f>IFERROR((INDEX(HIST_D!$AY$8:$AY$791,1)-INDEX(HIST_D!$AY$8:$AY$791,Control!$B$11))*100,"")</f>
        <v/>
      </c>
      <c r="M38" s="15">
        <f>IFERROR((INDEX(HIST_D!$F$8:$F$791,1)-INDEX(HIST_D!$F$8:$F$791,Control!$B$11))*100,"")</f>
        <v/>
      </c>
      <c r="N38" s="15">
        <f>IFERROR(L38-M38,"")</f>
        <v/>
      </c>
      <c r="O38" s="40">
        <f>IFERROR(IF(ABS(M38)&lt;Control!$B$13,"n/m",L38/M38),"n/m")</f>
        <v/>
      </c>
      <c r="P38" s="41">
        <f>IFERROR(SLOPE(HIST_D!$DP$8:INDEX(HIST_D!$DP$8:$DP$791,Control!$B$12),HIST_D!$CV$8:INDEX(HIST_D!$CV$8:$CV$791,Control!$B$12)),"")</f>
        <v/>
      </c>
      <c r="Q38" s="15">
        <f>IFERROR(P38*(INDEX(HIST_D!$F$8:$F$791,1)-INDEX(HIST_D!$F$8:$F$791,Control!$B$11))*100,"")</f>
        <v/>
      </c>
      <c r="R38" s="42">
        <f>IFERROR(L38-Q38,"")</f>
        <v/>
      </c>
    </row>
    <row r="39">
      <c r="A39" s="13" t="inlineStr">
        <is>
          <t>Philippines</t>
        </is>
      </c>
      <c r="B39" s="39" t="inlineStr">
        <is>
          <t>EM Asia</t>
        </is>
      </c>
      <c r="C39" s="14">
        <f>INDEX(HIST_D!$AZ$8:$AZ$791,1)</f>
        <v/>
      </c>
      <c r="D39" s="39" t="inlineStr">
        <is>
          <t>yes</t>
        </is>
      </c>
      <c r="E39" s="34">
        <f>IFERROR((INDEX(HIST_D!$AZ$8:$AZ$791,1)-INDEX(HIST_D!$AZ$8:$AZ$791,Control!$B$10))*100,"")</f>
        <v/>
      </c>
      <c r="F39" s="15">
        <f>IFERROR((INDEX(HIST_D!$F$8:$F$791,1)-INDEX(HIST_D!$F$8:$F$791,Control!$B$10))*100,"")</f>
        <v/>
      </c>
      <c r="G39" s="15">
        <f>IFERROR(E39-F39,"")</f>
        <v/>
      </c>
      <c r="H39" s="40">
        <f>IFERROR(IF(ABS(F39)&lt;Control!$B$13,"n/m",E39/F39),"n/m")</f>
        <v/>
      </c>
      <c r="I39" s="41">
        <f>IFERROR(SLOPE(HIST_D!$DQ$8:INDEX(HIST_D!$DQ$8:$DQ$791,Control!$B$12),HIST_D!$CV$8:INDEX(HIST_D!$CV$8:$CV$791,Control!$B$12)),"")</f>
        <v/>
      </c>
      <c r="J39" s="15">
        <f>IFERROR(I39*(INDEX(HIST_D!$F$8:$F$791,1)-INDEX(HIST_D!$F$8:$F$791,Control!$B$10))*100,"")</f>
        <v/>
      </c>
      <c r="K39" s="42">
        <f>IFERROR(E39-J39,"")</f>
        <v/>
      </c>
      <c r="L39" s="34">
        <f>IFERROR((INDEX(HIST_D!$AZ$8:$AZ$791,1)-INDEX(HIST_D!$AZ$8:$AZ$791,Control!$B$11))*100,"")</f>
        <v/>
      </c>
      <c r="M39" s="15">
        <f>IFERROR((INDEX(HIST_D!$F$8:$F$791,1)-INDEX(HIST_D!$F$8:$F$791,Control!$B$11))*100,"")</f>
        <v/>
      </c>
      <c r="N39" s="15">
        <f>IFERROR(L39-M39,"")</f>
        <v/>
      </c>
      <c r="O39" s="40">
        <f>IFERROR(IF(ABS(M39)&lt;Control!$B$13,"n/m",L39/M39),"n/m")</f>
        <v/>
      </c>
      <c r="P39" s="41">
        <f>IFERROR(SLOPE(HIST_D!$DQ$8:INDEX(HIST_D!$DQ$8:$DQ$791,Control!$B$12),HIST_D!$CV$8:INDEX(HIST_D!$CV$8:$CV$791,Control!$B$12)),"")</f>
        <v/>
      </c>
      <c r="Q39" s="15">
        <f>IFERROR(P39*(INDEX(HIST_D!$F$8:$F$791,1)-INDEX(HIST_D!$F$8:$F$791,Control!$B$11))*100,"")</f>
        <v/>
      </c>
      <c r="R39" s="42">
        <f>IFERROR(L39-Q39,"")</f>
        <v/>
      </c>
    </row>
    <row r="40">
      <c r="A40" s="18" t="inlineStr">
        <is>
          <t>EM Asia average</t>
        </is>
      </c>
      <c r="B40" s="39" t="inlineStr">
        <is>
          <t>n=7</t>
        </is>
      </c>
      <c r="C40" s="13" t="inlineStr"/>
      <c r="D40" s="13" t="inlineStr"/>
      <c r="E40" s="34">
        <f>IFERROR(AVERAGE(E33,E34,E35,E36,E37,E38,E39),"")</f>
        <v/>
      </c>
      <c r="F40" s="34">
        <f>IFERROR(AVERAGE(F33,F34,F35,F36,F37,F38,F39),"")</f>
        <v/>
      </c>
      <c r="G40" s="34">
        <f>IFERROR(AVERAGE(G33,G34,G35,G36,G37,G38,G39),"")</f>
        <v/>
      </c>
      <c r="H40" s="43">
        <f>IFERROR(IF(ABS(F40)&lt;Control!$B$13,"n/m",E40/F40),"n/m")</f>
        <v/>
      </c>
      <c r="I40" s="44">
        <f>IFERROR(AVERAGE(I33,I34,I35,I36,I37,I38,I39),"")</f>
        <v/>
      </c>
      <c r="J40" s="34">
        <f>IFERROR(AVERAGE(J33,J34,J35,J36,J37,J38,J39),"")</f>
        <v/>
      </c>
      <c r="K40" s="34">
        <f>IFERROR(AVERAGE(K33,K34,K35,K36,K37,K38,K39),"")</f>
        <v/>
      </c>
      <c r="L40" s="34">
        <f>IFERROR(AVERAGE(L33,L34,L35,L36,L37,L38,L39),"")</f>
        <v/>
      </c>
      <c r="M40" s="34">
        <f>IFERROR(AVERAGE(M33,M34,M35,M36,M37,M38,M39),"")</f>
        <v/>
      </c>
      <c r="N40" s="34">
        <f>IFERROR(AVERAGE(N33,N34,N35,N36,N37,N38,N39),"")</f>
        <v/>
      </c>
      <c r="O40" s="43">
        <f>IFERROR(IF(ABS(M40)&lt;Control!$B$13,"n/m",L40/M40),"n/m")</f>
        <v/>
      </c>
      <c r="P40" s="44">
        <f>IFERROR(AVERAGE(P33,P34,P35,P36,P37,P38,P39),"")</f>
        <v/>
      </c>
      <c r="Q40" s="34">
        <f>IFERROR(AVERAGE(Q33,Q34,Q35,Q36,Q37,Q38,Q39),"")</f>
        <v/>
      </c>
      <c r="R40" s="34">
        <f>IFERROR(AVERAGE(R33,R34,R35,R36,R37,R38,R39),"")</f>
        <v/>
      </c>
    </row>
    <row r="41">
      <c r="A41" s="7">
        <f>IFERROR("EM Asia: local 10Y "&amp;TEXT($E$40,"+0;-0")&amp;"bp on the month against UST 10Y "&amp;TEXT($F$40,"+0;-0")&amp;"bp, so the gap to Treasuries moved "&amp;TEXT($G$40,"+0;-0")&amp;"bp"&amp;IF(ISNUMBER($H$40)," (pass-through "&amp;TEXT($H$40,"0.00")&amp;"x)","")&amp;". History (2y beta "&amp;TEXT($I$40,"0.00")&amp;") would have predicted "&amp;TEXT($J$40,"+0;-0")&amp;"bp; the surprise is "&amp;TEXT($K$40,"+0;-0")&amp;"bp. YTD: "&amp;TEXT($L$40,"+0;-0")&amp;"bp against "&amp;TEXT($M$40,"+0;-0")&amp;"bp, gap "&amp;TEXT($N$40,"+0;-0")&amp;"bp"&amp;IF(ISNUMBER($O$40)," (pass-through "&amp;TEXT($O$40,"0.00")&amp;"x)","")&amp;". "&amp;IF($K$40&lt;-5,"The curve did better than its own history — absorbed.",IF($K$40&gt;5,"The curve did worse than its own history — imported.","Moved in line with its own history.")),"")</f>
        <v/>
      </c>
    </row>
    <row r="43" ht="16" customHeight="1">
      <c r="A43" s="37" t="inlineStr">
        <is>
          <t>EM AVERAGE AND MEMO</t>
        </is>
      </c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  <c r="T43" s="38" t="n"/>
    </row>
    <row r="44" ht="40" customHeight="1">
      <c r="A44" s="12" t="inlineStr">
        <is>
          <t>Country</t>
        </is>
      </c>
      <c r="B44" s="12" t="inlineStr">
        <is>
          <t>Region</t>
        </is>
      </c>
      <c r="C44" s="12" t="inlineStr">
        <is>
          <t>Level</t>
        </is>
      </c>
      <c r="D44" s="12" t="inlineStr">
        <is>
          <t>In avg</t>
        </is>
      </c>
      <c r="E44" s="12" t="inlineStr">
        <is>
          <t>1M: Total move (bp)</t>
        </is>
      </c>
      <c r="F44" s="12" t="inlineStr">
        <is>
          <t>1M: US-driven: d UST 10Y (bp)</t>
        </is>
      </c>
      <c r="G44" s="12" t="inlineStr">
        <is>
          <t>1M: Intrinsic: d gap to UST (bp)</t>
        </is>
      </c>
      <c r="H44" s="12" t="inlineStr">
        <is>
          <t>1M: Pass-through (total / US)</t>
        </is>
      </c>
      <c r="I44" s="12" t="inlineStr">
        <is>
          <t>1M: Beta to UST 10Y (2y)</t>
        </is>
      </c>
      <c r="J44" s="12" t="inlineStr">
        <is>
          <t>1M: Predicted by beta (bp)</t>
        </is>
      </c>
      <c r="K44" s="12" t="inlineStr">
        <is>
          <t>1M: Surprise: actual less predicted (bp)</t>
        </is>
      </c>
      <c r="L44" s="12" t="inlineStr">
        <is>
          <t>YTD: Total move (bp)</t>
        </is>
      </c>
      <c r="M44" s="12" t="inlineStr">
        <is>
          <t>YTD: US-driven: d UST 10Y (bp)</t>
        </is>
      </c>
      <c r="N44" s="12" t="inlineStr">
        <is>
          <t>YTD: Intrinsic: d gap to UST (bp)</t>
        </is>
      </c>
      <c r="O44" s="12" t="inlineStr">
        <is>
          <t>YTD: Pass-through (total / US)</t>
        </is>
      </c>
      <c r="P44" s="12" t="inlineStr">
        <is>
          <t>YTD: Beta to UST 10Y (2y)</t>
        </is>
      </c>
      <c r="Q44" s="12" t="inlineStr">
        <is>
          <t>YTD: Predicted by beta (bp)</t>
        </is>
      </c>
      <c r="R44" s="12" t="inlineStr">
        <is>
          <t>YTD: Surprise: actual less predicted (bp)</t>
        </is>
      </c>
    </row>
    <row r="45">
      <c r="A45" s="18" t="inlineStr">
        <is>
          <t>EM average (all flagged)</t>
        </is>
      </c>
      <c r="B45" s="39" t="inlineStr">
        <is>
          <t>n=18</t>
        </is>
      </c>
      <c r="C45" s="13" t="inlineStr"/>
      <c r="D45" s="13" t="inlineStr"/>
      <c r="E45" s="34">
        <f>IFERROR(AVERAGE(E6,E7,E8,E9,E10,E16,E17,E18,E19,E26,E27,E33,E34,E35,E36,E37,E38,E39),"")</f>
        <v/>
      </c>
      <c r="F45" s="34">
        <f>IFERROR(AVERAGE(F6,F7,F8,F9,F10,F16,F17,F18,F19,F26,F27,F33,F34,F35,F36,F37,F38,F39),"")</f>
        <v/>
      </c>
      <c r="G45" s="34">
        <f>IFERROR(AVERAGE(G6,G7,G8,G9,G10,G16,G17,G18,G19,G26,G27,G33,G34,G35,G36,G37,G38,G39),"")</f>
        <v/>
      </c>
      <c r="H45" s="43">
        <f>IFERROR(IF(ABS(F45)&lt;Control!$B$13,"n/m",E45/F45),"n/m")</f>
        <v/>
      </c>
      <c r="I45" s="44">
        <f>IFERROR(AVERAGE(I6,I7,I8,I9,I10,I16,I17,I18,I19,I26,I27,I33,I34,I35,I36,I37,I38,I39),"")</f>
        <v/>
      </c>
      <c r="J45" s="34">
        <f>IFERROR(AVERAGE(J6,J7,J8,J9,J10,J16,J17,J18,J19,J26,J27,J33,J34,J35,J36,J37,J38,J39),"")</f>
        <v/>
      </c>
      <c r="K45" s="34">
        <f>IFERROR(AVERAGE(K6,K7,K8,K9,K10,K16,K17,K18,K19,K26,K27,K33,K34,K35,K36,K37,K38,K39),"")</f>
        <v/>
      </c>
      <c r="L45" s="34">
        <f>IFERROR(AVERAGE(L6,L7,L8,L9,L10,L16,L17,L18,L19,L26,L27,L33,L34,L35,L36,L37,L38,L39),"")</f>
        <v/>
      </c>
      <c r="M45" s="34">
        <f>IFERROR(AVERAGE(M6,M7,M8,M9,M10,M16,M17,M18,M19,M26,M27,M33,M34,M35,M36,M37,M38,M39),"")</f>
        <v/>
      </c>
      <c r="N45" s="34">
        <f>IFERROR(AVERAGE(N6,N7,N8,N9,N10,N16,N17,N18,N19,N26,N27,N33,N34,N35,N36,N37,N38,N39),"")</f>
        <v/>
      </c>
      <c r="O45" s="43">
        <f>IFERROR(IF(ABS(M45)&lt;Control!$B$13,"n/m",L45/M45),"n/m")</f>
        <v/>
      </c>
      <c r="P45" s="44">
        <f>IFERROR(AVERAGE(P6,P7,P8,P9,P10,P16,P17,P18,P19,P26,P27,P33,P34,P35,P36,P37,P38,P39),"")</f>
        <v/>
      </c>
      <c r="Q45" s="34">
        <f>IFERROR(AVERAGE(Q6,Q7,Q8,Q9,Q10,Q16,Q17,Q18,Q19,Q26,Q27,Q33,Q34,Q35,Q36,Q37,Q38,Q39),"")</f>
        <v/>
      </c>
      <c r="R45" s="34">
        <f>IFERROR(AVERAGE(R6,R7,R8,R9,R10,R16,R17,R18,R19,R26,R27,R33,R34,R35,R36,R37,R38,R39),"")</f>
        <v/>
      </c>
    </row>
    <row r="46">
      <c r="A46" s="13" t="inlineStr">
        <is>
          <t>South Africa</t>
        </is>
      </c>
      <c r="B46" s="39" t="inlineStr">
        <is>
          <t>(memo)</t>
        </is>
      </c>
      <c r="C46" s="14">
        <f>INDEX(HIST_D!$BA$8:$BA$791,1)</f>
        <v/>
      </c>
      <c r="D46" s="45" t="inlineStr">
        <is>
          <t>no</t>
        </is>
      </c>
      <c r="E46" s="34">
        <f>IFERROR((INDEX(HIST_D!$BA$8:$BA$791,1)-INDEX(HIST_D!$BA$8:$BA$791,Control!$B$10))*100,"")</f>
        <v/>
      </c>
      <c r="F46" s="15">
        <f>IFERROR((INDEX(HIST_D!$F$8:$F$791,1)-INDEX(HIST_D!$F$8:$F$791,Control!$B$10))*100,"")</f>
        <v/>
      </c>
      <c r="G46" s="15">
        <f>IFERROR(E46-F46,"")</f>
        <v/>
      </c>
      <c r="H46" s="40">
        <f>IFERROR(IF(ABS(F46)&lt;Control!$B$13,"n/m",E46/F46),"n/m")</f>
        <v/>
      </c>
      <c r="I46" s="41">
        <f>IFERROR(SLOPE(HIST_D!$DR$8:INDEX(HIST_D!$DR$8:$DR$791,Control!$B$12),HIST_D!$CV$8:INDEX(HIST_D!$CV$8:$CV$791,Control!$B$12)),"")</f>
        <v/>
      </c>
      <c r="J46" s="15">
        <f>IFERROR(I46*(INDEX(HIST_D!$F$8:$F$791,1)-INDEX(HIST_D!$F$8:$F$791,Control!$B$10))*100,"")</f>
        <v/>
      </c>
      <c r="K46" s="42">
        <f>IFERROR(E46-J46,"")</f>
        <v/>
      </c>
      <c r="L46" s="34">
        <f>IFERROR((INDEX(HIST_D!$BA$8:$BA$791,1)-INDEX(HIST_D!$BA$8:$BA$791,Control!$B$11))*100,"")</f>
        <v/>
      </c>
      <c r="M46" s="15">
        <f>IFERROR((INDEX(HIST_D!$F$8:$F$791,1)-INDEX(HIST_D!$F$8:$F$791,Control!$B$11))*100,"")</f>
        <v/>
      </c>
      <c r="N46" s="15">
        <f>IFERROR(L46-M46,"")</f>
        <v/>
      </c>
      <c r="O46" s="40">
        <f>IFERROR(IF(ABS(M46)&lt;Control!$B$13,"n/m",L46/M46),"n/m")</f>
        <v/>
      </c>
      <c r="P46" s="41">
        <f>IFERROR(SLOPE(HIST_D!$DR$8:INDEX(HIST_D!$DR$8:$DR$791,Control!$B$12),HIST_D!$CV$8:INDEX(HIST_D!$CV$8:$CV$791,Control!$B$12)),"")</f>
        <v/>
      </c>
      <c r="Q46" s="15">
        <f>IFERROR(P46*(INDEX(HIST_D!$F$8:$F$791,1)-INDEX(HIST_D!$F$8:$F$791,Control!$B$11))*100,"")</f>
        <v/>
      </c>
      <c r="R46" s="42">
        <f>IFERROR(L46-Q46,"")</f>
        <v/>
      </c>
      <c r="S46" s="7" t="inlineStr">
        <is>
          <t>not in any of the four regions you named; shown as a memo line, in no average</t>
        </is>
      </c>
    </row>
    <row r="47">
      <c r="A47" s="5">
        <f>IFERROR("EM: local 10Y "&amp;TEXT($E$45,"+0;-0")&amp;"bp on the month against UST 10Y "&amp;TEXT($F$45,"+0;-0")&amp;"bp, so the gap to Treasuries moved "&amp;TEXT($G$45,"+0;-0")&amp;"bp"&amp;IF(ISNUMBER($H$45)," (pass-through "&amp;TEXT($H$45,"0.00")&amp;"x)","")&amp;". History (2y beta "&amp;TEXT($I$45,"0.00")&amp;") would have predicted "&amp;TEXT($J$45,"+0;-0")&amp;"bp; the surprise is "&amp;TEXT($K$45,"+0;-0")&amp;"bp. YTD: "&amp;TEXT($L$45,"+0;-0")&amp;"bp against "&amp;TEXT($M$45,"+0;-0")&amp;"bp, gap "&amp;TEXT($N$45,"+0;-0")&amp;"bp"&amp;IF(ISNUMBER($O$45)," (pass-through "&amp;TEXT($O$45,"0.00")&amp;"x)","")&amp;". "&amp;IF($K$45&lt;-5,"The curve did better than its own history — absorbed.",IF($K$45&gt;5,"The curve did worse than its own history — imported.","Moved in line with its own history.")),"")</f>
        <v/>
      </c>
    </row>
  </sheetData>
  <conditionalFormatting sqref="G5:G49">
    <cfRule type="colorScale" priority="1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K5:K49">
    <cfRule type="colorScale" priority="2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N5:N49">
    <cfRule type="colorScale" priority="3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R5:R49">
    <cfRule type="colorScale" priority="4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EM CURRENCIES  —  return on the currency, by country and region</t>
        </is>
      </c>
    </row>
    <row r="2">
      <c r="A2" s="2" t="inlineStr">
        <is>
          <t>Return on the EM currency (prior/current - 1, so positive = EM strength) = -(DXY return) + return ex-dollar. US-driven is the dollar under a beta of one; intrinsic is what is left after the dollar. Pass-through = total / US-driven.</t>
        </is>
      </c>
    </row>
    <row r="4" ht="16" customHeight="1">
      <c r="A4" s="37" t="inlineStr">
        <is>
          <t>LATAM</t>
        </is>
      </c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</row>
    <row r="5" ht="40" customHeight="1">
      <c r="A5" s="12" t="inlineStr">
        <is>
          <t>Country</t>
        </is>
      </c>
      <c r="B5" s="12" t="inlineStr">
        <is>
          <t>Region</t>
        </is>
      </c>
      <c r="C5" s="12" t="inlineStr">
        <is>
          <t>Level</t>
        </is>
      </c>
      <c r="D5" s="12" t="inlineStr">
        <is>
          <t>In avg</t>
        </is>
      </c>
      <c r="E5" s="12" t="inlineStr">
        <is>
          <t>1M: Total: return on EM ccy</t>
        </is>
      </c>
      <c r="F5" s="12" t="inlineStr">
        <is>
          <t>1M: US-driven: -(DXY return)</t>
        </is>
      </c>
      <c r="G5" s="12" t="inlineStr">
        <is>
          <t>1M: Intrinsic: return ex-dollar</t>
        </is>
      </c>
      <c r="H5" s="12" t="inlineStr">
        <is>
          <t>1M: Pass-through (total / US)</t>
        </is>
      </c>
      <c r="I5" s="12" t="inlineStr">
        <is>
          <t>1M: Beta to DXY (2y)</t>
        </is>
      </c>
      <c r="J5" s="12" t="inlineStr">
        <is>
          <t>1M: Predicted by beta</t>
        </is>
      </c>
      <c r="K5" s="12" t="inlineStr">
        <is>
          <t>1M: Surprise: actual less predicted</t>
        </is>
      </c>
      <c r="L5" s="12" t="inlineStr">
        <is>
          <t>YTD: Total: return on EM ccy</t>
        </is>
      </c>
      <c r="M5" s="12" t="inlineStr">
        <is>
          <t>YTD: US-driven: -(DXY return)</t>
        </is>
      </c>
      <c r="N5" s="12" t="inlineStr">
        <is>
          <t>YTD: Intrinsic: return ex-dollar</t>
        </is>
      </c>
      <c r="O5" s="12" t="inlineStr">
        <is>
          <t>YTD: Pass-through (total / US)</t>
        </is>
      </c>
      <c r="P5" s="12" t="inlineStr">
        <is>
          <t>YTD: Beta to DXY (2y)</t>
        </is>
      </c>
      <c r="Q5" s="12" t="inlineStr">
        <is>
          <t>YTD: Predicted by beta</t>
        </is>
      </c>
      <c r="R5" s="12" t="inlineStr">
        <is>
          <t>YTD: Surprise: actual less predicted</t>
        </is>
      </c>
    </row>
    <row r="6">
      <c r="A6" s="13" t="inlineStr">
        <is>
          <t>Brazil</t>
        </is>
      </c>
      <c r="B6" s="39" t="inlineStr">
        <is>
          <t>LatAm</t>
        </is>
      </c>
      <c r="C6" s="46">
        <f>INDEX(HIST_D!$N$8:$N$791,1)</f>
        <v/>
      </c>
      <c r="D6" s="39" t="inlineStr">
        <is>
          <t>yes</t>
        </is>
      </c>
      <c r="E6" s="47">
        <f>IFERROR((INDEX(HIST_D!$N$8:$N$791,Control!$B$10)/INDEX(HIST_D!$N$8:$N$791,1)-1),"")</f>
        <v/>
      </c>
      <c r="F6" s="17">
        <f>IFERROR(-(INDEX(HIST_D!$K$8:$K$791,1)/INDEX(HIST_D!$K$8:$K$791,Control!$B$10)-1),"")</f>
        <v/>
      </c>
      <c r="G6" s="17">
        <f>IFERROR(E6-F6,"")</f>
        <v/>
      </c>
      <c r="H6" s="40">
        <f>IFERROR(IF(ABS(F6)&lt;0.005,"n/m",E6/F6),"n/m")</f>
        <v/>
      </c>
      <c r="I6" s="41">
        <f>IFERROR(SLOPE(HIST_D!$DS$8:INDEX(HIST_D!$DS$8:$DS$791,Control!$B$12),HIST_D!$CX$8:INDEX(HIST_D!$CX$8:$CX$791,Control!$B$12)),"")</f>
        <v/>
      </c>
      <c r="J6" s="17">
        <f>IFERROR(I6*(INDEX(HIST_D!$K$8:$K$791,1)/INDEX(HIST_D!$K$8:$K$791,Control!$B$10)-1),"")</f>
        <v/>
      </c>
      <c r="K6" s="48">
        <f>IFERROR(E6-J6,"")</f>
        <v/>
      </c>
      <c r="L6" s="47">
        <f>IFERROR((INDEX(HIST_D!$N$8:$N$791,Control!$B$11)/INDEX(HIST_D!$N$8:$N$791,1)-1),"")</f>
        <v/>
      </c>
      <c r="M6" s="17">
        <f>IFERROR(-(INDEX(HIST_D!$K$8:$K$791,1)/INDEX(HIST_D!$K$8:$K$791,Control!$B$11)-1),"")</f>
        <v/>
      </c>
      <c r="N6" s="17">
        <f>IFERROR(L6-M6,"")</f>
        <v/>
      </c>
      <c r="O6" s="40">
        <f>IFERROR(IF(ABS(M6)&lt;0.005,"n/m",L6/M6),"n/m")</f>
        <v/>
      </c>
      <c r="P6" s="41">
        <f>IFERROR(SLOPE(HIST_D!$DS$8:INDEX(HIST_D!$DS$8:$DS$791,Control!$B$12),HIST_D!$CX$8:INDEX(HIST_D!$CX$8:$CX$791,Control!$B$12)),"")</f>
        <v/>
      </c>
      <c r="Q6" s="17">
        <f>IFERROR(P6*(INDEX(HIST_D!$K$8:$K$791,1)/INDEX(HIST_D!$K$8:$K$791,Control!$B$11)-1),"")</f>
        <v/>
      </c>
      <c r="R6" s="48">
        <f>IFERROR(L6-Q6,"")</f>
        <v/>
      </c>
    </row>
    <row r="7">
      <c r="A7" s="13" t="inlineStr">
        <is>
          <t>Mexico</t>
        </is>
      </c>
      <c r="B7" s="39" t="inlineStr">
        <is>
          <t>LatAm</t>
        </is>
      </c>
      <c r="C7" s="46">
        <f>INDEX(HIST_D!$O$8:$O$791,1)</f>
        <v/>
      </c>
      <c r="D7" s="39" t="inlineStr">
        <is>
          <t>yes</t>
        </is>
      </c>
      <c r="E7" s="47">
        <f>IFERROR((INDEX(HIST_D!$O$8:$O$791,Control!$B$10)/INDEX(HIST_D!$O$8:$O$791,1)-1),"")</f>
        <v/>
      </c>
      <c r="F7" s="17">
        <f>IFERROR(-(INDEX(HIST_D!$K$8:$K$791,1)/INDEX(HIST_D!$K$8:$K$791,Control!$B$10)-1),"")</f>
        <v/>
      </c>
      <c r="G7" s="17">
        <f>IFERROR(E7-F7,"")</f>
        <v/>
      </c>
      <c r="H7" s="40">
        <f>IFERROR(IF(ABS(F7)&lt;0.005,"n/m",E7/F7),"n/m")</f>
        <v/>
      </c>
      <c r="I7" s="41">
        <f>IFERROR(SLOPE(HIST_D!$DT$8:INDEX(HIST_D!$DT$8:$DT$791,Control!$B$12),HIST_D!$CX$8:INDEX(HIST_D!$CX$8:$CX$791,Control!$B$12)),"")</f>
        <v/>
      </c>
      <c r="J7" s="17">
        <f>IFERROR(I7*(INDEX(HIST_D!$K$8:$K$791,1)/INDEX(HIST_D!$K$8:$K$791,Control!$B$10)-1),"")</f>
        <v/>
      </c>
      <c r="K7" s="48">
        <f>IFERROR(E7-J7,"")</f>
        <v/>
      </c>
      <c r="L7" s="47">
        <f>IFERROR((INDEX(HIST_D!$O$8:$O$791,Control!$B$11)/INDEX(HIST_D!$O$8:$O$791,1)-1),"")</f>
        <v/>
      </c>
      <c r="M7" s="17">
        <f>IFERROR(-(INDEX(HIST_D!$K$8:$K$791,1)/INDEX(HIST_D!$K$8:$K$791,Control!$B$11)-1),"")</f>
        <v/>
      </c>
      <c r="N7" s="17">
        <f>IFERROR(L7-M7,"")</f>
        <v/>
      </c>
      <c r="O7" s="40">
        <f>IFERROR(IF(ABS(M7)&lt;0.005,"n/m",L7/M7),"n/m")</f>
        <v/>
      </c>
      <c r="P7" s="41">
        <f>IFERROR(SLOPE(HIST_D!$DT$8:INDEX(HIST_D!$DT$8:$DT$791,Control!$B$12),HIST_D!$CX$8:INDEX(HIST_D!$CX$8:$CX$791,Control!$B$12)),"")</f>
        <v/>
      </c>
      <c r="Q7" s="17">
        <f>IFERROR(P7*(INDEX(HIST_D!$K$8:$K$791,1)/INDEX(HIST_D!$K$8:$K$791,Control!$B$11)-1),"")</f>
        <v/>
      </c>
      <c r="R7" s="48">
        <f>IFERROR(L7-Q7,"")</f>
        <v/>
      </c>
    </row>
    <row r="8">
      <c r="A8" s="13" t="inlineStr">
        <is>
          <t>Chile</t>
        </is>
      </c>
      <c r="B8" s="39" t="inlineStr">
        <is>
          <t>LatAm</t>
        </is>
      </c>
      <c r="C8" s="46">
        <f>INDEX(HIST_D!$P$8:$P$791,1)</f>
        <v/>
      </c>
      <c r="D8" s="39" t="inlineStr">
        <is>
          <t>yes</t>
        </is>
      </c>
      <c r="E8" s="47">
        <f>IFERROR((INDEX(HIST_D!$P$8:$P$791,Control!$B$10)/INDEX(HIST_D!$P$8:$P$791,1)-1),"")</f>
        <v/>
      </c>
      <c r="F8" s="17">
        <f>IFERROR(-(INDEX(HIST_D!$K$8:$K$791,1)/INDEX(HIST_D!$K$8:$K$791,Control!$B$10)-1),"")</f>
        <v/>
      </c>
      <c r="G8" s="17">
        <f>IFERROR(E8-F8,"")</f>
        <v/>
      </c>
      <c r="H8" s="40">
        <f>IFERROR(IF(ABS(F8)&lt;0.005,"n/m",E8/F8),"n/m")</f>
        <v/>
      </c>
      <c r="I8" s="41">
        <f>IFERROR(SLOPE(HIST_D!$DU$8:INDEX(HIST_D!$DU$8:$DU$791,Control!$B$12),HIST_D!$CX$8:INDEX(HIST_D!$CX$8:$CX$791,Control!$B$12)),"")</f>
        <v/>
      </c>
      <c r="J8" s="17">
        <f>IFERROR(I8*(INDEX(HIST_D!$K$8:$K$791,1)/INDEX(HIST_D!$K$8:$K$791,Control!$B$10)-1),"")</f>
        <v/>
      </c>
      <c r="K8" s="48">
        <f>IFERROR(E8-J8,"")</f>
        <v/>
      </c>
      <c r="L8" s="47">
        <f>IFERROR((INDEX(HIST_D!$P$8:$P$791,Control!$B$11)/INDEX(HIST_D!$P$8:$P$791,1)-1),"")</f>
        <v/>
      </c>
      <c r="M8" s="17">
        <f>IFERROR(-(INDEX(HIST_D!$K$8:$K$791,1)/INDEX(HIST_D!$K$8:$K$791,Control!$B$11)-1),"")</f>
        <v/>
      </c>
      <c r="N8" s="17">
        <f>IFERROR(L8-M8,"")</f>
        <v/>
      </c>
      <c r="O8" s="40">
        <f>IFERROR(IF(ABS(M8)&lt;0.005,"n/m",L8/M8),"n/m")</f>
        <v/>
      </c>
      <c r="P8" s="41">
        <f>IFERROR(SLOPE(HIST_D!$DU$8:INDEX(HIST_D!$DU$8:$DU$791,Control!$B$12),HIST_D!$CX$8:INDEX(HIST_D!$CX$8:$CX$791,Control!$B$12)),"")</f>
        <v/>
      </c>
      <c r="Q8" s="17">
        <f>IFERROR(P8*(INDEX(HIST_D!$K$8:$K$791,1)/INDEX(HIST_D!$K$8:$K$791,Control!$B$11)-1),"")</f>
        <v/>
      </c>
      <c r="R8" s="48">
        <f>IFERROR(L8-Q8,"")</f>
        <v/>
      </c>
    </row>
    <row r="9">
      <c r="A9" s="13" t="inlineStr">
        <is>
          <t>Colombia</t>
        </is>
      </c>
      <c r="B9" s="39" t="inlineStr">
        <is>
          <t>LatAm</t>
        </is>
      </c>
      <c r="C9" s="46">
        <f>INDEX(HIST_D!$Q$8:$Q$791,1)</f>
        <v/>
      </c>
      <c r="D9" s="39" t="inlineStr">
        <is>
          <t>yes</t>
        </is>
      </c>
      <c r="E9" s="47">
        <f>IFERROR((INDEX(HIST_D!$Q$8:$Q$791,Control!$B$10)/INDEX(HIST_D!$Q$8:$Q$791,1)-1),"")</f>
        <v/>
      </c>
      <c r="F9" s="17">
        <f>IFERROR(-(INDEX(HIST_D!$K$8:$K$791,1)/INDEX(HIST_D!$K$8:$K$791,Control!$B$10)-1),"")</f>
        <v/>
      </c>
      <c r="G9" s="17">
        <f>IFERROR(E9-F9,"")</f>
        <v/>
      </c>
      <c r="H9" s="40">
        <f>IFERROR(IF(ABS(F9)&lt;0.005,"n/m",E9/F9),"n/m")</f>
        <v/>
      </c>
      <c r="I9" s="41">
        <f>IFERROR(SLOPE(HIST_D!$DV$8:INDEX(HIST_D!$DV$8:$DV$791,Control!$B$12),HIST_D!$CX$8:INDEX(HIST_D!$CX$8:$CX$791,Control!$B$12)),"")</f>
        <v/>
      </c>
      <c r="J9" s="17">
        <f>IFERROR(I9*(INDEX(HIST_D!$K$8:$K$791,1)/INDEX(HIST_D!$K$8:$K$791,Control!$B$10)-1),"")</f>
        <v/>
      </c>
      <c r="K9" s="48">
        <f>IFERROR(E9-J9,"")</f>
        <v/>
      </c>
      <c r="L9" s="47">
        <f>IFERROR((INDEX(HIST_D!$Q$8:$Q$791,Control!$B$11)/INDEX(HIST_D!$Q$8:$Q$791,1)-1),"")</f>
        <v/>
      </c>
      <c r="M9" s="17">
        <f>IFERROR(-(INDEX(HIST_D!$K$8:$K$791,1)/INDEX(HIST_D!$K$8:$K$791,Control!$B$11)-1),"")</f>
        <v/>
      </c>
      <c r="N9" s="17">
        <f>IFERROR(L9-M9,"")</f>
        <v/>
      </c>
      <c r="O9" s="40">
        <f>IFERROR(IF(ABS(M9)&lt;0.005,"n/m",L9/M9),"n/m")</f>
        <v/>
      </c>
      <c r="P9" s="41">
        <f>IFERROR(SLOPE(HIST_D!$DV$8:INDEX(HIST_D!$DV$8:$DV$791,Control!$B$12),HIST_D!$CX$8:INDEX(HIST_D!$CX$8:$CX$791,Control!$B$12)),"")</f>
        <v/>
      </c>
      <c r="Q9" s="17">
        <f>IFERROR(P9*(INDEX(HIST_D!$K$8:$K$791,1)/INDEX(HIST_D!$K$8:$K$791,Control!$B$11)-1),"")</f>
        <v/>
      </c>
      <c r="R9" s="48">
        <f>IFERROR(L9-Q9,"")</f>
        <v/>
      </c>
    </row>
    <row r="10">
      <c r="A10" s="13" t="inlineStr">
        <is>
          <t>Peru</t>
        </is>
      </c>
      <c r="B10" s="39" t="inlineStr">
        <is>
          <t>LatAm</t>
        </is>
      </c>
      <c r="C10" s="46">
        <f>INDEX(HIST_D!$R$8:$R$791,1)</f>
        <v/>
      </c>
      <c r="D10" s="39" t="inlineStr">
        <is>
          <t>yes</t>
        </is>
      </c>
      <c r="E10" s="47">
        <f>IFERROR((INDEX(HIST_D!$R$8:$R$791,Control!$B$10)/INDEX(HIST_D!$R$8:$R$791,1)-1),"")</f>
        <v/>
      </c>
      <c r="F10" s="17">
        <f>IFERROR(-(INDEX(HIST_D!$K$8:$K$791,1)/INDEX(HIST_D!$K$8:$K$791,Control!$B$10)-1),"")</f>
        <v/>
      </c>
      <c r="G10" s="17">
        <f>IFERROR(E10-F10,"")</f>
        <v/>
      </c>
      <c r="H10" s="40">
        <f>IFERROR(IF(ABS(F10)&lt;0.005,"n/m",E10/F10),"n/m")</f>
        <v/>
      </c>
      <c r="I10" s="41">
        <f>IFERROR(SLOPE(HIST_D!$DW$8:INDEX(HIST_D!$DW$8:$DW$791,Control!$B$12),HIST_D!$CX$8:INDEX(HIST_D!$CX$8:$CX$791,Control!$B$12)),"")</f>
        <v/>
      </c>
      <c r="J10" s="17">
        <f>IFERROR(I10*(INDEX(HIST_D!$K$8:$K$791,1)/INDEX(HIST_D!$K$8:$K$791,Control!$B$10)-1),"")</f>
        <v/>
      </c>
      <c r="K10" s="48">
        <f>IFERROR(E10-J10,"")</f>
        <v/>
      </c>
      <c r="L10" s="47">
        <f>IFERROR((INDEX(HIST_D!$R$8:$R$791,Control!$B$11)/INDEX(HIST_D!$R$8:$R$791,1)-1),"")</f>
        <v/>
      </c>
      <c r="M10" s="17">
        <f>IFERROR(-(INDEX(HIST_D!$K$8:$K$791,1)/INDEX(HIST_D!$K$8:$K$791,Control!$B$11)-1),"")</f>
        <v/>
      </c>
      <c r="N10" s="17">
        <f>IFERROR(L10-M10,"")</f>
        <v/>
      </c>
      <c r="O10" s="40">
        <f>IFERROR(IF(ABS(M10)&lt;0.005,"n/m",L10/M10),"n/m")</f>
        <v/>
      </c>
      <c r="P10" s="41">
        <f>IFERROR(SLOPE(HIST_D!$DW$8:INDEX(HIST_D!$DW$8:$DW$791,Control!$B$12),HIST_D!$CX$8:INDEX(HIST_D!$CX$8:$CX$791,Control!$B$12)),"")</f>
        <v/>
      </c>
      <c r="Q10" s="17">
        <f>IFERROR(P10*(INDEX(HIST_D!$K$8:$K$791,1)/INDEX(HIST_D!$K$8:$K$791,Control!$B$11)-1),"")</f>
        <v/>
      </c>
      <c r="R10" s="48">
        <f>IFERROR(L10-Q10,"")</f>
        <v/>
      </c>
    </row>
    <row r="11">
      <c r="A11" s="18" t="inlineStr">
        <is>
          <t>LatAm average</t>
        </is>
      </c>
      <c r="B11" s="39" t="inlineStr">
        <is>
          <t>n=5</t>
        </is>
      </c>
      <c r="C11" s="13" t="inlineStr"/>
      <c r="D11" s="13" t="inlineStr"/>
      <c r="E11" s="47">
        <f>IFERROR(AVERAGE(E6,E7,E8,E9,E10),"")</f>
        <v/>
      </c>
      <c r="F11" s="47">
        <f>IFERROR(AVERAGE(F6,F7,F8,F9,F10),"")</f>
        <v/>
      </c>
      <c r="G11" s="47">
        <f>IFERROR(AVERAGE(G6,G7,G8,G9,G10),"")</f>
        <v/>
      </c>
      <c r="H11" s="43">
        <f>IFERROR(IF(ABS(F11)&lt;0.005,"n/m",E11/F11),"n/m")</f>
        <v/>
      </c>
      <c r="I11" s="44">
        <f>IFERROR(AVERAGE(I6,I7,I8,I9,I10),"")</f>
        <v/>
      </c>
      <c r="J11" s="47">
        <f>IFERROR(AVERAGE(J6,J7,J8,J9,J10),"")</f>
        <v/>
      </c>
      <c r="K11" s="47">
        <f>IFERROR(AVERAGE(K6,K7,K8,K9,K10),"")</f>
        <v/>
      </c>
      <c r="L11" s="47">
        <f>IFERROR(AVERAGE(L6,L7,L8,L9,L10),"")</f>
        <v/>
      </c>
      <c r="M11" s="47">
        <f>IFERROR(AVERAGE(M6,M7,M8,M9,M10),"")</f>
        <v/>
      </c>
      <c r="N11" s="47">
        <f>IFERROR(AVERAGE(N6,N7,N8,N9,N10),"")</f>
        <v/>
      </c>
      <c r="O11" s="43">
        <f>IFERROR(IF(ABS(M11)&lt;0.005,"n/m",L11/M11),"n/m")</f>
        <v/>
      </c>
      <c r="P11" s="44">
        <f>IFERROR(AVERAGE(P6,P7,P8,P9,P10),"")</f>
        <v/>
      </c>
      <c r="Q11" s="47">
        <f>IFERROR(AVERAGE(Q6,Q7,Q8,Q9,Q10),"")</f>
        <v/>
      </c>
      <c r="R11" s="47">
        <f>IFERROR(AVERAGE(R6,R7,R8,R9,R10),"")</f>
        <v/>
      </c>
    </row>
    <row r="12">
      <c r="A12" s="7">
        <f>IFERROR("LatAm: the currency returned "&amp;TEXT($E$11,"+0.0%;-0.0%")&amp;" on the month; a beta-of-one to the dollar implies "&amp;TEXT($F$11,"+0.0%;-0.0%")&amp;", so "&amp;TEXT($G$11,"+0.0%;-0.0%")&amp;" is ex-dollar"&amp;IF(ISNUMBER($H$11)," (pass-through "&amp;TEXT($H$11,"0.00")&amp;"x)","")&amp;". Against its 2y beta to DXY of "&amp;TEXT($I$11,"0.00")&amp;" the surprise is "&amp;TEXT($K$11,"+0.0%;-0.0%")&amp;". YTD: "&amp;TEXT($L$11,"+0.0%;-0.0%")&amp;", of which "&amp;TEXT($N$11,"+0.0%;-0.0%")&amp;" ex-dollar. "&amp;IF($K$11&gt;0.005,"Stronger than the dollar relationship implies — intrinsic support.",IF($K$11&lt;-0.005,"Weaker than the dollar relationship implies — intrinsic pressure.","In line with the dollar; nothing EM-specific here.")),"")</f>
        <v/>
      </c>
    </row>
    <row r="14" ht="16" customHeight="1">
      <c r="A14" s="37" t="inlineStr">
        <is>
          <t>EM EUROPE</t>
        </is>
      </c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</row>
    <row r="15" ht="40" customHeight="1">
      <c r="A15" s="12" t="inlineStr">
        <is>
          <t>Country</t>
        </is>
      </c>
      <c r="B15" s="12" t="inlineStr">
        <is>
          <t>Region</t>
        </is>
      </c>
      <c r="C15" s="12" t="inlineStr">
        <is>
          <t>Level</t>
        </is>
      </c>
      <c r="D15" s="12" t="inlineStr">
        <is>
          <t>In avg</t>
        </is>
      </c>
      <c r="E15" s="12" t="inlineStr">
        <is>
          <t>1M: Total: return on EM ccy</t>
        </is>
      </c>
      <c r="F15" s="12" t="inlineStr">
        <is>
          <t>1M: US-driven: -(DXY return)</t>
        </is>
      </c>
      <c r="G15" s="12" t="inlineStr">
        <is>
          <t>1M: Intrinsic: return ex-dollar</t>
        </is>
      </c>
      <c r="H15" s="12" t="inlineStr">
        <is>
          <t>1M: Pass-through (total / US)</t>
        </is>
      </c>
      <c r="I15" s="12" t="inlineStr">
        <is>
          <t>1M: Beta to DXY (2y)</t>
        </is>
      </c>
      <c r="J15" s="12" t="inlineStr">
        <is>
          <t>1M: Predicted by beta</t>
        </is>
      </c>
      <c r="K15" s="12" t="inlineStr">
        <is>
          <t>1M: Surprise: actual less predicted</t>
        </is>
      </c>
      <c r="L15" s="12" t="inlineStr">
        <is>
          <t>YTD: Total: return on EM ccy</t>
        </is>
      </c>
      <c r="M15" s="12" t="inlineStr">
        <is>
          <t>YTD: US-driven: -(DXY return)</t>
        </is>
      </c>
      <c r="N15" s="12" t="inlineStr">
        <is>
          <t>YTD: Intrinsic: return ex-dollar</t>
        </is>
      </c>
      <c r="O15" s="12" t="inlineStr">
        <is>
          <t>YTD: Pass-through (total / US)</t>
        </is>
      </c>
      <c r="P15" s="12" t="inlineStr">
        <is>
          <t>YTD: Beta to DXY (2y)</t>
        </is>
      </c>
      <c r="Q15" s="12" t="inlineStr">
        <is>
          <t>YTD: Predicted by beta</t>
        </is>
      </c>
      <c r="R15" s="12" t="inlineStr">
        <is>
          <t>YTD: Surprise: actual less predicted</t>
        </is>
      </c>
    </row>
    <row r="16">
      <c r="A16" s="13" t="inlineStr">
        <is>
          <t>Poland</t>
        </is>
      </c>
      <c r="B16" s="39" t="inlineStr">
        <is>
          <t>EM Europe</t>
        </is>
      </c>
      <c r="C16" s="46">
        <f>INDEX(HIST_D!$S$8:$S$791,1)</f>
        <v/>
      </c>
      <c r="D16" s="39" t="inlineStr">
        <is>
          <t>yes</t>
        </is>
      </c>
      <c r="E16" s="47">
        <f>IFERROR((INDEX(HIST_D!$S$8:$S$791,Control!$B$10)/INDEX(HIST_D!$S$8:$S$791,1)-1),"")</f>
        <v/>
      </c>
      <c r="F16" s="17">
        <f>IFERROR(-(INDEX(HIST_D!$K$8:$K$791,1)/INDEX(HIST_D!$K$8:$K$791,Control!$B$10)-1),"")</f>
        <v/>
      </c>
      <c r="G16" s="17">
        <f>IFERROR(E16-F16,"")</f>
        <v/>
      </c>
      <c r="H16" s="40">
        <f>IFERROR(IF(ABS(F16)&lt;0.005,"n/m",E16/F16),"n/m")</f>
        <v/>
      </c>
      <c r="I16" s="41">
        <f>IFERROR(SLOPE(HIST_D!$DX$8:INDEX(HIST_D!$DX$8:$DX$791,Control!$B$12),HIST_D!$CX$8:INDEX(HIST_D!$CX$8:$CX$791,Control!$B$12)),"")</f>
        <v/>
      </c>
      <c r="J16" s="17">
        <f>IFERROR(I16*(INDEX(HIST_D!$K$8:$K$791,1)/INDEX(HIST_D!$K$8:$K$791,Control!$B$10)-1),"")</f>
        <v/>
      </c>
      <c r="K16" s="48">
        <f>IFERROR(E16-J16,"")</f>
        <v/>
      </c>
      <c r="L16" s="47">
        <f>IFERROR((INDEX(HIST_D!$S$8:$S$791,Control!$B$11)/INDEX(HIST_D!$S$8:$S$791,1)-1),"")</f>
        <v/>
      </c>
      <c r="M16" s="17">
        <f>IFERROR(-(INDEX(HIST_D!$K$8:$K$791,1)/INDEX(HIST_D!$K$8:$K$791,Control!$B$11)-1),"")</f>
        <v/>
      </c>
      <c r="N16" s="17">
        <f>IFERROR(L16-M16,"")</f>
        <v/>
      </c>
      <c r="O16" s="40">
        <f>IFERROR(IF(ABS(M16)&lt;0.005,"n/m",L16/M16),"n/m")</f>
        <v/>
      </c>
      <c r="P16" s="41">
        <f>IFERROR(SLOPE(HIST_D!$DX$8:INDEX(HIST_D!$DX$8:$DX$791,Control!$B$12),HIST_D!$CX$8:INDEX(HIST_D!$CX$8:$CX$791,Control!$B$12)),"")</f>
        <v/>
      </c>
      <c r="Q16" s="17">
        <f>IFERROR(P16*(INDEX(HIST_D!$K$8:$K$791,1)/INDEX(HIST_D!$K$8:$K$791,Control!$B$11)-1),"")</f>
        <v/>
      </c>
      <c r="R16" s="48">
        <f>IFERROR(L16-Q16,"")</f>
        <v/>
      </c>
    </row>
    <row r="17">
      <c r="A17" s="13" t="inlineStr">
        <is>
          <t>Hungary</t>
        </is>
      </c>
      <c r="B17" s="39" t="inlineStr">
        <is>
          <t>EM Europe</t>
        </is>
      </c>
      <c r="C17" s="46">
        <f>INDEX(HIST_D!$T$8:$T$791,1)</f>
        <v/>
      </c>
      <c r="D17" s="39" t="inlineStr">
        <is>
          <t>yes</t>
        </is>
      </c>
      <c r="E17" s="47">
        <f>IFERROR((INDEX(HIST_D!$T$8:$T$791,Control!$B$10)/INDEX(HIST_D!$T$8:$T$791,1)-1),"")</f>
        <v/>
      </c>
      <c r="F17" s="17">
        <f>IFERROR(-(INDEX(HIST_D!$K$8:$K$791,1)/INDEX(HIST_D!$K$8:$K$791,Control!$B$10)-1),"")</f>
        <v/>
      </c>
      <c r="G17" s="17">
        <f>IFERROR(E17-F17,"")</f>
        <v/>
      </c>
      <c r="H17" s="40">
        <f>IFERROR(IF(ABS(F17)&lt;0.005,"n/m",E17/F17),"n/m")</f>
        <v/>
      </c>
      <c r="I17" s="41">
        <f>IFERROR(SLOPE(HIST_D!$DY$8:INDEX(HIST_D!$DY$8:$DY$791,Control!$B$12),HIST_D!$CX$8:INDEX(HIST_D!$CX$8:$CX$791,Control!$B$12)),"")</f>
        <v/>
      </c>
      <c r="J17" s="17">
        <f>IFERROR(I17*(INDEX(HIST_D!$K$8:$K$791,1)/INDEX(HIST_D!$K$8:$K$791,Control!$B$10)-1),"")</f>
        <v/>
      </c>
      <c r="K17" s="48">
        <f>IFERROR(E17-J17,"")</f>
        <v/>
      </c>
      <c r="L17" s="47">
        <f>IFERROR((INDEX(HIST_D!$T$8:$T$791,Control!$B$11)/INDEX(HIST_D!$T$8:$T$791,1)-1),"")</f>
        <v/>
      </c>
      <c r="M17" s="17">
        <f>IFERROR(-(INDEX(HIST_D!$K$8:$K$791,1)/INDEX(HIST_D!$K$8:$K$791,Control!$B$11)-1),"")</f>
        <v/>
      </c>
      <c r="N17" s="17">
        <f>IFERROR(L17-M17,"")</f>
        <v/>
      </c>
      <c r="O17" s="40">
        <f>IFERROR(IF(ABS(M17)&lt;0.005,"n/m",L17/M17),"n/m")</f>
        <v/>
      </c>
      <c r="P17" s="41">
        <f>IFERROR(SLOPE(HIST_D!$DY$8:INDEX(HIST_D!$DY$8:$DY$791,Control!$B$12),HIST_D!$CX$8:INDEX(HIST_D!$CX$8:$CX$791,Control!$B$12)),"")</f>
        <v/>
      </c>
      <c r="Q17" s="17">
        <f>IFERROR(P17*(INDEX(HIST_D!$K$8:$K$791,1)/INDEX(HIST_D!$K$8:$K$791,Control!$B$11)-1),"")</f>
        <v/>
      </c>
      <c r="R17" s="48">
        <f>IFERROR(L17-Q17,"")</f>
        <v/>
      </c>
    </row>
    <row r="18">
      <c r="A18" s="13" t="inlineStr">
        <is>
          <t>Czechia</t>
        </is>
      </c>
      <c r="B18" s="39" t="inlineStr">
        <is>
          <t>EM Europe</t>
        </is>
      </c>
      <c r="C18" s="46">
        <f>INDEX(HIST_D!$U$8:$U$791,1)</f>
        <v/>
      </c>
      <c r="D18" s="39" t="inlineStr">
        <is>
          <t>yes</t>
        </is>
      </c>
      <c r="E18" s="47">
        <f>IFERROR((INDEX(HIST_D!$U$8:$U$791,Control!$B$10)/INDEX(HIST_D!$U$8:$U$791,1)-1),"")</f>
        <v/>
      </c>
      <c r="F18" s="17">
        <f>IFERROR(-(INDEX(HIST_D!$K$8:$K$791,1)/INDEX(HIST_D!$K$8:$K$791,Control!$B$10)-1),"")</f>
        <v/>
      </c>
      <c r="G18" s="17">
        <f>IFERROR(E18-F18,"")</f>
        <v/>
      </c>
      <c r="H18" s="40">
        <f>IFERROR(IF(ABS(F18)&lt;0.005,"n/m",E18/F18),"n/m")</f>
        <v/>
      </c>
      <c r="I18" s="41">
        <f>IFERROR(SLOPE(HIST_D!$DZ$8:INDEX(HIST_D!$DZ$8:$DZ$791,Control!$B$12),HIST_D!$CX$8:INDEX(HIST_D!$CX$8:$CX$791,Control!$B$12)),"")</f>
        <v/>
      </c>
      <c r="J18" s="17">
        <f>IFERROR(I18*(INDEX(HIST_D!$K$8:$K$791,1)/INDEX(HIST_D!$K$8:$K$791,Control!$B$10)-1),"")</f>
        <v/>
      </c>
      <c r="K18" s="48">
        <f>IFERROR(E18-J18,"")</f>
        <v/>
      </c>
      <c r="L18" s="47">
        <f>IFERROR((INDEX(HIST_D!$U$8:$U$791,Control!$B$11)/INDEX(HIST_D!$U$8:$U$791,1)-1),"")</f>
        <v/>
      </c>
      <c r="M18" s="17">
        <f>IFERROR(-(INDEX(HIST_D!$K$8:$K$791,1)/INDEX(HIST_D!$K$8:$K$791,Control!$B$11)-1),"")</f>
        <v/>
      </c>
      <c r="N18" s="17">
        <f>IFERROR(L18-M18,"")</f>
        <v/>
      </c>
      <c r="O18" s="40">
        <f>IFERROR(IF(ABS(M18)&lt;0.005,"n/m",L18/M18),"n/m")</f>
        <v/>
      </c>
      <c r="P18" s="41">
        <f>IFERROR(SLOPE(HIST_D!$DZ$8:INDEX(HIST_D!$DZ$8:$DZ$791,Control!$B$12),HIST_D!$CX$8:INDEX(HIST_D!$CX$8:$CX$791,Control!$B$12)),"")</f>
        <v/>
      </c>
      <c r="Q18" s="17">
        <f>IFERROR(P18*(INDEX(HIST_D!$K$8:$K$791,1)/INDEX(HIST_D!$K$8:$K$791,Control!$B$11)-1),"")</f>
        <v/>
      </c>
      <c r="R18" s="48">
        <f>IFERROR(L18-Q18,"")</f>
        <v/>
      </c>
    </row>
    <row r="19">
      <c r="A19" s="13" t="inlineStr">
        <is>
          <t>Romania</t>
        </is>
      </c>
      <c r="B19" s="39" t="inlineStr">
        <is>
          <t>EM Europe</t>
        </is>
      </c>
      <c r="C19" s="46">
        <f>INDEX(HIST_D!$V$8:$V$791,1)</f>
        <v/>
      </c>
      <c r="D19" s="39" t="inlineStr">
        <is>
          <t>yes</t>
        </is>
      </c>
      <c r="E19" s="47">
        <f>IFERROR((INDEX(HIST_D!$V$8:$V$791,Control!$B$10)/INDEX(HIST_D!$V$8:$V$791,1)-1),"")</f>
        <v/>
      </c>
      <c r="F19" s="17">
        <f>IFERROR(-(INDEX(HIST_D!$K$8:$K$791,1)/INDEX(HIST_D!$K$8:$K$791,Control!$B$10)-1),"")</f>
        <v/>
      </c>
      <c r="G19" s="17">
        <f>IFERROR(E19-F19,"")</f>
        <v/>
      </c>
      <c r="H19" s="40">
        <f>IFERROR(IF(ABS(F19)&lt;0.005,"n/m",E19/F19),"n/m")</f>
        <v/>
      </c>
      <c r="I19" s="41">
        <f>IFERROR(SLOPE(HIST_D!$EA$8:INDEX(HIST_D!$EA$8:$EA$791,Control!$B$12),HIST_D!$CX$8:INDEX(HIST_D!$CX$8:$CX$791,Control!$B$12)),"")</f>
        <v/>
      </c>
      <c r="J19" s="17">
        <f>IFERROR(I19*(INDEX(HIST_D!$K$8:$K$791,1)/INDEX(HIST_D!$K$8:$K$791,Control!$B$10)-1),"")</f>
        <v/>
      </c>
      <c r="K19" s="48">
        <f>IFERROR(E19-J19,"")</f>
        <v/>
      </c>
      <c r="L19" s="47">
        <f>IFERROR((INDEX(HIST_D!$V$8:$V$791,Control!$B$11)/INDEX(HIST_D!$V$8:$V$791,1)-1),"")</f>
        <v/>
      </c>
      <c r="M19" s="17">
        <f>IFERROR(-(INDEX(HIST_D!$K$8:$K$791,1)/INDEX(HIST_D!$K$8:$K$791,Control!$B$11)-1),"")</f>
        <v/>
      </c>
      <c r="N19" s="17">
        <f>IFERROR(L19-M19,"")</f>
        <v/>
      </c>
      <c r="O19" s="40">
        <f>IFERROR(IF(ABS(M19)&lt;0.005,"n/m",L19/M19),"n/m")</f>
        <v/>
      </c>
      <c r="P19" s="41">
        <f>IFERROR(SLOPE(HIST_D!$EA$8:INDEX(HIST_D!$EA$8:$EA$791,Control!$B$12),HIST_D!$CX$8:INDEX(HIST_D!$CX$8:$CX$791,Control!$B$12)),"")</f>
        <v/>
      </c>
      <c r="Q19" s="17">
        <f>IFERROR(P19*(INDEX(HIST_D!$K$8:$K$791,1)/INDEX(HIST_D!$K$8:$K$791,Control!$B$11)-1),"")</f>
        <v/>
      </c>
      <c r="R19" s="48">
        <f>IFERROR(L19-Q19,"")</f>
        <v/>
      </c>
    </row>
    <row r="20">
      <c r="A20" s="13" t="inlineStr">
        <is>
          <t>Turkiye</t>
        </is>
      </c>
      <c r="B20" s="39" t="inlineStr">
        <is>
          <t>EM Europe</t>
        </is>
      </c>
      <c r="C20" s="46">
        <f>INDEX(HIST_D!$W$8:$W$791,1)</f>
        <v/>
      </c>
      <c r="D20" s="45" t="inlineStr">
        <is>
          <t>no</t>
        </is>
      </c>
      <c r="E20" s="47">
        <f>IFERROR((INDEX(HIST_D!$W$8:$W$791,Control!$B$10)/INDEX(HIST_D!$W$8:$W$791,1)-1),"")</f>
        <v/>
      </c>
      <c r="F20" s="17">
        <f>IFERROR(-(INDEX(HIST_D!$K$8:$K$791,1)/INDEX(HIST_D!$K$8:$K$791,Control!$B$10)-1),"")</f>
        <v/>
      </c>
      <c r="G20" s="17">
        <f>IFERROR(E20-F20,"")</f>
        <v/>
      </c>
      <c r="H20" s="40">
        <f>IFERROR(IF(ABS(F20)&lt;0.005,"n/m",E20/F20),"n/m")</f>
        <v/>
      </c>
      <c r="I20" s="41">
        <f>IFERROR(SLOPE(HIST_D!$EB$8:INDEX(HIST_D!$EB$8:$EB$791,Control!$B$12),HIST_D!$CX$8:INDEX(HIST_D!$CX$8:$CX$791,Control!$B$12)),"")</f>
        <v/>
      </c>
      <c r="J20" s="17">
        <f>IFERROR(I20*(INDEX(HIST_D!$K$8:$K$791,1)/INDEX(HIST_D!$K$8:$K$791,Control!$B$10)-1),"")</f>
        <v/>
      </c>
      <c r="K20" s="48">
        <f>IFERROR(E20-J20,"")</f>
        <v/>
      </c>
      <c r="L20" s="47">
        <f>IFERROR((INDEX(HIST_D!$W$8:$W$791,Control!$B$11)/INDEX(HIST_D!$W$8:$W$791,1)-1),"")</f>
        <v/>
      </c>
      <c r="M20" s="17">
        <f>IFERROR(-(INDEX(HIST_D!$K$8:$K$791,1)/INDEX(HIST_D!$K$8:$K$791,Control!$B$11)-1),"")</f>
        <v/>
      </c>
      <c r="N20" s="17">
        <f>IFERROR(L20-M20,"")</f>
        <v/>
      </c>
      <c r="O20" s="40">
        <f>IFERROR(IF(ABS(M20)&lt;0.005,"n/m",L20/M20),"n/m")</f>
        <v/>
      </c>
      <c r="P20" s="41">
        <f>IFERROR(SLOPE(HIST_D!$EB$8:INDEX(HIST_D!$EB$8:$EB$791,Control!$B$12),HIST_D!$CX$8:INDEX(HIST_D!$CX$8:$CX$791,Control!$B$12)),"")</f>
        <v/>
      </c>
      <c r="Q20" s="17">
        <f>IFERROR(P20*(INDEX(HIST_D!$K$8:$K$791,1)/INDEX(HIST_D!$K$8:$K$791,Control!$B$11)-1),"")</f>
        <v/>
      </c>
      <c r="R20" s="48">
        <f>IFERROR(L20-Q20,"")</f>
        <v/>
      </c>
      <c r="S20" s="7" t="inlineStr">
        <is>
          <t>excluded from rates and FX averages: structural depreciation and a 30% curve swamp an equal weight</t>
        </is>
      </c>
    </row>
    <row r="21">
      <c r="A21" s="18" t="inlineStr">
        <is>
          <t>EM Europe average</t>
        </is>
      </c>
      <c r="B21" s="39" t="inlineStr">
        <is>
          <t>n=4</t>
        </is>
      </c>
      <c r="C21" s="13" t="inlineStr"/>
      <c r="D21" s="13" t="inlineStr"/>
      <c r="E21" s="47">
        <f>IFERROR(AVERAGE(E16,E17,E18,E19),"")</f>
        <v/>
      </c>
      <c r="F21" s="47">
        <f>IFERROR(AVERAGE(F16,F17,F18,F19),"")</f>
        <v/>
      </c>
      <c r="G21" s="47">
        <f>IFERROR(AVERAGE(G16,G17,G18,G19),"")</f>
        <v/>
      </c>
      <c r="H21" s="43">
        <f>IFERROR(IF(ABS(F21)&lt;0.005,"n/m",E21/F21),"n/m")</f>
        <v/>
      </c>
      <c r="I21" s="44">
        <f>IFERROR(AVERAGE(I16,I17,I18,I19),"")</f>
        <v/>
      </c>
      <c r="J21" s="47">
        <f>IFERROR(AVERAGE(J16,J17,J18,J19),"")</f>
        <v/>
      </c>
      <c r="K21" s="47">
        <f>IFERROR(AVERAGE(K16,K17,K18,K19),"")</f>
        <v/>
      </c>
      <c r="L21" s="47">
        <f>IFERROR(AVERAGE(L16,L17,L18,L19),"")</f>
        <v/>
      </c>
      <c r="M21" s="47">
        <f>IFERROR(AVERAGE(M16,M17,M18,M19),"")</f>
        <v/>
      </c>
      <c r="N21" s="47">
        <f>IFERROR(AVERAGE(N16,N17,N18,N19),"")</f>
        <v/>
      </c>
      <c r="O21" s="43">
        <f>IFERROR(IF(ABS(M21)&lt;0.005,"n/m",L21/M21),"n/m")</f>
        <v/>
      </c>
      <c r="P21" s="44">
        <f>IFERROR(AVERAGE(P16,P17,P18,P19),"")</f>
        <v/>
      </c>
      <c r="Q21" s="47">
        <f>IFERROR(AVERAGE(Q16,Q17,Q18,Q19),"")</f>
        <v/>
      </c>
      <c r="R21" s="47">
        <f>IFERROR(AVERAGE(R16,R17,R18,R19),"")</f>
        <v/>
      </c>
    </row>
    <row r="22">
      <c r="A22" s="7">
        <f>IFERROR("EM Europe: the currency returned "&amp;TEXT($E$21,"+0.0%;-0.0%")&amp;" on the month; a beta-of-one to the dollar implies "&amp;TEXT($F$21,"+0.0%;-0.0%")&amp;", so "&amp;TEXT($G$21,"+0.0%;-0.0%")&amp;" is ex-dollar"&amp;IF(ISNUMBER($H$21)," (pass-through "&amp;TEXT($H$21,"0.00")&amp;"x)","")&amp;". Against its 2y beta to DXY of "&amp;TEXT($I$21,"0.00")&amp;" the surprise is "&amp;TEXT($K$21,"+0.0%;-0.0%")&amp;". YTD: "&amp;TEXT($L$21,"+0.0%;-0.0%")&amp;", of which "&amp;TEXT($N$21,"+0.0%;-0.0%")&amp;" ex-dollar. "&amp;IF($K$21&gt;0.005,"Stronger than the dollar relationship implies — intrinsic support.",IF($K$21&lt;-0.005,"Weaker than the dollar relationship implies — intrinsic pressure.","In line with the dollar; nothing EM-specific here.")),"")</f>
        <v/>
      </c>
    </row>
    <row r="24" ht="16" customHeight="1">
      <c r="A24" s="37" t="inlineStr">
        <is>
          <t>MIDDLE EAST</t>
        </is>
      </c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</row>
    <row r="25" ht="40" customHeight="1">
      <c r="A25" s="12" t="inlineStr">
        <is>
          <t>Country</t>
        </is>
      </c>
      <c r="B25" s="12" t="inlineStr">
        <is>
          <t>Region</t>
        </is>
      </c>
      <c r="C25" s="12" t="inlineStr">
        <is>
          <t>Level</t>
        </is>
      </c>
      <c r="D25" s="12" t="inlineStr">
        <is>
          <t>In avg</t>
        </is>
      </c>
      <c r="E25" s="12" t="inlineStr">
        <is>
          <t>1M: Total: return on EM ccy</t>
        </is>
      </c>
      <c r="F25" s="12" t="inlineStr">
        <is>
          <t>1M: US-driven: -(DXY return)</t>
        </is>
      </c>
      <c r="G25" s="12" t="inlineStr">
        <is>
          <t>1M: Intrinsic: return ex-dollar</t>
        </is>
      </c>
      <c r="H25" s="12" t="inlineStr">
        <is>
          <t>1M: Pass-through (total / US)</t>
        </is>
      </c>
      <c r="I25" s="12" t="inlineStr">
        <is>
          <t>1M: Beta to DXY (2y)</t>
        </is>
      </c>
      <c r="J25" s="12" t="inlineStr">
        <is>
          <t>1M: Predicted by beta</t>
        </is>
      </c>
      <c r="K25" s="12" t="inlineStr">
        <is>
          <t>1M: Surprise: actual less predicted</t>
        </is>
      </c>
      <c r="L25" s="12" t="inlineStr">
        <is>
          <t>YTD: Total: return on EM ccy</t>
        </is>
      </c>
      <c r="M25" s="12" t="inlineStr">
        <is>
          <t>YTD: US-driven: -(DXY return)</t>
        </is>
      </c>
      <c r="N25" s="12" t="inlineStr">
        <is>
          <t>YTD: Intrinsic: return ex-dollar</t>
        </is>
      </c>
      <c r="O25" s="12" t="inlineStr">
        <is>
          <t>YTD: Pass-through (total / US)</t>
        </is>
      </c>
      <c r="P25" s="12" t="inlineStr">
        <is>
          <t>YTD: Beta to DXY (2y)</t>
        </is>
      </c>
      <c r="Q25" s="12" t="inlineStr">
        <is>
          <t>YTD: Predicted by beta</t>
        </is>
      </c>
      <c r="R25" s="12" t="inlineStr">
        <is>
          <t>YTD: Surprise: actual less predicted</t>
        </is>
      </c>
    </row>
    <row r="26">
      <c r="A26" s="13" t="inlineStr">
        <is>
          <t>Israel</t>
        </is>
      </c>
      <c r="B26" s="39" t="inlineStr">
        <is>
          <t>Middle East</t>
        </is>
      </c>
      <c r="C26" s="46">
        <f>INDEX(HIST_D!$X$8:$X$791,1)</f>
        <v/>
      </c>
      <c r="D26" s="39" t="inlineStr">
        <is>
          <t>yes</t>
        </is>
      </c>
      <c r="E26" s="47">
        <f>IFERROR((INDEX(HIST_D!$X$8:$X$791,Control!$B$10)/INDEX(HIST_D!$X$8:$X$791,1)-1),"")</f>
        <v/>
      </c>
      <c r="F26" s="17">
        <f>IFERROR(-(INDEX(HIST_D!$K$8:$K$791,1)/INDEX(HIST_D!$K$8:$K$791,Control!$B$10)-1),"")</f>
        <v/>
      </c>
      <c r="G26" s="17">
        <f>IFERROR(E26-F26,"")</f>
        <v/>
      </c>
      <c r="H26" s="40">
        <f>IFERROR(IF(ABS(F26)&lt;0.005,"n/m",E26/F26),"n/m")</f>
        <v/>
      </c>
      <c r="I26" s="41">
        <f>IFERROR(SLOPE(HIST_D!$EC$8:INDEX(HIST_D!$EC$8:$EC$791,Control!$B$12),HIST_D!$CX$8:INDEX(HIST_D!$CX$8:$CX$791,Control!$B$12)),"")</f>
        <v/>
      </c>
      <c r="J26" s="17">
        <f>IFERROR(I26*(INDEX(HIST_D!$K$8:$K$791,1)/INDEX(HIST_D!$K$8:$K$791,Control!$B$10)-1),"")</f>
        <v/>
      </c>
      <c r="K26" s="48">
        <f>IFERROR(E26-J26,"")</f>
        <v/>
      </c>
      <c r="L26" s="47">
        <f>IFERROR((INDEX(HIST_D!$X$8:$X$791,Control!$B$11)/INDEX(HIST_D!$X$8:$X$791,1)-1),"")</f>
        <v/>
      </c>
      <c r="M26" s="17">
        <f>IFERROR(-(INDEX(HIST_D!$K$8:$K$791,1)/INDEX(HIST_D!$K$8:$K$791,Control!$B$11)-1),"")</f>
        <v/>
      </c>
      <c r="N26" s="17">
        <f>IFERROR(L26-M26,"")</f>
        <v/>
      </c>
      <c r="O26" s="40">
        <f>IFERROR(IF(ABS(M26)&lt;0.005,"n/m",L26/M26),"n/m")</f>
        <v/>
      </c>
      <c r="P26" s="41">
        <f>IFERROR(SLOPE(HIST_D!$EC$8:INDEX(HIST_D!$EC$8:$EC$791,Control!$B$12),HIST_D!$CX$8:INDEX(HIST_D!$CX$8:$CX$791,Control!$B$12)),"")</f>
        <v/>
      </c>
      <c r="Q26" s="17">
        <f>IFERROR(P26*(INDEX(HIST_D!$K$8:$K$791,1)/INDEX(HIST_D!$K$8:$K$791,Control!$B$11)-1),"")</f>
        <v/>
      </c>
      <c r="R26" s="48">
        <f>IFERROR(L26-Q26,"")</f>
        <v/>
      </c>
    </row>
    <row r="27">
      <c r="A27" s="13" t="inlineStr">
        <is>
          <t>Egypt</t>
        </is>
      </c>
      <c r="B27" s="39" t="inlineStr">
        <is>
          <t>Middle East</t>
        </is>
      </c>
      <c r="C27" s="46">
        <f>INDEX(HIST_D!$Y$8:$Y$791,1)</f>
        <v/>
      </c>
      <c r="D27" s="45" t="inlineStr">
        <is>
          <t>no</t>
        </is>
      </c>
      <c r="E27" s="47">
        <f>IFERROR((INDEX(HIST_D!$Y$8:$Y$791,Control!$B$10)/INDEX(HIST_D!$Y$8:$Y$791,1)-1),"")</f>
        <v/>
      </c>
      <c r="F27" s="17">
        <f>IFERROR(-(INDEX(HIST_D!$K$8:$K$791,1)/INDEX(HIST_D!$K$8:$K$791,Control!$B$10)-1),"")</f>
        <v/>
      </c>
      <c r="G27" s="17">
        <f>IFERROR(E27-F27,"")</f>
        <v/>
      </c>
      <c r="H27" s="40">
        <f>IFERROR(IF(ABS(F27)&lt;0.005,"n/m",E27/F27),"n/m")</f>
        <v/>
      </c>
      <c r="I27" s="41">
        <f>IFERROR(SLOPE(HIST_D!$ED$8:INDEX(HIST_D!$ED$8:$ED$791,Control!$B$12),HIST_D!$CX$8:INDEX(HIST_D!$CX$8:$CX$791,Control!$B$12)),"")</f>
        <v/>
      </c>
      <c r="J27" s="17">
        <f>IFERROR(I27*(INDEX(HIST_D!$K$8:$K$791,1)/INDEX(HIST_D!$K$8:$K$791,Control!$B$10)-1),"")</f>
        <v/>
      </c>
      <c r="K27" s="48">
        <f>IFERROR(E27-J27,"")</f>
        <v/>
      </c>
      <c r="L27" s="47">
        <f>IFERROR((INDEX(HIST_D!$Y$8:$Y$791,Control!$B$11)/INDEX(HIST_D!$Y$8:$Y$791,1)-1),"")</f>
        <v/>
      </c>
      <c r="M27" s="17">
        <f>IFERROR(-(INDEX(HIST_D!$K$8:$K$791,1)/INDEX(HIST_D!$K$8:$K$791,Control!$B$11)-1),"")</f>
        <v/>
      </c>
      <c r="N27" s="17">
        <f>IFERROR(L27-M27,"")</f>
        <v/>
      </c>
      <c r="O27" s="40">
        <f>IFERROR(IF(ABS(M27)&lt;0.005,"n/m",L27/M27),"n/m")</f>
        <v/>
      </c>
      <c r="P27" s="41">
        <f>IFERROR(SLOPE(HIST_D!$ED$8:INDEX(HIST_D!$ED$8:$ED$791,Control!$B$12),HIST_D!$CX$8:INDEX(HIST_D!$CX$8:$CX$791,Control!$B$12)),"")</f>
        <v/>
      </c>
      <c r="Q27" s="17">
        <f>IFERROR(P27*(INDEX(HIST_D!$K$8:$K$791,1)/INDEX(HIST_D!$K$8:$K$791,Control!$B$11)-1),"")</f>
        <v/>
      </c>
      <c r="R27" s="48">
        <f>IFERROR(L27-Q27,"")</f>
        <v/>
      </c>
      <c r="S27" s="7" t="inlineStr">
        <is>
          <t>excluded from FX average: managed float with step devaluations; GTEGP10Y is Verify</t>
        </is>
      </c>
    </row>
    <row r="28">
      <c r="A28" s="18" t="inlineStr">
        <is>
          <t>Middle East average</t>
        </is>
      </c>
      <c r="B28" s="39" t="inlineStr">
        <is>
          <t>n=1</t>
        </is>
      </c>
      <c r="C28" s="13" t="inlineStr"/>
      <c r="D28" s="13" t="inlineStr"/>
      <c r="E28" s="47">
        <f>IFERROR(AVERAGE(E26),"")</f>
        <v/>
      </c>
      <c r="F28" s="47">
        <f>IFERROR(AVERAGE(F26),"")</f>
        <v/>
      </c>
      <c r="G28" s="47">
        <f>IFERROR(AVERAGE(G26),"")</f>
        <v/>
      </c>
      <c r="H28" s="43">
        <f>IFERROR(IF(ABS(F28)&lt;0.005,"n/m",E28/F28),"n/m")</f>
        <v/>
      </c>
      <c r="I28" s="44">
        <f>IFERROR(AVERAGE(I26),"")</f>
        <v/>
      </c>
      <c r="J28" s="47">
        <f>IFERROR(AVERAGE(J26),"")</f>
        <v/>
      </c>
      <c r="K28" s="47">
        <f>IFERROR(AVERAGE(K26),"")</f>
        <v/>
      </c>
      <c r="L28" s="47">
        <f>IFERROR(AVERAGE(L26),"")</f>
        <v/>
      </c>
      <c r="M28" s="47">
        <f>IFERROR(AVERAGE(M26),"")</f>
        <v/>
      </c>
      <c r="N28" s="47">
        <f>IFERROR(AVERAGE(N26),"")</f>
        <v/>
      </c>
      <c r="O28" s="43">
        <f>IFERROR(IF(ABS(M28)&lt;0.005,"n/m",L28/M28),"n/m")</f>
        <v/>
      </c>
      <c r="P28" s="44">
        <f>IFERROR(AVERAGE(P26),"")</f>
        <v/>
      </c>
      <c r="Q28" s="47">
        <f>IFERROR(AVERAGE(Q26),"")</f>
        <v/>
      </c>
      <c r="R28" s="47">
        <f>IFERROR(AVERAGE(R26),"")</f>
        <v/>
      </c>
    </row>
    <row r="29">
      <c r="A29" s="7">
        <f>IFERROR("Middle East: the currency returned "&amp;TEXT($E$28,"+0.0%;-0.0%")&amp;" on the month; a beta-of-one to the dollar implies "&amp;TEXT($F$28,"+0.0%;-0.0%")&amp;", so "&amp;TEXT($G$28,"+0.0%;-0.0%")&amp;" is ex-dollar"&amp;IF(ISNUMBER($H$28)," (pass-through "&amp;TEXT($H$28,"0.00")&amp;"x)","")&amp;". Against its 2y beta to DXY of "&amp;TEXT($I$28,"0.00")&amp;" the surprise is "&amp;TEXT($K$28,"+0.0%;-0.0%")&amp;". YTD: "&amp;TEXT($L$28,"+0.0%;-0.0%")&amp;", of which "&amp;TEXT($N$28,"+0.0%;-0.0%")&amp;" ex-dollar. "&amp;IF($K$28&gt;0.005,"Stronger than the dollar relationship implies — intrinsic support.",IF($K$28&lt;-0.005,"Weaker than the dollar relationship implies — intrinsic pressure.","In line with the dollar; nothing EM-specific here.")),"")</f>
        <v/>
      </c>
    </row>
    <row r="31" ht="16" customHeight="1">
      <c r="A31" s="37" t="inlineStr">
        <is>
          <t>EM ASIA</t>
        </is>
      </c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</row>
    <row r="32" ht="40" customHeight="1">
      <c r="A32" s="12" t="inlineStr">
        <is>
          <t>Country</t>
        </is>
      </c>
      <c r="B32" s="12" t="inlineStr">
        <is>
          <t>Region</t>
        </is>
      </c>
      <c r="C32" s="12" t="inlineStr">
        <is>
          <t>Level</t>
        </is>
      </c>
      <c r="D32" s="12" t="inlineStr">
        <is>
          <t>In avg</t>
        </is>
      </c>
      <c r="E32" s="12" t="inlineStr">
        <is>
          <t>1M: Total: return on EM ccy</t>
        </is>
      </c>
      <c r="F32" s="12" t="inlineStr">
        <is>
          <t>1M: US-driven: -(DXY return)</t>
        </is>
      </c>
      <c r="G32" s="12" t="inlineStr">
        <is>
          <t>1M: Intrinsic: return ex-dollar</t>
        </is>
      </c>
      <c r="H32" s="12" t="inlineStr">
        <is>
          <t>1M: Pass-through (total / US)</t>
        </is>
      </c>
      <c r="I32" s="12" t="inlineStr">
        <is>
          <t>1M: Beta to DXY (2y)</t>
        </is>
      </c>
      <c r="J32" s="12" t="inlineStr">
        <is>
          <t>1M: Predicted by beta</t>
        </is>
      </c>
      <c r="K32" s="12" t="inlineStr">
        <is>
          <t>1M: Surprise: actual less predicted</t>
        </is>
      </c>
      <c r="L32" s="12" t="inlineStr">
        <is>
          <t>YTD: Total: return on EM ccy</t>
        </is>
      </c>
      <c r="M32" s="12" t="inlineStr">
        <is>
          <t>YTD: US-driven: -(DXY return)</t>
        </is>
      </c>
      <c r="N32" s="12" t="inlineStr">
        <is>
          <t>YTD: Intrinsic: return ex-dollar</t>
        </is>
      </c>
      <c r="O32" s="12" t="inlineStr">
        <is>
          <t>YTD: Pass-through (total / US)</t>
        </is>
      </c>
      <c r="P32" s="12" t="inlineStr">
        <is>
          <t>YTD: Beta to DXY (2y)</t>
        </is>
      </c>
      <c r="Q32" s="12" t="inlineStr">
        <is>
          <t>YTD: Predicted by beta</t>
        </is>
      </c>
      <c r="R32" s="12" t="inlineStr">
        <is>
          <t>YTD: Surprise: actual less predicted</t>
        </is>
      </c>
    </row>
    <row r="33">
      <c r="A33" s="13" t="inlineStr">
        <is>
          <t>China</t>
        </is>
      </c>
      <c r="B33" s="39" t="inlineStr">
        <is>
          <t>EM Asia</t>
        </is>
      </c>
      <c r="C33" s="46">
        <f>INDEX(HIST_D!$Z$8:$Z$791,1)</f>
        <v/>
      </c>
      <c r="D33" s="39" t="inlineStr">
        <is>
          <t>yes</t>
        </is>
      </c>
      <c r="E33" s="47">
        <f>IFERROR((INDEX(HIST_D!$Z$8:$Z$791,Control!$B$10)/INDEX(HIST_D!$Z$8:$Z$791,1)-1),"")</f>
        <v/>
      </c>
      <c r="F33" s="17">
        <f>IFERROR(-(INDEX(HIST_D!$K$8:$K$791,1)/INDEX(HIST_D!$K$8:$K$791,Control!$B$10)-1),"")</f>
        <v/>
      </c>
      <c r="G33" s="17">
        <f>IFERROR(E33-F33,"")</f>
        <v/>
      </c>
      <c r="H33" s="40">
        <f>IFERROR(IF(ABS(F33)&lt;0.005,"n/m",E33/F33),"n/m")</f>
        <v/>
      </c>
      <c r="I33" s="41">
        <f>IFERROR(SLOPE(HIST_D!$EE$8:INDEX(HIST_D!$EE$8:$EE$791,Control!$B$12),HIST_D!$CX$8:INDEX(HIST_D!$CX$8:$CX$791,Control!$B$12)),"")</f>
        <v/>
      </c>
      <c r="J33" s="17">
        <f>IFERROR(I33*(INDEX(HIST_D!$K$8:$K$791,1)/INDEX(HIST_D!$K$8:$K$791,Control!$B$10)-1),"")</f>
        <v/>
      </c>
      <c r="K33" s="48">
        <f>IFERROR(E33-J33,"")</f>
        <v/>
      </c>
      <c r="L33" s="47">
        <f>IFERROR((INDEX(HIST_D!$Z$8:$Z$791,Control!$B$11)/INDEX(HIST_D!$Z$8:$Z$791,1)-1),"")</f>
        <v/>
      </c>
      <c r="M33" s="17">
        <f>IFERROR(-(INDEX(HIST_D!$K$8:$K$791,1)/INDEX(HIST_D!$K$8:$K$791,Control!$B$11)-1),"")</f>
        <v/>
      </c>
      <c r="N33" s="17">
        <f>IFERROR(L33-M33,"")</f>
        <v/>
      </c>
      <c r="O33" s="40">
        <f>IFERROR(IF(ABS(M33)&lt;0.005,"n/m",L33/M33),"n/m")</f>
        <v/>
      </c>
      <c r="P33" s="41">
        <f>IFERROR(SLOPE(HIST_D!$EE$8:INDEX(HIST_D!$EE$8:$EE$791,Control!$B$12),HIST_D!$CX$8:INDEX(HIST_D!$CX$8:$CX$791,Control!$B$12)),"")</f>
        <v/>
      </c>
      <c r="Q33" s="17">
        <f>IFERROR(P33*(INDEX(HIST_D!$K$8:$K$791,1)/INDEX(HIST_D!$K$8:$K$791,Control!$B$11)-1),"")</f>
        <v/>
      </c>
      <c r="R33" s="48">
        <f>IFERROR(L33-Q33,"")</f>
        <v/>
      </c>
    </row>
    <row r="34">
      <c r="A34" s="13" t="inlineStr">
        <is>
          <t>India</t>
        </is>
      </c>
      <c r="B34" s="39" t="inlineStr">
        <is>
          <t>EM Asia</t>
        </is>
      </c>
      <c r="C34" s="46">
        <f>INDEX(HIST_D!$AA$8:$AA$791,1)</f>
        <v/>
      </c>
      <c r="D34" s="39" t="inlineStr">
        <is>
          <t>yes</t>
        </is>
      </c>
      <c r="E34" s="47">
        <f>IFERROR((INDEX(HIST_D!$AA$8:$AA$791,Control!$B$10)/INDEX(HIST_D!$AA$8:$AA$791,1)-1),"")</f>
        <v/>
      </c>
      <c r="F34" s="17">
        <f>IFERROR(-(INDEX(HIST_D!$K$8:$K$791,1)/INDEX(HIST_D!$K$8:$K$791,Control!$B$10)-1),"")</f>
        <v/>
      </c>
      <c r="G34" s="17">
        <f>IFERROR(E34-F34,"")</f>
        <v/>
      </c>
      <c r="H34" s="40">
        <f>IFERROR(IF(ABS(F34)&lt;0.005,"n/m",E34/F34),"n/m")</f>
        <v/>
      </c>
      <c r="I34" s="41">
        <f>IFERROR(SLOPE(HIST_D!$EF$8:INDEX(HIST_D!$EF$8:$EF$791,Control!$B$12),HIST_D!$CX$8:INDEX(HIST_D!$CX$8:$CX$791,Control!$B$12)),"")</f>
        <v/>
      </c>
      <c r="J34" s="17">
        <f>IFERROR(I34*(INDEX(HIST_D!$K$8:$K$791,1)/INDEX(HIST_D!$K$8:$K$791,Control!$B$10)-1),"")</f>
        <v/>
      </c>
      <c r="K34" s="48">
        <f>IFERROR(E34-J34,"")</f>
        <v/>
      </c>
      <c r="L34" s="47">
        <f>IFERROR((INDEX(HIST_D!$AA$8:$AA$791,Control!$B$11)/INDEX(HIST_D!$AA$8:$AA$791,1)-1),"")</f>
        <v/>
      </c>
      <c r="M34" s="17">
        <f>IFERROR(-(INDEX(HIST_D!$K$8:$K$791,1)/INDEX(HIST_D!$K$8:$K$791,Control!$B$11)-1),"")</f>
        <v/>
      </c>
      <c r="N34" s="17">
        <f>IFERROR(L34-M34,"")</f>
        <v/>
      </c>
      <c r="O34" s="40">
        <f>IFERROR(IF(ABS(M34)&lt;0.005,"n/m",L34/M34),"n/m")</f>
        <v/>
      </c>
      <c r="P34" s="41">
        <f>IFERROR(SLOPE(HIST_D!$EF$8:INDEX(HIST_D!$EF$8:$EF$791,Control!$B$12),HIST_D!$CX$8:INDEX(HIST_D!$CX$8:$CX$791,Control!$B$12)),"")</f>
        <v/>
      </c>
      <c r="Q34" s="17">
        <f>IFERROR(P34*(INDEX(HIST_D!$K$8:$K$791,1)/INDEX(HIST_D!$K$8:$K$791,Control!$B$11)-1),"")</f>
        <v/>
      </c>
      <c r="R34" s="48">
        <f>IFERROR(L34-Q34,"")</f>
        <v/>
      </c>
      <c r="S34" s="7" t="inlineStr">
        <is>
          <t>no sovereign USD debt, no CDS — rates and FX only</t>
        </is>
      </c>
    </row>
    <row r="35">
      <c r="A35" s="13" t="inlineStr">
        <is>
          <t>Indonesia</t>
        </is>
      </c>
      <c r="B35" s="39" t="inlineStr">
        <is>
          <t>EM Asia</t>
        </is>
      </c>
      <c r="C35" s="46">
        <f>INDEX(HIST_D!$AB$8:$AB$791,1)</f>
        <v/>
      </c>
      <c r="D35" s="39" t="inlineStr">
        <is>
          <t>yes</t>
        </is>
      </c>
      <c r="E35" s="47">
        <f>IFERROR((INDEX(HIST_D!$AB$8:$AB$791,Control!$B$10)/INDEX(HIST_D!$AB$8:$AB$791,1)-1),"")</f>
        <v/>
      </c>
      <c r="F35" s="17">
        <f>IFERROR(-(INDEX(HIST_D!$K$8:$K$791,1)/INDEX(HIST_D!$K$8:$K$791,Control!$B$10)-1),"")</f>
        <v/>
      </c>
      <c r="G35" s="17">
        <f>IFERROR(E35-F35,"")</f>
        <v/>
      </c>
      <c r="H35" s="40">
        <f>IFERROR(IF(ABS(F35)&lt;0.005,"n/m",E35/F35),"n/m")</f>
        <v/>
      </c>
      <c r="I35" s="41">
        <f>IFERROR(SLOPE(HIST_D!$EG$8:INDEX(HIST_D!$EG$8:$EG$791,Control!$B$12),HIST_D!$CX$8:INDEX(HIST_D!$CX$8:$CX$791,Control!$B$12)),"")</f>
        <v/>
      </c>
      <c r="J35" s="17">
        <f>IFERROR(I35*(INDEX(HIST_D!$K$8:$K$791,1)/INDEX(HIST_D!$K$8:$K$791,Control!$B$10)-1),"")</f>
        <v/>
      </c>
      <c r="K35" s="48">
        <f>IFERROR(E35-J35,"")</f>
        <v/>
      </c>
      <c r="L35" s="47">
        <f>IFERROR((INDEX(HIST_D!$AB$8:$AB$791,Control!$B$11)/INDEX(HIST_D!$AB$8:$AB$791,1)-1),"")</f>
        <v/>
      </c>
      <c r="M35" s="17">
        <f>IFERROR(-(INDEX(HIST_D!$K$8:$K$791,1)/INDEX(HIST_D!$K$8:$K$791,Control!$B$11)-1),"")</f>
        <v/>
      </c>
      <c r="N35" s="17">
        <f>IFERROR(L35-M35,"")</f>
        <v/>
      </c>
      <c r="O35" s="40">
        <f>IFERROR(IF(ABS(M35)&lt;0.005,"n/m",L35/M35),"n/m")</f>
        <v/>
      </c>
      <c r="P35" s="41">
        <f>IFERROR(SLOPE(HIST_D!$EG$8:INDEX(HIST_D!$EG$8:$EG$791,Control!$B$12),HIST_D!$CX$8:INDEX(HIST_D!$CX$8:$CX$791,Control!$B$12)),"")</f>
        <v/>
      </c>
      <c r="Q35" s="17">
        <f>IFERROR(P35*(INDEX(HIST_D!$K$8:$K$791,1)/INDEX(HIST_D!$K$8:$K$791,Control!$B$11)-1),"")</f>
        <v/>
      </c>
      <c r="R35" s="48">
        <f>IFERROR(L35-Q35,"")</f>
        <v/>
      </c>
    </row>
    <row r="36">
      <c r="A36" s="13" t="inlineStr">
        <is>
          <t>Korea</t>
        </is>
      </c>
      <c r="B36" s="39" t="inlineStr">
        <is>
          <t>EM Asia</t>
        </is>
      </c>
      <c r="C36" s="46">
        <f>INDEX(HIST_D!$AC$8:$AC$791,1)</f>
        <v/>
      </c>
      <c r="D36" s="39" t="inlineStr">
        <is>
          <t>yes</t>
        </is>
      </c>
      <c r="E36" s="47">
        <f>IFERROR((INDEX(HIST_D!$AC$8:$AC$791,Control!$B$10)/INDEX(HIST_D!$AC$8:$AC$791,1)-1),"")</f>
        <v/>
      </c>
      <c r="F36" s="17">
        <f>IFERROR(-(INDEX(HIST_D!$K$8:$K$791,1)/INDEX(HIST_D!$K$8:$K$791,Control!$B$10)-1),"")</f>
        <v/>
      </c>
      <c r="G36" s="17">
        <f>IFERROR(E36-F36,"")</f>
        <v/>
      </c>
      <c r="H36" s="40">
        <f>IFERROR(IF(ABS(F36)&lt;0.005,"n/m",E36/F36),"n/m")</f>
        <v/>
      </c>
      <c r="I36" s="41">
        <f>IFERROR(SLOPE(HIST_D!$EH$8:INDEX(HIST_D!$EH$8:$EH$791,Control!$B$12),HIST_D!$CX$8:INDEX(HIST_D!$CX$8:$CX$791,Control!$B$12)),"")</f>
        <v/>
      </c>
      <c r="J36" s="17">
        <f>IFERROR(I36*(INDEX(HIST_D!$K$8:$K$791,1)/INDEX(HIST_D!$K$8:$K$791,Control!$B$10)-1),"")</f>
        <v/>
      </c>
      <c r="K36" s="48">
        <f>IFERROR(E36-J36,"")</f>
        <v/>
      </c>
      <c r="L36" s="47">
        <f>IFERROR((INDEX(HIST_D!$AC$8:$AC$791,Control!$B$11)/INDEX(HIST_D!$AC$8:$AC$791,1)-1),"")</f>
        <v/>
      </c>
      <c r="M36" s="17">
        <f>IFERROR(-(INDEX(HIST_D!$K$8:$K$791,1)/INDEX(HIST_D!$K$8:$K$791,Control!$B$11)-1),"")</f>
        <v/>
      </c>
      <c r="N36" s="17">
        <f>IFERROR(L36-M36,"")</f>
        <v/>
      </c>
      <c r="O36" s="40">
        <f>IFERROR(IF(ABS(M36)&lt;0.005,"n/m",L36/M36),"n/m")</f>
        <v/>
      </c>
      <c r="P36" s="41">
        <f>IFERROR(SLOPE(HIST_D!$EH$8:INDEX(HIST_D!$EH$8:$EH$791,Control!$B$12),HIST_D!$CX$8:INDEX(HIST_D!$CX$8:$CX$791,Control!$B$12)),"")</f>
        <v/>
      </c>
      <c r="Q36" s="17">
        <f>IFERROR(P36*(INDEX(HIST_D!$K$8:$K$791,1)/INDEX(HIST_D!$K$8:$K$791,Control!$B$11)-1),"")</f>
        <v/>
      </c>
      <c r="R36" s="48">
        <f>IFERROR(L36-Q36,"")</f>
        <v/>
      </c>
    </row>
    <row r="37">
      <c r="A37" s="13" t="inlineStr">
        <is>
          <t>Thailand</t>
        </is>
      </c>
      <c r="B37" s="39" t="inlineStr">
        <is>
          <t>EM Asia</t>
        </is>
      </c>
      <c r="C37" s="46">
        <f>INDEX(HIST_D!$AD$8:$AD$791,1)</f>
        <v/>
      </c>
      <c r="D37" s="39" t="inlineStr">
        <is>
          <t>yes</t>
        </is>
      </c>
      <c r="E37" s="47">
        <f>IFERROR((INDEX(HIST_D!$AD$8:$AD$791,Control!$B$10)/INDEX(HIST_D!$AD$8:$AD$791,1)-1),"")</f>
        <v/>
      </c>
      <c r="F37" s="17">
        <f>IFERROR(-(INDEX(HIST_D!$K$8:$K$791,1)/INDEX(HIST_D!$K$8:$K$791,Control!$B$10)-1),"")</f>
        <v/>
      </c>
      <c r="G37" s="17">
        <f>IFERROR(E37-F37,"")</f>
        <v/>
      </c>
      <c r="H37" s="40">
        <f>IFERROR(IF(ABS(F37)&lt;0.005,"n/m",E37/F37),"n/m")</f>
        <v/>
      </c>
      <c r="I37" s="41">
        <f>IFERROR(SLOPE(HIST_D!$EI$8:INDEX(HIST_D!$EI$8:$EI$791,Control!$B$12),HIST_D!$CX$8:INDEX(HIST_D!$CX$8:$CX$791,Control!$B$12)),"")</f>
        <v/>
      </c>
      <c r="J37" s="17">
        <f>IFERROR(I37*(INDEX(HIST_D!$K$8:$K$791,1)/INDEX(HIST_D!$K$8:$K$791,Control!$B$10)-1),"")</f>
        <v/>
      </c>
      <c r="K37" s="48">
        <f>IFERROR(E37-J37,"")</f>
        <v/>
      </c>
      <c r="L37" s="47">
        <f>IFERROR((INDEX(HIST_D!$AD$8:$AD$791,Control!$B$11)/INDEX(HIST_D!$AD$8:$AD$791,1)-1),"")</f>
        <v/>
      </c>
      <c r="M37" s="17">
        <f>IFERROR(-(INDEX(HIST_D!$K$8:$K$791,1)/INDEX(HIST_D!$K$8:$K$791,Control!$B$11)-1),"")</f>
        <v/>
      </c>
      <c r="N37" s="17">
        <f>IFERROR(L37-M37,"")</f>
        <v/>
      </c>
      <c r="O37" s="40">
        <f>IFERROR(IF(ABS(M37)&lt;0.005,"n/m",L37/M37),"n/m")</f>
        <v/>
      </c>
      <c r="P37" s="41">
        <f>IFERROR(SLOPE(HIST_D!$EI$8:INDEX(HIST_D!$EI$8:$EI$791,Control!$B$12),HIST_D!$CX$8:INDEX(HIST_D!$CX$8:$CX$791,Control!$B$12)),"")</f>
        <v/>
      </c>
      <c r="Q37" s="17">
        <f>IFERROR(P37*(INDEX(HIST_D!$K$8:$K$791,1)/INDEX(HIST_D!$K$8:$K$791,Control!$B$11)-1),"")</f>
        <v/>
      </c>
      <c r="R37" s="48">
        <f>IFERROR(L37-Q37,"")</f>
        <v/>
      </c>
    </row>
    <row r="38">
      <c r="A38" s="13" t="inlineStr">
        <is>
          <t>Malaysia</t>
        </is>
      </c>
      <c r="B38" s="39" t="inlineStr">
        <is>
          <t>EM Asia</t>
        </is>
      </c>
      <c r="C38" s="46">
        <f>INDEX(HIST_D!$AE$8:$AE$791,1)</f>
        <v/>
      </c>
      <c r="D38" s="39" t="inlineStr">
        <is>
          <t>yes</t>
        </is>
      </c>
      <c r="E38" s="47">
        <f>IFERROR((INDEX(HIST_D!$AE$8:$AE$791,Control!$B$10)/INDEX(HIST_D!$AE$8:$AE$791,1)-1),"")</f>
        <v/>
      </c>
      <c r="F38" s="17">
        <f>IFERROR(-(INDEX(HIST_D!$K$8:$K$791,1)/INDEX(HIST_D!$K$8:$K$791,Control!$B$10)-1),"")</f>
        <v/>
      </c>
      <c r="G38" s="17">
        <f>IFERROR(E38-F38,"")</f>
        <v/>
      </c>
      <c r="H38" s="40">
        <f>IFERROR(IF(ABS(F38)&lt;0.005,"n/m",E38/F38),"n/m")</f>
        <v/>
      </c>
      <c r="I38" s="41">
        <f>IFERROR(SLOPE(HIST_D!$EJ$8:INDEX(HIST_D!$EJ$8:$EJ$791,Control!$B$12),HIST_D!$CX$8:INDEX(HIST_D!$CX$8:$CX$791,Control!$B$12)),"")</f>
        <v/>
      </c>
      <c r="J38" s="17">
        <f>IFERROR(I38*(INDEX(HIST_D!$K$8:$K$791,1)/INDEX(HIST_D!$K$8:$K$791,Control!$B$10)-1),"")</f>
        <v/>
      </c>
      <c r="K38" s="48">
        <f>IFERROR(E38-J38,"")</f>
        <v/>
      </c>
      <c r="L38" s="47">
        <f>IFERROR((INDEX(HIST_D!$AE$8:$AE$791,Control!$B$11)/INDEX(HIST_D!$AE$8:$AE$791,1)-1),"")</f>
        <v/>
      </c>
      <c r="M38" s="17">
        <f>IFERROR(-(INDEX(HIST_D!$K$8:$K$791,1)/INDEX(HIST_D!$K$8:$K$791,Control!$B$11)-1),"")</f>
        <v/>
      </c>
      <c r="N38" s="17">
        <f>IFERROR(L38-M38,"")</f>
        <v/>
      </c>
      <c r="O38" s="40">
        <f>IFERROR(IF(ABS(M38)&lt;0.005,"n/m",L38/M38),"n/m")</f>
        <v/>
      </c>
      <c r="P38" s="41">
        <f>IFERROR(SLOPE(HIST_D!$EJ$8:INDEX(HIST_D!$EJ$8:$EJ$791,Control!$B$12),HIST_D!$CX$8:INDEX(HIST_D!$CX$8:$CX$791,Control!$B$12)),"")</f>
        <v/>
      </c>
      <c r="Q38" s="17">
        <f>IFERROR(P38*(INDEX(HIST_D!$K$8:$K$791,1)/INDEX(HIST_D!$K$8:$K$791,Control!$B$11)-1),"")</f>
        <v/>
      </c>
      <c r="R38" s="48">
        <f>IFERROR(L38-Q38,"")</f>
        <v/>
      </c>
    </row>
    <row r="39">
      <c r="A39" s="13" t="inlineStr">
        <is>
          <t>Philippines</t>
        </is>
      </c>
      <c r="B39" s="39" t="inlineStr">
        <is>
          <t>EM Asia</t>
        </is>
      </c>
      <c r="C39" s="46">
        <f>INDEX(HIST_D!$AF$8:$AF$791,1)</f>
        <v/>
      </c>
      <c r="D39" s="39" t="inlineStr">
        <is>
          <t>yes</t>
        </is>
      </c>
      <c r="E39" s="47">
        <f>IFERROR((INDEX(HIST_D!$AF$8:$AF$791,Control!$B$10)/INDEX(HIST_D!$AF$8:$AF$791,1)-1),"")</f>
        <v/>
      </c>
      <c r="F39" s="17">
        <f>IFERROR(-(INDEX(HIST_D!$K$8:$K$791,1)/INDEX(HIST_D!$K$8:$K$791,Control!$B$10)-1),"")</f>
        <v/>
      </c>
      <c r="G39" s="17">
        <f>IFERROR(E39-F39,"")</f>
        <v/>
      </c>
      <c r="H39" s="40">
        <f>IFERROR(IF(ABS(F39)&lt;0.005,"n/m",E39/F39),"n/m")</f>
        <v/>
      </c>
      <c r="I39" s="41">
        <f>IFERROR(SLOPE(HIST_D!$EK$8:INDEX(HIST_D!$EK$8:$EK$791,Control!$B$12),HIST_D!$CX$8:INDEX(HIST_D!$CX$8:$CX$791,Control!$B$12)),"")</f>
        <v/>
      </c>
      <c r="J39" s="17">
        <f>IFERROR(I39*(INDEX(HIST_D!$K$8:$K$791,1)/INDEX(HIST_D!$K$8:$K$791,Control!$B$10)-1),"")</f>
        <v/>
      </c>
      <c r="K39" s="48">
        <f>IFERROR(E39-J39,"")</f>
        <v/>
      </c>
      <c r="L39" s="47">
        <f>IFERROR((INDEX(HIST_D!$AF$8:$AF$791,Control!$B$11)/INDEX(HIST_D!$AF$8:$AF$791,1)-1),"")</f>
        <v/>
      </c>
      <c r="M39" s="17">
        <f>IFERROR(-(INDEX(HIST_D!$K$8:$K$791,1)/INDEX(HIST_D!$K$8:$K$791,Control!$B$11)-1),"")</f>
        <v/>
      </c>
      <c r="N39" s="17">
        <f>IFERROR(L39-M39,"")</f>
        <v/>
      </c>
      <c r="O39" s="40">
        <f>IFERROR(IF(ABS(M39)&lt;0.005,"n/m",L39/M39),"n/m")</f>
        <v/>
      </c>
      <c r="P39" s="41">
        <f>IFERROR(SLOPE(HIST_D!$EK$8:INDEX(HIST_D!$EK$8:$EK$791,Control!$B$12),HIST_D!$CX$8:INDEX(HIST_D!$CX$8:$CX$791,Control!$B$12)),"")</f>
        <v/>
      </c>
      <c r="Q39" s="17">
        <f>IFERROR(P39*(INDEX(HIST_D!$K$8:$K$791,1)/INDEX(HIST_D!$K$8:$K$791,Control!$B$11)-1),"")</f>
        <v/>
      </c>
      <c r="R39" s="48">
        <f>IFERROR(L39-Q39,"")</f>
        <v/>
      </c>
    </row>
    <row r="40">
      <c r="A40" s="18" t="inlineStr">
        <is>
          <t>EM Asia average</t>
        </is>
      </c>
      <c r="B40" s="39" t="inlineStr">
        <is>
          <t>n=7</t>
        </is>
      </c>
      <c r="C40" s="13" t="inlineStr"/>
      <c r="D40" s="13" t="inlineStr"/>
      <c r="E40" s="47">
        <f>IFERROR(AVERAGE(E33,E34,E35,E36,E37,E38,E39),"")</f>
        <v/>
      </c>
      <c r="F40" s="47">
        <f>IFERROR(AVERAGE(F33,F34,F35,F36,F37,F38,F39),"")</f>
        <v/>
      </c>
      <c r="G40" s="47">
        <f>IFERROR(AVERAGE(G33,G34,G35,G36,G37,G38,G39),"")</f>
        <v/>
      </c>
      <c r="H40" s="43">
        <f>IFERROR(IF(ABS(F40)&lt;0.005,"n/m",E40/F40),"n/m")</f>
        <v/>
      </c>
      <c r="I40" s="44">
        <f>IFERROR(AVERAGE(I33,I34,I35,I36,I37,I38,I39),"")</f>
        <v/>
      </c>
      <c r="J40" s="47">
        <f>IFERROR(AVERAGE(J33,J34,J35,J36,J37,J38,J39),"")</f>
        <v/>
      </c>
      <c r="K40" s="47">
        <f>IFERROR(AVERAGE(K33,K34,K35,K36,K37,K38,K39),"")</f>
        <v/>
      </c>
      <c r="L40" s="47">
        <f>IFERROR(AVERAGE(L33,L34,L35,L36,L37,L38,L39),"")</f>
        <v/>
      </c>
      <c r="M40" s="47">
        <f>IFERROR(AVERAGE(M33,M34,M35,M36,M37,M38,M39),"")</f>
        <v/>
      </c>
      <c r="N40" s="47">
        <f>IFERROR(AVERAGE(N33,N34,N35,N36,N37,N38,N39),"")</f>
        <v/>
      </c>
      <c r="O40" s="43">
        <f>IFERROR(IF(ABS(M40)&lt;0.005,"n/m",L40/M40),"n/m")</f>
        <v/>
      </c>
      <c r="P40" s="44">
        <f>IFERROR(AVERAGE(P33,P34,P35,P36,P37,P38,P39),"")</f>
        <v/>
      </c>
      <c r="Q40" s="47">
        <f>IFERROR(AVERAGE(Q33,Q34,Q35,Q36,Q37,Q38,Q39),"")</f>
        <v/>
      </c>
      <c r="R40" s="47">
        <f>IFERROR(AVERAGE(R33,R34,R35,R36,R37,R38,R39),"")</f>
        <v/>
      </c>
    </row>
    <row r="41">
      <c r="A41" s="7">
        <f>IFERROR("EM Asia: the currency returned "&amp;TEXT($E$40,"+0.0%;-0.0%")&amp;" on the month; a beta-of-one to the dollar implies "&amp;TEXT($F$40,"+0.0%;-0.0%")&amp;", so "&amp;TEXT($G$40,"+0.0%;-0.0%")&amp;" is ex-dollar"&amp;IF(ISNUMBER($H$40)," (pass-through "&amp;TEXT($H$40,"0.00")&amp;"x)","")&amp;". Against its 2y beta to DXY of "&amp;TEXT($I$40,"0.00")&amp;" the surprise is "&amp;TEXT($K$40,"+0.0%;-0.0%")&amp;". YTD: "&amp;TEXT($L$40,"+0.0%;-0.0%")&amp;", of which "&amp;TEXT($N$40,"+0.0%;-0.0%")&amp;" ex-dollar. "&amp;IF($K$40&gt;0.005,"Stronger than the dollar relationship implies — intrinsic support.",IF($K$40&lt;-0.005,"Weaker than the dollar relationship implies — intrinsic pressure.","In line with the dollar; nothing EM-specific here.")),"")</f>
        <v/>
      </c>
    </row>
    <row r="43" ht="16" customHeight="1">
      <c r="A43" s="37" t="inlineStr">
        <is>
          <t>EM AVERAGE AND MEMO</t>
        </is>
      </c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  <c r="T43" s="38" t="n"/>
    </row>
    <row r="44" ht="40" customHeight="1">
      <c r="A44" s="12" t="inlineStr">
        <is>
          <t>Country</t>
        </is>
      </c>
      <c r="B44" s="12" t="inlineStr">
        <is>
          <t>Region</t>
        </is>
      </c>
      <c r="C44" s="12" t="inlineStr">
        <is>
          <t>Level</t>
        </is>
      </c>
      <c r="D44" s="12" t="inlineStr">
        <is>
          <t>In avg</t>
        </is>
      </c>
      <c r="E44" s="12" t="inlineStr">
        <is>
          <t>1M: Total: return on EM ccy</t>
        </is>
      </c>
      <c r="F44" s="12" t="inlineStr">
        <is>
          <t>1M: US-driven: -(DXY return)</t>
        </is>
      </c>
      <c r="G44" s="12" t="inlineStr">
        <is>
          <t>1M: Intrinsic: return ex-dollar</t>
        </is>
      </c>
      <c r="H44" s="12" t="inlineStr">
        <is>
          <t>1M: Pass-through (total / US)</t>
        </is>
      </c>
      <c r="I44" s="12" t="inlineStr">
        <is>
          <t>1M: Beta to DXY (2y)</t>
        </is>
      </c>
      <c r="J44" s="12" t="inlineStr">
        <is>
          <t>1M: Predicted by beta</t>
        </is>
      </c>
      <c r="K44" s="12" t="inlineStr">
        <is>
          <t>1M: Surprise: actual less predicted</t>
        </is>
      </c>
      <c r="L44" s="12" t="inlineStr">
        <is>
          <t>YTD: Total: return on EM ccy</t>
        </is>
      </c>
      <c r="M44" s="12" t="inlineStr">
        <is>
          <t>YTD: US-driven: -(DXY return)</t>
        </is>
      </c>
      <c r="N44" s="12" t="inlineStr">
        <is>
          <t>YTD: Intrinsic: return ex-dollar</t>
        </is>
      </c>
      <c r="O44" s="12" t="inlineStr">
        <is>
          <t>YTD: Pass-through (total / US)</t>
        </is>
      </c>
      <c r="P44" s="12" t="inlineStr">
        <is>
          <t>YTD: Beta to DXY (2y)</t>
        </is>
      </c>
      <c r="Q44" s="12" t="inlineStr">
        <is>
          <t>YTD: Predicted by beta</t>
        </is>
      </c>
      <c r="R44" s="12" t="inlineStr">
        <is>
          <t>YTD: Surprise: actual less predicted</t>
        </is>
      </c>
    </row>
    <row r="45">
      <c r="A45" s="18" t="inlineStr">
        <is>
          <t>EM average (all flagged)</t>
        </is>
      </c>
      <c r="B45" s="39" t="inlineStr">
        <is>
          <t>n=17</t>
        </is>
      </c>
      <c r="C45" s="13" t="inlineStr"/>
      <c r="D45" s="13" t="inlineStr"/>
      <c r="E45" s="47">
        <f>IFERROR(AVERAGE(E6,E7,E8,E9,E10,E16,E17,E18,E19,E26,E33,E34,E35,E36,E37,E38,E39),"")</f>
        <v/>
      </c>
      <c r="F45" s="47">
        <f>IFERROR(AVERAGE(F6,F7,F8,F9,F10,F16,F17,F18,F19,F26,F33,F34,F35,F36,F37,F38,F39),"")</f>
        <v/>
      </c>
      <c r="G45" s="47">
        <f>IFERROR(AVERAGE(G6,G7,G8,G9,G10,G16,G17,G18,G19,G26,G33,G34,G35,G36,G37,G38,G39),"")</f>
        <v/>
      </c>
      <c r="H45" s="43">
        <f>IFERROR(IF(ABS(F45)&lt;0.005,"n/m",E45/F45),"n/m")</f>
        <v/>
      </c>
      <c r="I45" s="44">
        <f>IFERROR(AVERAGE(I6,I7,I8,I9,I10,I16,I17,I18,I19,I26,I33,I34,I35,I36,I37,I38,I39),"")</f>
        <v/>
      </c>
      <c r="J45" s="47">
        <f>IFERROR(AVERAGE(J6,J7,J8,J9,J10,J16,J17,J18,J19,J26,J33,J34,J35,J36,J37,J38,J39),"")</f>
        <v/>
      </c>
      <c r="K45" s="47">
        <f>IFERROR(AVERAGE(K6,K7,K8,K9,K10,K16,K17,K18,K19,K26,K33,K34,K35,K36,K37,K38,K39),"")</f>
        <v/>
      </c>
      <c r="L45" s="47">
        <f>IFERROR(AVERAGE(L6,L7,L8,L9,L10,L16,L17,L18,L19,L26,L33,L34,L35,L36,L37,L38,L39),"")</f>
        <v/>
      </c>
      <c r="M45" s="47">
        <f>IFERROR(AVERAGE(M6,M7,M8,M9,M10,M16,M17,M18,M19,M26,M33,M34,M35,M36,M37,M38,M39),"")</f>
        <v/>
      </c>
      <c r="N45" s="47">
        <f>IFERROR(AVERAGE(N6,N7,N8,N9,N10,N16,N17,N18,N19,N26,N33,N34,N35,N36,N37,N38,N39),"")</f>
        <v/>
      </c>
      <c r="O45" s="43">
        <f>IFERROR(IF(ABS(M45)&lt;0.005,"n/m",L45/M45),"n/m")</f>
        <v/>
      </c>
      <c r="P45" s="44">
        <f>IFERROR(AVERAGE(P6,P7,P8,P9,P10,P16,P17,P18,P19,P26,P33,P34,P35,P36,P37,P38,P39),"")</f>
        <v/>
      </c>
      <c r="Q45" s="47">
        <f>IFERROR(AVERAGE(Q6,Q7,Q8,Q9,Q10,Q16,Q17,Q18,Q19,Q26,Q33,Q34,Q35,Q36,Q37,Q38,Q39),"")</f>
        <v/>
      </c>
      <c r="R45" s="47">
        <f>IFERROR(AVERAGE(R6,R7,R8,R9,R10,R16,R17,R18,R19,R26,R33,R34,R35,R36,R37,R38,R39),"")</f>
        <v/>
      </c>
    </row>
    <row r="46">
      <c r="A46" s="13" t="inlineStr">
        <is>
          <t>South Africa</t>
        </is>
      </c>
      <c r="B46" s="39" t="inlineStr">
        <is>
          <t>(memo)</t>
        </is>
      </c>
      <c r="C46" s="46">
        <f>INDEX(HIST_D!$AG$8:$AG$791,1)</f>
        <v/>
      </c>
      <c r="D46" s="45" t="inlineStr">
        <is>
          <t>no</t>
        </is>
      </c>
      <c r="E46" s="47">
        <f>IFERROR((INDEX(HIST_D!$AG$8:$AG$791,Control!$B$10)/INDEX(HIST_D!$AG$8:$AG$791,1)-1),"")</f>
        <v/>
      </c>
      <c r="F46" s="17">
        <f>IFERROR(-(INDEX(HIST_D!$K$8:$K$791,1)/INDEX(HIST_D!$K$8:$K$791,Control!$B$10)-1),"")</f>
        <v/>
      </c>
      <c r="G46" s="17">
        <f>IFERROR(E46-F46,"")</f>
        <v/>
      </c>
      <c r="H46" s="40">
        <f>IFERROR(IF(ABS(F46)&lt;0.005,"n/m",E46/F46),"n/m")</f>
        <v/>
      </c>
      <c r="I46" s="41">
        <f>IFERROR(SLOPE(HIST_D!$EL$8:INDEX(HIST_D!$EL$8:$EL$791,Control!$B$12),HIST_D!$CX$8:INDEX(HIST_D!$CX$8:$CX$791,Control!$B$12)),"")</f>
        <v/>
      </c>
      <c r="J46" s="17">
        <f>IFERROR(I46*(INDEX(HIST_D!$K$8:$K$791,1)/INDEX(HIST_D!$K$8:$K$791,Control!$B$10)-1),"")</f>
        <v/>
      </c>
      <c r="K46" s="48">
        <f>IFERROR(E46-J46,"")</f>
        <v/>
      </c>
      <c r="L46" s="47">
        <f>IFERROR((INDEX(HIST_D!$AG$8:$AG$791,Control!$B$11)/INDEX(HIST_D!$AG$8:$AG$791,1)-1),"")</f>
        <v/>
      </c>
      <c r="M46" s="17">
        <f>IFERROR(-(INDEX(HIST_D!$K$8:$K$791,1)/INDEX(HIST_D!$K$8:$K$791,Control!$B$11)-1),"")</f>
        <v/>
      </c>
      <c r="N46" s="17">
        <f>IFERROR(L46-M46,"")</f>
        <v/>
      </c>
      <c r="O46" s="40">
        <f>IFERROR(IF(ABS(M46)&lt;0.005,"n/m",L46/M46),"n/m")</f>
        <v/>
      </c>
      <c r="P46" s="41">
        <f>IFERROR(SLOPE(HIST_D!$EL$8:INDEX(HIST_D!$EL$8:$EL$791,Control!$B$12),HIST_D!$CX$8:INDEX(HIST_D!$CX$8:$CX$791,Control!$B$12)),"")</f>
        <v/>
      </c>
      <c r="Q46" s="17">
        <f>IFERROR(P46*(INDEX(HIST_D!$K$8:$K$791,1)/INDEX(HIST_D!$K$8:$K$791,Control!$B$11)-1),"")</f>
        <v/>
      </c>
      <c r="R46" s="48">
        <f>IFERROR(L46-Q46,"")</f>
        <v/>
      </c>
      <c r="S46" s="7" t="inlineStr">
        <is>
          <t>not in any of the four regions you named; shown as a memo line, in no average</t>
        </is>
      </c>
    </row>
    <row r="47">
      <c r="A47" s="5">
        <f>IFERROR("EM: the currency returned "&amp;TEXT($E$45,"+0.0%;-0.0%")&amp;" on the month; a beta-of-one to the dollar implies "&amp;TEXT($F$45,"+0.0%;-0.0%")&amp;", so "&amp;TEXT($G$45,"+0.0%;-0.0%")&amp;" is ex-dollar"&amp;IF(ISNUMBER($H$45)," (pass-through "&amp;TEXT($H$45,"0.00")&amp;"x)","")&amp;". Against its 2y beta to DXY of "&amp;TEXT($I$45,"0.00")&amp;" the surprise is "&amp;TEXT($K$45,"+0.0%;-0.0%")&amp;". YTD: "&amp;TEXT($L$45,"+0.0%;-0.0%")&amp;", of which "&amp;TEXT($N$45,"+0.0%;-0.0%")&amp;" ex-dollar. "&amp;IF($K$45&gt;0.005,"Stronger than the dollar relationship implies — intrinsic support.",IF($K$45&lt;-0.005,"Weaker than the dollar relationship implies — intrinsic pressure.","In line with the dollar; nothing EM-specific here.")),"")</f>
        <v/>
      </c>
    </row>
  </sheetData>
  <conditionalFormatting sqref="G5:G49">
    <cfRule type="colorScale" priority="1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conditionalFormatting sqref="K5:K49">
    <cfRule type="colorScale" priority="2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conditionalFormatting sqref="N5:N49">
    <cfRule type="colorScale" priority="3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conditionalFormatting sqref="R5:R49">
    <cfRule type="colorScale" priority="4">
      <colorScale>
        <cfvo type="num" val="-0.03"/>
        <cfvo type="num" val="0"/>
        <cfvo type="num" val="0.03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EM EQUITIES  —  MSCI country indices in USD, by country and region</t>
        </is>
      </c>
    </row>
    <row r="2">
      <c r="A2" s="2" t="inlineStr">
        <is>
          <t>USD return on the MSCI country index = MSCI World return + relative return vs World. US/DM-driven is the World move under a beta of one; intrinsic is the relative performance. Pass-through = total / World: under 1 = lagged the global move, over 1 = outran it, negative = went the other way.</t>
        </is>
      </c>
    </row>
    <row r="4" ht="16" customHeight="1">
      <c r="A4" s="37" t="inlineStr">
        <is>
          <t>LATAM</t>
        </is>
      </c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</row>
    <row r="5" ht="40" customHeight="1">
      <c r="A5" s="12" t="inlineStr">
        <is>
          <t>Country</t>
        </is>
      </c>
      <c r="B5" s="12" t="inlineStr">
        <is>
          <t>Region</t>
        </is>
      </c>
      <c r="C5" s="12" t="inlineStr">
        <is>
          <t>Level</t>
        </is>
      </c>
      <c r="D5" s="12" t="inlineStr">
        <is>
          <t>In avg</t>
        </is>
      </c>
      <c r="E5" s="12" t="inlineStr">
        <is>
          <t>1M: Total: USD return</t>
        </is>
      </c>
      <c r="F5" s="12" t="inlineStr">
        <is>
          <t>1M: US/DM-driven: MSCI World return</t>
        </is>
      </c>
      <c r="G5" s="12" t="inlineStr">
        <is>
          <t>1M: Intrinsic: relative to World</t>
        </is>
      </c>
      <c r="H5" s="12" t="inlineStr">
        <is>
          <t>1M: Pass-through (total / World)</t>
        </is>
      </c>
      <c r="I5" s="12" t="inlineStr">
        <is>
          <t>1M: Beta to MSCI World (2y)</t>
        </is>
      </c>
      <c r="J5" s="12" t="inlineStr">
        <is>
          <t>1M: Predicted by beta</t>
        </is>
      </c>
      <c r="K5" s="12" t="inlineStr">
        <is>
          <t>1M: Surprise: actual less predicted</t>
        </is>
      </c>
      <c r="L5" s="12" t="inlineStr">
        <is>
          <t>YTD: Total: USD return</t>
        </is>
      </c>
      <c r="M5" s="12" t="inlineStr">
        <is>
          <t>YTD: US/DM-driven: MSCI World return</t>
        </is>
      </c>
      <c r="N5" s="12" t="inlineStr">
        <is>
          <t>YTD: Intrinsic: relative to World</t>
        </is>
      </c>
      <c r="O5" s="12" t="inlineStr">
        <is>
          <t>YTD: Pass-through (total / World)</t>
        </is>
      </c>
      <c r="P5" s="12" t="inlineStr">
        <is>
          <t>YTD: Beta to MSCI World (2y)</t>
        </is>
      </c>
      <c r="Q5" s="12" t="inlineStr">
        <is>
          <t>YTD: Predicted by beta</t>
        </is>
      </c>
      <c r="R5" s="12" t="inlineStr">
        <is>
          <t>YTD: Surprise: actual less predicted</t>
        </is>
      </c>
    </row>
    <row r="6">
      <c r="A6" s="13" t="inlineStr">
        <is>
          <t>Brazil</t>
        </is>
      </c>
      <c r="B6" s="39" t="inlineStr">
        <is>
          <t>LatAm</t>
        </is>
      </c>
      <c r="C6" s="16">
        <f>INDEX(HIST_D!$BB$8:$BB$791,1)</f>
        <v/>
      </c>
      <c r="D6" s="39" t="inlineStr">
        <is>
          <t>yes</t>
        </is>
      </c>
      <c r="E6" s="47">
        <f>IFERROR((INDEX(HIST_D!$BB$8:$BB$791,1)/INDEX(HIST_D!$BB$8:$BB$791,Control!$B$10)-1),"")</f>
        <v/>
      </c>
      <c r="F6" s="17">
        <f>IFERROR((INDEX(HIST_D!$B$8:$B$791,1)/INDEX(HIST_D!$B$8:$B$791,Control!$B$10)-1),"")</f>
        <v/>
      </c>
      <c r="G6" s="17">
        <f>IFERROR(E6-F6,"")</f>
        <v/>
      </c>
      <c r="H6" s="40">
        <f>IFERROR(IF(ABS(F6)&lt;0.005,"n/m",E6/F6),"n/m")</f>
        <v/>
      </c>
      <c r="I6" s="41">
        <f>IFERROR(SLOPE(HIST_D!$EM$8:INDEX(HIST_D!$EM$8:$EM$791,Control!$B$12),HIST_D!$CU$8:INDEX(HIST_D!$CU$8:$CU$791,Control!$B$12)),"")</f>
        <v/>
      </c>
      <c r="J6" s="17">
        <f>IFERROR(I6*(INDEX(HIST_D!$B$8:$B$791,1)/INDEX(HIST_D!$B$8:$B$791,Control!$B$10)-1),"")</f>
        <v/>
      </c>
      <c r="K6" s="48">
        <f>IFERROR(E6-J6,"")</f>
        <v/>
      </c>
      <c r="L6" s="47">
        <f>IFERROR((INDEX(HIST_D!$BB$8:$BB$791,1)/INDEX(HIST_D!$BB$8:$BB$791,Control!$B$11)-1),"")</f>
        <v/>
      </c>
      <c r="M6" s="17">
        <f>IFERROR((INDEX(HIST_D!$B$8:$B$791,1)/INDEX(HIST_D!$B$8:$B$791,Control!$B$11)-1),"")</f>
        <v/>
      </c>
      <c r="N6" s="17">
        <f>IFERROR(L6-M6,"")</f>
        <v/>
      </c>
      <c r="O6" s="40">
        <f>IFERROR(IF(ABS(M6)&lt;0.005,"n/m",L6/M6),"n/m")</f>
        <v/>
      </c>
      <c r="P6" s="41">
        <f>IFERROR(SLOPE(HIST_D!$EM$8:INDEX(HIST_D!$EM$8:$EM$791,Control!$B$12),HIST_D!$CU$8:INDEX(HIST_D!$CU$8:$CU$791,Control!$B$12)),"")</f>
        <v/>
      </c>
      <c r="Q6" s="17">
        <f>IFERROR(P6*(INDEX(HIST_D!$B$8:$B$791,1)/INDEX(HIST_D!$B$8:$B$791,Control!$B$11)-1),"")</f>
        <v/>
      </c>
      <c r="R6" s="48">
        <f>IFERROR(L6-Q6,"")</f>
        <v/>
      </c>
    </row>
    <row r="7">
      <c r="A7" s="13" t="inlineStr">
        <is>
          <t>Mexico</t>
        </is>
      </c>
      <c r="B7" s="39" t="inlineStr">
        <is>
          <t>LatAm</t>
        </is>
      </c>
      <c r="C7" s="16">
        <f>INDEX(HIST_D!$BC$8:$BC$791,1)</f>
        <v/>
      </c>
      <c r="D7" s="39" t="inlineStr">
        <is>
          <t>yes</t>
        </is>
      </c>
      <c r="E7" s="47">
        <f>IFERROR((INDEX(HIST_D!$BC$8:$BC$791,1)/INDEX(HIST_D!$BC$8:$BC$791,Control!$B$10)-1),"")</f>
        <v/>
      </c>
      <c r="F7" s="17">
        <f>IFERROR((INDEX(HIST_D!$B$8:$B$791,1)/INDEX(HIST_D!$B$8:$B$791,Control!$B$10)-1),"")</f>
        <v/>
      </c>
      <c r="G7" s="17">
        <f>IFERROR(E7-F7,"")</f>
        <v/>
      </c>
      <c r="H7" s="40">
        <f>IFERROR(IF(ABS(F7)&lt;0.005,"n/m",E7/F7),"n/m")</f>
        <v/>
      </c>
      <c r="I7" s="41">
        <f>IFERROR(SLOPE(HIST_D!$EN$8:INDEX(HIST_D!$EN$8:$EN$791,Control!$B$12),HIST_D!$CU$8:INDEX(HIST_D!$CU$8:$CU$791,Control!$B$12)),"")</f>
        <v/>
      </c>
      <c r="J7" s="17">
        <f>IFERROR(I7*(INDEX(HIST_D!$B$8:$B$791,1)/INDEX(HIST_D!$B$8:$B$791,Control!$B$10)-1),"")</f>
        <v/>
      </c>
      <c r="K7" s="48">
        <f>IFERROR(E7-J7,"")</f>
        <v/>
      </c>
      <c r="L7" s="47">
        <f>IFERROR((INDEX(HIST_D!$BC$8:$BC$791,1)/INDEX(HIST_D!$BC$8:$BC$791,Control!$B$11)-1),"")</f>
        <v/>
      </c>
      <c r="M7" s="17">
        <f>IFERROR((INDEX(HIST_D!$B$8:$B$791,1)/INDEX(HIST_D!$B$8:$B$791,Control!$B$11)-1),"")</f>
        <v/>
      </c>
      <c r="N7" s="17">
        <f>IFERROR(L7-M7,"")</f>
        <v/>
      </c>
      <c r="O7" s="40">
        <f>IFERROR(IF(ABS(M7)&lt;0.005,"n/m",L7/M7),"n/m")</f>
        <v/>
      </c>
      <c r="P7" s="41">
        <f>IFERROR(SLOPE(HIST_D!$EN$8:INDEX(HIST_D!$EN$8:$EN$791,Control!$B$12),HIST_D!$CU$8:INDEX(HIST_D!$CU$8:$CU$791,Control!$B$12)),"")</f>
        <v/>
      </c>
      <c r="Q7" s="17">
        <f>IFERROR(P7*(INDEX(HIST_D!$B$8:$B$791,1)/INDEX(HIST_D!$B$8:$B$791,Control!$B$11)-1),"")</f>
        <v/>
      </c>
      <c r="R7" s="48">
        <f>IFERROR(L7-Q7,"")</f>
        <v/>
      </c>
    </row>
    <row r="8">
      <c r="A8" s="13" t="inlineStr">
        <is>
          <t>Chile</t>
        </is>
      </c>
      <c r="B8" s="39" t="inlineStr">
        <is>
          <t>LatAm</t>
        </is>
      </c>
      <c r="C8" s="16">
        <f>INDEX(HIST_D!$BD$8:$BD$791,1)</f>
        <v/>
      </c>
      <c r="D8" s="39" t="inlineStr">
        <is>
          <t>yes</t>
        </is>
      </c>
      <c r="E8" s="47">
        <f>IFERROR((INDEX(HIST_D!$BD$8:$BD$791,1)/INDEX(HIST_D!$BD$8:$BD$791,Control!$B$10)-1),"")</f>
        <v/>
      </c>
      <c r="F8" s="17">
        <f>IFERROR((INDEX(HIST_D!$B$8:$B$791,1)/INDEX(HIST_D!$B$8:$B$791,Control!$B$10)-1),"")</f>
        <v/>
      </c>
      <c r="G8" s="17">
        <f>IFERROR(E8-F8,"")</f>
        <v/>
      </c>
      <c r="H8" s="40">
        <f>IFERROR(IF(ABS(F8)&lt;0.005,"n/m",E8/F8),"n/m")</f>
        <v/>
      </c>
      <c r="I8" s="41">
        <f>IFERROR(SLOPE(HIST_D!$EO$8:INDEX(HIST_D!$EO$8:$EO$791,Control!$B$12),HIST_D!$CU$8:INDEX(HIST_D!$CU$8:$CU$791,Control!$B$12)),"")</f>
        <v/>
      </c>
      <c r="J8" s="17">
        <f>IFERROR(I8*(INDEX(HIST_D!$B$8:$B$791,1)/INDEX(HIST_D!$B$8:$B$791,Control!$B$10)-1),"")</f>
        <v/>
      </c>
      <c r="K8" s="48">
        <f>IFERROR(E8-J8,"")</f>
        <v/>
      </c>
      <c r="L8" s="47">
        <f>IFERROR((INDEX(HIST_D!$BD$8:$BD$791,1)/INDEX(HIST_D!$BD$8:$BD$791,Control!$B$11)-1),"")</f>
        <v/>
      </c>
      <c r="M8" s="17">
        <f>IFERROR((INDEX(HIST_D!$B$8:$B$791,1)/INDEX(HIST_D!$B$8:$B$791,Control!$B$11)-1),"")</f>
        <v/>
      </c>
      <c r="N8" s="17">
        <f>IFERROR(L8-M8,"")</f>
        <v/>
      </c>
      <c r="O8" s="40">
        <f>IFERROR(IF(ABS(M8)&lt;0.005,"n/m",L8/M8),"n/m")</f>
        <v/>
      </c>
      <c r="P8" s="41">
        <f>IFERROR(SLOPE(HIST_D!$EO$8:INDEX(HIST_D!$EO$8:$EO$791,Control!$B$12),HIST_D!$CU$8:INDEX(HIST_D!$CU$8:$CU$791,Control!$B$12)),"")</f>
        <v/>
      </c>
      <c r="Q8" s="17">
        <f>IFERROR(P8*(INDEX(HIST_D!$B$8:$B$791,1)/INDEX(HIST_D!$B$8:$B$791,Control!$B$11)-1),"")</f>
        <v/>
      </c>
      <c r="R8" s="48">
        <f>IFERROR(L8-Q8,"")</f>
        <v/>
      </c>
    </row>
    <row r="9">
      <c r="A9" s="13" t="inlineStr">
        <is>
          <t>Colombia</t>
        </is>
      </c>
      <c r="B9" s="39" t="inlineStr">
        <is>
          <t>LatAm</t>
        </is>
      </c>
      <c r="C9" s="16">
        <f>INDEX(HIST_D!$BE$8:$BE$791,1)</f>
        <v/>
      </c>
      <c r="D9" s="39" t="inlineStr">
        <is>
          <t>yes</t>
        </is>
      </c>
      <c r="E9" s="47">
        <f>IFERROR((INDEX(HIST_D!$BE$8:$BE$791,1)/INDEX(HIST_D!$BE$8:$BE$791,Control!$B$10)-1),"")</f>
        <v/>
      </c>
      <c r="F9" s="17">
        <f>IFERROR((INDEX(HIST_D!$B$8:$B$791,1)/INDEX(HIST_D!$B$8:$B$791,Control!$B$10)-1),"")</f>
        <v/>
      </c>
      <c r="G9" s="17">
        <f>IFERROR(E9-F9,"")</f>
        <v/>
      </c>
      <c r="H9" s="40">
        <f>IFERROR(IF(ABS(F9)&lt;0.005,"n/m",E9/F9),"n/m")</f>
        <v/>
      </c>
      <c r="I9" s="41">
        <f>IFERROR(SLOPE(HIST_D!$EP$8:INDEX(HIST_D!$EP$8:$EP$791,Control!$B$12),HIST_D!$CU$8:INDEX(HIST_D!$CU$8:$CU$791,Control!$B$12)),"")</f>
        <v/>
      </c>
      <c r="J9" s="17">
        <f>IFERROR(I9*(INDEX(HIST_D!$B$8:$B$791,1)/INDEX(HIST_D!$B$8:$B$791,Control!$B$10)-1),"")</f>
        <v/>
      </c>
      <c r="K9" s="48">
        <f>IFERROR(E9-J9,"")</f>
        <v/>
      </c>
      <c r="L9" s="47">
        <f>IFERROR((INDEX(HIST_D!$BE$8:$BE$791,1)/INDEX(HIST_D!$BE$8:$BE$791,Control!$B$11)-1),"")</f>
        <v/>
      </c>
      <c r="M9" s="17">
        <f>IFERROR((INDEX(HIST_D!$B$8:$B$791,1)/INDEX(HIST_D!$B$8:$B$791,Control!$B$11)-1),"")</f>
        <v/>
      </c>
      <c r="N9" s="17">
        <f>IFERROR(L9-M9,"")</f>
        <v/>
      </c>
      <c r="O9" s="40">
        <f>IFERROR(IF(ABS(M9)&lt;0.005,"n/m",L9/M9),"n/m")</f>
        <v/>
      </c>
      <c r="P9" s="41">
        <f>IFERROR(SLOPE(HIST_D!$EP$8:INDEX(HIST_D!$EP$8:$EP$791,Control!$B$12),HIST_D!$CU$8:INDEX(HIST_D!$CU$8:$CU$791,Control!$B$12)),"")</f>
        <v/>
      </c>
      <c r="Q9" s="17">
        <f>IFERROR(P9*(INDEX(HIST_D!$B$8:$B$791,1)/INDEX(HIST_D!$B$8:$B$791,Control!$B$11)-1),"")</f>
        <v/>
      </c>
      <c r="R9" s="48">
        <f>IFERROR(L9-Q9,"")</f>
        <v/>
      </c>
    </row>
    <row r="10">
      <c r="A10" s="13" t="inlineStr">
        <is>
          <t>Peru</t>
        </is>
      </c>
      <c r="B10" s="39" t="inlineStr">
        <is>
          <t>LatAm</t>
        </is>
      </c>
      <c r="C10" s="16">
        <f>INDEX(HIST_D!$BF$8:$BF$791,1)</f>
        <v/>
      </c>
      <c r="D10" s="39" t="inlineStr">
        <is>
          <t>yes</t>
        </is>
      </c>
      <c r="E10" s="47">
        <f>IFERROR((INDEX(HIST_D!$BF$8:$BF$791,1)/INDEX(HIST_D!$BF$8:$BF$791,Control!$B$10)-1),"")</f>
        <v/>
      </c>
      <c r="F10" s="17">
        <f>IFERROR((INDEX(HIST_D!$B$8:$B$791,1)/INDEX(HIST_D!$B$8:$B$791,Control!$B$10)-1),"")</f>
        <v/>
      </c>
      <c r="G10" s="17">
        <f>IFERROR(E10-F10,"")</f>
        <v/>
      </c>
      <c r="H10" s="40">
        <f>IFERROR(IF(ABS(F10)&lt;0.005,"n/m",E10/F10),"n/m")</f>
        <v/>
      </c>
      <c r="I10" s="41">
        <f>IFERROR(SLOPE(HIST_D!$EQ$8:INDEX(HIST_D!$EQ$8:$EQ$791,Control!$B$12),HIST_D!$CU$8:INDEX(HIST_D!$CU$8:$CU$791,Control!$B$12)),"")</f>
        <v/>
      </c>
      <c r="J10" s="17">
        <f>IFERROR(I10*(INDEX(HIST_D!$B$8:$B$791,1)/INDEX(HIST_D!$B$8:$B$791,Control!$B$10)-1),"")</f>
        <v/>
      </c>
      <c r="K10" s="48">
        <f>IFERROR(E10-J10,"")</f>
        <v/>
      </c>
      <c r="L10" s="47">
        <f>IFERROR((INDEX(HIST_D!$BF$8:$BF$791,1)/INDEX(HIST_D!$BF$8:$BF$791,Control!$B$11)-1),"")</f>
        <v/>
      </c>
      <c r="M10" s="17">
        <f>IFERROR((INDEX(HIST_D!$B$8:$B$791,1)/INDEX(HIST_D!$B$8:$B$791,Control!$B$11)-1),"")</f>
        <v/>
      </c>
      <c r="N10" s="17">
        <f>IFERROR(L10-M10,"")</f>
        <v/>
      </c>
      <c r="O10" s="40">
        <f>IFERROR(IF(ABS(M10)&lt;0.005,"n/m",L10/M10),"n/m")</f>
        <v/>
      </c>
      <c r="P10" s="41">
        <f>IFERROR(SLOPE(HIST_D!$EQ$8:INDEX(HIST_D!$EQ$8:$EQ$791,Control!$B$12),HIST_D!$CU$8:INDEX(HIST_D!$CU$8:$CU$791,Control!$B$12)),"")</f>
        <v/>
      </c>
      <c r="Q10" s="17">
        <f>IFERROR(P10*(INDEX(HIST_D!$B$8:$B$791,1)/INDEX(HIST_D!$B$8:$B$791,Control!$B$11)-1),"")</f>
        <v/>
      </c>
      <c r="R10" s="48">
        <f>IFERROR(L10-Q10,"")</f>
        <v/>
      </c>
    </row>
    <row r="11">
      <c r="A11" s="18" t="inlineStr">
        <is>
          <t>LatAm average</t>
        </is>
      </c>
      <c r="B11" s="39" t="inlineStr">
        <is>
          <t>n=5</t>
        </is>
      </c>
      <c r="C11" s="13" t="inlineStr"/>
      <c r="D11" s="13" t="inlineStr"/>
      <c r="E11" s="47">
        <f>IFERROR(AVERAGE(E6,E7,E8,E9,E10),"")</f>
        <v/>
      </c>
      <c r="F11" s="47">
        <f>IFERROR(AVERAGE(F6,F7,F8,F9,F10),"")</f>
        <v/>
      </c>
      <c r="G11" s="47">
        <f>IFERROR(AVERAGE(G6,G7,G8,G9,G10),"")</f>
        <v/>
      </c>
      <c r="H11" s="43">
        <f>IFERROR(IF(ABS(F11)&lt;0.005,"n/m",E11/F11),"n/m")</f>
        <v/>
      </c>
      <c r="I11" s="44">
        <f>IFERROR(AVERAGE(I6,I7,I8,I9,I10),"")</f>
        <v/>
      </c>
      <c r="J11" s="47">
        <f>IFERROR(AVERAGE(J6,J7,J8,J9,J10),"")</f>
        <v/>
      </c>
      <c r="K11" s="47">
        <f>IFERROR(AVERAGE(K6,K7,K8,K9,K10),"")</f>
        <v/>
      </c>
      <c r="L11" s="47">
        <f>IFERROR(AVERAGE(L6,L7,L8,L9,L10),"")</f>
        <v/>
      </c>
      <c r="M11" s="47">
        <f>IFERROR(AVERAGE(M6,M7,M8,M9,M10),"")</f>
        <v/>
      </c>
      <c r="N11" s="47">
        <f>IFERROR(AVERAGE(N6,N7,N8,N9,N10),"")</f>
        <v/>
      </c>
      <c r="O11" s="43">
        <f>IFERROR(IF(ABS(M11)&lt;0.005,"n/m",L11/M11),"n/m")</f>
        <v/>
      </c>
      <c r="P11" s="44">
        <f>IFERROR(AVERAGE(P6,P7,P8,P9,P10),"")</f>
        <v/>
      </c>
      <c r="Q11" s="47">
        <f>IFERROR(AVERAGE(Q6,Q7,Q8,Q9,Q10),"")</f>
        <v/>
      </c>
      <c r="R11" s="47">
        <f>IFERROR(AVERAGE(R6,R7,R8,R9,R10),"")</f>
        <v/>
      </c>
    </row>
    <row r="12">
      <c r="A12" s="7">
        <f>IFERROR("LatAm: MSCI in USD "&amp;TEXT($E$11,"+0.0%;-0.0%")&amp;" on the month against MSCI World "&amp;TEXT($F$11,"+0.0%;-0.0%")&amp;", so "&amp;TEXT($G$11,"+0.0%;-0.0%")&amp;" is relative"&amp;IF(ISNUMBER($H$11)," (pass-through "&amp;TEXT($H$11,"0.00")&amp;"x)","")&amp;". Against a 2y beta to World of "&amp;TEXT($I$11,"0.00")&amp;" the surprise is "&amp;TEXT($K$11,"+0.0%;-0.0%")&amp;". YTD: "&amp;TEXT($L$11,"+0.0%;-0.0%")&amp;" against World "&amp;TEXT($M$11,"+0.0%;-0.0%")&amp;", relative "&amp;TEXT($N$11,"+0.0%;-0.0%")&amp;". "&amp;IF($K$11&gt;0.01,"Outran what the global beta implies — an EM earnings story, not a rates story.",IF($K$11&lt;-0.01,"Lagged what the global beta implies — EM-specific weakness.","In line with the global beta; nothing EM-specific.")),"")</f>
        <v/>
      </c>
    </row>
    <row r="14" ht="16" customHeight="1">
      <c r="A14" s="37" t="inlineStr">
        <is>
          <t>EM EUROPE</t>
        </is>
      </c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</row>
    <row r="15" ht="40" customHeight="1">
      <c r="A15" s="12" t="inlineStr">
        <is>
          <t>Country</t>
        </is>
      </c>
      <c r="B15" s="12" t="inlineStr">
        <is>
          <t>Region</t>
        </is>
      </c>
      <c r="C15" s="12" t="inlineStr">
        <is>
          <t>Level</t>
        </is>
      </c>
      <c r="D15" s="12" t="inlineStr">
        <is>
          <t>In avg</t>
        </is>
      </c>
      <c r="E15" s="12" t="inlineStr">
        <is>
          <t>1M: Total: USD return</t>
        </is>
      </c>
      <c r="F15" s="12" t="inlineStr">
        <is>
          <t>1M: US/DM-driven: MSCI World return</t>
        </is>
      </c>
      <c r="G15" s="12" t="inlineStr">
        <is>
          <t>1M: Intrinsic: relative to World</t>
        </is>
      </c>
      <c r="H15" s="12" t="inlineStr">
        <is>
          <t>1M: Pass-through (total / World)</t>
        </is>
      </c>
      <c r="I15" s="12" t="inlineStr">
        <is>
          <t>1M: Beta to MSCI World (2y)</t>
        </is>
      </c>
      <c r="J15" s="12" t="inlineStr">
        <is>
          <t>1M: Predicted by beta</t>
        </is>
      </c>
      <c r="K15" s="12" t="inlineStr">
        <is>
          <t>1M: Surprise: actual less predicted</t>
        </is>
      </c>
      <c r="L15" s="12" t="inlineStr">
        <is>
          <t>YTD: Total: USD return</t>
        </is>
      </c>
      <c r="M15" s="12" t="inlineStr">
        <is>
          <t>YTD: US/DM-driven: MSCI World return</t>
        </is>
      </c>
      <c r="N15" s="12" t="inlineStr">
        <is>
          <t>YTD: Intrinsic: relative to World</t>
        </is>
      </c>
      <c r="O15" s="12" t="inlineStr">
        <is>
          <t>YTD: Pass-through (total / World)</t>
        </is>
      </c>
      <c r="P15" s="12" t="inlineStr">
        <is>
          <t>YTD: Beta to MSCI World (2y)</t>
        </is>
      </c>
      <c r="Q15" s="12" t="inlineStr">
        <is>
          <t>YTD: Predicted by beta</t>
        </is>
      </c>
      <c r="R15" s="12" t="inlineStr">
        <is>
          <t>YTD: Surprise: actual less predicted</t>
        </is>
      </c>
    </row>
    <row r="16">
      <c r="A16" s="13" t="inlineStr">
        <is>
          <t>Poland</t>
        </is>
      </c>
      <c r="B16" s="39" t="inlineStr">
        <is>
          <t>EM Europe</t>
        </is>
      </c>
      <c r="C16" s="16">
        <f>INDEX(HIST_D!$BG$8:$BG$791,1)</f>
        <v/>
      </c>
      <c r="D16" s="39" t="inlineStr">
        <is>
          <t>yes</t>
        </is>
      </c>
      <c r="E16" s="47">
        <f>IFERROR((INDEX(HIST_D!$BG$8:$BG$791,1)/INDEX(HIST_D!$BG$8:$BG$791,Control!$B$10)-1),"")</f>
        <v/>
      </c>
      <c r="F16" s="17">
        <f>IFERROR((INDEX(HIST_D!$B$8:$B$791,1)/INDEX(HIST_D!$B$8:$B$791,Control!$B$10)-1),"")</f>
        <v/>
      </c>
      <c r="G16" s="17">
        <f>IFERROR(E16-F16,"")</f>
        <v/>
      </c>
      <c r="H16" s="40">
        <f>IFERROR(IF(ABS(F16)&lt;0.005,"n/m",E16/F16),"n/m")</f>
        <v/>
      </c>
      <c r="I16" s="41">
        <f>IFERROR(SLOPE(HIST_D!$ER$8:INDEX(HIST_D!$ER$8:$ER$791,Control!$B$12),HIST_D!$CU$8:INDEX(HIST_D!$CU$8:$CU$791,Control!$B$12)),"")</f>
        <v/>
      </c>
      <c r="J16" s="17">
        <f>IFERROR(I16*(INDEX(HIST_D!$B$8:$B$791,1)/INDEX(HIST_D!$B$8:$B$791,Control!$B$10)-1),"")</f>
        <v/>
      </c>
      <c r="K16" s="48">
        <f>IFERROR(E16-J16,"")</f>
        <v/>
      </c>
      <c r="L16" s="47">
        <f>IFERROR((INDEX(HIST_D!$BG$8:$BG$791,1)/INDEX(HIST_D!$BG$8:$BG$791,Control!$B$11)-1),"")</f>
        <v/>
      </c>
      <c r="M16" s="17">
        <f>IFERROR((INDEX(HIST_D!$B$8:$B$791,1)/INDEX(HIST_D!$B$8:$B$791,Control!$B$11)-1),"")</f>
        <v/>
      </c>
      <c r="N16" s="17">
        <f>IFERROR(L16-M16,"")</f>
        <v/>
      </c>
      <c r="O16" s="40">
        <f>IFERROR(IF(ABS(M16)&lt;0.005,"n/m",L16/M16),"n/m")</f>
        <v/>
      </c>
      <c r="P16" s="41">
        <f>IFERROR(SLOPE(HIST_D!$ER$8:INDEX(HIST_D!$ER$8:$ER$791,Control!$B$12),HIST_D!$CU$8:INDEX(HIST_D!$CU$8:$CU$791,Control!$B$12)),"")</f>
        <v/>
      </c>
      <c r="Q16" s="17">
        <f>IFERROR(P16*(INDEX(HIST_D!$B$8:$B$791,1)/INDEX(HIST_D!$B$8:$B$791,Control!$B$11)-1),"")</f>
        <v/>
      </c>
      <c r="R16" s="48">
        <f>IFERROR(L16-Q16,"")</f>
        <v/>
      </c>
    </row>
    <row r="17">
      <c r="A17" s="13" t="inlineStr">
        <is>
          <t>Hungary</t>
        </is>
      </c>
      <c r="B17" s="39" t="inlineStr">
        <is>
          <t>EM Europe</t>
        </is>
      </c>
      <c r="C17" s="16">
        <f>INDEX(HIST_D!$BH$8:$BH$791,1)</f>
        <v/>
      </c>
      <c r="D17" s="39" t="inlineStr">
        <is>
          <t>yes</t>
        </is>
      </c>
      <c r="E17" s="47">
        <f>IFERROR((INDEX(HIST_D!$BH$8:$BH$791,1)/INDEX(HIST_D!$BH$8:$BH$791,Control!$B$10)-1),"")</f>
        <v/>
      </c>
      <c r="F17" s="17">
        <f>IFERROR((INDEX(HIST_D!$B$8:$B$791,1)/INDEX(HIST_D!$B$8:$B$791,Control!$B$10)-1),"")</f>
        <v/>
      </c>
      <c r="G17" s="17">
        <f>IFERROR(E17-F17,"")</f>
        <v/>
      </c>
      <c r="H17" s="40">
        <f>IFERROR(IF(ABS(F17)&lt;0.005,"n/m",E17/F17),"n/m")</f>
        <v/>
      </c>
      <c r="I17" s="41">
        <f>IFERROR(SLOPE(HIST_D!$ES$8:INDEX(HIST_D!$ES$8:$ES$791,Control!$B$12),HIST_D!$CU$8:INDEX(HIST_D!$CU$8:$CU$791,Control!$B$12)),"")</f>
        <v/>
      </c>
      <c r="J17" s="17">
        <f>IFERROR(I17*(INDEX(HIST_D!$B$8:$B$791,1)/INDEX(HIST_D!$B$8:$B$791,Control!$B$10)-1),"")</f>
        <v/>
      </c>
      <c r="K17" s="48">
        <f>IFERROR(E17-J17,"")</f>
        <v/>
      </c>
      <c r="L17" s="47">
        <f>IFERROR((INDEX(HIST_D!$BH$8:$BH$791,1)/INDEX(HIST_D!$BH$8:$BH$791,Control!$B$11)-1),"")</f>
        <v/>
      </c>
      <c r="M17" s="17">
        <f>IFERROR((INDEX(HIST_D!$B$8:$B$791,1)/INDEX(HIST_D!$B$8:$B$791,Control!$B$11)-1),"")</f>
        <v/>
      </c>
      <c r="N17" s="17">
        <f>IFERROR(L17-M17,"")</f>
        <v/>
      </c>
      <c r="O17" s="40">
        <f>IFERROR(IF(ABS(M17)&lt;0.005,"n/m",L17/M17),"n/m")</f>
        <v/>
      </c>
      <c r="P17" s="41">
        <f>IFERROR(SLOPE(HIST_D!$ES$8:INDEX(HIST_D!$ES$8:$ES$791,Control!$B$12),HIST_D!$CU$8:INDEX(HIST_D!$CU$8:$CU$791,Control!$B$12)),"")</f>
        <v/>
      </c>
      <c r="Q17" s="17">
        <f>IFERROR(P17*(INDEX(HIST_D!$B$8:$B$791,1)/INDEX(HIST_D!$B$8:$B$791,Control!$B$11)-1),"")</f>
        <v/>
      </c>
      <c r="R17" s="48">
        <f>IFERROR(L17-Q17,"")</f>
        <v/>
      </c>
    </row>
    <row r="18">
      <c r="A18" s="13" t="inlineStr">
        <is>
          <t>Czechia</t>
        </is>
      </c>
      <c r="B18" s="39" t="inlineStr">
        <is>
          <t>EM Europe</t>
        </is>
      </c>
      <c r="C18" s="16">
        <f>INDEX(HIST_D!$BI$8:$BI$791,1)</f>
        <v/>
      </c>
      <c r="D18" s="39" t="inlineStr">
        <is>
          <t>yes</t>
        </is>
      </c>
      <c r="E18" s="47">
        <f>IFERROR((INDEX(HIST_D!$BI$8:$BI$791,1)/INDEX(HIST_D!$BI$8:$BI$791,Control!$B$10)-1),"")</f>
        <v/>
      </c>
      <c r="F18" s="17">
        <f>IFERROR((INDEX(HIST_D!$B$8:$B$791,1)/INDEX(HIST_D!$B$8:$B$791,Control!$B$10)-1),"")</f>
        <v/>
      </c>
      <c r="G18" s="17">
        <f>IFERROR(E18-F18,"")</f>
        <v/>
      </c>
      <c r="H18" s="40">
        <f>IFERROR(IF(ABS(F18)&lt;0.005,"n/m",E18/F18),"n/m")</f>
        <v/>
      </c>
      <c r="I18" s="41">
        <f>IFERROR(SLOPE(HIST_D!$ET$8:INDEX(HIST_D!$ET$8:$ET$791,Control!$B$12),HIST_D!$CU$8:INDEX(HIST_D!$CU$8:$CU$791,Control!$B$12)),"")</f>
        <v/>
      </c>
      <c r="J18" s="17">
        <f>IFERROR(I18*(INDEX(HIST_D!$B$8:$B$791,1)/INDEX(HIST_D!$B$8:$B$791,Control!$B$10)-1),"")</f>
        <v/>
      </c>
      <c r="K18" s="48">
        <f>IFERROR(E18-J18,"")</f>
        <v/>
      </c>
      <c r="L18" s="47">
        <f>IFERROR((INDEX(HIST_D!$BI$8:$BI$791,1)/INDEX(HIST_D!$BI$8:$BI$791,Control!$B$11)-1),"")</f>
        <v/>
      </c>
      <c r="M18" s="17">
        <f>IFERROR((INDEX(HIST_D!$B$8:$B$791,1)/INDEX(HIST_D!$B$8:$B$791,Control!$B$11)-1),"")</f>
        <v/>
      </c>
      <c r="N18" s="17">
        <f>IFERROR(L18-M18,"")</f>
        <v/>
      </c>
      <c r="O18" s="40">
        <f>IFERROR(IF(ABS(M18)&lt;0.005,"n/m",L18/M18),"n/m")</f>
        <v/>
      </c>
      <c r="P18" s="41">
        <f>IFERROR(SLOPE(HIST_D!$ET$8:INDEX(HIST_D!$ET$8:$ET$791,Control!$B$12),HIST_D!$CU$8:INDEX(HIST_D!$CU$8:$CU$791,Control!$B$12)),"")</f>
        <v/>
      </c>
      <c r="Q18" s="17">
        <f>IFERROR(P18*(INDEX(HIST_D!$B$8:$B$791,1)/INDEX(HIST_D!$B$8:$B$791,Control!$B$11)-1),"")</f>
        <v/>
      </c>
      <c r="R18" s="48">
        <f>IFERROR(L18-Q18,"")</f>
        <v/>
      </c>
    </row>
    <row r="19">
      <c r="A19" s="13" t="inlineStr">
        <is>
          <t>Romania</t>
        </is>
      </c>
      <c r="B19" s="39" t="inlineStr">
        <is>
          <t>EM Europe</t>
        </is>
      </c>
      <c r="C19" s="16">
        <f>INDEX(HIST_D!$BJ$8:$BJ$791,1)</f>
        <v/>
      </c>
      <c r="D19" s="39" t="inlineStr">
        <is>
          <t>yes</t>
        </is>
      </c>
      <c r="E19" s="47">
        <f>IFERROR((INDEX(HIST_D!$BJ$8:$BJ$791,1)/INDEX(HIST_D!$BJ$8:$BJ$791,Control!$B$10)-1),"")</f>
        <v/>
      </c>
      <c r="F19" s="17">
        <f>IFERROR((INDEX(HIST_D!$B$8:$B$791,1)/INDEX(HIST_D!$B$8:$B$791,Control!$B$10)-1),"")</f>
        <v/>
      </c>
      <c r="G19" s="17">
        <f>IFERROR(E19-F19,"")</f>
        <v/>
      </c>
      <c r="H19" s="40">
        <f>IFERROR(IF(ABS(F19)&lt;0.005,"n/m",E19/F19),"n/m")</f>
        <v/>
      </c>
      <c r="I19" s="41">
        <f>IFERROR(SLOPE(HIST_D!$EU$8:INDEX(HIST_D!$EU$8:$EU$791,Control!$B$12),HIST_D!$CU$8:INDEX(HIST_D!$CU$8:$CU$791,Control!$B$12)),"")</f>
        <v/>
      </c>
      <c r="J19" s="17">
        <f>IFERROR(I19*(INDEX(HIST_D!$B$8:$B$791,1)/INDEX(HIST_D!$B$8:$B$791,Control!$B$10)-1),"")</f>
        <v/>
      </c>
      <c r="K19" s="48">
        <f>IFERROR(E19-J19,"")</f>
        <v/>
      </c>
      <c r="L19" s="47">
        <f>IFERROR((INDEX(HIST_D!$BJ$8:$BJ$791,1)/INDEX(HIST_D!$BJ$8:$BJ$791,Control!$B$11)-1),"")</f>
        <v/>
      </c>
      <c r="M19" s="17">
        <f>IFERROR((INDEX(HIST_D!$B$8:$B$791,1)/INDEX(HIST_D!$B$8:$B$791,Control!$B$11)-1),"")</f>
        <v/>
      </c>
      <c r="N19" s="17">
        <f>IFERROR(L19-M19,"")</f>
        <v/>
      </c>
      <c r="O19" s="40">
        <f>IFERROR(IF(ABS(M19)&lt;0.005,"n/m",L19/M19),"n/m")</f>
        <v/>
      </c>
      <c r="P19" s="41">
        <f>IFERROR(SLOPE(HIST_D!$EU$8:INDEX(HIST_D!$EU$8:$EU$791,Control!$B$12),HIST_D!$CU$8:INDEX(HIST_D!$CU$8:$CU$791,Control!$B$12)),"")</f>
        <v/>
      </c>
      <c r="Q19" s="17">
        <f>IFERROR(P19*(INDEX(HIST_D!$B$8:$B$791,1)/INDEX(HIST_D!$B$8:$B$791,Control!$B$11)-1),"")</f>
        <v/>
      </c>
      <c r="R19" s="48">
        <f>IFERROR(L19-Q19,"")</f>
        <v/>
      </c>
    </row>
    <row r="20">
      <c r="A20" s="13" t="inlineStr">
        <is>
          <t>Turkiye</t>
        </is>
      </c>
      <c r="B20" s="39" t="inlineStr">
        <is>
          <t>EM Europe</t>
        </is>
      </c>
      <c r="C20" s="16">
        <f>INDEX(HIST_D!$BK$8:$BK$791,1)</f>
        <v/>
      </c>
      <c r="D20" s="39" t="inlineStr">
        <is>
          <t>yes</t>
        </is>
      </c>
      <c r="E20" s="47">
        <f>IFERROR((INDEX(HIST_D!$BK$8:$BK$791,1)/INDEX(HIST_D!$BK$8:$BK$791,Control!$B$10)-1),"")</f>
        <v/>
      </c>
      <c r="F20" s="17">
        <f>IFERROR((INDEX(HIST_D!$B$8:$B$791,1)/INDEX(HIST_D!$B$8:$B$791,Control!$B$10)-1),"")</f>
        <v/>
      </c>
      <c r="G20" s="17">
        <f>IFERROR(E20-F20,"")</f>
        <v/>
      </c>
      <c r="H20" s="40">
        <f>IFERROR(IF(ABS(F20)&lt;0.005,"n/m",E20/F20),"n/m")</f>
        <v/>
      </c>
      <c r="I20" s="41">
        <f>IFERROR(SLOPE(HIST_D!$EV$8:INDEX(HIST_D!$EV$8:$EV$791,Control!$B$12),HIST_D!$CU$8:INDEX(HIST_D!$CU$8:$CU$791,Control!$B$12)),"")</f>
        <v/>
      </c>
      <c r="J20" s="17">
        <f>IFERROR(I20*(INDEX(HIST_D!$B$8:$B$791,1)/INDEX(HIST_D!$B$8:$B$791,Control!$B$10)-1),"")</f>
        <v/>
      </c>
      <c r="K20" s="48">
        <f>IFERROR(E20-J20,"")</f>
        <v/>
      </c>
      <c r="L20" s="47">
        <f>IFERROR((INDEX(HIST_D!$BK$8:$BK$791,1)/INDEX(HIST_D!$BK$8:$BK$791,Control!$B$11)-1),"")</f>
        <v/>
      </c>
      <c r="M20" s="17">
        <f>IFERROR((INDEX(HIST_D!$B$8:$B$791,1)/INDEX(HIST_D!$B$8:$B$791,Control!$B$11)-1),"")</f>
        <v/>
      </c>
      <c r="N20" s="17">
        <f>IFERROR(L20-M20,"")</f>
        <v/>
      </c>
      <c r="O20" s="40">
        <f>IFERROR(IF(ABS(M20)&lt;0.005,"n/m",L20/M20),"n/m")</f>
        <v/>
      </c>
      <c r="P20" s="41">
        <f>IFERROR(SLOPE(HIST_D!$EV$8:INDEX(HIST_D!$EV$8:$EV$791,Control!$B$12),HIST_D!$CU$8:INDEX(HIST_D!$CU$8:$CU$791,Control!$B$12)),"")</f>
        <v/>
      </c>
      <c r="Q20" s="17">
        <f>IFERROR(P20*(INDEX(HIST_D!$B$8:$B$791,1)/INDEX(HIST_D!$B$8:$B$791,Control!$B$11)-1),"")</f>
        <v/>
      </c>
      <c r="R20" s="48">
        <f>IFERROR(L20-Q20,"")</f>
        <v/>
      </c>
      <c r="S20" s="7" t="inlineStr">
        <is>
          <t>excluded from rates and FX averages: structural depreciation and a 30% curve swamp an equal weight</t>
        </is>
      </c>
    </row>
    <row r="21">
      <c r="A21" s="18" t="inlineStr">
        <is>
          <t>EM Europe average</t>
        </is>
      </c>
      <c r="B21" s="39" t="inlineStr">
        <is>
          <t>n=5</t>
        </is>
      </c>
      <c r="C21" s="13" t="inlineStr"/>
      <c r="D21" s="13" t="inlineStr"/>
      <c r="E21" s="47">
        <f>IFERROR(AVERAGE(E16,E17,E18,E19,E20),"")</f>
        <v/>
      </c>
      <c r="F21" s="47">
        <f>IFERROR(AVERAGE(F16,F17,F18,F19,F20),"")</f>
        <v/>
      </c>
      <c r="G21" s="47">
        <f>IFERROR(AVERAGE(G16,G17,G18,G19,G20),"")</f>
        <v/>
      </c>
      <c r="H21" s="43">
        <f>IFERROR(IF(ABS(F21)&lt;0.005,"n/m",E21/F21),"n/m")</f>
        <v/>
      </c>
      <c r="I21" s="44">
        <f>IFERROR(AVERAGE(I16,I17,I18,I19,I20),"")</f>
        <v/>
      </c>
      <c r="J21" s="47">
        <f>IFERROR(AVERAGE(J16,J17,J18,J19,J20),"")</f>
        <v/>
      </c>
      <c r="K21" s="47">
        <f>IFERROR(AVERAGE(K16,K17,K18,K19,K20),"")</f>
        <v/>
      </c>
      <c r="L21" s="47">
        <f>IFERROR(AVERAGE(L16,L17,L18,L19,L20),"")</f>
        <v/>
      </c>
      <c r="M21" s="47">
        <f>IFERROR(AVERAGE(M16,M17,M18,M19,M20),"")</f>
        <v/>
      </c>
      <c r="N21" s="47">
        <f>IFERROR(AVERAGE(N16,N17,N18,N19,N20),"")</f>
        <v/>
      </c>
      <c r="O21" s="43">
        <f>IFERROR(IF(ABS(M21)&lt;0.005,"n/m",L21/M21),"n/m")</f>
        <v/>
      </c>
      <c r="P21" s="44">
        <f>IFERROR(AVERAGE(P16,P17,P18,P19,P20),"")</f>
        <v/>
      </c>
      <c r="Q21" s="47">
        <f>IFERROR(AVERAGE(Q16,Q17,Q18,Q19,Q20),"")</f>
        <v/>
      </c>
      <c r="R21" s="47">
        <f>IFERROR(AVERAGE(R16,R17,R18,R19,R20),"")</f>
        <v/>
      </c>
    </row>
    <row r="22">
      <c r="A22" s="7">
        <f>IFERROR("EM Europe: MSCI in USD "&amp;TEXT($E$21,"+0.0%;-0.0%")&amp;" on the month against MSCI World "&amp;TEXT($F$21,"+0.0%;-0.0%")&amp;", so "&amp;TEXT($G$21,"+0.0%;-0.0%")&amp;" is relative"&amp;IF(ISNUMBER($H$21)," (pass-through "&amp;TEXT($H$21,"0.00")&amp;"x)","")&amp;". Against a 2y beta to World of "&amp;TEXT($I$21,"0.00")&amp;" the surprise is "&amp;TEXT($K$21,"+0.0%;-0.0%")&amp;". YTD: "&amp;TEXT($L$21,"+0.0%;-0.0%")&amp;" against World "&amp;TEXT($M$21,"+0.0%;-0.0%")&amp;", relative "&amp;TEXT($N$21,"+0.0%;-0.0%")&amp;". "&amp;IF($K$21&gt;0.01,"Outran what the global beta implies — an EM earnings story, not a rates story.",IF($K$21&lt;-0.01,"Lagged what the global beta implies — EM-specific weakness.","In line with the global beta; nothing EM-specific.")),"")</f>
        <v/>
      </c>
    </row>
    <row r="24" ht="16" customHeight="1">
      <c r="A24" s="37" t="inlineStr">
        <is>
          <t>MIDDLE EAST</t>
        </is>
      </c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</row>
    <row r="25" ht="40" customHeight="1">
      <c r="A25" s="12" t="inlineStr">
        <is>
          <t>Country</t>
        </is>
      </c>
      <c r="B25" s="12" t="inlineStr">
        <is>
          <t>Region</t>
        </is>
      </c>
      <c r="C25" s="12" t="inlineStr">
        <is>
          <t>Level</t>
        </is>
      </c>
      <c r="D25" s="12" t="inlineStr">
        <is>
          <t>In avg</t>
        </is>
      </c>
      <c r="E25" s="12" t="inlineStr">
        <is>
          <t>1M: Total: USD return</t>
        </is>
      </c>
      <c r="F25" s="12" t="inlineStr">
        <is>
          <t>1M: US/DM-driven: MSCI World return</t>
        </is>
      </c>
      <c r="G25" s="12" t="inlineStr">
        <is>
          <t>1M: Intrinsic: relative to World</t>
        </is>
      </c>
      <c r="H25" s="12" t="inlineStr">
        <is>
          <t>1M: Pass-through (total / World)</t>
        </is>
      </c>
      <c r="I25" s="12" t="inlineStr">
        <is>
          <t>1M: Beta to MSCI World (2y)</t>
        </is>
      </c>
      <c r="J25" s="12" t="inlineStr">
        <is>
          <t>1M: Predicted by beta</t>
        </is>
      </c>
      <c r="K25" s="12" t="inlineStr">
        <is>
          <t>1M: Surprise: actual less predicted</t>
        </is>
      </c>
      <c r="L25" s="12" t="inlineStr">
        <is>
          <t>YTD: Total: USD return</t>
        </is>
      </c>
      <c r="M25" s="12" t="inlineStr">
        <is>
          <t>YTD: US/DM-driven: MSCI World return</t>
        </is>
      </c>
      <c r="N25" s="12" t="inlineStr">
        <is>
          <t>YTD: Intrinsic: relative to World</t>
        </is>
      </c>
      <c r="O25" s="12" t="inlineStr">
        <is>
          <t>YTD: Pass-through (total / World)</t>
        </is>
      </c>
      <c r="P25" s="12" t="inlineStr">
        <is>
          <t>YTD: Beta to MSCI World (2y)</t>
        </is>
      </c>
      <c r="Q25" s="12" t="inlineStr">
        <is>
          <t>YTD: Predicted by beta</t>
        </is>
      </c>
      <c r="R25" s="12" t="inlineStr">
        <is>
          <t>YTD: Surprise: actual less predicted</t>
        </is>
      </c>
    </row>
    <row r="26">
      <c r="A26" s="13" t="inlineStr">
        <is>
          <t>Saudi Arabia</t>
        </is>
      </c>
      <c r="B26" s="39" t="inlineStr">
        <is>
          <t>Middle East</t>
        </is>
      </c>
      <c r="C26" s="16">
        <f>INDEX(HIST_D!$BL$8:$BL$791,1)</f>
        <v/>
      </c>
      <c r="D26" s="39" t="inlineStr">
        <is>
          <t>yes</t>
        </is>
      </c>
      <c r="E26" s="47">
        <f>IFERROR((INDEX(HIST_D!$BL$8:$BL$791,1)/INDEX(HIST_D!$BL$8:$BL$791,Control!$B$10)-1),"")</f>
        <v/>
      </c>
      <c r="F26" s="17">
        <f>IFERROR((INDEX(HIST_D!$B$8:$B$791,1)/INDEX(HIST_D!$B$8:$B$791,Control!$B$10)-1),"")</f>
        <v/>
      </c>
      <c r="G26" s="17">
        <f>IFERROR(E26-F26,"")</f>
        <v/>
      </c>
      <c r="H26" s="40">
        <f>IFERROR(IF(ABS(F26)&lt;0.005,"n/m",E26/F26),"n/m")</f>
        <v/>
      </c>
      <c r="I26" s="41">
        <f>IFERROR(SLOPE(HIST_D!$EW$8:INDEX(HIST_D!$EW$8:$EW$791,Control!$B$12),HIST_D!$CU$8:INDEX(HIST_D!$CU$8:$CU$791,Control!$B$12)),"")</f>
        <v/>
      </c>
      <c r="J26" s="17">
        <f>IFERROR(I26*(INDEX(HIST_D!$B$8:$B$791,1)/INDEX(HIST_D!$B$8:$B$791,Control!$B$10)-1),"")</f>
        <v/>
      </c>
      <c r="K26" s="48">
        <f>IFERROR(E26-J26,"")</f>
        <v/>
      </c>
      <c r="L26" s="47">
        <f>IFERROR((INDEX(HIST_D!$BL$8:$BL$791,1)/INDEX(HIST_D!$BL$8:$BL$791,Control!$B$11)-1),"")</f>
        <v/>
      </c>
      <c r="M26" s="17">
        <f>IFERROR((INDEX(HIST_D!$B$8:$B$791,1)/INDEX(HIST_D!$B$8:$B$791,Control!$B$11)-1),"")</f>
        <v/>
      </c>
      <c r="N26" s="17">
        <f>IFERROR(L26-M26,"")</f>
        <v/>
      </c>
      <c r="O26" s="40">
        <f>IFERROR(IF(ABS(M26)&lt;0.005,"n/m",L26/M26),"n/m")</f>
        <v/>
      </c>
      <c r="P26" s="41">
        <f>IFERROR(SLOPE(HIST_D!$EW$8:INDEX(HIST_D!$EW$8:$EW$791,Control!$B$12),HIST_D!$CU$8:INDEX(HIST_D!$CU$8:$CU$791,Control!$B$12)),"")</f>
        <v/>
      </c>
      <c r="Q26" s="17">
        <f>IFERROR(P26*(INDEX(HIST_D!$B$8:$B$791,1)/INDEX(HIST_D!$B$8:$B$791,Control!$B$11)-1),"")</f>
        <v/>
      </c>
      <c r="R26" s="48">
        <f>IFERROR(L26-Q26,"")</f>
        <v/>
      </c>
      <c r="S26" s="7" t="inlineStr">
        <is>
          <t>pegged; no local generic — credit only</t>
        </is>
      </c>
    </row>
    <row r="27">
      <c r="A27" s="13" t="inlineStr">
        <is>
          <t>UAE (Abu Dhabi)</t>
        </is>
      </c>
      <c r="B27" s="39" t="inlineStr">
        <is>
          <t>Middle East</t>
        </is>
      </c>
      <c r="C27" s="16">
        <f>INDEX(HIST_D!$BM$8:$BM$791,1)</f>
        <v/>
      </c>
      <c r="D27" s="39" t="inlineStr">
        <is>
          <t>yes</t>
        </is>
      </c>
      <c r="E27" s="47">
        <f>IFERROR((INDEX(HIST_D!$BM$8:$BM$791,1)/INDEX(HIST_D!$BM$8:$BM$791,Control!$B$10)-1),"")</f>
        <v/>
      </c>
      <c r="F27" s="17">
        <f>IFERROR((INDEX(HIST_D!$B$8:$B$791,1)/INDEX(HIST_D!$B$8:$B$791,Control!$B$10)-1),"")</f>
        <v/>
      </c>
      <c r="G27" s="17">
        <f>IFERROR(E27-F27,"")</f>
        <v/>
      </c>
      <c r="H27" s="40">
        <f>IFERROR(IF(ABS(F27)&lt;0.005,"n/m",E27/F27),"n/m")</f>
        <v/>
      </c>
      <c r="I27" s="41">
        <f>IFERROR(SLOPE(HIST_D!$EX$8:INDEX(HIST_D!$EX$8:$EX$791,Control!$B$12),HIST_D!$CU$8:INDEX(HIST_D!$CU$8:$CU$791,Control!$B$12)),"")</f>
        <v/>
      </c>
      <c r="J27" s="17">
        <f>IFERROR(I27*(INDEX(HIST_D!$B$8:$B$791,1)/INDEX(HIST_D!$B$8:$B$791,Control!$B$10)-1),"")</f>
        <v/>
      </c>
      <c r="K27" s="48">
        <f>IFERROR(E27-J27,"")</f>
        <v/>
      </c>
      <c r="L27" s="47">
        <f>IFERROR((INDEX(HIST_D!$BM$8:$BM$791,1)/INDEX(HIST_D!$BM$8:$BM$791,Control!$B$11)-1),"")</f>
        <v/>
      </c>
      <c r="M27" s="17">
        <f>IFERROR((INDEX(HIST_D!$B$8:$B$791,1)/INDEX(HIST_D!$B$8:$B$791,Control!$B$11)-1),"")</f>
        <v/>
      </c>
      <c r="N27" s="17">
        <f>IFERROR(L27-M27,"")</f>
        <v/>
      </c>
      <c r="O27" s="40">
        <f>IFERROR(IF(ABS(M27)&lt;0.005,"n/m",L27/M27),"n/m")</f>
        <v/>
      </c>
      <c r="P27" s="41">
        <f>IFERROR(SLOPE(HIST_D!$EX$8:INDEX(HIST_D!$EX$8:$EX$791,Control!$B$12),HIST_D!$CU$8:INDEX(HIST_D!$CU$8:$CU$791,Control!$B$12)),"")</f>
        <v/>
      </c>
      <c r="Q27" s="17">
        <f>IFERROR(P27*(INDEX(HIST_D!$B$8:$B$791,1)/INDEX(HIST_D!$B$8:$B$791,Control!$B$11)-1),"")</f>
        <v/>
      </c>
      <c r="R27" s="48">
        <f>IFERROR(L27-Q27,"")</f>
        <v/>
      </c>
      <c r="S27" s="7" t="inlineStr">
        <is>
          <t>pegged; no local generic — credit only</t>
        </is>
      </c>
    </row>
    <row r="28">
      <c r="A28" s="13" t="inlineStr">
        <is>
          <t>Qatar</t>
        </is>
      </c>
      <c r="B28" s="39" t="inlineStr">
        <is>
          <t>Middle East</t>
        </is>
      </c>
      <c r="C28" s="16">
        <f>INDEX(HIST_D!$BN$8:$BN$791,1)</f>
        <v/>
      </c>
      <c r="D28" s="39" t="inlineStr">
        <is>
          <t>yes</t>
        </is>
      </c>
      <c r="E28" s="47">
        <f>IFERROR((INDEX(HIST_D!$BN$8:$BN$791,1)/INDEX(HIST_D!$BN$8:$BN$791,Control!$B$10)-1),"")</f>
        <v/>
      </c>
      <c r="F28" s="17">
        <f>IFERROR((INDEX(HIST_D!$B$8:$B$791,1)/INDEX(HIST_D!$B$8:$B$791,Control!$B$10)-1),"")</f>
        <v/>
      </c>
      <c r="G28" s="17">
        <f>IFERROR(E28-F28,"")</f>
        <v/>
      </c>
      <c r="H28" s="40">
        <f>IFERROR(IF(ABS(F28)&lt;0.005,"n/m",E28/F28),"n/m")</f>
        <v/>
      </c>
      <c r="I28" s="41">
        <f>IFERROR(SLOPE(HIST_D!$EY$8:INDEX(HIST_D!$EY$8:$EY$791,Control!$B$12),HIST_D!$CU$8:INDEX(HIST_D!$CU$8:$CU$791,Control!$B$12)),"")</f>
        <v/>
      </c>
      <c r="J28" s="17">
        <f>IFERROR(I28*(INDEX(HIST_D!$B$8:$B$791,1)/INDEX(HIST_D!$B$8:$B$791,Control!$B$10)-1),"")</f>
        <v/>
      </c>
      <c r="K28" s="48">
        <f>IFERROR(E28-J28,"")</f>
        <v/>
      </c>
      <c r="L28" s="47">
        <f>IFERROR((INDEX(HIST_D!$BN$8:$BN$791,1)/INDEX(HIST_D!$BN$8:$BN$791,Control!$B$11)-1),"")</f>
        <v/>
      </c>
      <c r="M28" s="17">
        <f>IFERROR((INDEX(HIST_D!$B$8:$B$791,1)/INDEX(HIST_D!$B$8:$B$791,Control!$B$11)-1),"")</f>
        <v/>
      </c>
      <c r="N28" s="17">
        <f>IFERROR(L28-M28,"")</f>
        <v/>
      </c>
      <c r="O28" s="40">
        <f>IFERROR(IF(ABS(M28)&lt;0.005,"n/m",L28/M28),"n/m")</f>
        <v/>
      </c>
      <c r="P28" s="41">
        <f>IFERROR(SLOPE(HIST_D!$EY$8:INDEX(HIST_D!$EY$8:$EY$791,Control!$B$12),HIST_D!$CU$8:INDEX(HIST_D!$CU$8:$CU$791,Control!$B$12)),"")</f>
        <v/>
      </c>
      <c r="Q28" s="17">
        <f>IFERROR(P28*(INDEX(HIST_D!$B$8:$B$791,1)/INDEX(HIST_D!$B$8:$B$791,Control!$B$11)-1),"")</f>
        <v/>
      </c>
      <c r="R28" s="48">
        <f>IFERROR(L28-Q28,"")</f>
        <v/>
      </c>
      <c r="S28" s="7" t="inlineStr">
        <is>
          <t>pegged; no local generic — credit only</t>
        </is>
      </c>
    </row>
    <row r="29">
      <c r="A29" s="13" t="inlineStr">
        <is>
          <t>Israel</t>
        </is>
      </c>
      <c r="B29" s="39" t="inlineStr">
        <is>
          <t>Middle East</t>
        </is>
      </c>
      <c r="C29" s="16">
        <f>INDEX(HIST_D!$BO$8:$BO$791,1)</f>
        <v/>
      </c>
      <c r="D29" s="39" t="inlineStr">
        <is>
          <t>yes</t>
        </is>
      </c>
      <c r="E29" s="47">
        <f>IFERROR((INDEX(HIST_D!$BO$8:$BO$791,1)/INDEX(HIST_D!$BO$8:$BO$791,Control!$B$10)-1),"")</f>
        <v/>
      </c>
      <c r="F29" s="17">
        <f>IFERROR((INDEX(HIST_D!$B$8:$B$791,1)/INDEX(HIST_D!$B$8:$B$791,Control!$B$10)-1),"")</f>
        <v/>
      </c>
      <c r="G29" s="17">
        <f>IFERROR(E29-F29,"")</f>
        <v/>
      </c>
      <c r="H29" s="40">
        <f>IFERROR(IF(ABS(F29)&lt;0.005,"n/m",E29/F29),"n/m")</f>
        <v/>
      </c>
      <c r="I29" s="41">
        <f>IFERROR(SLOPE(HIST_D!$EZ$8:INDEX(HIST_D!$EZ$8:$EZ$791,Control!$B$12),HIST_D!$CU$8:INDEX(HIST_D!$CU$8:$CU$791,Control!$B$12)),"")</f>
        <v/>
      </c>
      <c r="J29" s="17">
        <f>IFERROR(I29*(INDEX(HIST_D!$B$8:$B$791,1)/INDEX(HIST_D!$B$8:$B$791,Control!$B$10)-1),"")</f>
        <v/>
      </c>
      <c r="K29" s="48">
        <f>IFERROR(E29-J29,"")</f>
        <v/>
      </c>
      <c r="L29" s="47">
        <f>IFERROR((INDEX(HIST_D!$BO$8:$BO$791,1)/INDEX(HIST_D!$BO$8:$BO$791,Control!$B$11)-1),"")</f>
        <v/>
      </c>
      <c r="M29" s="17">
        <f>IFERROR((INDEX(HIST_D!$B$8:$B$791,1)/INDEX(HIST_D!$B$8:$B$791,Control!$B$11)-1),"")</f>
        <v/>
      </c>
      <c r="N29" s="17">
        <f>IFERROR(L29-M29,"")</f>
        <v/>
      </c>
      <c r="O29" s="40">
        <f>IFERROR(IF(ABS(M29)&lt;0.005,"n/m",L29/M29),"n/m")</f>
        <v/>
      </c>
      <c r="P29" s="41">
        <f>IFERROR(SLOPE(HIST_D!$EZ$8:INDEX(HIST_D!$EZ$8:$EZ$791,Control!$B$12),HIST_D!$CU$8:INDEX(HIST_D!$CU$8:$CU$791,Control!$B$12)),"")</f>
        <v/>
      </c>
      <c r="Q29" s="17">
        <f>IFERROR(P29*(INDEX(HIST_D!$B$8:$B$791,1)/INDEX(HIST_D!$B$8:$B$791,Control!$B$11)-1),"")</f>
        <v/>
      </c>
      <c r="R29" s="48">
        <f>IFERROR(L29-Q29,"")</f>
        <v/>
      </c>
    </row>
    <row r="30">
      <c r="A30" s="13" t="inlineStr">
        <is>
          <t>Egypt</t>
        </is>
      </c>
      <c r="B30" s="39" t="inlineStr">
        <is>
          <t>Middle East</t>
        </is>
      </c>
      <c r="C30" s="16">
        <f>INDEX(HIST_D!$BP$8:$BP$791,1)</f>
        <v/>
      </c>
      <c r="D30" s="39" t="inlineStr">
        <is>
          <t>yes</t>
        </is>
      </c>
      <c r="E30" s="47">
        <f>IFERROR((INDEX(HIST_D!$BP$8:$BP$791,1)/INDEX(HIST_D!$BP$8:$BP$791,Control!$B$10)-1),"")</f>
        <v/>
      </c>
      <c r="F30" s="17">
        <f>IFERROR((INDEX(HIST_D!$B$8:$B$791,1)/INDEX(HIST_D!$B$8:$B$791,Control!$B$10)-1),"")</f>
        <v/>
      </c>
      <c r="G30" s="17">
        <f>IFERROR(E30-F30,"")</f>
        <v/>
      </c>
      <c r="H30" s="40">
        <f>IFERROR(IF(ABS(F30)&lt;0.005,"n/m",E30/F30),"n/m")</f>
        <v/>
      </c>
      <c r="I30" s="41">
        <f>IFERROR(SLOPE(HIST_D!$FA$8:INDEX(HIST_D!$FA$8:$FA$791,Control!$B$12),HIST_D!$CU$8:INDEX(HIST_D!$CU$8:$CU$791,Control!$B$12)),"")</f>
        <v/>
      </c>
      <c r="J30" s="17">
        <f>IFERROR(I30*(INDEX(HIST_D!$B$8:$B$791,1)/INDEX(HIST_D!$B$8:$B$791,Control!$B$10)-1),"")</f>
        <v/>
      </c>
      <c r="K30" s="48">
        <f>IFERROR(E30-J30,"")</f>
        <v/>
      </c>
      <c r="L30" s="47">
        <f>IFERROR((INDEX(HIST_D!$BP$8:$BP$791,1)/INDEX(HIST_D!$BP$8:$BP$791,Control!$B$11)-1),"")</f>
        <v/>
      </c>
      <c r="M30" s="17">
        <f>IFERROR((INDEX(HIST_D!$B$8:$B$791,1)/INDEX(HIST_D!$B$8:$B$791,Control!$B$11)-1),"")</f>
        <v/>
      </c>
      <c r="N30" s="17">
        <f>IFERROR(L30-M30,"")</f>
        <v/>
      </c>
      <c r="O30" s="40">
        <f>IFERROR(IF(ABS(M30)&lt;0.005,"n/m",L30/M30),"n/m")</f>
        <v/>
      </c>
      <c r="P30" s="41">
        <f>IFERROR(SLOPE(HIST_D!$FA$8:INDEX(HIST_D!$FA$8:$FA$791,Control!$B$12),HIST_D!$CU$8:INDEX(HIST_D!$CU$8:$CU$791,Control!$B$12)),"")</f>
        <v/>
      </c>
      <c r="Q30" s="17">
        <f>IFERROR(P30*(INDEX(HIST_D!$B$8:$B$791,1)/INDEX(HIST_D!$B$8:$B$791,Control!$B$11)-1),"")</f>
        <v/>
      </c>
      <c r="R30" s="48">
        <f>IFERROR(L30-Q30,"")</f>
        <v/>
      </c>
      <c r="S30" s="7" t="inlineStr">
        <is>
          <t>excluded from FX average: managed float with step devaluations; GTEGP10Y is Verify</t>
        </is>
      </c>
    </row>
    <row r="31">
      <c r="A31" s="18" t="inlineStr">
        <is>
          <t>Middle East average</t>
        </is>
      </c>
      <c r="B31" s="39" t="inlineStr">
        <is>
          <t>n=5</t>
        </is>
      </c>
      <c r="C31" s="13" t="inlineStr"/>
      <c r="D31" s="13" t="inlineStr"/>
      <c r="E31" s="47">
        <f>IFERROR(AVERAGE(E26,E27,E28,E29,E30),"")</f>
        <v/>
      </c>
      <c r="F31" s="47">
        <f>IFERROR(AVERAGE(F26,F27,F28,F29,F30),"")</f>
        <v/>
      </c>
      <c r="G31" s="47">
        <f>IFERROR(AVERAGE(G26,G27,G28,G29,G30),"")</f>
        <v/>
      </c>
      <c r="H31" s="43">
        <f>IFERROR(IF(ABS(F31)&lt;0.005,"n/m",E31/F31),"n/m")</f>
        <v/>
      </c>
      <c r="I31" s="44">
        <f>IFERROR(AVERAGE(I26,I27,I28,I29,I30),"")</f>
        <v/>
      </c>
      <c r="J31" s="47">
        <f>IFERROR(AVERAGE(J26,J27,J28,J29,J30),"")</f>
        <v/>
      </c>
      <c r="K31" s="47">
        <f>IFERROR(AVERAGE(K26,K27,K28,K29,K30),"")</f>
        <v/>
      </c>
      <c r="L31" s="47">
        <f>IFERROR(AVERAGE(L26,L27,L28,L29,L30),"")</f>
        <v/>
      </c>
      <c r="M31" s="47">
        <f>IFERROR(AVERAGE(M26,M27,M28,M29,M30),"")</f>
        <v/>
      </c>
      <c r="N31" s="47">
        <f>IFERROR(AVERAGE(N26,N27,N28,N29,N30),"")</f>
        <v/>
      </c>
      <c r="O31" s="43">
        <f>IFERROR(IF(ABS(M31)&lt;0.005,"n/m",L31/M31),"n/m")</f>
        <v/>
      </c>
      <c r="P31" s="44">
        <f>IFERROR(AVERAGE(P26,P27,P28,P29,P30),"")</f>
        <v/>
      </c>
      <c r="Q31" s="47">
        <f>IFERROR(AVERAGE(Q26,Q27,Q28,Q29,Q30),"")</f>
        <v/>
      </c>
      <c r="R31" s="47">
        <f>IFERROR(AVERAGE(R26,R27,R28,R29,R30),"")</f>
        <v/>
      </c>
    </row>
    <row r="32">
      <c r="A32" s="7">
        <f>IFERROR("Middle East: MSCI in USD "&amp;TEXT($E$31,"+0.0%;-0.0%")&amp;" on the month against MSCI World "&amp;TEXT($F$31,"+0.0%;-0.0%")&amp;", so "&amp;TEXT($G$31,"+0.0%;-0.0%")&amp;" is relative"&amp;IF(ISNUMBER($H$31)," (pass-through "&amp;TEXT($H$31,"0.00")&amp;"x)","")&amp;". Against a 2y beta to World of "&amp;TEXT($I$31,"0.00")&amp;" the surprise is "&amp;TEXT($K$31,"+0.0%;-0.0%")&amp;". YTD: "&amp;TEXT($L$31,"+0.0%;-0.0%")&amp;" against World "&amp;TEXT($M$31,"+0.0%;-0.0%")&amp;", relative "&amp;TEXT($N$31,"+0.0%;-0.0%")&amp;". "&amp;IF($K$31&gt;0.01,"Outran what the global beta implies — an EM earnings story, not a rates story.",IF($K$31&lt;-0.01,"Lagged what the global beta implies — EM-specific weakness.","In line with the global beta; nothing EM-specific.")),"")</f>
        <v/>
      </c>
    </row>
    <row r="34" ht="16" customHeight="1">
      <c r="A34" s="37" t="inlineStr">
        <is>
          <t>EM ASIA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</row>
    <row r="35" ht="40" customHeight="1">
      <c r="A35" s="12" t="inlineStr">
        <is>
          <t>Country</t>
        </is>
      </c>
      <c r="B35" s="12" t="inlineStr">
        <is>
          <t>Region</t>
        </is>
      </c>
      <c r="C35" s="12" t="inlineStr">
        <is>
          <t>Level</t>
        </is>
      </c>
      <c r="D35" s="12" t="inlineStr">
        <is>
          <t>In avg</t>
        </is>
      </c>
      <c r="E35" s="12" t="inlineStr">
        <is>
          <t>1M: Total: USD return</t>
        </is>
      </c>
      <c r="F35" s="12" t="inlineStr">
        <is>
          <t>1M: US/DM-driven: MSCI World return</t>
        </is>
      </c>
      <c r="G35" s="12" t="inlineStr">
        <is>
          <t>1M: Intrinsic: relative to World</t>
        </is>
      </c>
      <c r="H35" s="12" t="inlineStr">
        <is>
          <t>1M: Pass-through (total / World)</t>
        </is>
      </c>
      <c r="I35" s="12" t="inlineStr">
        <is>
          <t>1M: Beta to MSCI World (2y)</t>
        </is>
      </c>
      <c r="J35" s="12" t="inlineStr">
        <is>
          <t>1M: Predicted by beta</t>
        </is>
      </c>
      <c r="K35" s="12" t="inlineStr">
        <is>
          <t>1M: Surprise: actual less predicted</t>
        </is>
      </c>
      <c r="L35" s="12" t="inlineStr">
        <is>
          <t>YTD: Total: USD return</t>
        </is>
      </c>
      <c r="M35" s="12" t="inlineStr">
        <is>
          <t>YTD: US/DM-driven: MSCI World return</t>
        </is>
      </c>
      <c r="N35" s="12" t="inlineStr">
        <is>
          <t>YTD: Intrinsic: relative to World</t>
        </is>
      </c>
      <c r="O35" s="12" t="inlineStr">
        <is>
          <t>YTD: Pass-through (total / World)</t>
        </is>
      </c>
      <c r="P35" s="12" t="inlineStr">
        <is>
          <t>YTD: Beta to MSCI World (2y)</t>
        </is>
      </c>
      <c r="Q35" s="12" t="inlineStr">
        <is>
          <t>YTD: Predicted by beta</t>
        </is>
      </c>
      <c r="R35" s="12" t="inlineStr">
        <is>
          <t>YTD: Surprise: actual less predicted</t>
        </is>
      </c>
    </row>
    <row r="36">
      <c r="A36" s="13" t="inlineStr">
        <is>
          <t>China</t>
        </is>
      </c>
      <c r="B36" s="39" t="inlineStr">
        <is>
          <t>EM Asia</t>
        </is>
      </c>
      <c r="C36" s="16">
        <f>INDEX(HIST_D!$BQ$8:$BQ$791,1)</f>
        <v/>
      </c>
      <c r="D36" s="39" t="inlineStr">
        <is>
          <t>yes</t>
        </is>
      </c>
      <c r="E36" s="47">
        <f>IFERROR((INDEX(HIST_D!$BQ$8:$BQ$791,1)/INDEX(HIST_D!$BQ$8:$BQ$791,Control!$B$10)-1),"")</f>
        <v/>
      </c>
      <c r="F36" s="17">
        <f>IFERROR((INDEX(HIST_D!$B$8:$B$791,1)/INDEX(HIST_D!$B$8:$B$791,Control!$B$10)-1),"")</f>
        <v/>
      </c>
      <c r="G36" s="17">
        <f>IFERROR(E36-F36,"")</f>
        <v/>
      </c>
      <c r="H36" s="40">
        <f>IFERROR(IF(ABS(F36)&lt;0.005,"n/m",E36/F36),"n/m")</f>
        <v/>
      </c>
      <c r="I36" s="41">
        <f>IFERROR(SLOPE(HIST_D!$FB$8:INDEX(HIST_D!$FB$8:$FB$791,Control!$B$12),HIST_D!$CU$8:INDEX(HIST_D!$CU$8:$CU$791,Control!$B$12)),"")</f>
        <v/>
      </c>
      <c r="J36" s="17">
        <f>IFERROR(I36*(INDEX(HIST_D!$B$8:$B$791,1)/INDEX(HIST_D!$B$8:$B$791,Control!$B$10)-1),"")</f>
        <v/>
      </c>
      <c r="K36" s="48">
        <f>IFERROR(E36-J36,"")</f>
        <v/>
      </c>
      <c r="L36" s="47">
        <f>IFERROR((INDEX(HIST_D!$BQ$8:$BQ$791,1)/INDEX(HIST_D!$BQ$8:$BQ$791,Control!$B$11)-1),"")</f>
        <v/>
      </c>
      <c r="M36" s="17">
        <f>IFERROR((INDEX(HIST_D!$B$8:$B$791,1)/INDEX(HIST_D!$B$8:$B$791,Control!$B$11)-1),"")</f>
        <v/>
      </c>
      <c r="N36" s="17">
        <f>IFERROR(L36-M36,"")</f>
        <v/>
      </c>
      <c r="O36" s="40">
        <f>IFERROR(IF(ABS(M36)&lt;0.005,"n/m",L36/M36),"n/m")</f>
        <v/>
      </c>
      <c r="P36" s="41">
        <f>IFERROR(SLOPE(HIST_D!$FB$8:INDEX(HIST_D!$FB$8:$FB$791,Control!$B$12),HIST_D!$CU$8:INDEX(HIST_D!$CU$8:$CU$791,Control!$B$12)),"")</f>
        <v/>
      </c>
      <c r="Q36" s="17">
        <f>IFERROR(P36*(INDEX(HIST_D!$B$8:$B$791,1)/INDEX(HIST_D!$B$8:$B$791,Control!$B$11)-1),"")</f>
        <v/>
      </c>
      <c r="R36" s="48">
        <f>IFERROR(L36-Q36,"")</f>
        <v/>
      </c>
    </row>
    <row r="37">
      <c r="A37" s="13" t="inlineStr">
        <is>
          <t>India</t>
        </is>
      </c>
      <c r="B37" s="39" t="inlineStr">
        <is>
          <t>EM Asia</t>
        </is>
      </c>
      <c r="C37" s="16">
        <f>INDEX(HIST_D!$BR$8:$BR$791,1)</f>
        <v/>
      </c>
      <c r="D37" s="39" t="inlineStr">
        <is>
          <t>yes</t>
        </is>
      </c>
      <c r="E37" s="47">
        <f>IFERROR((INDEX(HIST_D!$BR$8:$BR$791,1)/INDEX(HIST_D!$BR$8:$BR$791,Control!$B$10)-1),"")</f>
        <v/>
      </c>
      <c r="F37" s="17">
        <f>IFERROR((INDEX(HIST_D!$B$8:$B$791,1)/INDEX(HIST_D!$B$8:$B$791,Control!$B$10)-1),"")</f>
        <v/>
      </c>
      <c r="G37" s="17">
        <f>IFERROR(E37-F37,"")</f>
        <v/>
      </c>
      <c r="H37" s="40">
        <f>IFERROR(IF(ABS(F37)&lt;0.005,"n/m",E37/F37),"n/m")</f>
        <v/>
      </c>
      <c r="I37" s="41">
        <f>IFERROR(SLOPE(HIST_D!$FC$8:INDEX(HIST_D!$FC$8:$FC$791,Control!$B$12),HIST_D!$CU$8:INDEX(HIST_D!$CU$8:$CU$791,Control!$B$12)),"")</f>
        <v/>
      </c>
      <c r="J37" s="17">
        <f>IFERROR(I37*(INDEX(HIST_D!$B$8:$B$791,1)/INDEX(HIST_D!$B$8:$B$791,Control!$B$10)-1),"")</f>
        <v/>
      </c>
      <c r="K37" s="48">
        <f>IFERROR(E37-J37,"")</f>
        <v/>
      </c>
      <c r="L37" s="47">
        <f>IFERROR((INDEX(HIST_D!$BR$8:$BR$791,1)/INDEX(HIST_D!$BR$8:$BR$791,Control!$B$11)-1),"")</f>
        <v/>
      </c>
      <c r="M37" s="17">
        <f>IFERROR((INDEX(HIST_D!$B$8:$B$791,1)/INDEX(HIST_D!$B$8:$B$791,Control!$B$11)-1),"")</f>
        <v/>
      </c>
      <c r="N37" s="17">
        <f>IFERROR(L37-M37,"")</f>
        <v/>
      </c>
      <c r="O37" s="40">
        <f>IFERROR(IF(ABS(M37)&lt;0.005,"n/m",L37/M37),"n/m")</f>
        <v/>
      </c>
      <c r="P37" s="41">
        <f>IFERROR(SLOPE(HIST_D!$FC$8:INDEX(HIST_D!$FC$8:$FC$791,Control!$B$12),HIST_D!$CU$8:INDEX(HIST_D!$CU$8:$CU$791,Control!$B$12)),"")</f>
        <v/>
      </c>
      <c r="Q37" s="17">
        <f>IFERROR(P37*(INDEX(HIST_D!$B$8:$B$791,1)/INDEX(HIST_D!$B$8:$B$791,Control!$B$11)-1),"")</f>
        <v/>
      </c>
      <c r="R37" s="48">
        <f>IFERROR(L37-Q37,"")</f>
        <v/>
      </c>
      <c r="S37" s="7" t="inlineStr">
        <is>
          <t>no sovereign USD debt, no CDS — rates and FX only</t>
        </is>
      </c>
    </row>
    <row r="38">
      <c r="A38" s="13" t="inlineStr">
        <is>
          <t>Indonesia</t>
        </is>
      </c>
      <c r="B38" s="39" t="inlineStr">
        <is>
          <t>EM Asia</t>
        </is>
      </c>
      <c r="C38" s="16">
        <f>INDEX(HIST_D!$BS$8:$BS$791,1)</f>
        <v/>
      </c>
      <c r="D38" s="39" t="inlineStr">
        <is>
          <t>yes</t>
        </is>
      </c>
      <c r="E38" s="47">
        <f>IFERROR((INDEX(HIST_D!$BS$8:$BS$791,1)/INDEX(HIST_D!$BS$8:$BS$791,Control!$B$10)-1),"")</f>
        <v/>
      </c>
      <c r="F38" s="17">
        <f>IFERROR((INDEX(HIST_D!$B$8:$B$791,1)/INDEX(HIST_D!$B$8:$B$791,Control!$B$10)-1),"")</f>
        <v/>
      </c>
      <c r="G38" s="17">
        <f>IFERROR(E38-F38,"")</f>
        <v/>
      </c>
      <c r="H38" s="40">
        <f>IFERROR(IF(ABS(F38)&lt;0.005,"n/m",E38/F38),"n/m")</f>
        <v/>
      </c>
      <c r="I38" s="41">
        <f>IFERROR(SLOPE(HIST_D!$FD$8:INDEX(HIST_D!$FD$8:$FD$791,Control!$B$12),HIST_D!$CU$8:INDEX(HIST_D!$CU$8:$CU$791,Control!$B$12)),"")</f>
        <v/>
      </c>
      <c r="J38" s="17">
        <f>IFERROR(I38*(INDEX(HIST_D!$B$8:$B$791,1)/INDEX(HIST_D!$B$8:$B$791,Control!$B$10)-1),"")</f>
        <v/>
      </c>
      <c r="K38" s="48">
        <f>IFERROR(E38-J38,"")</f>
        <v/>
      </c>
      <c r="L38" s="47">
        <f>IFERROR((INDEX(HIST_D!$BS$8:$BS$791,1)/INDEX(HIST_D!$BS$8:$BS$791,Control!$B$11)-1),"")</f>
        <v/>
      </c>
      <c r="M38" s="17">
        <f>IFERROR((INDEX(HIST_D!$B$8:$B$791,1)/INDEX(HIST_D!$B$8:$B$791,Control!$B$11)-1),"")</f>
        <v/>
      </c>
      <c r="N38" s="17">
        <f>IFERROR(L38-M38,"")</f>
        <v/>
      </c>
      <c r="O38" s="40">
        <f>IFERROR(IF(ABS(M38)&lt;0.005,"n/m",L38/M38),"n/m")</f>
        <v/>
      </c>
      <c r="P38" s="41">
        <f>IFERROR(SLOPE(HIST_D!$FD$8:INDEX(HIST_D!$FD$8:$FD$791,Control!$B$12),HIST_D!$CU$8:INDEX(HIST_D!$CU$8:$CU$791,Control!$B$12)),"")</f>
        <v/>
      </c>
      <c r="Q38" s="17">
        <f>IFERROR(P38*(INDEX(HIST_D!$B$8:$B$791,1)/INDEX(HIST_D!$B$8:$B$791,Control!$B$11)-1),"")</f>
        <v/>
      </c>
      <c r="R38" s="48">
        <f>IFERROR(L38-Q38,"")</f>
        <v/>
      </c>
    </row>
    <row r="39">
      <c r="A39" s="13" t="inlineStr">
        <is>
          <t>Korea</t>
        </is>
      </c>
      <c r="B39" s="39" t="inlineStr">
        <is>
          <t>EM Asia</t>
        </is>
      </c>
      <c r="C39" s="16">
        <f>INDEX(HIST_D!$BT$8:$BT$791,1)</f>
        <v/>
      </c>
      <c r="D39" s="39" t="inlineStr">
        <is>
          <t>yes</t>
        </is>
      </c>
      <c r="E39" s="47">
        <f>IFERROR((INDEX(HIST_D!$BT$8:$BT$791,1)/INDEX(HIST_D!$BT$8:$BT$791,Control!$B$10)-1),"")</f>
        <v/>
      </c>
      <c r="F39" s="17">
        <f>IFERROR((INDEX(HIST_D!$B$8:$B$791,1)/INDEX(HIST_D!$B$8:$B$791,Control!$B$10)-1),"")</f>
        <v/>
      </c>
      <c r="G39" s="17">
        <f>IFERROR(E39-F39,"")</f>
        <v/>
      </c>
      <c r="H39" s="40">
        <f>IFERROR(IF(ABS(F39)&lt;0.005,"n/m",E39/F39),"n/m")</f>
        <v/>
      </c>
      <c r="I39" s="41">
        <f>IFERROR(SLOPE(HIST_D!$FE$8:INDEX(HIST_D!$FE$8:$FE$791,Control!$B$12),HIST_D!$CU$8:INDEX(HIST_D!$CU$8:$CU$791,Control!$B$12)),"")</f>
        <v/>
      </c>
      <c r="J39" s="17">
        <f>IFERROR(I39*(INDEX(HIST_D!$B$8:$B$791,1)/INDEX(HIST_D!$B$8:$B$791,Control!$B$10)-1),"")</f>
        <v/>
      </c>
      <c r="K39" s="48">
        <f>IFERROR(E39-J39,"")</f>
        <v/>
      </c>
      <c r="L39" s="47">
        <f>IFERROR((INDEX(HIST_D!$BT$8:$BT$791,1)/INDEX(HIST_D!$BT$8:$BT$791,Control!$B$11)-1),"")</f>
        <v/>
      </c>
      <c r="M39" s="17">
        <f>IFERROR((INDEX(HIST_D!$B$8:$B$791,1)/INDEX(HIST_D!$B$8:$B$791,Control!$B$11)-1),"")</f>
        <v/>
      </c>
      <c r="N39" s="17">
        <f>IFERROR(L39-M39,"")</f>
        <v/>
      </c>
      <c r="O39" s="40">
        <f>IFERROR(IF(ABS(M39)&lt;0.005,"n/m",L39/M39),"n/m")</f>
        <v/>
      </c>
      <c r="P39" s="41">
        <f>IFERROR(SLOPE(HIST_D!$FE$8:INDEX(HIST_D!$FE$8:$FE$791,Control!$B$12),HIST_D!$CU$8:INDEX(HIST_D!$CU$8:$CU$791,Control!$B$12)),"")</f>
        <v/>
      </c>
      <c r="Q39" s="17">
        <f>IFERROR(P39*(INDEX(HIST_D!$B$8:$B$791,1)/INDEX(HIST_D!$B$8:$B$791,Control!$B$11)-1),"")</f>
        <v/>
      </c>
      <c r="R39" s="48">
        <f>IFERROR(L39-Q39,"")</f>
        <v/>
      </c>
    </row>
    <row r="40">
      <c r="A40" s="13" t="inlineStr">
        <is>
          <t>Thailand</t>
        </is>
      </c>
      <c r="B40" s="39" t="inlineStr">
        <is>
          <t>EM Asia</t>
        </is>
      </c>
      <c r="C40" s="16">
        <f>INDEX(HIST_D!$BU$8:$BU$791,1)</f>
        <v/>
      </c>
      <c r="D40" s="39" t="inlineStr">
        <is>
          <t>yes</t>
        </is>
      </c>
      <c r="E40" s="47">
        <f>IFERROR((INDEX(HIST_D!$BU$8:$BU$791,1)/INDEX(HIST_D!$BU$8:$BU$791,Control!$B$10)-1),"")</f>
        <v/>
      </c>
      <c r="F40" s="17">
        <f>IFERROR((INDEX(HIST_D!$B$8:$B$791,1)/INDEX(HIST_D!$B$8:$B$791,Control!$B$10)-1),"")</f>
        <v/>
      </c>
      <c r="G40" s="17">
        <f>IFERROR(E40-F40,"")</f>
        <v/>
      </c>
      <c r="H40" s="40">
        <f>IFERROR(IF(ABS(F40)&lt;0.005,"n/m",E40/F40),"n/m")</f>
        <v/>
      </c>
      <c r="I40" s="41">
        <f>IFERROR(SLOPE(HIST_D!$FF$8:INDEX(HIST_D!$FF$8:$FF$791,Control!$B$12),HIST_D!$CU$8:INDEX(HIST_D!$CU$8:$CU$791,Control!$B$12)),"")</f>
        <v/>
      </c>
      <c r="J40" s="17">
        <f>IFERROR(I40*(INDEX(HIST_D!$B$8:$B$791,1)/INDEX(HIST_D!$B$8:$B$791,Control!$B$10)-1),"")</f>
        <v/>
      </c>
      <c r="K40" s="48">
        <f>IFERROR(E40-J40,"")</f>
        <v/>
      </c>
      <c r="L40" s="47">
        <f>IFERROR((INDEX(HIST_D!$BU$8:$BU$791,1)/INDEX(HIST_D!$BU$8:$BU$791,Control!$B$11)-1),"")</f>
        <v/>
      </c>
      <c r="M40" s="17">
        <f>IFERROR((INDEX(HIST_D!$B$8:$B$791,1)/INDEX(HIST_D!$B$8:$B$791,Control!$B$11)-1),"")</f>
        <v/>
      </c>
      <c r="N40" s="17">
        <f>IFERROR(L40-M40,"")</f>
        <v/>
      </c>
      <c r="O40" s="40">
        <f>IFERROR(IF(ABS(M40)&lt;0.005,"n/m",L40/M40),"n/m")</f>
        <v/>
      </c>
      <c r="P40" s="41">
        <f>IFERROR(SLOPE(HIST_D!$FF$8:INDEX(HIST_D!$FF$8:$FF$791,Control!$B$12),HIST_D!$CU$8:INDEX(HIST_D!$CU$8:$CU$791,Control!$B$12)),"")</f>
        <v/>
      </c>
      <c r="Q40" s="17">
        <f>IFERROR(P40*(INDEX(HIST_D!$B$8:$B$791,1)/INDEX(HIST_D!$B$8:$B$791,Control!$B$11)-1),"")</f>
        <v/>
      </c>
      <c r="R40" s="48">
        <f>IFERROR(L40-Q40,"")</f>
        <v/>
      </c>
    </row>
    <row r="41">
      <c r="A41" s="13" t="inlineStr">
        <is>
          <t>Malaysia</t>
        </is>
      </c>
      <c r="B41" s="39" t="inlineStr">
        <is>
          <t>EM Asia</t>
        </is>
      </c>
      <c r="C41" s="16">
        <f>INDEX(HIST_D!$BV$8:$BV$791,1)</f>
        <v/>
      </c>
      <c r="D41" s="39" t="inlineStr">
        <is>
          <t>yes</t>
        </is>
      </c>
      <c r="E41" s="47">
        <f>IFERROR((INDEX(HIST_D!$BV$8:$BV$791,1)/INDEX(HIST_D!$BV$8:$BV$791,Control!$B$10)-1),"")</f>
        <v/>
      </c>
      <c r="F41" s="17">
        <f>IFERROR((INDEX(HIST_D!$B$8:$B$791,1)/INDEX(HIST_D!$B$8:$B$791,Control!$B$10)-1),"")</f>
        <v/>
      </c>
      <c r="G41" s="17">
        <f>IFERROR(E41-F41,"")</f>
        <v/>
      </c>
      <c r="H41" s="40">
        <f>IFERROR(IF(ABS(F41)&lt;0.005,"n/m",E41/F41),"n/m")</f>
        <v/>
      </c>
      <c r="I41" s="41">
        <f>IFERROR(SLOPE(HIST_D!$FG$8:INDEX(HIST_D!$FG$8:$FG$791,Control!$B$12),HIST_D!$CU$8:INDEX(HIST_D!$CU$8:$CU$791,Control!$B$12)),"")</f>
        <v/>
      </c>
      <c r="J41" s="17">
        <f>IFERROR(I41*(INDEX(HIST_D!$B$8:$B$791,1)/INDEX(HIST_D!$B$8:$B$791,Control!$B$10)-1),"")</f>
        <v/>
      </c>
      <c r="K41" s="48">
        <f>IFERROR(E41-J41,"")</f>
        <v/>
      </c>
      <c r="L41" s="47">
        <f>IFERROR((INDEX(HIST_D!$BV$8:$BV$791,1)/INDEX(HIST_D!$BV$8:$BV$791,Control!$B$11)-1),"")</f>
        <v/>
      </c>
      <c r="M41" s="17">
        <f>IFERROR((INDEX(HIST_D!$B$8:$B$791,1)/INDEX(HIST_D!$B$8:$B$791,Control!$B$11)-1),"")</f>
        <v/>
      </c>
      <c r="N41" s="17">
        <f>IFERROR(L41-M41,"")</f>
        <v/>
      </c>
      <c r="O41" s="40">
        <f>IFERROR(IF(ABS(M41)&lt;0.005,"n/m",L41/M41),"n/m")</f>
        <v/>
      </c>
      <c r="P41" s="41">
        <f>IFERROR(SLOPE(HIST_D!$FG$8:INDEX(HIST_D!$FG$8:$FG$791,Control!$B$12),HIST_D!$CU$8:INDEX(HIST_D!$CU$8:$CU$791,Control!$B$12)),"")</f>
        <v/>
      </c>
      <c r="Q41" s="17">
        <f>IFERROR(P41*(INDEX(HIST_D!$B$8:$B$791,1)/INDEX(HIST_D!$B$8:$B$791,Control!$B$11)-1),"")</f>
        <v/>
      </c>
      <c r="R41" s="48">
        <f>IFERROR(L41-Q41,"")</f>
        <v/>
      </c>
    </row>
    <row r="42">
      <c r="A42" s="13" t="inlineStr">
        <is>
          <t>Philippines</t>
        </is>
      </c>
      <c r="B42" s="39" t="inlineStr">
        <is>
          <t>EM Asia</t>
        </is>
      </c>
      <c r="C42" s="16">
        <f>INDEX(HIST_D!$BW$8:$BW$791,1)</f>
        <v/>
      </c>
      <c r="D42" s="39" t="inlineStr">
        <is>
          <t>yes</t>
        </is>
      </c>
      <c r="E42" s="47">
        <f>IFERROR((INDEX(HIST_D!$BW$8:$BW$791,1)/INDEX(HIST_D!$BW$8:$BW$791,Control!$B$10)-1),"")</f>
        <v/>
      </c>
      <c r="F42" s="17">
        <f>IFERROR((INDEX(HIST_D!$B$8:$B$791,1)/INDEX(HIST_D!$B$8:$B$791,Control!$B$10)-1),"")</f>
        <v/>
      </c>
      <c r="G42" s="17">
        <f>IFERROR(E42-F42,"")</f>
        <v/>
      </c>
      <c r="H42" s="40">
        <f>IFERROR(IF(ABS(F42)&lt;0.005,"n/m",E42/F42),"n/m")</f>
        <v/>
      </c>
      <c r="I42" s="41">
        <f>IFERROR(SLOPE(HIST_D!$FH$8:INDEX(HIST_D!$FH$8:$FH$791,Control!$B$12),HIST_D!$CU$8:INDEX(HIST_D!$CU$8:$CU$791,Control!$B$12)),"")</f>
        <v/>
      </c>
      <c r="J42" s="17">
        <f>IFERROR(I42*(INDEX(HIST_D!$B$8:$B$791,1)/INDEX(HIST_D!$B$8:$B$791,Control!$B$10)-1),"")</f>
        <v/>
      </c>
      <c r="K42" s="48">
        <f>IFERROR(E42-J42,"")</f>
        <v/>
      </c>
      <c r="L42" s="47">
        <f>IFERROR((INDEX(HIST_D!$BW$8:$BW$791,1)/INDEX(HIST_D!$BW$8:$BW$791,Control!$B$11)-1),"")</f>
        <v/>
      </c>
      <c r="M42" s="17">
        <f>IFERROR((INDEX(HIST_D!$B$8:$B$791,1)/INDEX(HIST_D!$B$8:$B$791,Control!$B$11)-1),"")</f>
        <v/>
      </c>
      <c r="N42" s="17">
        <f>IFERROR(L42-M42,"")</f>
        <v/>
      </c>
      <c r="O42" s="40">
        <f>IFERROR(IF(ABS(M42)&lt;0.005,"n/m",L42/M42),"n/m")</f>
        <v/>
      </c>
      <c r="P42" s="41">
        <f>IFERROR(SLOPE(HIST_D!$FH$8:INDEX(HIST_D!$FH$8:$FH$791,Control!$B$12),HIST_D!$CU$8:INDEX(HIST_D!$CU$8:$CU$791,Control!$B$12)),"")</f>
        <v/>
      </c>
      <c r="Q42" s="17">
        <f>IFERROR(P42*(INDEX(HIST_D!$B$8:$B$791,1)/INDEX(HIST_D!$B$8:$B$791,Control!$B$11)-1),"")</f>
        <v/>
      </c>
      <c r="R42" s="48">
        <f>IFERROR(L42-Q42,"")</f>
        <v/>
      </c>
    </row>
    <row r="43">
      <c r="A43" s="18" t="inlineStr">
        <is>
          <t>EM Asia average</t>
        </is>
      </c>
      <c r="B43" s="39" t="inlineStr">
        <is>
          <t>n=7</t>
        </is>
      </c>
      <c r="C43" s="13" t="inlineStr"/>
      <c r="D43" s="13" t="inlineStr"/>
      <c r="E43" s="47">
        <f>IFERROR(AVERAGE(E36,E37,E38,E39,E40,E41,E42),"")</f>
        <v/>
      </c>
      <c r="F43" s="47">
        <f>IFERROR(AVERAGE(F36,F37,F38,F39,F40,F41,F42),"")</f>
        <v/>
      </c>
      <c r="G43" s="47">
        <f>IFERROR(AVERAGE(G36,G37,G38,G39,G40,G41,G42),"")</f>
        <v/>
      </c>
      <c r="H43" s="43">
        <f>IFERROR(IF(ABS(F43)&lt;0.005,"n/m",E43/F43),"n/m")</f>
        <v/>
      </c>
      <c r="I43" s="44">
        <f>IFERROR(AVERAGE(I36,I37,I38,I39,I40,I41,I42),"")</f>
        <v/>
      </c>
      <c r="J43" s="47">
        <f>IFERROR(AVERAGE(J36,J37,J38,J39,J40,J41,J42),"")</f>
        <v/>
      </c>
      <c r="K43" s="47">
        <f>IFERROR(AVERAGE(K36,K37,K38,K39,K40,K41,K42),"")</f>
        <v/>
      </c>
      <c r="L43" s="47">
        <f>IFERROR(AVERAGE(L36,L37,L38,L39,L40,L41,L42),"")</f>
        <v/>
      </c>
      <c r="M43" s="47">
        <f>IFERROR(AVERAGE(M36,M37,M38,M39,M40,M41,M42),"")</f>
        <v/>
      </c>
      <c r="N43" s="47">
        <f>IFERROR(AVERAGE(N36,N37,N38,N39,N40,N41,N42),"")</f>
        <v/>
      </c>
      <c r="O43" s="43">
        <f>IFERROR(IF(ABS(M43)&lt;0.005,"n/m",L43/M43),"n/m")</f>
        <v/>
      </c>
      <c r="P43" s="44">
        <f>IFERROR(AVERAGE(P36,P37,P38,P39,P40,P41,P42),"")</f>
        <v/>
      </c>
      <c r="Q43" s="47">
        <f>IFERROR(AVERAGE(Q36,Q37,Q38,Q39,Q40,Q41,Q42),"")</f>
        <v/>
      </c>
      <c r="R43" s="47">
        <f>IFERROR(AVERAGE(R36,R37,R38,R39,R40,R41,R42),"")</f>
        <v/>
      </c>
    </row>
    <row r="44">
      <c r="A44" s="7">
        <f>IFERROR("EM Asia: MSCI in USD "&amp;TEXT($E$43,"+0.0%;-0.0%")&amp;" on the month against MSCI World "&amp;TEXT($F$43,"+0.0%;-0.0%")&amp;", so "&amp;TEXT($G$43,"+0.0%;-0.0%")&amp;" is relative"&amp;IF(ISNUMBER($H$43)," (pass-through "&amp;TEXT($H$43,"0.00")&amp;"x)","")&amp;". Against a 2y beta to World of "&amp;TEXT($I$43,"0.00")&amp;" the surprise is "&amp;TEXT($K$43,"+0.0%;-0.0%")&amp;". YTD: "&amp;TEXT($L$43,"+0.0%;-0.0%")&amp;" against World "&amp;TEXT($M$43,"+0.0%;-0.0%")&amp;", relative "&amp;TEXT($N$43,"+0.0%;-0.0%")&amp;". "&amp;IF($K$43&gt;0.01,"Outran what the global beta implies — an EM earnings story, not a rates story.",IF($K$43&lt;-0.01,"Lagged what the global beta implies — EM-specific weakness.","In line with the global beta; nothing EM-specific.")),"")</f>
        <v/>
      </c>
    </row>
    <row r="46" ht="16" customHeight="1">
      <c r="A46" s="37" t="inlineStr">
        <is>
          <t>EM AVERAGE AND MEMO</t>
        </is>
      </c>
      <c r="B46" s="38" t="n"/>
      <c r="C46" s="38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38" t="n"/>
    </row>
    <row r="47" ht="40" customHeight="1">
      <c r="A47" s="12" t="inlineStr">
        <is>
          <t>Country</t>
        </is>
      </c>
      <c r="B47" s="12" t="inlineStr">
        <is>
          <t>Region</t>
        </is>
      </c>
      <c r="C47" s="12" t="inlineStr">
        <is>
          <t>Level</t>
        </is>
      </c>
      <c r="D47" s="12" t="inlineStr">
        <is>
          <t>In avg</t>
        </is>
      </c>
      <c r="E47" s="12" t="inlineStr">
        <is>
          <t>1M: Total: USD return</t>
        </is>
      </c>
      <c r="F47" s="12" t="inlineStr">
        <is>
          <t>1M: US/DM-driven: MSCI World return</t>
        </is>
      </c>
      <c r="G47" s="12" t="inlineStr">
        <is>
          <t>1M: Intrinsic: relative to World</t>
        </is>
      </c>
      <c r="H47" s="12" t="inlineStr">
        <is>
          <t>1M: Pass-through (total / World)</t>
        </is>
      </c>
      <c r="I47" s="12" t="inlineStr">
        <is>
          <t>1M: Beta to MSCI World (2y)</t>
        </is>
      </c>
      <c r="J47" s="12" t="inlineStr">
        <is>
          <t>1M: Predicted by beta</t>
        </is>
      </c>
      <c r="K47" s="12" t="inlineStr">
        <is>
          <t>1M: Surprise: actual less predicted</t>
        </is>
      </c>
      <c r="L47" s="12" t="inlineStr">
        <is>
          <t>YTD: Total: USD return</t>
        </is>
      </c>
      <c r="M47" s="12" t="inlineStr">
        <is>
          <t>YTD: US/DM-driven: MSCI World return</t>
        </is>
      </c>
      <c r="N47" s="12" t="inlineStr">
        <is>
          <t>YTD: Intrinsic: relative to World</t>
        </is>
      </c>
      <c r="O47" s="12" t="inlineStr">
        <is>
          <t>YTD: Pass-through (total / World)</t>
        </is>
      </c>
      <c r="P47" s="12" t="inlineStr">
        <is>
          <t>YTD: Beta to MSCI World (2y)</t>
        </is>
      </c>
      <c r="Q47" s="12" t="inlineStr">
        <is>
          <t>YTD: Predicted by beta</t>
        </is>
      </c>
      <c r="R47" s="12" t="inlineStr">
        <is>
          <t>YTD: Surprise: actual less predicted</t>
        </is>
      </c>
    </row>
    <row r="48">
      <c r="A48" s="18" t="inlineStr">
        <is>
          <t>EM average (all flagged)</t>
        </is>
      </c>
      <c r="B48" s="39" t="inlineStr">
        <is>
          <t>n=22</t>
        </is>
      </c>
      <c r="C48" s="13" t="inlineStr"/>
      <c r="D48" s="13" t="inlineStr"/>
      <c r="E48" s="47">
        <f>IFERROR(AVERAGE(E6,E7,E8,E9,E10,E16,E17,E18,E19,E20,E26,E27,E28,E29,E30,E36,E37,E38,E39,E40,E41,E42),"")</f>
        <v/>
      </c>
      <c r="F48" s="47">
        <f>IFERROR(AVERAGE(F6,F7,F8,F9,F10,F16,F17,F18,F19,F20,F26,F27,F28,F29,F30,F36,F37,F38,F39,F40,F41,F42),"")</f>
        <v/>
      </c>
      <c r="G48" s="47">
        <f>IFERROR(AVERAGE(G6,G7,G8,G9,G10,G16,G17,G18,G19,G20,G26,G27,G28,G29,G30,G36,G37,G38,G39,G40,G41,G42),"")</f>
        <v/>
      </c>
      <c r="H48" s="43">
        <f>IFERROR(IF(ABS(F48)&lt;0.005,"n/m",E48/F48),"n/m")</f>
        <v/>
      </c>
      <c r="I48" s="44">
        <f>IFERROR(AVERAGE(I6,I7,I8,I9,I10,I16,I17,I18,I19,I20,I26,I27,I28,I29,I30,I36,I37,I38,I39,I40,I41,I42),"")</f>
        <v/>
      </c>
      <c r="J48" s="47">
        <f>IFERROR(AVERAGE(J6,J7,J8,J9,J10,J16,J17,J18,J19,J20,J26,J27,J28,J29,J30,J36,J37,J38,J39,J40,J41,J42),"")</f>
        <v/>
      </c>
      <c r="K48" s="47">
        <f>IFERROR(AVERAGE(K6,K7,K8,K9,K10,K16,K17,K18,K19,K20,K26,K27,K28,K29,K30,K36,K37,K38,K39,K40,K41,K42),"")</f>
        <v/>
      </c>
      <c r="L48" s="47">
        <f>IFERROR(AVERAGE(L6,L7,L8,L9,L10,L16,L17,L18,L19,L20,L26,L27,L28,L29,L30,L36,L37,L38,L39,L40,L41,L42),"")</f>
        <v/>
      </c>
      <c r="M48" s="47">
        <f>IFERROR(AVERAGE(M6,M7,M8,M9,M10,M16,M17,M18,M19,M20,M26,M27,M28,M29,M30,M36,M37,M38,M39,M40,M41,M42),"")</f>
        <v/>
      </c>
      <c r="N48" s="47">
        <f>IFERROR(AVERAGE(N6,N7,N8,N9,N10,N16,N17,N18,N19,N20,N26,N27,N28,N29,N30,N36,N37,N38,N39,N40,N41,N42),"")</f>
        <v/>
      </c>
      <c r="O48" s="43">
        <f>IFERROR(IF(ABS(M48)&lt;0.005,"n/m",L48/M48),"n/m")</f>
        <v/>
      </c>
      <c r="P48" s="44">
        <f>IFERROR(AVERAGE(P6,P7,P8,P9,P10,P16,P17,P18,P19,P20,P26,P27,P28,P29,P30,P36,P37,P38,P39,P40,P41,P42),"")</f>
        <v/>
      </c>
      <c r="Q48" s="47">
        <f>IFERROR(AVERAGE(Q6,Q7,Q8,Q9,Q10,Q16,Q17,Q18,Q19,Q20,Q26,Q27,Q28,Q29,Q30,Q36,Q37,Q38,Q39,Q40,Q41,Q42),"")</f>
        <v/>
      </c>
      <c r="R48" s="47">
        <f>IFERROR(AVERAGE(R6,R7,R8,R9,R10,R16,R17,R18,R19,R20,R26,R27,R28,R29,R30,R36,R37,R38,R39,R40,R41,R42),"")</f>
        <v/>
      </c>
    </row>
    <row r="49">
      <c r="A49" s="13" t="inlineStr">
        <is>
          <t>South Africa</t>
        </is>
      </c>
      <c r="B49" s="39" t="inlineStr">
        <is>
          <t>(memo)</t>
        </is>
      </c>
      <c r="C49" s="16">
        <f>INDEX(HIST_D!$BX$8:$BX$791,1)</f>
        <v/>
      </c>
      <c r="D49" s="45" t="inlineStr">
        <is>
          <t>no</t>
        </is>
      </c>
      <c r="E49" s="47">
        <f>IFERROR((INDEX(HIST_D!$BX$8:$BX$791,1)/INDEX(HIST_D!$BX$8:$BX$791,Control!$B$10)-1),"")</f>
        <v/>
      </c>
      <c r="F49" s="17">
        <f>IFERROR((INDEX(HIST_D!$B$8:$B$791,1)/INDEX(HIST_D!$B$8:$B$791,Control!$B$10)-1),"")</f>
        <v/>
      </c>
      <c r="G49" s="17">
        <f>IFERROR(E49-F49,"")</f>
        <v/>
      </c>
      <c r="H49" s="40">
        <f>IFERROR(IF(ABS(F49)&lt;0.005,"n/m",E49/F49),"n/m")</f>
        <v/>
      </c>
      <c r="I49" s="41">
        <f>IFERROR(SLOPE(HIST_D!$FI$8:INDEX(HIST_D!$FI$8:$FI$791,Control!$B$12),HIST_D!$CU$8:INDEX(HIST_D!$CU$8:$CU$791,Control!$B$12)),"")</f>
        <v/>
      </c>
      <c r="J49" s="17">
        <f>IFERROR(I49*(INDEX(HIST_D!$B$8:$B$791,1)/INDEX(HIST_D!$B$8:$B$791,Control!$B$10)-1),"")</f>
        <v/>
      </c>
      <c r="K49" s="48">
        <f>IFERROR(E49-J49,"")</f>
        <v/>
      </c>
      <c r="L49" s="47">
        <f>IFERROR((INDEX(HIST_D!$BX$8:$BX$791,1)/INDEX(HIST_D!$BX$8:$BX$791,Control!$B$11)-1),"")</f>
        <v/>
      </c>
      <c r="M49" s="17">
        <f>IFERROR((INDEX(HIST_D!$B$8:$B$791,1)/INDEX(HIST_D!$B$8:$B$791,Control!$B$11)-1),"")</f>
        <v/>
      </c>
      <c r="N49" s="17">
        <f>IFERROR(L49-M49,"")</f>
        <v/>
      </c>
      <c r="O49" s="40">
        <f>IFERROR(IF(ABS(M49)&lt;0.005,"n/m",L49/M49),"n/m")</f>
        <v/>
      </c>
      <c r="P49" s="41">
        <f>IFERROR(SLOPE(HIST_D!$FI$8:INDEX(HIST_D!$FI$8:$FI$791,Control!$B$12),HIST_D!$CU$8:INDEX(HIST_D!$CU$8:$CU$791,Control!$B$12)),"")</f>
        <v/>
      </c>
      <c r="Q49" s="17">
        <f>IFERROR(P49*(INDEX(HIST_D!$B$8:$B$791,1)/INDEX(HIST_D!$B$8:$B$791,Control!$B$11)-1),"")</f>
        <v/>
      </c>
      <c r="R49" s="48">
        <f>IFERROR(L49-Q49,"")</f>
        <v/>
      </c>
      <c r="S49" s="7" t="inlineStr">
        <is>
          <t>not in any of the four regions you named; shown as a memo line, in no average</t>
        </is>
      </c>
    </row>
    <row r="50">
      <c r="A50" s="18" t="inlineStr">
        <is>
          <t>MSCI EM — the benchmark</t>
        </is>
      </c>
      <c r="B50" s="39" t="inlineStr">
        <is>
          <t>memo</t>
        </is>
      </c>
      <c r="C50" s="16">
        <f>INDEX(HIST_D!$C$8:$C$791,1)</f>
        <v/>
      </c>
      <c r="D50" s="39" t="inlineStr">
        <is>
          <t>no</t>
        </is>
      </c>
      <c r="E50" s="47">
        <f>IFERROR((INDEX(HIST_D!$C$8:$C$791,1)/INDEX(HIST_D!$C$8:$C$791,Control!$B$10)-1),"")</f>
        <v/>
      </c>
      <c r="F50" s="17">
        <f>IFERROR((INDEX(HIST_D!$B$8:$B$791,1)/INDEX(HIST_D!$B$8:$B$791,Control!$B$10)-1),"")</f>
        <v/>
      </c>
      <c r="G50" s="17">
        <f>IFERROR(E50-F50,"")</f>
        <v/>
      </c>
      <c r="H50" s="40">
        <f>IFERROR(IF(ABS(F50)&lt;0.005,"n/m",E50/F50),"n/m")</f>
        <v/>
      </c>
      <c r="L50" s="47">
        <f>IFERROR((INDEX(HIST_D!$C$8:$C$791,1)/INDEX(HIST_D!$C$8:$C$791,Control!$B$11)-1),"")</f>
        <v/>
      </c>
      <c r="M50" s="17">
        <f>IFERROR((INDEX(HIST_D!$B$8:$B$791,1)/INDEX(HIST_D!$B$8:$B$791,Control!$B$11)-1),"")</f>
        <v/>
      </c>
      <c r="N50" s="17">
        <f>IFERROR(L50-M50,"")</f>
        <v/>
      </c>
      <c r="O50" s="40">
        <f>IFERROR(IF(ABS(M50)&lt;0.005,"n/m",L50/M50),"n/m")</f>
        <v/>
      </c>
      <c r="S50" s="7" t="inlineStr">
        <is>
          <t>cap-weighted, so it will differ from the equal-weighted average above — China, Taiwan, India and Korea dominate it</t>
        </is>
      </c>
    </row>
    <row r="51">
      <c r="A51" s="5">
        <f>IFERROR("EM: MSCI in USD "&amp;TEXT($E$48,"+0.0%;-0.0%")&amp;" on the month against MSCI World "&amp;TEXT($F$48,"+0.0%;-0.0%")&amp;", so "&amp;TEXT($G$48,"+0.0%;-0.0%")&amp;" is relative"&amp;IF(ISNUMBER($H$48)," (pass-through "&amp;TEXT($H$48,"0.00")&amp;"x)","")&amp;". Against a 2y beta to World of "&amp;TEXT($I$48,"0.00")&amp;" the surprise is "&amp;TEXT($K$48,"+0.0%;-0.0%")&amp;". YTD: "&amp;TEXT($L$48,"+0.0%;-0.0%")&amp;" against World "&amp;TEXT($M$48,"+0.0%;-0.0%")&amp;", relative "&amp;TEXT($N$48,"+0.0%;-0.0%")&amp;". "&amp;IF($K$48&gt;0.01,"Outran what the global beta implies — an EM earnings story, not a rates story.",IF($K$48&lt;-0.01,"Lagged what the global beta implies — EM-specific weakness.","In line with the global beta; nothing EM-specific.")),"")</f>
        <v/>
      </c>
    </row>
  </sheetData>
  <conditionalFormatting sqref="G5:G53">
    <cfRule type="colorScale" priority="1">
      <colorScale>
        <cfvo type="num" val="-0.06"/>
        <cfvo type="num" val="0"/>
        <cfvo type="num" val="0.06"/>
        <color rgb="00F8696B"/>
        <color rgb="00FFFFFF"/>
        <color rgb="0063BE7B"/>
      </colorScale>
    </cfRule>
  </conditionalFormatting>
  <conditionalFormatting sqref="K5:K53">
    <cfRule type="colorScale" priority="2">
      <colorScale>
        <cfvo type="num" val="-0.06"/>
        <cfvo type="num" val="0"/>
        <cfvo type="num" val="0.06"/>
        <color rgb="00F8696B"/>
        <color rgb="00FFFFFF"/>
        <color rgb="0063BE7B"/>
      </colorScale>
    </cfRule>
  </conditionalFormatting>
  <conditionalFormatting sqref="N5:N53">
    <cfRule type="colorScale" priority="3">
      <colorScale>
        <cfvo type="num" val="-0.06"/>
        <cfvo type="num" val="0"/>
        <cfvo type="num" val="0.06"/>
        <color rgb="00F8696B"/>
        <color rgb="00FFFFFF"/>
        <color rgb="0063BE7B"/>
      </colorScale>
    </cfRule>
  </conditionalFormatting>
  <conditionalFormatting sqref="R5:R53">
    <cfRule type="colorScale" priority="4">
      <colorScale>
        <cfvo type="num" val="-0.06"/>
        <cfvo type="num" val="0"/>
        <cfvo type="num" val="0.06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9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EM USD SOVEREIGN CREDIT  —  5y CDS as the spread, by country and region</t>
        </is>
      </c>
    </row>
    <row r="2">
      <c r="A2" s="2" t="inlineStr">
        <is>
          <t>A 5y USD sovereign yield is UST 5Y + spread, so d(yield) = d(UST 5Y) + d(CDS 5Y). This split is exact: US-driven is Treasuries, intrinsic is the spread. US share = Treasuries / total yield move.</t>
        </is>
      </c>
    </row>
    <row r="4" ht="16" customHeight="1">
      <c r="A4" s="37" t="inlineStr">
        <is>
          <t>LATAM</t>
        </is>
      </c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</row>
    <row r="5" ht="40" customHeight="1">
      <c r="A5" s="12" t="inlineStr">
        <is>
          <t>Country</t>
        </is>
      </c>
      <c r="B5" s="12" t="inlineStr">
        <is>
          <t>Region</t>
        </is>
      </c>
      <c r="C5" s="12" t="inlineStr">
        <is>
          <t>Level</t>
        </is>
      </c>
      <c r="D5" s="12" t="inlineStr">
        <is>
          <t>In avg</t>
        </is>
      </c>
      <c r="E5" s="12" t="inlineStr">
        <is>
          <t>1M: Total: d(UST 5Y + CDS) (bp)</t>
        </is>
      </c>
      <c r="F5" s="12" t="inlineStr">
        <is>
          <t>1M: US-driven: d UST 5Y (bp)</t>
        </is>
      </c>
      <c r="G5" s="12" t="inlineStr">
        <is>
          <t>1M: Intrinsic: d CDS 5Y (bp)</t>
        </is>
      </c>
      <c r="H5" s="12" t="inlineStr">
        <is>
          <t>1M: US share (UST / total)</t>
        </is>
      </c>
      <c r="I5" s="12" t="inlineStr">
        <is>
          <t>1M: Spread beta to UST 5Y (2y)</t>
        </is>
      </c>
      <c r="J5" s="12" t="inlineStr">
        <is>
          <t>1M: Predicted d spread (bp)</t>
        </is>
      </c>
      <c r="K5" s="12" t="inlineStr">
        <is>
          <t>1M: Spread surprise: actual less predicted (bp)</t>
        </is>
      </c>
      <c r="L5" s="12" t="inlineStr">
        <is>
          <t>YTD: Total: d(UST 5Y + CDS) (bp)</t>
        </is>
      </c>
      <c r="M5" s="12" t="inlineStr">
        <is>
          <t>YTD: US-driven: d UST 5Y (bp)</t>
        </is>
      </c>
      <c r="N5" s="12" t="inlineStr">
        <is>
          <t>YTD: Intrinsic: d CDS 5Y (bp)</t>
        </is>
      </c>
      <c r="O5" s="12" t="inlineStr">
        <is>
          <t>YTD: US share (UST / total)</t>
        </is>
      </c>
      <c r="P5" s="12" t="inlineStr">
        <is>
          <t>YTD: Spread beta to UST 5Y (2y)</t>
        </is>
      </c>
      <c r="Q5" s="12" t="inlineStr">
        <is>
          <t>YTD: Predicted d spread (bp)</t>
        </is>
      </c>
      <c r="R5" s="12" t="inlineStr">
        <is>
          <t>YTD: Spread surprise: actual less predicted (bp)</t>
        </is>
      </c>
    </row>
    <row r="6">
      <c r="A6" s="13" t="inlineStr">
        <is>
          <t>Brazil</t>
        </is>
      </c>
      <c r="B6" s="39" t="inlineStr">
        <is>
          <t>LatAm</t>
        </is>
      </c>
      <c r="C6" s="49">
        <f>INDEX(HIST_D!$BY$8:$BY$791,1)</f>
        <v/>
      </c>
      <c r="D6" s="39" t="inlineStr">
        <is>
          <t>yes</t>
        </is>
      </c>
      <c r="E6" s="34">
        <f>IFERROR((INDEX(HIST_D!$E$8:$E$791,1)-INDEX(HIST_D!$E$8:$E$791,Control!$B$10))*100+(INDEX(HIST_D!$BY$8:$BY$791,1)-INDEX(HIST_D!$BY$8:$BY$791,Control!$B$10)),"")</f>
        <v/>
      </c>
      <c r="F6" s="15">
        <f>IFERROR((INDEX(HIST_D!$E$8:$E$791,1)-INDEX(HIST_D!$E$8:$E$791,Control!$B$10))*100,"")</f>
        <v/>
      </c>
      <c r="G6" s="15">
        <f>IFERROR((INDEX(HIST_D!$BY$8:$BY$791,1)-INDEX(HIST_D!$BY$8:$BY$791,Control!$B$10)),"")</f>
        <v/>
      </c>
      <c r="H6" s="50">
        <f>IFERROR(IF(ABS(E6)&lt;1,"n/m",F6/E6),"n/m")</f>
        <v/>
      </c>
      <c r="I6" s="41">
        <f>IFERROR(SLOPE(HIST_D!$FJ$8:INDEX(HIST_D!$FJ$8:$FJ$791,Control!$B$12),HIST_D!$CW$8:INDEX(HIST_D!$CW$8:$CW$791,Control!$B$12)),"")</f>
        <v/>
      </c>
      <c r="J6" s="15">
        <f>IFERROR(I6*(INDEX(HIST_D!$E$8:$E$791,1)-INDEX(HIST_D!$E$8:$E$791,Control!$B$10))*100,"")</f>
        <v/>
      </c>
      <c r="K6" s="42">
        <f>IFERROR(G6-J6,"")</f>
        <v/>
      </c>
      <c r="L6" s="34">
        <f>IFERROR((INDEX(HIST_D!$E$8:$E$791,1)-INDEX(HIST_D!$E$8:$E$791,Control!$B$11))*100+(INDEX(HIST_D!$BY$8:$BY$791,1)-INDEX(HIST_D!$BY$8:$BY$791,Control!$B$11)),"")</f>
        <v/>
      </c>
      <c r="M6" s="15">
        <f>IFERROR((INDEX(HIST_D!$E$8:$E$791,1)-INDEX(HIST_D!$E$8:$E$791,Control!$B$11))*100,"")</f>
        <v/>
      </c>
      <c r="N6" s="15">
        <f>IFERROR((INDEX(HIST_D!$BY$8:$BY$791,1)-INDEX(HIST_D!$BY$8:$BY$791,Control!$B$11)),"")</f>
        <v/>
      </c>
      <c r="O6" s="50">
        <f>IFERROR(IF(ABS(L6)&lt;1,"n/m",M6/L6),"n/m")</f>
        <v/>
      </c>
      <c r="P6" s="41">
        <f>IFERROR(SLOPE(HIST_D!$FJ$8:INDEX(HIST_D!$FJ$8:$FJ$791,Control!$B$12),HIST_D!$CW$8:INDEX(HIST_D!$CW$8:$CW$791,Control!$B$12)),"")</f>
        <v/>
      </c>
      <c r="Q6" s="15">
        <f>IFERROR(P6*(INDEX(HIST_D!$E$8:$E$791,1)-INDEX(HIST_D!$E$8:$E$791,Control!$B$11))*100,"")</f>
        <v/>
      </c>
      <c r="R6" s="42">
        <f>IFERROR(N6-Q6,"")</f>
        <v/>
      </c>
    </row>
    <row r="7">
      <c r="A7" s="13" t="inlineStr">
        <is>
          <t>Mexico</t>
        </is>
      </c>
      <c r="B7" s="39" t="inlineStr">
        <is>
          <t>LatAm</t>
        </is>
      </c>
      <c r="C7" s="49">
        <f>INDEX(HIST_D!$BZ$8:$BZ$791,1)</f>
        <v/>
      </c>
      <c r="D7" s="39" t="inlineStr">
        <is>
          <t>yes</t>
        </is>
      </c>
      <c r="E7" s="34">
        <f>IFERROR((INDEX(HIST_D!$E$8:$E$791,1)-INDEX(HIST_D!$E$8:$E$791,Control!$B$10))*100+(INDEX(HIST_D!$BZ$8:$BZ$791,1)-INDEX(HIST_D!$BZ$8:$BZ$791,Control!$B$10)),"")</f>
        <v/>
      </c>
      <c r="F7" s="15">
        <f>IFERROR((INDEX(HIST_D!$E$8:$E$791,1)-INDEX(HIST_D!$E$8:$E$791,Control!$B$10))*100,"")</f>
        <v/>
      </c>
      <c r="G7" s="15">
        <f>IFERROR((INDEX(HIST_D!$BZ$8:$BZ$791,1)-INDEX(HIST_D!$BZ$8:$BZ$791,Control!$B$10)),"")</f>
        <v/>
      </c>
      <c r="H7" s="50">
        <f>IFERROR(IF(ABS(E7)&lt;1,"n/m",F7/E7),"n/m")</f>
        <v/>
      </c>
      <c r="I7" s="41">
        <f>IFERROR(SLOPE(HIST_D!$FK$8:INDEX(HIST_D!$FK$8:$FK$791,Control!$B$12),HIST_D!$CW$8:INDEX(HIST_D!$CW$8:$CW$791,Control!$B$12)),"")</f>
        <v/>
      </c>
      <c r="J7" s="15">
        <f>IFERROR(I7*(INDEX(HIST_D!$E$8:$E$791,1)-INDEX(HIST_D!$E$8:$E$791,Control!$B$10))*100,"")</f>
        <v/>
      </c>
      <c r="K7" s="42">
        <f>IFERROR(G7-J7,"")</f>
        <v/>
      </c>
      <c r="L7" s="34">
        <f>IFERROR((INDEX(HIST_D!$E$8:$E$791,1)-INDEX(HIST_D!$E$8:$E$791,Control!$B$11))*100+(INDEX(HIST_D!$BZ$8:$BZ$791,1)-INDEX(HIST_D!$BZ$8:$BZ$791,Control!$B$11)),"")</f>
        <v/>
      </c>
      <c r="M7" s="15">
        <f>IFERROR((INDEX(HIST_D!$E$8:$E$791,1)-INDEX(HIST_D!$E$8:$E$791,Control!$B$11))*100,"")</f>
        <v/>
      </c>
      <c r="N7" s="15">
        <f>IFERROR((INDEX(HIST_D!$BZ$8:$BZ$791,1)-INDEX(HIST_D!$BZ$8:$BZ$791,Control!$B$11)),"")</f>
        <v/>
      </c>
      <c r="O7" s="50">
        <f>IFERROR(IF(ABS(L7)&lt;1,"n/m",M7/L7),"n/m")</f>
        <v/>
      </c>
      <c r="P7" s="41">
        <f>IFERROR(SLOPE(HIST_D!$FK$8:INDEX(HIST_D!$FK$8:$FK$791,Control!$B$12),HIST_D!$CW$8:INDEX(HIST_D!$CW$8:$CW$791,Control!$B$12)),"")</f>
        <v/>
      </c>
      <c r="Q7" s="15">
        <f>IFERROR(P7*(INDEX(HIST_D!$E$8:$E$791,1)-INDEX(HIST_D!$E$8:$E$791,Control!$B$11))*100,"")</f>
        <v/>
      </c>
      <c r="R7" s="42">
        <f>IFERROR(N7-Q7,"")</f>
        <v/>
      </c>
    </row>
    <row r="8">
      <c r="A8" s="13" t="inlineStr">
        <is>
          <t>Chile</t>
        </is>
      </c>
      <c r="B8" s="39" t="inlineStr">
        <is>
          <t>LatAm</t>
        </is>
      </c>
      <c r="C8" s="49">
        <f>INDEX(HIST_D!$CA$8:$CA$791,1)</f>
        <v/>
      </c>
      <c r="D8" s="39" t="inlineStr">
        <is>
          <t>yes</t>
        </is>
      </c>
      <c r="E8" s="34">
        <f>IFERROR((INDEX(HIST_D!$E$8:$E$791,1)-INDEX(HIST_D!$E$8:$E$791,Control!$B$10))*100+(INDEX(HIST_D!$CA$8:$CA$791,1)-INDEX(HIST_D!$CA$8:$CA$791,Control!$B$10)),"")</f>
        <v/>
      </c>
      <c r="F8" s="15">
        <f>IFERROR((INDEX(HIST_D!$E$8:$E$791,1)-INDEX(HIST_D!$E$8:$E$791,Control!$B$10))*100,"")</f>
        <v/>
      </c>
      <c r="G8" s="15">
        <f>IFERROR((INDEX(HIST_D!$CA$8:$CA$791,1)-INDEX(HIST_D!$CA$8:$CA$791,Control!$B$10)),"")</f>
        <v/>
      </c>
      <c r="H8" s="50">
        <f>IFERROR(IF(ABS(E8)&lt;1,"n/m",F8/E8),"n/m")</f>
        <v/>
      </c>
      <c r="I8" s="41">
        <f>IFERROR(SLOPE(HIST_D!$FL$8:INDEX(HIST_D!$FL$8:$FL$791,Control!$B$12),HIST_D!$CW$8:INDEX(HIST_D!$CW$8:$CW$791,Control!$B$12)),"")</f>
        <v/>
      </c>
      <c r="J8" s="15">
        <f>IFERROR(I8*(INDEX(HIST_D!$E$8:$E$791,1)-INDEX(HIST_D!$E$8:$E$791,Control!$B$10))*100,"")</f>
        <v/>
      </c>
      <c r="K8" s="42">
        <f>IFERROR(G8-J8,"")</f>
        <v/>
      </c>
      <c r="L8" s="34">
        <f>IFERROR((INDEX(HIST_D!$E$8:$E$791,1)-INDEX(HIST_D!$E$8:$E$791,Control!$B$11))*100+(INDEX(HIST_D!$CA$8:$CA$791,1)-INDEX(HIST_D!$CA$8:$CA$791,Control!$B$11)),"")</f>
        <v/>
      </c>
      <c r="M8" s="15">
        <f>IFERROR((INDEX(HIST_D!$E$8:$E$791,1)-INDEX(HIST_D!$E$8:$E$791,Control!$B$11))*100,"")</f>
        <v/>
      </c>
      <c r="N8" s="15">
        <f>IFERROR((INDEX(HIST_D!$CA$8:$CA$791,1)-INDEX(HIST_D!$CA$8:$CA$791,Control!$B$11)),"")</f>
        <v/>
      </c>
      <c r="O8" s="50">
        <f>IFERROR(IF(ABS(L8)&lt;1,"n/m",M8/L8),"n/m")</f>
        <v/>
      </c>
      <c r="P8" s="41">
        <f>IFERROR(SLOPE(HIST_D!$FL$8:INDEX(HIST_D!$FL$8:$FL$791,Control!$B$12),HIST_D!$CW$8:INDEX(HIST_D!$CW$8:$CW$791,Control!$B$12)),"")</f>
        <v/>
      </c>
      <c r="Q8" s="15">
        <f>IFERROR(P8*(INDEX(HIST_D!$E$8:$E$791,1)-INDEX(HIST_D!$E$8:$E$791,Control!$B$11))*100,"")</f>
        <v/>
      </c>
      <c r="R8" s="42">
        <f>IFERROR(N8-Q8,"")</f>
        <v/>
      </c>
    </row>
    <row r="9">
      <c r="A9" s="13" t="inlineStr">
        <is>
          <t>Colombia</t>
        </is>
      </c>
      <c r="B9" s="39" t="inlineStr">
        <is>
          <t>LatAm</t>
        </is>
      </c>
      <c r="C9" s="49">
        <f>INDEX(HIST_D!$CB$8:$CB$791,1)</f>
        <v/>
      </c>
      <c r="D9" s="39" t="inlineStr">
        <is>
          <t>yes</t>
        </is>
      </c>
      <c r="E9" s="34">
        <f>IFERROR((INDEX(HIST_D!$E$8:$E$791,1)-INDEX(HIST_D!$E$8:$E$791,Control!$B$10))*100+(INDEX(HIST_D!$CB$8:$CB$791,1)-INDEX(HIST_D!$CB$8:$CB$791,Control!$B$10)),"")</f>
        <v/>
      </c>
      <c r="F9" s="15">
        <f>IFERROR((INDEX(HIST_D!$E$8:$E$791,1)-INDEX(HIST_D!$E$8:$E$791,Control!$B$10))*100,"")</f>
        <v/>
      </c>
      <c r="G9" s="15">
        <f>IFERROR((INDEX(HIST_D!$CB$8:$CB$791,1)-INDEX(HIST_D!$CB$8:$CB$791,Control!$B$10)),"")</f>
        <v/>
      </c>
      <c r="H9" s="50">
        <f>IFERROR(IF(ABS(E9)&lt;1,"n/m",F9/E9),"n/m")</f>
        <v/>
      </c>
      <c r="I9" s="41">
        <f>IFERROR(SLOPE(HIST_D!$FM$8:INDEX(HIST_D!$FM$8:$FM$791,Control!$B$12),HIST_D!$CW$8:INDEX(HIST_D!$CW$8:$CW$791,Control!$B$12)),"")</f>
        <v/>
      </c>
      <c r="J9" s="15">
        <f>IFERROR(I9*(INDEX(HIST_D!$E$8:$E$791,1)-INDEX(HIST_D!$E$8:$E$791,Control!$B$10))*100,"")</f>
        <v/>
      </c>
      <c r="K9" s="42">
        <f>IFERROR(G9-J9,"")</f>
        <v/>
      </c>
      <c r="L9" s="34">
        <f>IFERROR((INDEX(HIST_D!$E$8:$E$791,1)-INDEX(HIST_D!$E$8:$E$791,Control!$B$11))*100+(INDEX(HIST_D!$CB$8:$CB$791,1)-INDEX(HIST_D!$CB$8:$CB$791,Control!$B$11)),"")</f>
        <v/>
      </c>
      <c r="M9" s="15">
        <f>IFERROR((INDEX(HIST_D!$E$8:$E$791,1)-INDEX(HIST_D!$E$8:$E$791,Control!$B$11))*100,"")</f>
        <v/>
      </c>
      <c r="N9" s="15">
        <f>IFERROR((INDEX(HIST_D!$CB$8:$CB$791,1)-INDEX(HIST_D!$CB$8:$CB$791,Control!$B$11)),"")</f>
        <v/>
      </c>
      <c r="O9" s="50">
        <f>IFERROR(IF(ABS(L9)&lt;1,"n/m",M9/L9),"n/m")</f>
        <v/>
      </c>
      <c r="P9" s="41">
        <f>IFERROR(SLOPE(HIST_D!$FM$8:INDEX(HIST_D!$FM$8:$FM$791,Control!$B$12),HIST_D!$CW$8:INDEX(HIST_D!$CW$8:$CW$791,Control!$B$12)),"")</f>
        <v/>
      </c>
      <c r="Q9" s="15">
        <f>IFERROR(P9*(INDEX(HIST_D!$E$8:$E$791,1)-INDEX(HIST_D!$E$8:$E$791,Control!$B$11))*100,"")</f>
        <v/>
      </c>
      <c r="R9" s="42">
        <f>IFERROR(N9-Q9,"")</f>
        <v/>
      </c>
    </row>
    <row r="10">
      <c r="A10" s="13" t="inlineStr">
        <is>
          <t>Peru</t>
        </is>
      </c>
      <c r="B10" s="39" t="inlineStr">
        <is>
          <t>LatAm</t>
        </is>
      </c>
      <c r="C10" s="49">
        <f>INDEX(HIST_D!$CC$8:$CC$791,1)</f>
        <v/>
      </c>
      <c r="D10" s="39" t="inlineStr">
        <is>
          <t>yes</t>
        </is>
      </c>
      <c r="E10" s="34">
        <f>IFERROR((INDEX(HIST_D!$E$8:$E$791,1)-INDEX(HIST_D!$E$8:$E$791,Control!$B$10))*100+(INDEX(HIST_D!$CC$8:$CC$791,1)-INDEX(HIST_D!$CC$8:$CC$791,Control!$B$10)),"")</f>
        <v/>
      </c>
      <c r="F10" s="15">
        <f>IFERROR((INDEX(HIST_D!$E$8:$E$791,1)-INDEX(HIST_D!$E$8:$E$791,Control!$B$10))*100,"")</f>
        <v/>
      </c>
      <c r="G10" s="15">
        <f>IFERROR((INDEX(HIST_D!$CC$8:$CC$791,1)-INDEX(HIST_D!$CC$8:$CC$791,Control!$B$10)),"")</f>
        <v/>
      </c>
      <c r="H10" s="50">
        <f>IFERROR(IF(ABS(E10)&lt;1,"n/m",F10/E10),"n/m")</f>
        <v/>
      </c>
      <c r="I10" s="41">
        <f>IFERROR(SLOPE(HIST_D!$FN$8:INDEX(HIST_D!$FN$8:$FN$791,Control!$B$12),HIST_D!$CW$8:INDEX(HIST_D!$CW$8:$CW$791,Control!$B$12)),"")</f>
        <v/>
      </c>
      <c r="J10" s="15">
        <f>IFERROR(I10*(INDEX(HIST_D!$E$8:$E$791,1)-INDEX(HIST_D!$E$8:$E$791,Control!$B$10))*100,"")</f>
        <v/>
      </c>
      <c r="K10" s="42">
        <f>IFERROR(G10-J10,"")</f>
        <v/>
      </c>
      <c r="L10" s="34">
        <f>IFERROR((INDEX(HIST_D!$E$8:$E$791,1)-INDEX(HIST_D!$E$8:$E$791,Control!$B$11))*100+(INDEX(HIST_D!$CC$8:$CC$791,1)-INDEX(HIST_D!$CC$8:$CC$791,Control!$B$11)),"")</f>
        <v/>
      </c>
      <c r="M10" s="15">
        <f>IFERROR((INDEX(HIST_D!$E$8:$E$791,1)-INDEX(HIST_D!$E$8:$E$791,Control!$B$11))*100,"")</f>
        <v/>
      </c>
      <c r="N10" s="15">
        <f>IFERROR((INDEX(HIST_D!$CC$8:$CC$791,1)-INDEX(HIST_D!$CC$8:$CC$791,Control!$B$11)),"")</f>
        <v/>
      </c>
      <c r="O10" s="50">
        <f>IFERROR(IF(ABS(L10)&lt;1,"n/m",M10/L10),"n/m")</f>
        <v/>
      </c>
      <c r="P10" s="41">
        <f>IFERROR(SLOPE(HIST_D!$FN$8:INDEX(HIST_D!$FN$8:$FN$791,Control!$B$12),HIST_D!$CW$8:INDEX(HIST_D!$CW$8:$CW$791,Control!$B$12)),"")</f>
        <v/>
      </c>
      <c r="Q10" s="15">
        <f>IFERROR(P10*(INDEX(HIST_D!$E$8:$E$791,1)-INDEX(HIST_D!$E$8:$E$791,Control!$B$11))*100,"")</f>
        <v/>
      </c>
      <c r="R10" s="42">
        <f>IFERROR(N10-Q10,"")</f>
        <v/>
      </c>
    </row>
    <row r="11">
      <c r="A11" s="18" t="inlineStr">
        <is>
          <t>LatAm average</t>
        </is>
      </c>
      <c r="B11" s="39" t="inlineStr">
        <is>
          <t>n=5</t>
        </is>
      </c>
      <c r="C11" s="13" t="inlineStr"/>
      <c r="D11" s="13" t="inlineStr"/>
      <c r="E11" s="34">
        <f>IFERROR(AVERAGE(E6,E7,E8,E9,E10),"")</f>
        <v/>
      </c>
      <c r="F11" s="34">
        <f>IFERROR(AVERAGE(F6,F7,F8,F9,F10),"")</f>
        <v/>
      </c>
      <c r="G11" s="34">
        <f>IFERROR(AVERAGE(G6,G7,G8,G9,G10),"")</f>
        <v/>
      </c>
      <c r="H11" s="51">
        <f>IFERROR(IF(ABS(E11)&lt;1,"n/m",F11/E11),"n/m")</f>
        <v/>
      </c>
      <c r="I11" s="44">
        <f>IFERROR(AVERAGE(I6,I7,I8,I9,I10),"")</f>
        <v/>
      </c>
      <c r="J11" s="34">
        <f>IFERROR(AVERAGE(J6,J7,J8,J9,J10),"")</f>
        <v/>
      </c>
      <c r="K11" s="34">
        <f>IFERROR(AVERAGE(K6,K7,K8,K9,K10),"")</f>
        <v/>
      </c>
      <c r="L11" s="34">
        <f>IFERROR(AVERAGE(L6,L7,L8,L9,L10),"")</f>
        <v/>
      </c>
      <c r="M11" s="34">
        <f>IFERROR(AVERAGE(M6,M7,M8,M9,M10),"")</f>
        <v/>
      </c>
      <c r="N11" s="34">
        <f>IFERROR(AVERAGE(N6,N7,N8,N9,N10),"")</f>
        <v/>
      </c>
      <c r="O11" s="51">
        <f>IFERROR(IF(ABS(L11)&lt;1,"n/m",M11/L11),"n/m")</f>
        <v/>
      </c>
      <c r="P11" s="44">
        <f>IFERROR(AVERAGE(P6,P7,P8,P9,P10),"")</f>
        <v/>
      </c>
      <c r="Q11" s="34">
        <f>IFERROR(AVERAGE(Q6,Q7,Q8,Q9,Q10),"")</f>
        <v/>
      </c>
      <c r="R11" s="34">
        <f>IFERROR(AVERAGE(R6,R7,R8,R9,R10),"")</f>
        <v/>
      </c>
    </row>
    <row r="12">
      <c r="A12" s="7">
        <f>IFERROR("LatAm: the 5y USD yield proxy moved "&amp;TEXT($E$11,"+0;-0")&amp;"bp on the month — "&amp;TEXT($F$11,"+0;-0")&amp;"bp Treasuries, "&amp;TEXT($G$11,"+0;-0")&amp;"bp spread"&amp;IF(ISNUMBER($H$11),", so "&amp;TEXT($H$11,"0%")&amp;" of the move is the US","")&amp;". YTD "&amp;TEXT($L$11,"+0;-0")&amp;"bp: "&amp;TEXT($M$11,"+0;-0")&amp;"bp Treasuries, "&amp;TEXT($N$11,"+0;-0")&amp;"bp spread. "&amp;IF($G$11&lt;=0,"Spreads did not widen into the Treasury move — the loss here is duration, not credit.",IF($G$11&lt;$F$11*0.5,"Spreads widened, but by less than half the Treasury move — mostly a duration story.","Spreads widened by a comparable amount to Treasuries — this is being repriced for credit, not just rates.")),"")</f>
        <v/>
      </c>
    </row>
    <row r="14" ht="16" customHeight="1">
      <c r="A14" s="37" t="inlineStr">
        <is>
          <t>EM EUROPE</t>
        </is>
      </c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</row>
    <row r="15" ht="40" customHeight="1">
      <c r="A15" s="12" t="inlineStr">
        <is>
          <t>Country</t>
        </is>
      </c>
      <c r="B15" s="12" t="inlineStr">
        <is>
          <t>Region</t>
        </is>
      </c>
      <c r="C15" s="12" t="inlineStr">
        <is>
          <t>Level</t>
        </is>
      </c>
      <c r="D15" s="12" t="inlineStr">
        <is>
          <t>In avg</t>
        </is>
      </c>
      <c r="E15" s="12" t="inlineStr">
        <is>
          <t>1M: Total: d(UST 5Y + CDS) (bp)</t>
        </is>
      </c>
      <c r="F15" s="12" t="inlineStr">
        <is>
          <t>1M: US-driven: d UST 5Y (bp)</t>
        </is>
      </c>
      <c r="G15" s="12" t="inlineStr">
        <is>
          <t>1M: Intrinsic: d CDS 5Y (bp)</t>
        </is>
      </c>
      <c r="H15" s="12" t="inlineStr">
        <is>
          <t>1M: US share (UST / total)</t>
        </is>
      </c>
      <c r="I15" s="12" t="inlineStr">
        <is>
          <t>1M: Spread beta to UST 5Y (2y)</t>
        </is>
      </c>
      <c r="J15" s="12" t="inlineStr">
        <is>
          <t>1M: Predicted d spread (bp)</t>
        </is>
      </c>
      <c r="K15" s="12" t="inlineStr">
        <is>
          <t>1M: Spread surprise: actual less predicted (bp)</t>
        </is>
      </c>
      <c r="L15" s="12" t="inlineStr">
        <is>
          <t>YTD: Total: d(UST 5Y + CDS) (bp)</t>
        </is>
      </c>
      <c r="M15" s="12" t="inlineStr">
        <is>
          <t>YTD: US-driven: d UST 5Y (bp)</t>
        </is>
      </c>
      <c r="N15" s="12" t="inlineStr">
        <is>
          <t>YTD: Intrinsic: d CDS 5Y (bp)</t>
        </is>
      </c>
      <c r="O15" s="12" t="inlineStr">
        <is>
          <t>YTD: US share (UST / total)</t>
        </is>
      </c>
      <c r="P15" s="12" t="inlineStr">
        <is>
          <t>YTD: Spread beta to UST 5Y (2y)</t>
        </is>
      </c>
      <c r="Q15" s="12" t="inlineStr">
        <is>
          <t>YTD: Predicted d spread (bp)</t>
        </is>
      </c>
      <c r="R15" s="12" t="inlineStr">
        <is>
          <t>YTD: Spread surprise: actual less predicted (bp)</t>
        </is>
      </c>
    </row>
    <row r="16">
      <c r="A16" s="13" t="inlineStr">
        <is>
          <t>Poland</t>
        </is>
      </c>
      <c r="B16" s="39" t="inlineStr">
        <is>
          <t>EM Europe</t>
        </is>
      </c>
      <c r="C16" s="49">
        <f>INDEX(HIST_D!$CD$8:$CD$791,1)</f>
        <v/>
      </c>
      <c r="D16" s="39" t="inlineStr">
        <is>
          <t>yes</t>
        </is>
      </c>
      <c r="E16" s="34">
        <f>IFERROR((INDEX(HIST_D!$E$8:$E$791,1)-INDEX(HIST_D!$E$8:$E$791,Control!$B$10))*100+(INDEX(HIST_D!$CD$8:$CD$791,1)-INDEX(HIST_D!$CD$8:$CD$791,Control!$B$10)),"")</f>
        <v/>
      </c>
      <c r="F16" s="15">
        <f>IFERROR((INDEX(HIST_D!$E$8:$E$791,1)-INDEX(HIST_D!$E$8:$E$791,Control!$B$10))*100,"")</f>
        <v/>
      </c>
      <c r="G16" s="15">
        <f>IFERROR((INDEX(HIST_D!$CD$8:$CD$791,1)-INDEX(HIST_D!$CD$8:$CD$791,Control!$B$10)),"")</f>
        <v/>
      </c>
      <c r="H16" s="50">
        <f>IFERROR(IF(ABS(E16)&lt;1,"n/m",F16/E16),"n/m")</f>
        <v/>
      </c>
      <c r="I16" s="41">
        <f>IFERROR(SLOPE(HIST_D!$FO$8:INDEX(HIST_D!$FO$8:$FO$791,Control!$B$12),HIST_D!$CW$8:INDEX(HIST_D!$CW$8:$CW$791,Control!$B$12)),"")</f>
        <v/>
      </c>
      <c r="J16" s="15">
        <f>IFERROR(I16*(INDEX(HIST_D!$E$8:$E$791,1)-INDEX(HIST_D!$E$8:$E$791,Control!$B$10))*100,"")</f>
        <v/>
      </c>
      <c r="K16" s="42">
        <f>IFERROR(G16-J16,"")</f>
        <v/>
      </c>
      <c r="L16" s="34">
        <f>IFERROR((INDEX(HIST_D!$E$8:$E$791,1)-INDEX(HIST_D!$E$8:$E$791,Control!$B$11))*100+(INDEX(HIST_D!$CD$8:$CD$791,1)-INDEX(HIST_D!$CD$8:$CD$791,Control!$B$11)),"")</f>
        <v/>
      </c>
      <c r="M16" s="15">
        <f>IFERROR((INDEX(HIST_D!$E$8:$E$791,1)-INDEX(HIST_D!$E$8:$E$791,Control!$B$11))*100,"")</f>
        <v/>
      </c>
      <c r="N16" s="15">
        <f>IFERROR((INDEX(HIST_D!$CD$8:$CD$791,1)-INDEX(HIST_D!$CD$8:$CD$791,Control!$B$11)),"")</f>
        <v/>
      </c>
      <c r="O16" s="50">
        <f>IFERROR(IF(ABS(L16)&lt;1,"n/m",M16/L16),"n/m")</f>
        <v/>
      </c>
      <c r="P16" s="41">
        <f>IFERROR(SLOPE(HIST_D!$FO$8:INDEX(HIST_D!$FO$8:$FO$791,Control!$B$12),HIST_D!$CW$8:INDEX(HIST_D!$CW$8:$CW$791,Control!$B$12)),"")</f>
        <v/>
      </c>
      <c r="Q16" s="15">
        <f>IFERROR(P16*(INDEX(HIST_D!$E$8:$E$791,1)-INDEX(HIST_D!$E$8:$E$791,Control!$B$11))*100,"")</f>
        <v/>
      </c>
      <c r="R16" s="42">
        <f>IFERROR(N16-Q16,"")</f>
        <v/>
      </c>
    </row>
    <row r="17">
      <c r="A17" s="13" t="inlineStr">
        <is>
          <t>Hungary</t>
        </is>
      </c>
      <c r="B17" s="39" t="inlineStr">
        <is>
          <t>EM Europe</t>
        </is>
      </c>
      <c r="C17" s="49">
        <f>INDEX(HIST_D!$CE$8:$CE$791,1)</f>
        <v/>
      </c>
      <c r="D17" s="39" t="inlineStr">
        <is>
          <t>yes</t>
        </is>
      </c>
      <c r="E17" s="34">
        <f>IFERROR((INDEX(HIST_D!$E$8:$E$791,1)-INDEX(HIST_D!$E$8:$E$791,Control!$B$10))*100+(INDEX(HIST_D!$CE$8:$CE$791,1)-INDEX(HIST_D!$CE$8:$CE$791,Control!$B$10)),"")</f>
        <v/>
      </c>
      <c r="F17" s="15">
        <f>IFERROR((INDEX(HIST_D!$E$8:$E$791,1)-INDEX(HIST_D!$E$8:$E$791,Control!$B$10))*100,"")</f>
        <v/>
      </c>
      <c r="G17" s="15">
        <f>IFERROR((INDEX(HIST_D!$CE$8:$CE$791,1)-INDEX(HIST_D!$CE$8:$CE$791,Control!$B$10)),"")</f>
        <v/>
      </c>
      <c r="H17" s="50">
        <f>IFERROR(IF(ABS(E17)&lt;1,"n/m",F17/E17),"n/m")</f>
        <v/>
      </c>
      <c r="I17" s="41">
        <f>IFERROR(SLOPE(HIST_D!$FP$8:INDEX(HIST_D!$FP$8:$FP$791,Control!$B$12),HIST_D!$CW$8:INDEX(HIST_D!$CW$8:$CW$791,Control!$B$12)),"")</f>
        <v/>
      </c>
      <c r="J17" s="15">
        <f>IFERROR(I17*(INDEX(HIST_D!$E$8:$E$791,1)-INDEX(HIST_D!$E$8:$E$791,Control!$B$10))*100,"")</f>
        <v/>
      </c>
      <c r="K17" s="42">
        <f>IFERROR(G17-J17,"")</f>
        <v/>
      </c>
      <c r="L17" s="34">
        <f>IFERROR((INDEX(HIST_D!$E$8:$E$791,1)-INDEX(HIST_D!$E$8:$E$791,Control!$B$11))*100+(INDEX(HIST_D!$CE$8:$CE$791,1)-INDEX(HIST_D!$CE$8:$CE$791,Control!$B$11)),"")</f>
        <v/>
      </c>
      <c r="M17" s="15">
        <f>IFERROR((INDEX(HIST_D!$E$8:$E$791,1)-INDEX(HIST_D!$E$8:$E$791,Control!$B$11))*100,"")</f>
        <v/>
      </c>
      <c r="N17" s="15">
        <f>IFERROR((INDEX(HIST_D!$CE$8:$CE$791,1)-INDEX(HIST_D!$CE$8:$CE$791,Control!$B$11)),"")</f>
        <v/>
      </c>
      <c r="O17" s="50">
        <f>IFERROR(IF(ABS(L17)&lt;1,"n/m",M17/L17),"n/m")</f>
        <v/>
      </c>
      <c r="P17" s="41">
        <f>IFERROR(SLOPE(HIST_D!$FP$8:INDEX(HIST_D!$FP$8:$FP$791,Control!$B$12),HIST_D!$CW$8:INDEX(HIST_D!$CW$8:$CW$791,Control!$B$12)),"")</f>
        <v/>
      </c>
      <c r="Q17" s="15">
        <f>IFERROR(P17*(INDEX(HIST_D!$E$8:$E$791,1)-INDEX(HIST_D!$E$8:$E$791,Control!$B$11))*100,"")</f>
        <v/>
      </c>
      <c r="R17" s="42">
        <f>IFERROR(N17-Q17,"")</f>
        <v/>
      </c>
    </row>
    <row r="18">
      <c r="A18" s="13" t="inlineStr">
        <is>
          <t>Czechia</t>
        </is>
      </c>
      <c r="B18" s="39" t="inlineStr">
        <is>
          <t>EM Europe</t>
        </is>
      </c>
      <c r="C18" s="49">
        <f>INDEX(HIST_D!$CF$8:$CF$791,1)</f>
        <v/>
      </c>
      <c r="D18" s="39" t="inlineStr">
        <is>
          <t>yes</t>
        </is>
      </c>
      <c r="E18" s="34">
        <f>IFERROR((INDEX(HIST_D!$E$8:$E$791,1)-INDEX(HIST_D!$E$8:$E$791,Control!$B$10))*100+(INDEX(HIST_D!$CF$8:$CF$791,1)-INDEX(HIST_D!$CF$8:$CF$791,Control!$B$10)),"")</f>
        <v/>
      </c>
      <c r="F18" s="15">
        <f>IFERROR((INDEX(HIST_D!$E$8:$E$791,1)-INDEX(HIST_D!$E$8:$E$791,Control!$B$10))*100,"")</f>
        <v/>
      </c>
      <c r="G18" s="15">
        <f>IFERROR((INDEX(HIST_D!$CF$8:$CF$791,1)-INDEX(HIST_D!$CF$8:$CF$791,Control!$B$10)),"")</f>
        <v/>
      </c>
      <c r="H18" s="50">
        <f>IFERROR(IF(ABS(E18)&lt;1,"n/m",F18/E18),"n/m")</f>
        <v/>
      </c>
      <c r="I18" s="41">
        <f>IFERROR(SLOPE(HIST_D!$FQ$8:INDEX(HIST_D!$FQ$8:$FQ$791,Control!$B$12),HIST_D!$CW$8:INDEX(HIST_D!$CW$8:$CW$791,Control!$B$12)),"")</f>
        <v/>
      </c>
      <c r="J18" s="15">
        <f>IFERROR(I18*(INDEX(HIST_D!$E$8:$E$791,1)-INDEX(HIST_D!$E$8:$E$791,Control!$B$10))*100,"")</f>
        <v/>
      </c>
      <c r="K18" s="42">
        <f>IFERROR(G18-J18,"")</f>
        <v/>
      </c>
      <c r="L18" s="34">
        <f>IFERROR((INDEX(HIST_D!$E$8:$E$791,1)-INDEX(HIST_D!$E$8:$E$791,Control!$B$11))*100+(INDEX(HIST_D!$CF$8:$CF$791,1)-INDEX(HIST_D!$CF$8:$CF$791,Control!$B$11)),"")</f>
        <v/>
      </c>
      <c r="M18" s="15">
        <f>IFERROR((INDEX(HIST_D!$E$8:$E$791,1)-INDEX(HIST_D!$E$8:$E$791,Control!$B$11))*100,"")</f>
        <v/>
      </c>
      <c r="N18" s="15">
        <f>IFERROR((INDEX(HIST_D!$CF$8:$CF$791,1)-INDEX(HIST_D!$CF$8:$CF$791,Control!$B$11)),"")</f>
        <v/>
      </c>
      <c r="O18" s="50">
        <f>IFERROR(IF(ABS(L18)&lt;1,"n/m",M18/L18),"n/m")</f>
        <v/>
      </c>
      <c r="P18" s="41">
        <f>IFERROR(SLOPE(HIST_D!$FQ$8:INDEX(HIST_D!$FQ$8:$FQ$791,Control!$B$12),HIST_D!$CW$8:INDEX(HIST_D!$CW$8:$CW$791,Control!$B$12)),"")</f>
        <v/>
      </c>
      <c r="Q18" s="15">
        <f>IFERROR(P18*(INDEX(HIST_D!$E$8:$E$791,1)-INDEX(HIST_D!$E$8:$E$791,Control!$B$11))*100,"")</f>
        <v/>
      </c>
      <c r="R18" s="42">
        <f>IFERROR(N18-Q18,"")</f>
        <v/>
      </c>
    </row>
    <row r="19">
      <c r="A19" s="13" t="inlineStr">
        <is>
          <t>Romania</t>
        </is>
      </c>
      <c r="B19" s="39" t="inlineStr">
        <is>
          <t>EM Europe</t>
        </is>
      </c>
      <c r="C19" s="49">
        <f>INDEX(HIST_D!$CG$8:$CG$791,1)</f>
        <v/>
      </c>
      <c r="D19" s="39" t="inlineStr">
        <is>
          <t>yes</t>
        </is>
      </c>
      <c r="E19" s="34">
        <f>IFERROR((INDEX(HIST_D!$E$8:$E$791,1)-INDEX(HIST_D!$E$8:$E$791,Control!$B$10))*100+(INDEX(HIST_D!$CG$8:$CG$791,1)-INDEX(HIST_D!$CG$8:$CG$791,Control!$B$10)),"")</f>
        <v/>
      </c>
      <c r="F19" s="15">
        <f>IFERROR((INDEX(HIST_D!$E$8:$E$791,1)-INDEX(HIST_D!$E$8:$E$791,Control!$B$10))*100,"")</f>
        <v/>
      </c>
      <c r="G19" s="15">
        <f>IFERROR((INDEX(HIST_D!$CG$8:$CG$791,1)-INDEX(HIST_D!$CG$8:$CG$791,Control!$B$10)),"")</f>
        <v/>
      </c>
      <c r="H19" s="50">
        <f>IFERROR(IF(ABS(E19)&lt;1,"n/m",F19/E19),"n/m")</f>
        <v/>
      </c>
      <c r="I19" s="41">
        <f>IFERROR(SLOPE(HIST_D!$FR$8:INDEX(HIST_D!$FR$8:$FR$791,Control!$B$12),HIST_D!$CW$8:INDEX(HIST_D!$CW$8:$CW$791,Control!$B$12)),"")</f>
        <v/>
      </c>
      <c r="J19" s="15">
        <f>IFERROR(I19*(INDEX(HIST_D!$E$8:$E$791,1)-INDEX(HIST_D!$E$8:$E$791,Control!$B$10))*100,"")</f>
        <v/>
      </c>
      <c r="K19" s="42">
        <f>IFERROR(G19-J19,"")</f>
        <v/>
      </c>
      <c r="L19" s="34">
        <f>IFERROR((INDEX(HIST_D!$E$8:$E$791,1)-INDEX(HIST_D!$E$8:$E$791,Control!$B$11))*100+(INDEX(HIST_D!$CG$8:$CG$791,1)-INDEX(HIST_D!$CG$8:$CG$791,Control!$B$11)),"")</f>
        <v/>
      </c>
      <c r="M19" s="15">
        <f>IFERROR((INDEX(HIST_D!$E$8:$E$791,1)-INDEX(HIST_D!$E$8:$E$791,Control!$B$11))*100,"")</f>
        <v/>
      </c>
      <c r="N19" s="15">
        <f>IFERROR((INDEX(HIST_D!$CG$8:$CG$791,1)-INDEX(HIST_D!$CG$8:$CG$791,Control!$B$11)),"")</f>
        <v/>
      </c>
      <c r="O19" s="50">
        <f>IFERROR(IF(ABS(L19)&lt;1,"n/m",M19/L19),"n/m")</f>
        <v/>
      </c>
      <c r="P19" s="41">
        <f>IFERROR(SLOPE(HIST_D!$FR$8:INDEX(HIST_D!$FR$8:$FR$791,Control!$B$12),HIST_D!$CW$8:INDEX(HIST_D!$CW$8:$CW$791,Control!$B$12)),"")</f>
        <v/>
      </c>
      <c r="Q19" s="15">
        <f>IFERROR(P19*(INDEX(HIST_D!$E$8:$E$791,1)-INDEX(HIST_D!$E$8:$E$791,Control!$B$11))*100,"")</f>
        <v/>
      </c>
      <c r="R19" s="42">
        <f>IFERROR(N19-Q19,"")</f>
        <v/>
      </c>
    </row>
    <row r="20">
      <c r="A20" s="13" t="inlineStr">
        <is>
          <t>Turkiye</t>
        </is>
      </c>
      <c r="B20" s="39" t="inlineStr">
        <is>
          <t>EM Europe</t>
        </is>
      </c>
      <c r="C20" s="49">
        <f>INDEX(HIST_D!$CH$8:$CH$791,1)</f>
        <v/>
      </c>
      <c r="D20" s="39" t="inlineStr">
        <is>
          <t>yes</t>
        </is>
      </c>
      <c r="E20" s="34">
        <f>IFERROR((INDEX(HIST_D!$E$8:$E$791,1)-INDEX(HIST_D!$E$8:$E$791,Control!$B$10))*100+(INDEX(HIST_D!$CH$8:$CH$791,1)-INDEX(HIST_D!$CH$8:$CH$791,Control!$B$10)),"")</f>
        <v/>
      </c>
      <c r="F20" s="15">
        <f>IFERROR((INDEX(HIST_D!$E$8:$E$791,1)-INDEX(HIST_D!$E$8:$E$791,Control!$B$10))*100,"")</f>
        <v/>
      </c>
      <c r="G20" s="15">
        <f>IFERROR((INDEX(HIST_D!$CH$8:$CH$791,1)-INDEX(HIST_D!$CH$8:$CH$791,Control!$B$10)),"")</f>
        <v/>
      </c>
      <c r="H20" s="50">
        <f>IFERROR(IF(ABS(E20)&lt;1,"n/m",F20/E20),"n/m")</f>
        <v/>
      </c>
      <c r="I20" s="41">
        <f>IFERROR(SLOPE(HIST_D!$FS$8:INDEX(HIST_D!$FS$8:$FS$791,Control!$B$12),HIST_D!$CW$8:INDEX(HIST_D!$CW$8:$CW$791,Control!$B$12)),"")</f>
        <v/>
      </c>
      <c r="J20" s="15">
        <f>IFERROR(I20*(INDEX(HIST_D!$E$8:$E$791,1)-INDEX(HIST_D!$E$8:$E$791,Control!$B$10))*100,"")</f>
        <v/>
      </c>
      <c r="K20" s="42">
        <f>IFERROR(G20-J20,"")</f>
        <v/>
      </c>
      <c r="L20" s="34">
        <f>IFERROR((INDEX(HIST_D!$E$8:$E$791,1)-INDEX(HIST_D!$E$8:$E$791,Control!$B$11))*100+(INDEX(HIST_D!$CH$8:$CH$791,1)-INDEX(HIST_D!$CH$8:$CH$791,Control!$B$11)),"")</f>
        <v/>
      </c>
      <c r="M20" s="15">
        <f>IFERROR((INDEX(HIST_D!$E$8:$E$791,1)-INDEX(HIST_D!$E$8:$E$791,Control!$B$11))*100,"")</f>
        <v/>
      </c>
      <c r="N20" s="15">
        <f>IFERROR((INDEX(HIST_D!$CH$8:$CH$791,1)-INDEX(HIST_D!$CH$8:$CH$791,Control!$B$11)),"")</f>
        <v/>
      </c>
      <c r="O20" s="50">
        <f>IFERROR(IF(ABS(L20)&lt;1,"n/m",M20/L20),"n/m")</f>
        <v/>
      </c>
      <c r="P20" s="41">
        <f>IFERROR(SLOPE(HIST_D!$FS$8:INDEX(HIST_D!$FS$8:$FS$791,Control!$B$12),HIST_D!$CW$8:INDEX(HIST_D!$CW$8:$CW$791,Control!$B$12)),"")</f>
        <v/>
      </c>
      <c r="Q20" s="15">
        <f>IFERROR(P20*(INDEX(HIST_D!$E$8:$E$791,1)-INDEX(HIST_D!$E$8:$E$791,Control!$B$11))*100,"")</f>
        <v/>
      </c>
      <c r="R20" s="42">
        <f>IFERROR(N20-Q20,"")</f>
        <v/>
      </c>
      <c r="S20" s="7" t="inlineStr">
        <is>
          <t>excluded from rates and FX averages: structural depreciation and a 30% curve swamp an equal weight</t>
        </is>
      </c>
    </row>
    <row r="21">
      <c r="A21" s="18" t="inlineStr">
        <is>
          <t>EM Europe average</t>
        </is>
      </c>
      <c r="B21" s="39" t="inlineStr">
        <is>
          <t>n=5</t>
        </is>
      </c>
      <c r="C21" s="13" t="inlineStr"/>
      <c r="D21" s="13" t="inlineStr"/>
      <c r="E21" s="34">
        <f>IFERROR(AVERAGE(E16,E17,E18,E19,E20),"")</f>
        <v/>
      </c>
      <c r="F21" s="34">
        <f>IFERROR(AVERAGE(F16,F17,F18,F19,F20),"")</f>
        <v/>
      </c>
      <c r="G21" s="34">
        <f>IFERROR(AVERAGE(G16,G17,G18,G19,G20),"")</f>
        <v/>
      </c>
      <c r="H21" s="51">
        <f>IFERROR(IF(ABS(E21)&lt;1,"n/m",F21/E21),"n/m")</f>
        <v/>
      </c>
      <c r="I21" s="44">
        <f>IFERROR(AVERAGE(I16,I17,I18,I19,I20),"")</f>
        <v/>
      </c>
      <c r="J21" s="34">
        <f>IFERROR(AVERAGE(J16,J17,J18,J19,J20),"")</f>
        <v/>
      </c>
      <c r="K21" s="34">
        <f>IFERROR(AVERAGE(K16,K17,K18,K19,K20),"")</f>
        <v/>
      </c>
      <c r="L21" s="34">
        <f>IFERROR(AVERAGE(L16,L17,L18,L19,L20),"")</f>
        <v/>
      </c>
      <c r="M21" s="34">
        <f>IFERROR(AVERAGE(M16,M17,M18,M19,M20),"")</f>
        <v/>
      </c>
      <c r="N21" s="34">
        <f>IFERROR(AVERAGE(N16,N17,N18,N19,N20),"")</f>
        <v/>
      </c>
      <c r="O21" s="51">
        <f>IFERROR(IF(ABS(L21)&lt;1,"n/m",M21/L21),"n/m")</f>
        <v/>
      </c>
      <c r="P21" s="44">
        <f>IFERROR(AVERAGE(P16,P17,P18,P19,P20),"")</f>
        <v/>
      </c>
      <c r="Q21" s="34">
        <f>IFERROR(AVERAGE(Q16,Q17,Q18,Q19,Q20),"")</f>
        <v/>
      </c>
      <c r="R21" s="34">
        <f>IFERROR(AVERAGE(R16,R17,R18,R19,R20),"")</f>
        <v/>
      </c>
    </row>
    <row r="22">
      <c r="A22" s="7">
        <f>IFERROR("EM Europe: the 5y USD yield proxy moved "&amp;TEXT($E$21,"+0;-0")&amp;"bp on the month — "&amp;TEXT($F$21,"+0;-0")&amp;"bp Treasuries, "&amp;TEXT($G$21,"+0;-0")&amp;"bp spread"&amp;IF(ISNUMBER($H$21),", so "&amp;TEXT($H$21,"0%")&amp;" of the move is the US","")&amp;". YTD "&amp;TEXT($L$21,"+0;-0")&amp;"bp: "&amp;TEXT($M$21,"+0;-0")&amp;"bp Treasuries, "&amp;TEXT($N$21,"+0;-0")&amp;"bp spread. "&amp;IF($G$21&lt;=0,"Spreads did not widen into the Treasury move — the loss here is duration, not credit.",IF($G$21&lt;$F$21*0.5,"Spreads widened, but by less than half the Treasury move — mostly a duration story.","Spreads widened by a comparable amount to Treasuries — this is being repriced for credit, not just rates.")),"")</f>
        <v/>
      </c>
    </row>
    <row r="24" ht="16" customHeight="1">
      <c r="A24" s="37" t="inlineStr">
        <is>
          <t>MIDDLE EAST</t>
        </is>
      </c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</row>
    <row r="25" ht="40" customHeight="1">
      <c r="A25" s="12" t="inlineStr">
        <is>
          <t>Country</t>
        </is>
      </c>
      <c r="B25" s="12" t="inlineStr">
        <is>
          <t>Region</t>
        </is>
      </c>
      <c r="C25" s="12" t="inlineStr">
        <is>
          <t>Level</t>
        </is>
      </c>
      <c r="D25" s="12" t="inlineStr">
        <is>
          <t>In avg</t>
        </is>
      </c>
      <c r="E25" s="12" t="inlineStr">
        <is>
          <t>1M: Total: d(UST 5Y + CDS) (bp)</t>
        </is>
      </c>
      <c r="F25" s="12" t="inlineStr">
        <is>
          <t>1M: US-driven: d UST 5Y (bp)</t>
        </is>
      </c>
      <c r="G25" s="12" t="inlineStr">
        <is>
          <t>1M: Intrinsic: d CDS 5Y (bp)</t>
        </is>
      </c>
      <c r="H25" s="12" t="inlineStr">
        <is>
          <t>1M: US share (UST / total)</t>
        </is>
      </c>
      <c r="I25" s="12" t="inlineStr">
        <is>
          <t>1M: Spread beta to UST 5Y (2y)</t>
        </is>
      </c>
      <c r="J25" s="12" t="inlineStr">
        <is>
          <t>1M: Predicted d spread (bp)</t>
        </is>
      </c>
      <c r="K25" s="12" t="inlineStr">
        <is>
          <t>1M: Spread surprise: actual less predicted (bp)</t>
        </is>
      </c>
      <c r="L25" s="12" t="inlineStr">
        <is>
          <t>YTD: Total: d(UST 5Y + CDS) (bp)</t>
        </is>
      </c>
      <c r="M25" s="12" t="inlineStr">
        <is>
          <t>YTD: US-driven: d UST 5Y (bp)</t>
        </is>
      </c>
      <c r="N25" s="12" t="inlineStr">
        <is>
          <t>YTD: Intrinsic: d CDS 5Y (bp)</t>
        </is>
      </c>
      <c r="O25" s="12" t="inlineStr">
        <is>
          <t>YTD: US share (UST / total)</t>
        </is>
      </c>
      <c r="P25" s="12" t="inlineStr">
        <is>
          <t>YTD: Spread beta to UST 5Y (2y)</t>
        </is>
      </c>
      <c r="Q25" s="12" t="inlineStr">
        <is>
          <t>YTD: Predicted d spread (bp)</t>
        </is>
      </c>
      <c r="R25" s="12" t="inlineStr">
        <is>
          <t>YTD: Spread surprise: actual less predicted (bp)</t>
        </is>
      </c>
    </row>
    <row r="26">
      <c r="A26" s="13" t="inlineStr">
        <is>
          <t>Saudi Arabia</t>
        </is>
      </c>
      <c r="B26" s="39" t="inlineStr">
        <is>
          <t>Middle East</t>
        </is>
      </c>
      <c r="C26" s="49">
        <f>INDEX(HIST_D!$CI$8:$CI$791,1)</f>
        <v/>
      </c>
      <c r="D26" s="39" t="inlineStr">
        <is>
          <t>yes</t>
        </is>
      </c>
      <c r="E26" s="34">
        <f>IFERROR((INDEX(HIST_D!$E$8:$E$791,1)-INDEX(HIST_D!$E$8:$E$791,Control!$B$10))*100+(INDEX(HIST_D!$CI$8:$CI$791,1)-INDEX(HIST_D!$CI$8:$CI$791,Control!$B$10)),"")</f>
        <v/>
      </c>
      <c r="F26" s="15">
        <f>IFERROR((INDEX(HIST_D!$E$8:$E$791,1)-INDEX(HIST_D!$E$8:$E$791,Control!$B$10))*100,"")</f>
        <v/>
      </c>
      <c r="G26" s="15">
        <f>IFERROR((INDEX(HIST_D!$CI$8:$CI$791,1)-INDEX(HIST_D!$CI$8:$CI$791,Control!$B$10)),"")</f>
        <v/>
      </c>
      <c r="H26" s="50">
        <f>IFERROR(IF(ABS(E26)&lt;1,"n/m",F26/E26),"n/m")</f>
        <v/>
      </c>
      <c r="I26" s="41">
        <f>IFERROR(SLOPE(HIST_D!$FT$8:INDEX(HIST_D!$FT$8:$FT$791,Control!$B$12),HIST_D!$CW$8:INDEX(HIST_D!$CW$8:$CW$791,Control!$B$12)),"")</f>
        <v/>
      </c>
      <c r="J26" s="15">
        <f>IFERROR(I26*(INDEX(HIST_D!$E$8:$E$791,1)-INDEX(HIST_D!$E$8:$E$791,Control!$B$10))*100,"")</f>
        <v/>
      </c>
      <c r="K26" s="42">
        <f>IFERROR(G26-J26,"")</f>
        <v/>
      </c>
      <c r="L26" s="34">
        <f>IFERROR((INDEX(HIST_D!$E$8:$E$791,1)-INDEX(HIST_D!$E$8:$E$791,Control!$B$11))*100+(INDEX(HIST_D!$CI$8:$CI$791,1)-INDEX(HIST_D!$CI$8:$CI$791,Control!$B$11)),"")</f>
        <v/>
      </c>
      <c r="M26" s="15">
        <f>IFERROR((INDEX(HIST_D!$E$8:$E$791,1)-INDEX(HIST_D!$E$8:$E$791,Control!$B$11))*100,"")</f>
        <v/>
      </c>
      <c r="N26" s="15">
        <f>IFERROR((INDEX(HIST_D!$CI$8:$CI$791,1)-INDEX(HIST_D!$CI$8:$CI$791,Control!$B$11)),"")</f>
        <v/>
      </c>
      <c r="O26" s="50">
        <f>IFERROR(IF(ABS(L26)&lt;1,"n/m",M26/L26),"n/m")</f>
        <v/>
      </c>
      <c r="P26" s="41">
        <f>IFERROR(SLOPE(HIST_D!$FT$8:INDEX(HIST_D!$FT$8:$FT$791,Control!$B$12),HIST_D!$CW$8:INDEX(HIST_D!$CW$8:$CW$791,Control!$B$12)),"")</f>
        <v/>
      </c>
      <c r="Q26" s="15">
        <f>IFERROR(P26*(INDEX(HIST_D!$E$8:$E$791,1)-INDEX(HIST_D!$E$8:$E$791,Control!$B$11))*100,"")</f>
        <v/>
      </c>
      <c r="R26" s="42">
        <f>IFERROR(N26-Q26,"")</f>
        <v/>
      </c>
      <c r="S26" s="7" t="inlineStr">
        <is>
          <t>pegged; no local generic — credit only</t>
        </is>
      </c>
    </row>
    <row r="27">
      <c r="A27" s="13" t="inlineStr">
        <is>
          <t>UAE (Abu Dhabi)</t>
        </is>
      </c>
      <c r="B27" s="39" t="inlineStr">
        <is>
          <t>Middle East</t>
        </is>
      </c>
      <c r="C27" s="49">
        <f>INDEX(HIST_D!$CJ$8:$CJ$791,1)</f>
        <v/>
      </c>
      <c r="D27" s="39" t="inlineStr">
        <is>
          <t>yes</t>
        </is>
      </c>
      <c r="E27" s="34">
        <f>IFERROR((INDEX(HIST_D!$E$8:$E$791,1)-INDEX(HIST_D!$E$8:$E$791,Control!$B$10))*100+(INDEX(HIST_D!$CJ$8:$CJ$791,1)-INDEX(HIST_D!$CJ$8:$CJ$791,Control!$B$10)),"")</f>
        <v/>
      </c>
      <c r="F27" s="15">
        <f>IFERROR((INDEX(HIST_D!$E$8:$E$791,1)-INDEX(HIST_D!$E$8:$E$791,Control!$B$10))*100,"")</f>
        <v/>
      </c>
      <c r="G27" s="15">
        <f>IFERROR((INDEX(HIST_D!$CJ$8:$CJ$791,1)-INDEX(HIST_D!$CJ$8:$CJ$791,Control!$B$10)),"")</f>
        <v/>
      </c>
      <c r="H27" s="50">
        <f>IFERROR(IF(ABS(E27)&lt;1,"n/m",F27/E27),"n/m")</f>
        <v/>
      </c>
      <c r="I27" s="41">
        <f>IFERROR(SLOPE(HIST_D!$FU$8:INDEX(HIST_D!$FU$8:$FU$791,Control!$B$12),HIST_D!$CW$8:INDEX(HIST_D!$CW$8:$CW$791,Control!$B$12)),"")</f>
        <v/>
      </c>
      <c r="J27" s="15">
        <f>IFERROR(I27*(INDEX(HIST_D!$E$8:$E$791,1)-INDEX(HIST_D!$E$8:$E$791,Control!$B$10))*100,"")</f>
        <v/>
      </c>
      <c r="K27" s="42">
        <f>IFERROR(G27-J27,"")</f>
        <v/>
      </c>
      <c r="L27" s="34">
        <f>IFERROR((INDEX(HIST_D!$E$8:$E$791,1)-INDEX(HIST_D!$E$8:$E$791,Control!$B$11))*100+(INDEX(HIST_D!$CJ$8:$CJ$791,1)-INDEX(HIST_D!$CJ$8:$CJ$791,Control!$B$11)),"")</f>
        <v/>
      </c>
      <c r="M27" s="15">
        <f>IFERROR((INDEX(HIST_D!$E$8:$E$791,1)-INDEX(HIST_D!$E$8:$E$791,Control!$B$11))*100,"")</f>
        <v/>
      </c>
      <c r="N27" s="15">
        <f>IFERROR((INDEX(HIST_D!$CJ$8:$CJ$791,1)-INDEX(HIST_D!$CJ$8:$CJ$791,Control!$B$11)),"")</f>
        <v/>
      </c>
      <c r="O27" s="50">
        <f>IFERROR(IF(ABS(L27)&lt;1,"n/m",M27/L27),"n/m")</f>
        <v/>
      </c>
      <c r="P27" s="41">
        <f>IFERROR(SLOPE(HIST_D!$FU$8:INDEX(HIST_D!$FU$8:$FU$791,Control!$B$12),HIST_D!$CW$8:INDEX(HIST_D!$CW$8:$CW$791,Control!$B$12)),"")</f>
        <v/>
      </c>
      <c r="Q27" s="15">
        <f>IFERROR(P27*(INDEX(HIST_D!$E$8:$E$791,1)-INDEX(HIST_D!$E$8:$E$791,Control!$B$11))*100,"")</f>
        <v/>
      </c>
      <c r="R27" s="42">
        <f>IFERROR(N27-Q27,"")</f>
        <v/>
      </c>
      <c r="S27" s="7" t="inlineStr">
        <is>
          <t>pegged; no local generic — credit only</t>
        </is>
      </c>
    </row>
    <row r="28">
      <c r="A28" s="13" t="inlineStr">
        <is>
          <t>Qatar</t>
        </is>
      </c>
      <c r="B28" s="39" t="inlineStr">
        <is>
          <t>Middle East</t>
        </is>
      </c>
      <c r="C28" s="49">
        <f>INDEX(HIST_D!$CK$8:$CK$791,1)</f>
        <v/>
      </c>
      <c r="D28" s="39" t="inlineStr">
        <is>
          <t>yes</t>
        </is>
      </c>
      <c r="E28" s="34">
        <f>IFERROR((INDEX(HIST_D!$E$8:$E$791,1)-INDEX(HIST_D!$E$8:$E$791,Control!$B$10))*100+(INDEX(HIST_D!$CK$8:$CK$791,1)-INDEX(HIST_D!$CK$8:$CK$791,Control!$B$10)),"")</f>
        <v/>
      </c>
      <c r="F28" s="15">
        <f>IFERROR((INDEX(HIST_D!$E$8:$E$791,1)-INDEX(HIST_D!$E$8:$E$791,Control!$B$10))*100,"")</f>
        <v/>
      </c>
      <c r="G28" s="15">
        <f>IFERROR((INDEX(HIST_D!$CK$8:$CK$791,1)-INDEX(HIST_D!$CK$8:$CK$791,Control!$B$10)),"")</f>
        <v/>
      </c>
      <c r="H28" s="50">
        <f>IFERROR(IF(ABS(E28)&lt;1,"n/m",F28/E28),"n/m")</f>
        <v/>
      </c>
      <c r="I28" s="41">
        <f>IFERROR(SLOPE(HIST_D!$FV$8:INDEX(HIST_D!$FV$8:$FV$791,Control!$B$12),HIST_D!$CW$8:INDEX(HIST_D!$CW$8:$CW$791,Control!$B$12)),"")</f>
        <v/>
      </c>
      <c r="J28" s="15">
        <f>IFERROR(I28*(INDEX(HIST_D!$E$8:$E$791,1)-INDEX(HIST_D!$E$8:$E$791,Control!$B$10))*100,"")</f>
        <v/>
      </c>
      <c r="K28" s="42">
        <f>IFERROR(G28-J28,"")</f>
        <v/>
      </c>
      <c r="L28" s="34">
        <f>IFERROR((INDEX(HIST_D!$E$8:$E$791,1)-INDEX(HIST_D!$E$8:$E$791,Control!$B$11))*100+(INDEX(HIST_D!$CK$8:$CK$791,1)-INDEX(HIST_D!$CK$8:$CK$791,Control!$B$11)),"")</f>
        <v/>
      </c>
      <c r="M28" s="15">
        <f>IFERROR((INDEX(HIST_D!$E$8:$E$791,1)-INDEX(HIST_D!$E$8:$E$791,Control!$B$11))*100,"")</f>
        <v/>
      </c>
      <c r="N28" s="15">
        <f>IFERROR((INDEX(HIST_D!$CK$8:$CK$791,1)-INDEX(HIST_D!$CK$8:$CK$791,Control!$B$11)),"")</f>
        <v/>
      </c>
      <c r="O28" s="50">
        <f>IFERROR(IF(ABS(L28)&lt;1,"n/m",M28/L28),"n/m")</f>
        <v/>
      </c>
      <c r="P28" s="41">
        <f>IFERROR(SLOPE(HIST_D!$FV$8:INDEX(HIST_D!$FV$8:$FV$791,Control!$B$12),HIST_D!$CW$8:INDEX(HIST_D!$CW$8:$CW$791,Control!$B$12)),"")</f>
        <v/>
      </c>
      <c r="Q28" s="15">
        <f>IFERROR(P28*(INDEX(HIST_D!$E$8:$E$791,1)-INDEX(HIST_D!$E$8:$E$791,Control!$B$11))*100,"")</f>
        <v/>
      </c>
      <c r="R28" s="42">
        <f>IFERROR(N28-Q28,"")</f>
        <v/>
      </c>
      <c r="S28" s="7" t="inlineStr">
        <is>
          <t>pegged; no local generic — credit only</t>
        </is>
      </c>
    </row>
    <row r="29">
      <c r="A29" s="13" t="inlineStr">
        <is>
          <t>Israel</t>
        </is>
      </c>
      <c r="B29" s="39" t="inlineStr">
        <is>
          <t>Middle East</t>
        </is>
      </c>
      <c r="C29" s="49">
        <f>INDEX(HIST_D!$CL$8:$CL$791,1)</f>
        <v/>
      </c>
      <c r="D29" s="39" t="inlineStr">
        <is>
          <t>yes</t>
        </is>
      </c>
      <c r="E29" s="34">
        <f>IFERROR((INDEX(HIST_D!$E$8:$E$791,1)-INDEX(HIST_D!$E$8:$E$791,Control!$B$10))*100+(INDEX(HIST_D!$CL$8:$CL$791,1)-INDEX(HIST_D!$CL$8:$CL$791,Control!$B$10)),"")</f>
        <v/>
      </c>
      <c r="F29" s="15">
        <f>IFERROR((INDEX(HIST_D!$E$8:$E$791,1)-INDEX(HIST_D!$E$8:$E$791,Control!$B$10))*100,"")</f>
        <v/>
      </c>
      <c r="G29" s="15">
        <f>IFERROR((INDEX(HIST_D!$CL$8:$CL$791,1)-INDEX(HIST_D!$CL$8:$CL$791,Control!$B$10)),"")</f>
        <v/>
      </c>
      <c r="H29" s="50">
        <f>IFERROR(IF(ABS(E29)&lt;1,"n/m",F29/E29),"n/m")</f>
        <v/>
      </c>
      <c r="I29" s="41">
        <f>IFERROR(SLOPE(HIST_D!$FW$8:INDEX(HIST_D!$FW$8:$FW$791,Control!$B$12),HIST_D!$CW$8:INDEX(HIST_D!$CW$8:$CW$791,Control!$B$12)),"")</f>
        <v/>
      </c>
      <c r="J29" s="15">
        <f>IFERROR(I29*(INDEX(HIST_D!$E$8:$E$791,1)-INDEX(HIST_D!$E$8:$E$791,Control!$B$10))*100,"")</f>
        <v/>
      </c>
      <c r="K29" s="42">
        <f>IFERROR(G29-J29,"")</f>
        <v/>
      </c>
      <c r="L29" s="34">
        <f>IFERROR((INDEX(HIST_D!$E$8:$E$791,1)-INDEX(HIST_D!$E$8:$E$791,Control!$B$11))*100+(INDEX(HIST_D!$CL$8:$CL$791,1)-INDEX(HIST_D!$CL$8:$CL$791,Control!$B$11)),"")</f>
        <v/>
      </c>
      <c r="M29" s="15">
        <f>IFERROR((INDEX(HIST_D!$E$8:$E$791,1)-INDEX(HIST_D!$E$8:$E$791,Control!$B$11))*100,"")</f>
        <v/>
      </c>
      <c r="N29" s="15">
        <f>IFERROR((INDEX(HIST_D!$CL$8:$CL$791,1)-INDEX(HIST_D!$CL$8:$CL$791,Control!$B$11)),"")</f>
        <v/>
      </c>
      <c r="O29" s="50">
        <f>IFERROR(IF(ABS(L29)&lt;1,"n/m",M29/L29),"n/m")</f>
        <v/>
      </c>
      <c r="P29" s="41">
        <f>IFERROR(SLOPE(HIST_D!$FW$8:INDEX(HIST_D!$FW$8:$FW$791,Control!$B$12),HIST_D!$CW$8:INDEX(HIST_D!$CW$8:$CW$791,Control!$B$12)),"")</f>
        <v/>
      </c>
      <c r="Q29" s="15">
        <f>IFERROR(P29*(INDEX(HIST_D!$E$8:$E$791,1)-INDEX(HIST_D!$E$8:$E$791,Control!$B$11))*100,"")</f>
        <v/>
      </c>
      <c r="R29" s="42">
        <f>IFERROR(N29-Q29,"")</f>
        <v/>
      </c>
    </row>
    <row r="30">
      <c r="A30" s="13" t="inlineStr">
        <is>
          <t>Egypt</t>
        </is>
      </c>
      <c r="B30" s="39" t="inlineStr">
        <is>
          <t>Middle East</t>
        </is>
      </c>
      <c r="C30" s="49">
        <f>INDEX(HIST_D!$CM$8:$CM$791,1)</f>
        <v/>
      </c>
      <c r="D30" s="39" t="inlineStr">
        <is>
          <t>yes</t>
        </is>
      </c>
      <c r="E30" s="34">
        <f>IFERROR((INDEX(HIST_D!$E$8:$E$791,1)-INDEX(HIST_D!$E$8:$E$791,Control!$B$10))*100+(INDEX(HIST_D!$CM$8:$CM$791,1)-INDEX(HIST_D!$CM$8:$CM$791,Control!$B$10)),"")</f>
        <v/>
      </c>
      <c r="F30" s="15">
        <f>IFERROR((INDEX(HIST_D!$E$8:$E$791,1)-INDEX(HIST_D!$E$8:$E$791,Control!$B$10))*100,"")</f>
        <v/>
      </c>
      <c r="G30" s="15">
        <f>IFERROR((INDEX(HIST_D!$CM$8:$CM$791,1)-INDEX(HIST_D!$CM$8:$CM$791,Control!$B$10)),"")</f>
        <v/>
      </c>
      <c r="H30" s="50">
        <f>IFERROR(IF(ABS(E30)&lt;1,"n/m",F30/E30),"n/m")</f>
        <v/>
      </c>
      <c r="I30" s="41">
        <f>IFERROR(SLOPE(HIST_D!$FX$8:INDEX(HIST_D!$FX$8:$FX$791,Control!$B$12),HIST_D!$CW$8:INDEX(HIST_D!$CW$8:$CW$791,Control!$B$12)),"")</f>
        <v/>
      </c>
      <c r="J30" s="15">
        <f>IFERROR(I30*(INDEX(HIST_D!$E$8:$E$791,1)-INDEX(HIST_D!$E$8:$E$791,Control!$B$10))*100,"")</f>
        <v/>
      </c>
      <c r="K30" s="42">
        <f>IFERROR(G30-J30,"")</f>
        <v/>
      </c>
      <c r="L30" s="34">
        <f>IFERROR((INDEX(HIST_D!$E$8:$E$791,1)-INDEX(HIST_D!$E$8:$E$791,Control!$B$11))*100+(INDEX(HIST_D!$CM$8:$CM$791,1)-INDEX(HIST_D!$CM$8:$CM$791,Control!$B$11)),"")</f>
        <v/>
      </c>
      <c r="M30" s="15">
        <f>IFERROR((INDEX(HIST_D!$E$8:$E$791,1)-INDEX(HIST_D!$E$8:$E$791,Control!$B$11))*100,"")</f>
        <v/>
      </c>
      <c r="N30" s="15">
        <f>IFERROR((INDEX(HIST_D!$CM$8:$CM$791,1)-INDEX(HIST_D!$CM$8:$CM$791,Control!$B$11)),"")</f>
        <v/>
      </c>
      <c r="O30" s="50">
        <f>IFERROR(IF(ABS(L30)&lt;1,"n/m",M30/L30),"n/m")</f>
        <v/>
      </c>
      <c r="P30" s="41">
        <f>IFERROR(SLOPE(HIST_D!$FX$8:INDEX(HIST_D!$FX$8:$FX$791,Control!$B$12),HIST_D!$CW$8:INDEX(HIST_D!$CW$8:$CW$791,Control!$B$12)),"")</f>
        <v/>
      </c>
      <c r="Q30" s="15">
        <f>IFERROR(P30*(INDEX(HIST_D!$E$8:$E$791,1)-INDEX(HIST_D!$E$8:$E$791,Control!$B$11))*100,"")</f>
        <v/>
      </c>
      <c r="R30" s="42">
        <f>IFERROR(N30-Q30,"")</f>
        <v/>
      </c>
      <c r="S30" s="7" t="inlineStr">
        <is>
          <t>excluded from FX average: managed float with step devaluations; GTEGP10Y is Verify</t>
        </is>
      </c>
    </row>
    <row r="31">
      <c r="A31" s="18" t="inlineStr">
        <is>
          <t>Middle East average</t>
        </is>
      </c>
      <c r="B31" s="39" t="inlineStr">
        <is>
          <t>n=5</t>
        </is>
      </c>
      <c r="C31" s="13" t="inlineStr"/>
      <c r="D31" s="13" t="inlineStr"/>
      <c r="E31" s="34">
        <f>IFERROR(AVERAGE(E26,E27,E28,E29,E30),"")</f>
        <v/>
      </c>
      <c r="F31" s="34">
        <f>IFERROR(AVERAGE(F26,F27,F28,F29,F30),"")</f>
        <v/>
      </c>
      <c r="G31" s="34">
        <f>IFERROR(AVERAGE(G26,G27,G28,G29,G30),"")</f>
        <v/>
      </c>
      <c r="H31" s="51">
        <f>IFERROR(IF(ABS(E31)&lt;1,"n/m",F31/E31),"n/m")</f>
        <v/>
      </c>
      <c r="I31" s="44">
        <f>IFERROR(AVERAGE(I26,I27,I28,I29,I30),"")</f>
        <v/>
      </c>
      <c r="J31" s="34">
        <f>IFERROR(AVERAGE(J26,J27,J28,J29,J30),"")</f>
        <v/>
      </c>
      <c r="K31" s="34">
        <f>IFERROR(AVERAGE(K26,K27,K28,K29,K30),"")</f>
        <v/>
      </c>
      <c r="L31" s="34">
        <f>IFERROR(AVERAGE(L26,L27,L28,L29,L30),"")</f>
        <v/>
      </c>
      <c r="M31" s="34">
        <f>IFERROR(AVERAGE(M26,M27,M28,M29,M30),"")</f>
        <v/>
      </c>
      <c r="N31" s="34">
        <f>IFERROR(AVERAGE(N26,N27,N28,N29,N30),"")</f>
        <v/>
      </c>
      <c r="O31" s="51">
        <f>IFERROR(IF(ABS(L31)&lt;1,"n/m",M31/L31),"n/m")</f>
        <v/>
      </c>
      <c r="P31" s="44">
        <f>IFERROR(AVERAGE(P26,P27,P28,P29,P30),"")</f>
        <v/>
      </c>
      <c r="Q31" s="34">
        <f>IFERROR(AVERAGE(Q26,Q27,Q28,Q29,Q30),"")</f>
        <v/>
      </c>
      <c r="R31" s="34">
        <f>IFERROR(AVERAGE(R26,R27,R28,R29,R30),"")</f>
        <v/>
      </c>
    </row>
    <row r="32">
      <c r="A32" s="7">
        <f>IFERROR("Middle East: the 5y USD yield proxy moved "&amp;TEXT($E$31,"+0;-0")&amp;"bp on the month — "&amp;TEXT($F$31,"+0;-0")&amp;"bp Treasuries, "&amp;TEXT($G$31,"+0;-0")&amp;"bp spread"&amp;IF(ISNUMBER($H$31),", so "&amp;TEXT($H$31,"0%")&amp;" of the move is the US","")&amp;". YTD "&amp;TEXT($L$31,"+0;-0")&amp;"bp: "&amp;TEXT($M$31,"+0;-0")&amp;"bp Treasuries, "&amp;TEXT($N$31,"+0;-0")&amp;"bp spread. "&amp;IF($G$31&lt;=0,"Spreads did not widen into the Treasury move — the loss here is duration, not credit.",IF($G$31&lt;$F$31*0.5,"Spreads widened, but by less than half the Treasury move — mostly a duration story.","Spreads widened by a comparable amount to Treasuries — this is being repriced for credit, not just rates.")),"")</f>
        <v/>
      </c>
    </row>
    <row r="34" ht="16" customHeight="1">
      <c r="A34" s="37" t="inlineStr">
        <is>
          <t>EM ASIA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</row>
    <row r="35" ht="40" customHeight="1">
      <c r="A35" s="12" t="inlineStr">
        <is>
          <t>Country</t>
        </is>
      </c>
      <c r="B35" s="12" t="inlineStr">
        <is>
          <t>Region</t>
        </is>
      </c>
      <c r="C35" s="12" t="inlineStr">
        <is>
          <t>Level</t>
        </is>
      </c>
      <c r="D35" s="12" t="inlineStr">
        <is>
          <t>In avg</t>
        </is>
      </c>
      <c r="E35" s="12" t="inlineStr">
        <is>
          <t>1M: Total: d(UST 5Y + CDS) (bp)</t>
        </is>
      </c>
      <c r="F35" s="12" t="inlineStr">
        <is>
          <t>1M: US-driven: d UST 5Y (bp)</t>
        </is>
      </c>
      <c r="G35" s="12" t="inlineStr">
        <is>
          <t>1M: Intrinsic: d CDS 5Y (bp)</t>
        </is>
      </c>
      <c r="H35" s="12" t="inlineStr">
        <is>
          <t>1M: US share (UST / total)</t>
        </is>
      </c>
      <c r="I35" s="12" t="inlineStr">
        <is>
          <t>1M: Spread beta to UST 5Y (2y)</t>
        </is>
      </c>
      <c r="J35" s="12" t="inlineStr">
        <is>
          <t>1M: Predicted d spread (bp)</t>
        </is>
      </c>
      <c r="K35" s="12" t="inlineStr">
        <is>
          <t>1M: Spread surprise: actual less predicted (bp)</t>
        </is>
      </c>
      <c r="L35" s="12" t="inlineStr">
        <is>
          <t>YTD: Total: d(UST 5Y + CDS) (bp)</t>
        </is>
      </c>
      <c r="M35" s="12" t="inlineStr">
        <is>
          <t>YTD: US-driven: d UST 5Y (bp)</t>
        </is>
      </c>
      <c r="N35" s="12" t="inlineStr">
        <is>
          <t>YTD: Intrinsic: d CDS 5Y (bp)</t>
        </is>
      </c>
      <c r="O35" s="12" t="inlineStr">
        <is>
          <t>YTD: US share (UST / total)</t>
        </is>
      </c>
      <c r="P35" s="12" t="inlineStr">
        <is>
          <t>YTD: Spread beta to UST 5Y (2y)</t>
        </is>
      </c>
      <c r="Q35" s="12" t="inlineStr">
        <is>
          <t>YTD: Predicted d spread (bp)</t>
        </is>
      </c>
      <c r="R35" s="12" t="inlineStr">
        <is>
          <t>YTD: Spread surprise: actual less predicted (bp)</t>
        </is>
      </c>
    </row>
    <row r="36">
      <c r="A36" s="13" t="inlineStr">
        <is>
          <t>China</t>
        </is>
      </c>
      <c r="B36" s="39" t="inlineStr">
        <is>
          <t>EM Asia</t>
        </is>
      </c>
      <c r="C36" s="49">
        <f>INDEX(HIST_D!$CN$8:$CN$791,1)</f>
        <v/>
      </c>
      <c r="D36" s="39" t="inlineStr">
        <is>
          <t>yes</t>
        </is>
      </c>
      <c r="E36" s="34">
        <f>IFERROR((INDEX(HIST_D!$E$8:$E$791,1)-INDEX(HIST_D!$E$8:$E$791,Control!$B$10))*100+(INDEX(HIST_D!$CN$8:$CN$791,1)-INDEX(HIST_D!$CN$8:$CN$791,Control!$B$10)),"")</f>
        <v/>
      </c>
      <c r="F36" s="15">
        <f>IFERROR((INDEX(HIST_D!$E$8:$E$791,1)-INDEX(HIST_D!$E$8:$E$791,Control!$B$10))*100,"")</f>
        <v/>
      </c>
      <c r="G36" s="15">
        <f>IFERROR((INDEX(HIST_D!$CN$8:$CN$791,1)-INDEX(HIST_D!$CN$8:$CN$791,Control!$B$10)),"")</f>
        <v/>
      </c>
      <c r="H36" s="50">
        <f>IFERROR(IF(ABS(E36)&lt;1,"n/m",F36/E36),"n/m")</f>
        <v/>
      </c>
      <c r="I36" s="41">
        <f>IFERROR(SLOPE(HIST_D!$FY$8:INDEX(HIST_D!$FY$8:$FY$791,Control!$B$12),HIST_D!$CW$8:INDEX(HIST_D!$CW$8:$CW$791,Control!$B$12)),"")</f>
        <v/>
      </c>
      <c r="J36" s="15">
        <f>IFERROR(I36*(INDEX(HIST_D!$E$8:$E$791,1)-INDEX(HIST_D!$E$8:$E$791,Control!$B$10))*100,"")</f>
        <v/>
      </c>
      <c r="K36" s="42">
        <f>IFERROR(G36-J36,"")</f>
        <v/>
      </c>
      <c r="L36" s="34">
        <f>IFERROR((INDEX(HIST_D!$E$8:$E$791,1)-INDEX(HIST_D!$E$8:$E$791,Control!$B$11))*100+(INDEX(HIST_D!$CN$8:$CN$791,1)-INDEX(HIST_D!$CN$8:$CN$791,Control!$B$11)),"")</f>
        <v/>
      </c>
      <c r="M36" s="15">
        <f>IFERROR((INDEX(HIST_D!$E$8:$E$791,1)-INDEX(HIST_D!$E$8:$E$791,Control!$B$11))*100,"")</f>
        <v/>
      </c>
      <c r="N36" s="15">
        <f>IFERROR((INDEX(HIST_D!$CN$8:$CN$791,1)-INDEX(HIST_D!$CN$8:$CN$791,Control!$B$11)),"")</f>
        <v/>
      </c>
      <c r="O36" s="50">
        <f>IFERROR(IF(ABS(L36)&lt;1,"n/m",M36/L36),"n/m")</f>
        <v/>
      </c>
      <c r="P36" s="41">
        <f>IFERROR(SLOPE(HIST_D!$FY$8:INDEX(HIST_D!$FY$8:$FY$791,Control!$B$12),HIST_D!$CW$8:INDEX(HIST_D!$CW$8:$CW$791,Control!$B$12)),"")</f>
        <v/>
      </c>
      <c r="Q36" s="15">
        <f>IFERROR(P36*(INDEX(HIST_D!$E$8:$E$791,1)-INDEX(HIST_D!$E$8:$E$791,Control!$B$11))*100,"")</f>
        <v/>
      </c>
      <c r="R36" s="42">
        <f>IFERROR(N36-Q36,"")</f>
        <v/>
      </c>
    </row>
    <row r="37">
      <c r="A37" s="13" t="inlineStr">
        <is>
          <t>Indonesia</t>
        </is>
      </c>
      <c r="B37" s="39" t="inlineStr">
        <is>
          <t>EM Asia</t>
        </is>
      </c>
      <c r="C37" s="49">
        <f>INDEX(HIST_D!$CO$8:$CO$791,1)</f>
        <v/>
      </c>
      <c r="D37" s="39" t="inlineStr">
        <is>
          <t>yes</t>
        </is>
      </c>
      <c r="E37" s="34">
        <f>IFERROR((INDEX(HIST_D!$E$8:$E$791,1)-INDEX(HIST_D!$E$8:$E$791,Control!$B$10))*100+(INDEX(HIST_D!$CO$8:$CO$791,1)-INDEX(HIST_D!$CO$8:$CO$791,Control!$B$10)),"")</f>
        <v/>
      </c>
      <c r="F37" s="15">
        <f>IFERROR((INDEX(HIST_D!$E$8:$E$791,1)-INDEX(HIST_D!$E$8:$E$791,Control!$B$10))*100,"")</f>
        <v/>
      </c>
      <c r="G37" s="15">
        <f>IFERROR((INDEX(HIST_D!$CO$8:$CO$791,1)-INDEX(HIST_D!$CO$8:$CO$791,Control!$B$10)),"")</f>
        <v/>
      </c>
      <c r="H37" s="50">
        <f>IFERROR(IF(ABS(E37)&lt;1,"n/m",F37/E37),"n/m")</f>
        <v/>
      </c>
      <c r="I37" s="41">
        <f>IFERROR(SLOPE(HIST_D!$FZ$8:INDEX(HIST_D!$FZ$8:$FZ$791,Control!$B$12),HIST_D!$CW$8:INDEX(HIST_D!$CW$8:$CW$791,Control!$B$12)),"")</f>
        <v/>
      </c>
      <c r="J37" s="15">
        <f>IFERROR(I37*(INDEX(HIST_D!$E$8:$E$791,1)-INDEX(HIST_D!$E$8:$E$791,Control!$B$10))*100,"")</f>
        <v/>
      </c>
      <c r="K37" s="42">
        <f>IFERROR(G37-J37,"")</f>
        <v/>
      </c>
      <c r="L37" s="34">
        <f>IFERROR((INDEX(HIST_D!$E$8:$E$791,1)-INDEX(HIST_D!$E$8:$E$791,Control!$B$11))*100+(INDEX(HIST_D!$CO$8:$CO$791,1)-INDEX(HIST_D!$CO$8:$CO$791,Control!$B$11)),"")</f>
        <v/>
      </c>
      <c r="M37" s="15">
        <f>IFERROR((INDEX(HIST_D!$E$8:$E$791,1)-INDEX(HIST_D!$E$8:$E$791,Control!$B$11))*100,"")</f>
        <v/>
      </c>
      <c r="N37" s="15">
        <f>IFERROR((INDEX(HIST_D!$CO$8:$CO$791,1)-INDEX(HIST_D!$CO$8:$CO$791,Control!$B$11)),"")</f>
        <v/>
      </c>
      <c r="O37" s="50">
        <f>IFERROR(IF(ABS(L37)&lt;1,"n/m",M37/L37),"n/m")</f>
        <v/>
      </c>
      <c r="P37" s="41">
        <f>IFERROR(SLOPE(HIST_D!$FZ$8:INDEX(HIST_D!$FZ$8:$FZ$791,Control!$B$12),HIST_D!$CW$8:INDEX(HIST_D!$CW$8:$CW$791,Control!$B$12)),"")</f>
        <v/>
      </c>
      <c r="Q37" s="15">
        <f>IFERROR(P37*(INDEX(HIST_D!$E$8:$E$791,1)-INDEX(HIST_D!$E$8:$E$791,Control!$B$11))*100,"")</f>
        <v/>
      </c>
      <c r="R37" s="42">
        <f>IFERROR(N37-Q37,"")</f>
        <v/>
      </c>
    </row>
    <row r="38">
      <c r="A38" s="13" t="inlineStr">
        <is>
          <t>Korea</t>
        </is>
      </c>
      <c r="B38" s="39" t="inlineStr">
        <is>
          <t>EM Asia</t>
        </is>
      </c>
      <c r="C38" s="49">
        <f>INDEX(HIST_D!$CP$8:$CP$791,1)</f>
        <v/>
      </c>
      <c r="D38" s="39" t="inlineStr">
        <is>
          <t>yes</t>
        </is>
      </c>
      <c r="E38" s="34">
        <f>IFERROR((INDEX(HIST_D!$E$8:$E$791,1)-INDEX(HIST_D!$E$8:$E$791,Control!$B$10))*100+(INDEX(HIST_D!$CP$8:$CP$791,1)-INDEX(HIST_D!$CP$8:$CP$791,Control!$B$10)),"")</f>
        <v/>
      </c>
      <c r="F38" s="15">
        <f>IFERROR((INDEX(HIST_D!$E$8:$E$791,1)-INDEX(HIST_D!$E$8:$E$791,Control!$B$10))*100,"")</f>
        <v/>
      </c>
      <c r="G38" s="15">
        <f>IFERROR((INDEX(HIST_D!$CP$8:$CP$791,1)-INDEX(HIST_D!$CP$8:$CP$791,Control!$B$10)),"")</f>
        <v/>
      </c>
      <c r="H38" s="50">
        <f>IFERROR(IF(ABS(E38)&lt;1,"n/m",F38/E38),"n/m")</f>
        <v/>
      </c>
      <c r="I38" s="41">
        <f>IFERROR(SLOPE(HIST_D!$GA$8:INDEX(HIST_D!$GA$8:$GA$791,Control!$B$12),HIST_D!$CW$8:INDEX(HIST_D!$CW$8:$CW$791,Control!$B$12)),"")</f>
        <v/>
      </c>
      <c r="J38" s="15">
        <f>IFERROR(I38*(INDEX(HIST_D!$E$8:$E$791,1)-INDEX(HIST_D!$E$8:$E$791,Control!$B$10))*100,"")</f>
        <v/>
      </c>
      <c r="K38" s="42">
        <f>IFERROR(G38-J38,"")</f>
        <v/>
      </c>
      <c r="L38" s="34">
        <f>IFERROR((INDEX(HIST_D!$E$8:$E$791,1)-INDEX(HIST_D!$E$8:$E$791,Control!$B$11))*100+(INDEX(HIST_D!$CP$8:$CP$791,1)-INDEX(HIST_D!$CP$8:$CP$791,Control!$B$11)),"")</f>
        <v/>
      </c>
      <c r="M38" s="15">
        <f>IFERROR((INDEX(HIST_D!$E$8:$E$791,1)-INDEX(HIST_D!$E$8:$E$791,Control!$B$11))*100,"")</f>
        <v/>
      </c>
      <c r="N38" s="15">
        <f>IFERROR((INDEX(HIST_D!$CP$8:$CP$791,1)-INDEX(HIST_D!$CP$8:$CP$791,Control!$B$11)),"")</f>
        <v/>
      </c>
      <c r="O38" s="50">
        <f>IFERROR(IF(ABS(L38)&lt;1,"n/m",M38/L38),"n/m")</f>
        <v/>
      </c>
      <c r="P38" s="41">
        <f>IFERROR(SLOPE(HIST_D!$GA$8:INDEX(HIST_D!$GA$8:$GA$791,Control!$B$12),HIST_D!$CW$8:INDEX(HIST_D!$CW$8:$CW$791,Control!$B$12)),"")</f>
        <v/>
      </c>
      <c r="Q38" s="15">
        <f>IFERROR(P38*(INDEX(HIST_D!$E$8:$E$791,1)-INDEX(HIST_D!$E$8:$E$791,Control!$B$11))*100,"")</f>
        <v/>
      </c>
      <c r="R38" s="42">
        <f>IFERROR(N38-Q38,"")</f>
        <v/>
      </c>
    </row>
    <row r="39">
      <c r="A39" s="13" t="inlineStr">
        <is>
          <t>Thailand</t>
        </is>
      </c>
      <c r="B39" s="39" t="inlineStr">
        <is>
          <t>EM Asia</t>
        </is>
      </c>
      <c r="C39" s="49">
        <f>INDEX(HIST_D!$CQ$8:$CQ$791,1)</f>
        <v/>
      </c>
      <c r="D39" s="39" t="inlineStr">
        <is>
          <t>yes</t>
        </is>
      </c>
      <c r="E39" s="34">
        <f>IFERROR((INDEX(HIST_D!$E$8:$E$791,1)-INDEX(HIST_D!$E$8:$E$791,Control!$B$10))*100+(INDEX(HIST_D!$CQ$8:$CQ$791,1)-INDEX(HIST_D!$CQ$8:$CQ$791,Control!$B$10)),"")</f>
        <v/>
      </c>
      <c r="F39" s="15">
        <f>IFERROR((INDEX(HIST_D!$E$8:$E$791,1)-INDEX(HIST_D!$E$8:$E$791,Control!$B$10))*100,"")</f>
        <v/>
      </c>
      <c r="G39" s="15">
        <f>IFERROR((INDEX(HIST_D!$CQ$8:$CQ$791,1)-INDEX(HIST_D!$CQ$8:$CQ$791,Control!$B$10)),"")</f>
        <v/>
      </c>
      <c r="H39" s="50">
        <f>IFERROR(IF(ABS(E39)&lt;1,"n/m",F39/E39),"n/m")</f>
        <v/>
      </c>
      <c r="I39" s="41">
        <f>IFERROR(SLOPE(HIST_D!$GB$8:INDEX(HIST_D!$GB$8:$GB$791,Control!$B$12),HIST_D!$CW$8:INDEX(HIST_D!$CW$8:$CW$791,Control!$B$12)),"")</f>
        <v/>
      </c>
      <c r="J39" s="15">
        <f>IFERROR(I39*(INDEX(HIST_D!$E$8:$E$791,1)-INDEX(HIST_D!$E$8:$E$791,Control!$B$10))*100,"")</f>
        <v/>
      </c>
      <c r="K39" s="42">
        <f>IFERROR(G39-J39,"")</f>
        <v/>
      </c>
      <c r="L39" s="34">
        <f>IFERROR((INDEX(HIST_D!$E$8:$E$791,1)-INDEX(HIST_D!$E$8:$E$791,Control!$B$11))*100+(INDEX(HIST_D!$CQ$8:$CQ$791,1)-INDEX(HIST_D!$CQ$8:$CQ$791,Control!$B$11)),"")</f>
        <v/>
      </c>
      <c r="M39" s="15">
        <f>IFERROR((INDEX(HIST_D!$E$8:$E$791,1)-INDEX(HIST_D!$E$8:$E$791,Control!$B$11))*100,"")</f>
        <v/>
      </c>
      <c r="N39" s="15">
        <f>IFERROR((INDEX(HIST_D!$CQ$8:$CQ$791,1)-INDEX(HIST_D!$CQ$8:$CQ$791,Control!$B$11)),"")</f>
        <v/>
      </c>
      <c r="O39" s="50">
        <f>IFERROR(IF(ABS(L39)&lt;1,"n/m",M39/L39),"n/m")</f>
        <v/>
      </c>
      <c r="P39" s="41">
        <f>IFERROR(SLOPE(HIST_D!$GB$8:INDEX(HIST_D!$GB$8:$GB$791,Control!$B$12),HIST_D!$CW$8:INDEX(HIST_D!$CW$8:$CW$791,Control!$B$12)),"")</f>
        <v/>
      </c>
      <c r="Q39" s="15">
        <f>IFERROR(P39*(INDEX(HIST_D!$E$8:$E$791,1)-INDEX(HIST_D!$E$8:$E$791,Control!$B$11))*100,"")</f>
        <v/>
      </c>
      <c r="R39" s="42">
        <f>IFERROR(N39-Q39,"")</f>
        <v/>
      </c>
    </row>
    <row r="40">
      <c r="A40" s="13" t="inlineStr">
        <is>
          <t>Malaysia</t>
        </is>
      </c>
      <c r="B40" s="39" t="inlineStr">
        <is>
          <t>EM Asia</t>
        </is>
      </c>
      <c r="C40" s="49">
        <f>INDEX(HIST_D!$CR$8:$CR$791,1)</f>
        <v/>
      </c>
      <c r="D40" s="39" t="inlineStr">
        <is>
          <t>yes</t>
        </is>
      </c>
      <c r="E40" s="34">
        <f>IFERROR((INDEX(HIST_D!$E$8:$E$791,1)-INDEX(HIST_D!$E$8:$E$791,Control!$B$10))*100+(INDEX(HIST_D!$CR$8:$CR$791,1)-INDEX(HIST_D!$CR$8:$CR$791,Control!$B$10)),"")</f>
        <v/>
      </c>
      <c r="F40" s="15">
        <f>IFERROR((INDEX(HIST_D!$E$8:$E$791,1)-INDEX(HIST_D!$E$8:$E$791,Control!$B$10))*100,"")</f>
        <v/>
      </c>
      <c r="G40" s="15">
        <f>IFERROR((INDEX(HIST_D!$CR$8:$CR$791,1)-INDEX(HIST_D!$CR$8:$CR$791,Control!$B$10)),"")</f>
        <v/>
      </c>
      <c r="H40" s="50">
        <f>IFERROR(IF(ABS(E40)&lt;1,"n/m",F40/E40),"n/m")</f>
        <v/>
      </c>
      <c r="I40" s="41">
        <f>IFERROR(SLOPE(HIST_D!$GC$8:INDEX(HIST_D!$GC$8:$GC$791,Control!$B$12),HIST_D!$CW$8:INDEX(HIST_D!$CW$8:$CW$791,Control!$B$12)),"")</f>
        <v/>
      </c>
      <c r="J40" s="15">
        <f>IFERROR(I40*(INDEX(HIST_D!$E$8:$E$791,1)-INDEX(HIST_D!$E$8:$E$791,Control!$B$10))*100,"")</f>
        <v/>
      </c>
      <c r="K40" s="42">
        <f>IFERROR(G40-J40,"")</f>
        <v/>
      </c>
      <c r="L40" s="34">
        <f>IFERROR((INDEX(HIST_D!$E$8:$E$791,1)-INDEX(HIST_D!$E$8:$E$791,Control!$B$11))*100+(INDEX(HIST_D!$CR$8:$CR$791,1)-INDEX(HIST_D!$CR$8:$CR$791,Control!$B$11)),"")</f>
        <v/>
      </c>
      <c r="M40" s="15">
        <f>IFERROR((INDEX(HIST_D!$E$8:$E$791,1)-INDEX(HIST_D!$E$8:$E$791,Control!$B$11))*100,"")</f>
        <v/>
      </c>
      <c r="N40" s="15">
        <f>IFERROR((INDEX(HIST_D!$CR$8:$CR$791,1)-INDEX(HIST_D!$CR$8:$CR$791,Control!$B$11)),"")</f>
        <v/>
      </c>
      <c r="O40" s="50">
        <f>IFERROR(IF(ABS(L40)&lt;1,"n/m",M40/L40),"n/m")</f>
        <v/>
      </c>
      <c r="P40" s="41">
        <f>IFERROR(SLOPE(HIST_D!$GC$8:INDEX(HIST_D!$GC$8:$GC$791,Control!$B$12),HIST_D!$CW$8:INDEX(HIST_D!$CW$8:$CW$791,Control!$B$12)),"")</f>
        <v/>
      </c>
      <c r="Q40" s="15">
        <f>IFERROR(P40*(INDEX(HIST_D!$E$8:$E$791,1)-INDEX(HIST_D!$E$8:$E$791,Control!$B$11))*100,"")</f>
        <v/>
      </c>
      <c r="R40" s="42">
        <f>IFERROR(N40-Q40,"")</f>
        <v/>
      </c>
    </row>
    <row r="41">
      <c r="A41" s="13" t="inlineStr">
        <is>
          <t>Philippines</t>
        </is>
      </c>
      <c r="B41" s="39" t="inlineStr">
        <is>
          <t>EM Asia</t>
        </is>
      </c>
      <c r="C41" s="49">
        <f>INDEX(HIST_D!$CS$8:$CS$791,1)</f>
        <v/>
      </c>
      <c r="D41" s="39" t="inlineStr">
        <is>
          <t>yes</t>
        </is>
      </c>
      <c r="E41" s="34">
        <f>IFERROR((INDEX(HIST_D!$E$8:$E$791,1)-INDEX(HIST_D!$E$8:$E$791,Control!$B$10))*100+(INDEX(HIST_D!$CS$8:$CS$791,1)-INDEX(HIST_D!$CS$8:$CS$791,Control!$B$10)),"")</f>
        <v/>
      </c>
      <c r="F41" s="15">
        <f>IFERROR((INDEX(HIST_D!$E$8:$E$791,1)-INDEX(HIST_D!$E$8:$E$791,Control!$B$10))*100,"")</f>
        <v/>
      </c>
      <c r="G41" s="15">
        <f>IFERROR((INDEX(HIST_D!$CS$8:$CS$791,1)-INDEX(HIST_D!$CS$8:$CS$791,Control!$B$10)),"")</f>
        <v/>
      </c>
      <c r="H41" s="50">
        <f>IFERROR(IF(ABS(E41)&lt;1,"n/m",F41/E41),"n/m")</f>
        <v/>
      </c>
      <c r="I41" s="41">
        <f>IFERROR(SLOPE(HIST_D!$GD$8:INDEX(HIST_D!$GD$8:$GD$791,Control!$B$12),HIST_D!$CW$8:INDEX(HIST_D!$CW$8:$CW$791,Control!$B$12)),"")</f>
        <v/>
      </c>
      <c r="J41" s="15">
        <f>IFERROR(I41*(INDEX(HIST_D!$E$8:$E$791,1)-INDEX(HIST_D!$E$8:$E$791,Control!$B$10))*100,"")</f>
        <v/>
      </c>
      <c r="K41" s="42">
        <f>IFERROR(G41-J41,"")</f>
        <v/>
      </c>
      <c r="L41" s="34">
        <f>IFERROR((INDEX(HIST_D!$E$8:$E$791,1)-INDEX(HIST_D!$E$8:$E$791,Control!$B$11))*100+(INDEX(HIST_D!$CS$8:$CS$791,1)-INDEX(HIST_D!$CS$8:$CS$791,Control!$B$11)),"")</f>
        <v/>
      </c>
      <c r="M41" s="15">
        <f>IFERROR((INDEX(HIST_D!$E$8:$E$791,1)-INDEX(HIST_D!$E$8:$E$791,Control!$B$11))*100,"")</f>
        <v/>
      </c>
      <c r="N41" s="15">
        <f>IFERROR((INDEX(HIST_D!$CS$8:$CS$791,1)-INDEX(HIST_D!$CS$8:$CS$791,Control!$B$11)),"")</f>
        <v/>
      </c>
      <c r="O41" s="50">
        <f>IFERROR(IF(ABS(L41)&lt;1,"n/m",M41/L41),"n/m")</f>
        <v/>
      </c>
      <c r="P41" s="41">
        <f>IFERROR(SLOPE(HIST_D!$GD$8:INDEX(HIST_D!$GD$8:$GD$791,Control!$B$12),HIST_D!$CW$8:INDEX(HIST_D!$CW$8:$CW$791,Control!$B$12)),"")</f>
        <v/>
      </c>
      <c r="Q41" s="15">
        <f>IFERROR(P41*(INDEX(HIST_D!$E$8:$E$791,1)-INDEX(HIST_D!$E$8:$E$791,Control!$B$11))*100,"")</f>
        <v/>
      </c>
      <c r="R41" s="42">
        <f>IFERROR(N41-Q41,"")</f>
        <v/>
      </c>
    </row>
    <row r="42">
      <c r="A42" s="18" t="inlineStr">
        <is>
          <t>EM Asia average</t>
        </is>
      </c>
      <c r="B42" s="39" t="inlineStr">
        <is>
          <t>n=6</t>
        </is>
      </c>
      <c r="C42" s="13" t="inlineStr"/>
      <c r="D42" s="13" t="inlineStr"/>
      <c r="E42" s="34">
        <f>IFERROR(AVERAGE(E36,E37,E38,E39,E40,E41),"")</f>
        <v/>
      </c>
      <c r="F42" s="34">
        <f>IFERROR(AVERAGE(F36,F37,F38,F39,F40,F41),"")</f>
        <v/>
      </c>
      <c r="G42" s="34">
        <f>IFERROR(AVERAGE(G36,G37,G38,G39,G40,G41),"")</f>
        <v/>
      </c>
      <c r="H42" s="51">
        <f>IFERROR(IF(ABS(E42)&lt;1,"n/m",F42/E42),"n/m")</f>
        <v/>
      </c>
      <c r="I42" s="44">
        <f>IFERROR(AVERAGE(I36,I37,I38,I39,I40,I41),"")</f>
        <v/>
      </c>
      <c r="J42" s="34">
        <f>IFERROR(AVERAGE(J36,J37,J38,J39,J40,J41),"")</f>
        <v/>
      </c>
      <c r="K42" s="34">
        <f>IFERROR(AVERAGE(K36,K37,K38,K39,K40,K41),"")</f>
        <v/>
      </c>
      <c r="L42" s="34">
        <f>IFERROR(AVERAGE(L36,L37,L38,L39,L40,L41),"")</f>
        <v/>
      </c>
      <c r="M42" s="34">
        <f>IFERROR(AVERAGE(M36,M37,M38,M39,M40,M41),"")</f>
        <v/>
      </c>
      <c r="N42" s="34">
        <f>IFERROR(AVERAGE(N36,N37,N38,N39,N40,N41),"")</f>
        <v/>
      </c>
      <c r="O42" s="51">
        <f>IFERROR(IF(ABS(L42)&lt;1,"n/m",M42/L42),"n/m")</f>
        <v/>
      </c>
      <c r="P42" s="44">
        <f>IFERROR(AVERAGE(P36,P37,P38,P39,P40,P41),"")</f>
        <v/>
      </c>
      <c r="Q42" s="34">
        <f>IFERROR(AVERAGE(Q36,Q37,Q38,Q39,Q40,Q41),"")</f>
        <v/>
      </c>
      <c r="R42" s="34">
        <f>IFERROR(AVERAGE(R36,R37,R38,R39,R40,R41),"")</f>
        <v/>
      </c>
    </row>
    <row r="43">
      <c r="A43" s="7">
        <f>IFERROR("EM Asia: the 5y USD yield proxy moved "&amp;TEXT($E$42,"+0;-0")&amp;"bp on the month — "&amp;TEXT($F$42,"+0;-0")&amp;"bp Treasuries, "&amp;TEXT($G$42,"+0;-0")&amp;"bp spread"&amp;IF(ISNUMBER($H$42),", so "&amp;TEXT($H$42,"0%")&amp;" of the move is the US","")&amp;". YTD "&amp;TEXT($L$42,"+0;-0")&amp;"bp: "&amp;TEXT($M$42,"+0;-0")&amp;"bp Treasuries, "&amp;TEXT($N$42,"+0;-0")&amp;"bp spread. "&amp;IF($G$42&lt;=0,"Spreads did not widen into the Treasury move — the loss here is duration, not credit.",IF($G$42&lt;$F$42*0.5,"Spreads widened, but by less than half the Treasury move — mostly a duration story.","Spreads widened by a comparable amount to Treasuries — this is being repriced for credit, not just rates.")),"")</f>
        <v/>
      </c>
    </row>
    <row r="45" ht="16" customHeight="1">
      <c r="A45" s="37" t="inlineStr">
        <is>
          <t>EM AVERAGE AND MEMO</t>
        </is>
      </c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38" t="n"/>
      <c r="M45" s="38" t="n"/>
      <c r="N45" s="38" t="n"/>
      <c r="O45" s="38" t="n"/>
      <c r="P45" s="38" t="n"/>
      <c r="Q45" s="38" t="n"/>
      <c r="R45" s="38" t="n"/>
      <c r="S45" s="38" t="n"/>
      <c r="T45" s="38" t="n"/>
    </row>
    <row r="46" ht="40" customHeight="1">
      <c r="A46" s="12" t="inlineStr">
        <is>
          <t>Country</t>
        </is>
      </c>
      <c r="B46" s="12" t="inlineStr">
        <is>
          <t>Region</t>
        </is>
      </c>
      <c r="C46" s="12" t="inlineStr">
        <is>
          <t>Level</t>
        </is>
      </c>
      <c r="D46" s="12" t="inlineStr">
        <is>
          <t>In avg</t>
        </is>
      </c>
      <c r="E46" s="12" t="inlineStr">
        <is>
          <t>1M: Total: d(UST 5Y + CDS) (bp)</t>
        </is>
      </c>
      <c r="F46" s="12" t="inlineStr">
        <is>
          <t>1M: US-driven: d UST 5Y (bp)</t>
        </is>
      </c>
      <c r="G46" s="12" t="inlineStr">
        <is>
          <t>1M: Intrinsic: d CDS 5Y (bp)</t>
        </is>
      </c>
      <c r="H46" s="12" t="inlineStr">
        <is>
          <t>1M: US share (UST / total)</t>
        </is>
      </c>
      <c r="I46" s="12" t="inlineStr">
        <is>
          <t>1M: Spread beta to UST 5Y (2y)</t>
        </is>
      </c>
      <c r="J46" s="12" t="inlineStr">
        <is>
          <t>1M: Predicted d spread (bp)</t>
        </is>
      </c>
      <c r="K46" s="12" t="inlineStr">
        <is>
          <t>1M: Spread surprise: actual less predicted (bp)</t>
        </is>
      </c>
      <c r="L46" s="12" t="inlineStr">
        <is>
          <t>YTD: Total: d(UST 5Y + CDS) (bp)</t>
        </is>
      </c>
      <c r="M46" s="12" t="inlineStr">
        <is>
          <t>YTD: US-driven: d UST 5Y (bp)</t>
        </is>
      </c>
      <c r="N46" s="12" t="inlineStr">
        <is>
          <t>YTD: Intrinsic: d CDS 5Y (bp)</t>
        </is>
      </c>
      <c r="O46" s="12" t="inlineStr">
        <is>
          <t>YTD: US share (UST / total)</t>
        </is>
      </c>
      <c r="P46" s="12" t="inlineStr">
        <is>
          <t>YTD: Spread beta to UST 5Y (2y)</t>
        </is>
      </c>
      <c r="Q46" s="12" t="inlineStr">
        <is>
          <t>YTD: Predicted d spread (bp)</t>
        </is>
      </c>
      <c r="R46" s="12" t="inlineStr">
        <is>
          <t>YTD: Spread surprise: actual less predicted (bp)</t>
        </is>
      </c>
    </row>
    <row r="47">
      <c r="A47" s="18" t="inlineStr">
        <is>
          <t>EM average (all flagged)</t>
        </is>
      </c>
      <c r="B47" s="39" t="inlineStr">
        <is>
          <t>n=21</t>
        </is>
      </c>
      <c r="C47" s="13" t="inlineStr"/>
      <c r="D47" s="13" t="inlineStr"/>
      <c r="E47" s="34">
        <f>IFERROR(AVERAGE(E6,E7,E8,E9,E10,E16,E17,E18,E19,E20,E26,E27,E28,E29,E30,E36,E37,E38,E39,E40,E41),"")</f>
        <v/>
      </c>
      <c r="F47" s="34">
        <f>IFERROR(AVERAGE(F6,F7,F8,F9,F10,F16,F17,F18,F19,F20,F26,F27,F28,F29,F30,F36,F37,F38,F39,F40,F41),"")</f>
        <v/>
      </c>
      <c r="G47" s="34">
        <f>IFERROR(AVERAGE(G6,G7,G8,G9,G10,G16,G17,G18,G19,G20,G26,G27,G28,G29,G30,G36,G37,G38,G39,G40,G41),"")</f>
        <v/>
      </c>
      <c r="H47" s="51">
        <f>IFERROR(IF(ABS(E47)&lt;1,"n/m",F47/E47),"n/m")</f>
        <v/>
      </c>
      <c r="I47" s="44">
        <f>IFERROR(AVERAGE(I6,I7,I8,I9,I10,I16,I17,I18,I19,I20,I26,I27,I28,I29,I30,I36,I37,I38,I39,I40,I41),"")</f>
        <v/>
      </c>
      <c r="J47" s="34">
        <f>IFERROR(AVERAGE(J6,J7,J8,J9,J10,J16,J17,J18,J19,J20,J26,J27,J28,J29,J30,J36,J37,J38,J39,J40,J41),"")</f>
        <v/>
      </c>
      <c r="K47" s="34">
        <f>IFERROR(AVERAGE(K6,K7,K8,K9,K10,K16,K17,K18,K19,K20,K26,K27,K28,K29,K30,K36,K37,K38,K39,K40,K41),"")</f>
        <v/>
      </c>
      <c r="L47" s="34">
        <f>IFERROR(AVERAGE(L6,L7,L8,L9,L10,L16,L17,L18,L19,L20,L26,L27,L28,L29,L30,L36,L37,L38,L39,L40,L41),"")</f>
        <v/>
      </c>
      <c r="M47" s="34">
        <f>IFERROR(AVERAGE(M6,M7,M8,M9,M10,M16,M17,M18,M19,M20,M26,M27,M28,M29,M30,M36,M37,M38,M39,M40,M41),"")</f>
        <v/>
      </c>
      <c r="N47" s="34">
        <f>IFERROR(AVERAGE(N6,N7,N8,N9,N10,N16,N17,N18,N19,N20,N26,N27,N28,N29,N30,N36,N37,N38,N39,N40,N41),"")</f>
        <v/>
      </c>
      <c r="O47" s="51">
        <f>IFERROR(IF(ABS(L47)&lt;1,"n/m",M47/L47),"n/m")</f>
        <v/>
      </c>
      <c r="P47" s="44">
        <f>IFERROR(AVERAGE(P6,P7,P8,P9,P10,P16,P17,P18,P19,P20,P26,P27,P28,P29,P30,P36,P37,P38,P39,P40,P41),"")</f>
        <v/>
      </c>
      <c r="Q47" s="34">
        <f>IFERROR(AVERAGE(Q6,Q7,Q8,Q9,Q10,Q16,Q17,Q18,Q19,Q20,Q26,Q27,Q28,Q29,Q30,Q36,Q37,Q38,Q39,Q40,Q41),"")</f>
        <v/>
      </c>
      <c r="R47" s="34">
        <f>IFERROR(AVERAGE(R6,R7,R8,R9,R10,R16,R17,R18,R19,R20,R26,R27,R28,R29,R30,R36,R37,R38,R39,R40,R41),"")</f>
        <v/>
      </c>
    </row>
    <row r="48">
      <c r="A48" s="13" t="inlineStr">
        <is>
          <t>South Africa</t>
        </is>
      </c>
      <c r="B48" s="39" t="inlineStr">
        <is>
          <t>(memo)</t>
        </is>
      </c>
      <c r="C48" s="49">
        <f>INDEX(HIST_D!$CT$8:$CT$791,1)</f>
        <v/>
      </c>
      <c r="D48" s="45" t="inlineStr">
        <is>
          <t>no</t>
        </is>
      </c>
      <c r="E48" s="34">
        <f>IFERROR((INDEX(HIST_D!$E$8:$E$791,1)-INDEX(HIST_D!$E$8:$E$791,Control!$B$10))*100+(INDEX(HIST_D!$CT$8:$CT$791,1)-INDEX(HIST_D!$CT$8:$CT$791,Control!$B$10)),"")</f>
        <v/>
      </c>
      <c r="F48" s="15">
        <f>IFERROR((INDEX(HIST_D!$E$8:$E$791,1)-INDEX(HIST_D!$E$8:$E$791,Control!$B$10))*100,"")</f>
        <v/>
      </c>
      <c r="G48" s="15">
        <f>IFERROR((INDEX(HIST_D!$CT$8:$CT$791,1)-INDEX(HIST_D!$CT$8:$CT$791,Control!$B$10)),"")</f>
        <v/>
      </c>
      <c r="H48" s="50">
        <f>IFERROR(IF(ABS(E48)&lt;1,"n/m",F48/E48),"n/m")</f>
        <v/>
      </c>
      <c r="I48" s="41">
        <f>IFERROR(SLOPE(HIST_D!$GE$8:INDEX(HIST_D!$GE$8:$GE$791,Control!$B$12),HIST_D!$CW$8:INDEX(HIST_D!$CW$8:$CW$791,Control!$B$12)),"")</f>
        <v/>
      </c>
      <c r="J48" s="15">
        <f>IFERROR(I48*(INDEX(HIST_D!$E$8:$E$791,1)-INDEX(HIST_D!$E$8:$E$791,Control!$B$10))*100,"")</f>
        <v/>
      </c>
      <c r="K48" s="42">
        <f>IFERROR(G48-J48,"")</f>
        <v/>
      </c>
      <c r="L48" s="34">
        <f>IFERROR((INDEX(HIST_D!$E$8:$E$791,1)-INDEX(HIST_D!$E$8:$E$791,Control!$B$11))*100+(INDEX(HIST_D!$CT$8:$CT$791,1)-INDEX(HIST_D!$CT$8:$CT$791,Control!$B$11)),"")</f>
        <v/>
      </c>
      <c r="M48" s="15">
        <f>IFERROR((INDEX(HIST_D!$E$8:$E$791,1)-INDEX(HIST_D!$E$8:$E$791,Control!$B$11))*100,"")</f>
        <v/>
      </c>
      <c r="N48" s="15">
        <f>IFERROR((INDEX(HIST_D!$CT$8:$CT$791,1)-INDEX(HIST_D!$CT$8:$CT$791,Control!$B$11)),"")</f>
        <v/>
      </c>
      <c r="O48" s="50">
        <f>IFERROR(IF(ABS(L48)&lt;1,"n/m",M48/L48),"n/m")</f>
        <v/>
      </c>
      <c r="P48" s="41">
        <f>IFERROR(SLOPE(HIST_D!$GE$8:INDEX(HIST_D!$GE$8:$GE$791,Control!$B$12),HIST_D!$CW$8:INDEX(HIST_D!$CW$8:$CW$791,Control!$B$12)),"")</f>
        <v/>
      </c>
      <c r="Q48" s="15">
        <f>IFERROR(P48*(INDEX(HIST_D!$E$8:$E$791,1)-INDEX(HIST_D!$E$8:$E$791,Control!$B$11))*100,"")</f>
        <v/>
      </c>
      <c r="R48" s="42">
        <f>IFERROR(N48-Q48,"")</f>
        <v/>
      </c>
      <c r="S48" s="7" t="inlineStr">
        <is>
          <t>not in any of the four regions you named; shown as a memo line, in no average</t>
        </is>
      </c>
    </row>
    <row r="49">
      <c r="A49" s="5">
        <f>IFERROR("EM: the 5y USD yield proxy moved "&amp;TEXT($E$47,"+0;-0")&amp;"bp on the month — "&amp;TEXT($F$47,"+0;-0")&amp;"bp Treasuries, "&amp;TEXT($G$47,"+0;-0")&amp;"bp spread"&amp;IF(ISNUMBER($H$47),", so "&amp;TEXT($H$47,"0%")&amp;" of the move is the US","")&amp;". YTD "&amp;TEXT($L$47,"+0;-0")&amp;"bp: "&amp;TEXT($M$47,"+0;-0")&amp;"bp Treasuries, "&amp;TEXT($N$47,"+0;-0")&amp;"bp spread. "&amp;IF($G$47&lt;=0,"Spreads did not widen into the Treasury move — the loss here is duration, not credit.",IF($G$47&lt;$F$47*0.5,"Spreads widened, but by less than half the Treasury move — mostly a duration story.","Spreads widened by a comparable amount to Treasuries — this is being repriced for credit, not just rates.")),"")</f>
        <v/>
      </c>
    </row>
  </sheetData>
  <conditionalFormatting sqref="G5:G51">
    <cfRule type="colorScale" priority="1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K5:K51">
    <cfRule type="colorScale" priority="2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H5:H51">
    <cfRule type="colorScale" priority="3">
      <colorScale>
        <cfvo type="num" val="0"/>
        <cfvo type="num" val="1"/>
        <color rgb="00FFFFFF"/>
        <color rgb="009BC2E6"/>
      </colorScale>
    </cfRule>
  </conditionalFormatting>
  <conditionalFormatting sqref="N5:N51">
    <cfRule type="colorScale" priority="4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R5:R51">
    <cfRule type="colorScale" priority="5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conditionalFormatting sqref="O5:O51">
    <cfRule type="colorScale" priority="6">
      <colorScale>
        <cfvo type="num" val="0"/>
        <cfvo type="num" val="1"/>
        <color rgb="00FFFFFF"/>
        <color rgb="009BC2E6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7" customWidth="1" min="4" max="4"/>
    <col width="9" customWidth="1" min="5" max="5"/>
    <col width="60" customWidth="1" min="6" max="6"/>
  </cols>
  <sheetData>
    <row r="1">
      <c r="A1" s="1" t="inlineStr">
        <is>
          <t>TICKERS  —  single source of truth</t>
        </is>
      </c>
    </row>
    <row r="2">
      <c r="A2" s="2" t="inlineStr">
        <is>
          <t>Every pull reads column B here. CDS tickers follow '&lt;SOVR&gt; CDS USD SR 5Y D14 Corp' and are all Verify; confirm each in SECF.</t>
        </is>
      </c>
    </row>
    <row r="5" ht="40" customHeight="1">
      <c r="A5" s="12" t="inlineStr">
        <is>
          <t>Series</t>
        </is>
      </c>
      <c r="B5" s="12" t="inlineStr">
        <is>
          <t>Bloomberg ticker</t>
        </is>
      </c>
      <c r="C5" s="12" t="inlineStr">
        <is>
          <t>Field</t>
        </is>
      </c>
      <c r="D5" s="12" t="inlineStr">
        <is>
          <t>Unit</t>
        </is>
      </c>
      <c r="E5" s="12" t="inlineStr">
        <is>
          <t>Confidence</t>
        </is>
      </c>
      <c r="F5" s="12" t="inlineStr">
        <is>
          <t>Note</t>
        </is>
      </c>
    </row>
    <row r="6">
      <c r="A6" s="13" t="inlineStr">
        <is>
          <t>MSCI World (USD)</t>
        </is>
      </c>
      <c r="B6" s="52" t="inlineStr">
        <is>
          <t>MXWO Index</t>
        </is>
      </c>
      <c r="C6" s="53" t="inlineStr">
        <is>
          <t>PX_LAST</t>
        </is>
      </c>
      <c r="D6" s="39" t="inlineStr">
        <is>
          <t>idx</t>
        </is>
      </c>
      <c r="E6" s="54" t="inlineStr">
        <is>
          <t>High</t>
        </is>
      </c>
      <c r="F6" s="25" t="inlineStr">
        <is>
          <t>equity benchmark: the US/DM factor</t>
        </is>
      </c>
    </row>
    <row r="7">
      <c r="A7" s="13" t="inlineStr">
        <is>
          <t>MSCI EM (USD)</t>
        </is>
      </c>
      <c r="B7" s="52" t="inlineStr">
        <is>
          <t>MXEF Index</t>
        </is>
      </c>
      <c r="C7" s="53" t="inlineStr">
        <is>
          <t>PX_LAST</t>
        </is>
      </c>
      <c r="D7" s="39" t="inlineStr">
        <is>
          <t>idx</t>
        </is>
      </c>
      <c r="E7" s="54" t="inlineStr">
        <is>
          <t>High</t>
        </is>
      </c>
      <c r="F7" s="25" t="inlineStr">
        <is>
          <t>the EM equity benchmark itself</t>
        </is>
      </c>
    </row>
    <row r="8">
      <c r="A8" s="13" t="inlineStr">
        <is>
          <t>UST 2Y</t>
        </is>
      </c>
      <c r="B8" s="52" t="inlineStr">
        <is>
          <t>USGG2YR Index</t>
        </is>
      </c>
      <c r="C8" s="53" t="inlineStr">
        <is>
          <t>PX_LAST</t>
        </is>
      </c>
      <c r="D8" s="39" t="inlineStr">
        <is>
          <t>%</t>
        </is>
      </c>
      <c r="E8" s="54" t="inlineStr">
        <is>
          <t>High</t>
        </is>
      </c>
      <c r="F8" s="25" t="inlineStr"/>
    </row>
    <row r="9">
      <c r="A9" s="13" t="inlineStr">
        <is>
          <t>UST 5Y</t>
        </is>
      </c>
      <c r="B9" s="52" t="inlineStr">
        <is>
          <t>USGG5YR Index</t>
        </is>
      </c>
      <c r="C9" s="53" t="inlineStr">
        <is>
          <t>PX_LAST</t>
        </is>
      </c>
      <c r="D9" s="39" t="inlineStr">
        <is>
          <t>%</t>
        </is>
      </c>
      <c r="E9" s="54" t="inlineStr">
        <is>
          <t>High</t>
        </is>
      </c>
      <c r="F9" s="25" t="inlineStr">
        <is>
          <t>credit benchmark (5y CDS)</t>
        </is>
      </c>
    </row>
    <row r="10">
      <c r="A10" s="13" t="inlineStr">
        <is>
          <t>UST 10Y</t>
        </is>
      </c>
      <c r="B10" s="52" t="inlineStr">
        <is>
          <t>USGG10YR Index</t>
        </is>
      </c>
      <c r="C10" s="53" t="inlineStr">
        <is>
          <t>PX_LAST</t>
        </is>
      </c>
      <c r="D10" s="39" t="inlineStr">
        <is>
          <t>%</t>
        </is>
      </c>
      <c r="E10" s="54" t="inlineStr">
        <is>
          <t>High</t>
        </is>
      </c>
      <c r="F10" s="25" t="inlineStr">
        <is>
          <t>rates benchmark</t>
        </is>
      </c>
    </row>
    <row r="11">
      <c r="A11" s="13" t="inlineStr">
        <is>
          <t>UST 30Y</t>
        </is>
      </c>
      <c r="B11" s="52" t="inlineStr">
        <is>
          <t>USGG30YR Index</t>
        </is>
      </c>
      <c r="C11" s="53" t="inlineStr">
        <is>
          <t>PX_LAST</t>
        </is>
      </c>
      <c r="D11" s="39" t="inlineStr">
        <is>
          <t>%</t>
        </is>
      </c>
      <c r="E11" s="54" t="inlineStr">
        <is>
          <t>High</t>
        </is>
      </c>
      <c r="F11" s="25" t="inlineStr"/>
    </row>
    <row r="12">
      <c r="A12" s="13" t="inlineStr">
        <is>
          <t>UST 10Y real</t>
        </is>
      </c>
      <c r="B12" s="52" t="inlineStr">
        <is>
          <t>USGGT10Y Index</t>
        </is>
      </c>
      <c r="C12" s="53" t="inlineStr">
        <is>
          <t>PX_LAST</t>
        </is>
      </c>
      <c r="D12" s="39" t="inlineStr">
        <is>
          <t>%</t>
        </is>
      </c>
      <c r="E12" s="54" t="inlineStr">
        <is>
          <t>High</t>
        </is>
      </c>
      <c r="F12" s="25" t="inlineStr"/>
    </row>
    <row r="13">
      <c r="A13" s="13" t="inlineStr">
        <is>
          <t>Breakeven 10Y</t>
        </is>
      </c>
      <c r="B13" s="52" t="inlineStr">
        <is>
          <t>USGGBE10 Index</t>
        </is>
      </c>
      <c r="C13" s="53" t="inlineStr">
        <is>
          <t>PX_LAST</t>
        </is>
      </c>
      <c r="D13" s="39" t="inlineStr">
        <is>
          <t>%</t>
        </is>
      </c>
      <c r="E13" s="54" t="inlineStr">
        <is>
          <t>High</t>
        </is>
      </c>
      <c r="F13" s="25" t="inlineStr"/>
    </row>
    <row r="14">
      <c r="A14" s="13" t="inlineStr">
        <is>
          <t>ACM term premium 10Y</t>
        </is>
      </c>
      <c r="B14" s="52" t="inlineStr">
        <is>
          <t>ACMTP10 Index</t>
        </is>
      </c>
      <c r="C14" s="53" t="inlineStr">
        <is>
          <t>PX_LAST</t>
        </is>
      </c>
      <c r="D14" s="39" t="inlineStr">
        <is>
          <t>%</t>
        </is>
      </c>
      <c r="E14" s="45" t="inlineStr">
        <is>
          <t>Verify</t>
        </is>
      </c>
      <c r="F14" s="25" t="inlineStr">
        <is>
          <t>NY Fed; publication lag</t>
        </is>
      </c>
    </row>
    <row r="15">
      <c r="A15" s="13" t="inlineStr">
        <is>
          <t>DXY</t>
        </is>
      </c>
      <c r="B15" s="52" t="inlineStr">
        <is>
          <t>DXY Curncy</t>
        </is>
      </c>
      <c r="C15" s="53" t="inlineStr">
        <is>
          <t>PX_LAST</t>
        </is>
      </c>
      <c r="D15" s="39" t="inlineStr">
        <is>
          <t>pt</t>
        </is>
      </c>
      <c r="E15" s="54" t="inlineStr">
        <is>
          <t>High</t>
        </is>
      </c>
      <c r="F15" s="25" t="inlineStr">
        <is>
          <t>FX benchmark</t>
        </is>
      </c>
    </row>
    <row r="16">
      <c r="A16" s="13" t="inlineStr">
        <is>
          <t>EM USD Aggregate OAS</t>
        </is>
      </c>
      <c r="B16" s="52" t="inlineStr">
        <is>
          <t>EMUSOAS Index</t>
        </is>
      </c>
      <c r="C16" s="53" t="inlineStr">
        <is>
          <t>PX_LAST</t>
        </is>
      </c>
      <c r="D16" s="39" t="inlineStr">
        <is>
          <t>bp</t>
        </is>
      </c>
      <c r="E16" s="45" t="inlineStr">
        <is>
          <t>Verify</t>
        </is>
      </c>
      <c r="F16" s="25" t="inlineStr">
        <is>
          <t>Bbg; aggregate spread cross-check</t>
        </is>
      </c>
    </row>
    <row r="17">
      <c r="A17" s="13" t="inlineStr">
        <is>
          <t>EM USD Aggregate TR idx</t>
        </is>
      </c>
      <c r="B17" s="52" t="inlineStr">
        <is>
          <t>EMUSTRUU Index</t>
        </is>
      </c>
      <c r="C17" s="53" t="inlineStr">
        <is>
          <t>PX_LAST</t>
        </is>
      </c>
      <c r="D17" s="39" t="inlineStr">
        <is>
          <t>idx</t>
        </is>
      </c>
      <c r="E17" s="45" t="inlineStr">
        <is>
          <t>Verify</t>
        </is>
      </c>
      <c r="F17" s="25" t="inlineStr">
        <is>
          <t>realised index return</t>
        </is>
      </c>
    </row>
    <row r="18">
      <c r="A18" s="13" t="inlineStr">
        <is>
          <t>Brazil FX</t>
        </is>
      </c>
      <c r="B18" s="52" t="inlineStr">
        <is>
          <t>USDBRL Curncy</t>
        </is>
      </c>
      <c r="C18" s="53" t="inlineStr">
        <is>
          <t>PX_LAST</t>
        </is>
      </c>
      <c r="D18" s="39" t="inlineStr">
        <is>
          <t>fx</t>
        </is>
      </c>
      <c r="E18" s="54" t="inlineStr">
        <is>
          <t>High</t>
        </is>
      </c>
      <c r="F18" s="25" t="inlineStr">
        <is>
          <t>LatAm</t>
        </is>
      </c>
    </row>
    <row r="19">
      <c r="A19" s="13" t="inlineStr">
        <is>
          <t>Mexico FX</t>
        </is>
      </c>
      <c r="B19" s="52" t="inlineStr">
        <is>
          <t>USDMXN Curncy</t>
        </is>
      </c>
      <c r="C19" s="53" t="inlineStr">
        <is>
          <t>PX_LAST</t>
        </is>
      </c>
      <c r="D19" s="39" t="inlineStr">
        <is>
          <t>fx</t>
        </is>
      </c>
      <c r="E19" s="54" t="inlineStr">
        <is>
          <t>High</t>
        </is>
      </c>
      <c r="F19" s="25" t="inlineStr">
        <is>
          <t>LatAm</t>
        </is>
      </c>
    </row>
    <row r="20">
      <c r="A20" s="13" t="inlineStr">
        <is>
          <t>Chile FX</t>
        </is>
      </c>
      <c r="B20" s="52" t="inlineStr">
        <is>
          <t>USDCLP Curncy</t>
        </is>
      </c>
      <c r="C20" s="53" t="inlineStr">
        <is>
          <t>PX_LAST</t>
        </is>
      </c>
      <c r="D20" s="39" t="inlineStr">
        <is>
          <t>fx</t>
        </is>
      </c>
      <c r="E20" s="54" t="inlineStr">
        <is>
          <t>High</t>
        </is>
      </c>
      <c r="F20" s="25" t="inlineStr">
        <is>
          <t>LatAm</t>
        </is>
      </c>
    </row>
    <row r="21">
      <c r="A21" s="13" t="inlineStr">
        <is>
          <t>Colombia FX</t>
        </is>
      </c>
      <c r="B21" s="52" t="inlineStr">
        <is>
          <t>USDCOP Curncy</t>
        </is>
      </c>
      <c r="C21" s="53" t="inlineStr">
        <is>
          <t>PX_LAST</t>
        </is>
      </c>
      <c r="D21" s="39" t="inlineStr">
        <is>
          <t>fx</t>
        </is>
      </c>
      <c r="E21" s="54" t="inlineStr">
        <is>
          <t>High</t>
        </is>
      </c>
      <c r="F21" s="25" t="inlineStr">
        <is>
          <t>LatAm</t>
        </is>
      </c>
    </row>
    <row r="22">
      <c r="A22" s="13" t="inlineStr">
        <is>
          <t>Peru FX</t>
        </is>
      </c>
      <c r="B22" s="52" t="inlineStr">
        <is>
          <t>USDPEN Curncy</t>
        </is>
      </c>
      <c r="C22" s="53" t="inlineStr">
        <is>
          <t>PX_LAST</t>
        </is>
      </c>
      <c r="D22" s="39" t="inlineStr">
        <is>
          <t>fx</t>
        </is>
      </c>
      <c r="E22" s="54" t="inlineStr">
        <is>
          <t>High</t>
        </is>
      </c>
      <c r="F22" s="25" t="inlineStr">
        <is>
          <t>LatAm</t>
        </is>
      </c>
    </row>
    <row r="23">
      <c r="A23" s="13" t="inlineStr">
        <is>
          <t>Poland FX</t>
        </is>
      </c>
      <c r="B23" s="52" t="inlineStr">
        <is>
          <t>USDPLN Curncy</t>
        </is>
      </c>
      <c r="C23" s="53" t="inlineStr">
        <is>
          <t>PX_LAST</t>
        </is>
      </c>
      <c r="D23" s="39" t="inlineStr">
        <is>
          <t>fx</t>
        </is>
      </c>
      <c r="E23" s="54" t="inlineStr">
        <is>
          <t>High</t>
        </is>
      </c>
      <c r="F23" s="25" t="inlineStr">
        <is>
          <t>EM Europe</t>
        </is>
      </c>
    </row>
    <row r="24">
      <c r="A24" s="13" t="inlineStr">
        <is>
          <t>Hungary FX</t>
        </is>
      </c>
      <c r="B24" s="52" t="inlineStr">
        <is>
          <t>USDHUF Curncy</t>
        </is>
      </c>
      <c r="C24" s="53" t="inlineStr">
        <is>
          <t>PX_LAST</t>
        </is>
      </c>
      <c r="D24" s="39" t="inlineStr">
        <is>
          <t>fx</t>
        </is>
      </c>
      <c r="E24" s="54" t="inlineStr">
        <is>
          <t>High</t>
        </is>
      </c>
      <c r="F24" s="25" t="inlineStr">
        <is>
          <t>EM Europe</t>
        </is>
      </c>
    </row>
    <row r="25">
      <c r="A25" s="13" t="inlineStr">
        <is>
          <t>Czechia FX</t>
        </is>
      </c>
      <c r="B25" s="52" t="inlineStr">
        <is>
          <t>USDCZK Curncy</t>
        </is>
      </c>
      <c r="C25" s="53" t="inlineStr">
        <is>
          <t>PX_LAST</t>
        </is>
      </c>
      <c r="D25" s="39" t="inlineStr">
        <is>
          <t>fx</t>
        </is>
      </c>
      <c r="E25" s="54" t="inlineStr">
        <is>
          <t>High</t>
        </is>
      </c>
      <c r="F25" s="25" t="inlineStr">
        <is>
          <t>EM Europe</t>
        </is>
      </c>
    </row>
    <row r="26">
      <c r="A26" s="13" t="inlineStr">
        <is>
          <t>Romania FX</t>
        </is>
      </c>
      <c r="B26" s="52" t="inlineStr">
        <is>
          <t>USDRON Curncy</t>
        </is>
      </c>
      <c r="C26" s="53" t="inlineStr">
        <is>
          <t>PX_LAST</t>
        </is>
      </c>
      <c r="D26" s="39" t="inlineStr">
        <is>
          <t>fx</t>
        </is>
      </c>
      <c r="E26" s="54" t="inlineStr">
        <is>
          <t>High</t>
        </is>
      </c>
      <c r="F26" s="25" t="inlineStr">
        <is>
          <t>EM Europe</t>
        </is>
      </c>
    </row>
    <row r="27">
      <c r="A27" s="13" t="inlineStr">
        <is>
          <t>Turkiye FX</t>
        </is>
      </c>
      <c r="B27" s="52" t="inlineStr">
        <is>
          <t>USDTRY Curncy</t>
        </is>
      </c>
      <c r="C27" s="53" t="inlineStr">
        <is>
          <t>PX_LAST</t>
        </is>
      </c>
      <c r="D27" s="39" t="inlineStr">
        <is>
          <t>fx</t>
        </is>
      </c>
      <c r="E27" s="54" t="inlineStr">
        <is>
          <t>High</t>
        </is>
      </c>
      <c r="F27" s="25" t="inlineStr">
        <is>
          <t>EM Europe</t>
        </is>
      </c>
    </row>
    <row r="28">
      <c r="A28" s="13" t="inlineStr">
        <is>
          <t>Israel FX</t>
        </is>
      </c>
      <c r="B28" s="52" t="inlineStr">
        <is>
          <t>USDILS Curncy</t>
        </is>
      </c>
      <c r="C28" s="53" t="inlineStr">
        <is>
          <t>PX_LAST</t>
        </is>
      </c>
      <c r="D28" s="39" t="inlineStr">
        <is>
          <t>fx</t>
        </is>
      </c>
      <c r="E28" s="54" t="inlineStr">
        <is>
          <t>High</t>
        </is>
      </c>
      <c r="F28" s="25" t="inlineStr">
        <is>
          <t>Middle East</t>
        </is>
      </c>
    </row>
    <row r="29">
      <c r="A29" s="13" t="inlineStr">
        <is>
          <t>Egypt FX</t>
        </is>
      </c>
      <c r="B29" s="52" t="inlineStr">
        <is>
          <t>USDEGP Curncy</t>
        </is>
      </c>
      <c r="C29" s="53" t="inlineStr">
        <is>
          <t>PX_LAST</t>
        </is>
      </c>
      <c r="D29" s="39" t="inlineStr">
        <is>
          <t>fx</t>
        </is>
      </c>
      <c r="E29" s="54" t="inlineStr">
        <is>
          <t>High</t>
        </is>
      </c>
      <c r="F29" s="25" t="inlineStr">
        <is>
          <t>Middle East</t>
        </is>
      </c>
    </row>
    <row r="30">
      <c r="A30" s="13" t="inlineStr">
        <is>
          <t>China FX</t>
        </is>
      </c>
      <c r="B30" s="52" t="inlineStr">
        <is>
          <t>USDCNH Curncy</t>
        </is>
      </c>
      <c r="C30" s="53" t="inlineStr">
        <is>
          <t>PX_LAST</t>
        </is>
      </c>
      <c r="D30" s="39" t="inlineStr">
        <is>
          <t>fx</t>
        </is>
      </c>
      <c r="E30" s="54" t="inlineStr">
        <is>
          <t>High</t>
        </is>
      </c>
      <c r="F30" s="25" t="inlineStr">
        <is>
          <t>EM Asia</t>
        </is>
      </c>
    </row>
    <row r="31">
      <c r="A31" s="13" t="inlineStr">
        <is>
          <t>India FX</t>
        </is>
      </c>
      <c r="B31" s="52" t="inlineStr">
        <is>
          <t>USDINR Curncy</t>
        </is>
      </c>
      <c r="C31" s="53" t="inlineStr">
        <is>
          <t>PX_LAST</t>
        </is>
      </c>
      <c r="D31" s="39" t="inlineStr">
        <is>
          <t>fx</t>
        </is>
      </c>
      <c r="E31" s="54" t="inlineStr">
        <is>
          <t>High</t>
        </is>
      </c>
      <c r="F31" s="25" t="inlineStr">
        <is>
          <t>EM Asia</t>
        </is>
      </c>
    </row>
    <row r="32">
      <c r="A32" s="13" t="inlineStr">
        <is>
          <t>Indonesia FX</t>
        </is>
      </c>
      <c r="B32" s="52" t="inlineStr">
        <is>
          <t>USDIDR Curncy</t>
        </is>
      </c>
      <c r="C32" s="53" t="inlineStr">
        <is>
          <t>PX_LAST</t>
        </is>
      </c>
      <c r="D32" s="39" t="inlineStr">
        <is>
          <t>fx</t>
        </is>
      </c>
      <c r="E32" s="54" t="inlineStr">
        <is>
          <t>High</t>
        </is>
      </c>
      <c r="F32" s="25" t="inlineStr">
        <is>
          <t>EM Asia</t>
        </is>
      </c>
    </row>
    <row r="33">
      <c r="A33" s="13" t="inlineStr">
        <is>
          <t>Korea FX</t>
        </is>
      </c>
      <c r="B33" s="52" t="inlineStr">
        <is>
          <t>USDKRW Curncy</t>
        </is>
      </c>
      <c r="C33" s="53" t="inlineStr">
        <is>
          <t>PX_LAST</t>
        </is>
      </c>
      <c r="D33" s="39" t="inlineStr">
        <is>
          <t>fx</t>
        </is>
      </c>
      <c r="E33" s="54" t="inlineStr">
        <is>
          <t>High</t>
        </is>
      </c>
      <c r="F33" s="25" t="inlineStr">
        <is>
          <t>EM Asia</t>
        </is>
      </c>
    </row>
    <row r="34">
      <c r="A34" s="13" t="inlineStr">
        <is>
          <t>Thailand FX</t>
        </is>
      </c>
      <c r="B34" s="52" t="inlineStr">
        <is>
          <t>USDTHB Curncy</t>
        </is>
      </c>
      <c r="C34" s="53" t="inlineStr">
        <is>
          <t>PX_LAST</t>
        </is>
      </c>
      <c r="D34" s="39" t="inlineStr">
        <is>
          <t>fx</t>
        </is>
      </c>
      <c r="E34" s="54" t="inlineStr">
        <is>
          <t>High</t>
        </is>
      </c>
      <c r="F34" s="25" t="inlineStr">
        <is>
          <t>EM Asia</t>
        </is>
      </c>
    </row>
    <row r="35">
      <c r="A35" s="13" t="inlineStr">
        <is>
          <t>Malaysia FX</t>
        </is>
      </c>
      <c r="B35" s="52" t="inlineStr">
        <is>
          <t>USDMYR Curncy</t>
        </is>
      </c>
      <c r="C35" s="53" t="inlineStr">
        <is>
          <t>PX_LAST</t>
        </is>
      </c>
      <c r="D35" s="39" t="inlineStr">
        <is>
          <t>fx</t>
        </is>
      </c>
      <c r="E35" s="54" t="inlineStr">
        <is>
          <t>High</t>
        </is>
      </c>
      <c r="F35" s="25" t="inlineStr">
        <is>
          <t>EM Asia</t>
        </is>
      </c>
    </row>
    <row r="36">
      <c r="A36" s="13" t="inlineStr">
        <is>
          <t>Philippines FX</t>
        </is>
      </c>
      <c r="B36" s="52" t="inlineStr">
        <is>
          <t>USDPHP Curncy</t>
        </is>
      </c>
      <c r="C36" s="53" t="inlineStr">
        <is>
          <t>PX_LAST</t>
        </is>
      </c>
      <c r="D36" s="39" t="inlineStr">
        <is>
          <t>fx</t>
        </is>
      </c>
      <c r="E36" s="54" t="inlineStr">
        <is>
          <t>High</t>
        </is>
      </c>
      <c r="F36" s="25" t="inlineStr">
        <is>
          <t>EM Asia</t>
        </is>
      </c>
    </row>
    <row r="37">
      <c r="A37" s="13" t="inlineStr">
        <is>
          <t>South Africa FX</t>
        </is>
      </c>
      <c r="B37" s="52" t="inlineStr">
        <is>
          <t>USDZAR Curncy</t>
        </is>
      </c>
      <c r="C37" s="53" t="inlineStr">
        <is>
          <t>PX_LAST</t>
        </is>
      </c>
      <c r="D37" s="39" t="inlineStr">
        <is>
          <t>fx</t>
        </is>
      </c>
      <c r="E37" s="54" t="inlineStr">
        <is>
          <t>High</t>
        </is>
      </c>
      <c r="F37" s="25" t="inlineStr">
        <is>
          <t>(memo)</t>
        </is>
      </c>
    </row>
    <row r="38">
      <c r="A38" s="13" t="inlineStr">
        <is>
          <t>Brazil 10Y</t>
        </is>
      </c>
      <c r="B38" s="52" t="inlineStr">
        <is>
          <t>GTBRL10Y Govt</t>
        </is>
      </c>
      <c r="C38" s="53" t="inlineStr">
        <is>
          <t>YLD_YTM_MID</t>
        </is>
      </c>
      <c r="D38" s="39" t="inlineStr">
        <is>
          <t>%</t>
        </is>
      </c>
      <c r="E38" s="54" t="inlineStr">
        <is>
          <t>High</t>
        </is>
      </c>
      <c r="F38" s="25" t="inlineStr">
        <is>
          <t>LatAm | YLD_YTM_MID so the pull is a yield in %, never a price</t>
        </is>
      </c>
    </row>
    <row r="39">
      <c r="A39" s="13" t="inlineStr">
        <is>
          <t>Mexico 10Y</t>
        </is>
      </c>
      <c r="B39" s="52" t="inlineStr">
        <is>
          <t>GTMXN10Y Govt</t>
        </is>
      </c>
      <c r="C39" s="53" t="inlineStr">
        <is>
          <t>YLD_YTM_MID</t>
        </is>
      </c>
      <c r="D39" s="39" t="inlineStr">
        <is>
          <t>%</t>
        </is>
      </c>
      <c r="E39" s="54" t="inlineStr">
        <is>
          <t>High</t>
        </is>
      </c>
      <c r="F39" s="25" t="inlineStr">
        <is>
          <t>LatAm | YLD_YTM_MID so the pull is a yield in %, never a price</t>
        </is>
      </c>
    </row>
    <row r="40">
      <c r="A40" s="13" t="inlineStr">
        <is>
          <t>Chile 10Y</t>
        </is>
      </c>
      <c r="B40" s="52" t="inlineStr">
        <is>
          <t>GTCLP10Y Govt</t>
        </is>
      </c>
      <c r="C40" s="53" t="inlineStr">
        <is>
          <t>YLD_YTM_MID</t>
        </is>
      </c>
      <c r="D40" s="39" t="inlineStr">
        <is>
          <t>%</t>
        </is>
      </c>
      <c r="E40" s="54" t="inlineStr">
        <is>
          <t>High</t>
        </is>
      </c>
      <c r="F40" s="25" t="inlineStr">
        <is>
          <t>LatAm | YLD_YTM_MID so the pull is a yield in %, never a price</t>
        </is>
      </c>
    </row>
    <row r="41">
      <c r="A41" s="13" t="inlineStr">
        <is>
          <t>Colombia 10Y</t>
        </is>
      </c>
      <c r="B41" s="52" t="inlineStr">
        <is>
          <t>GTCOP10Y Govt</t>
        </is>
      </c>
      <c r="C41" s="53" t="inlineStr">
        <is>
          <t>YLD_YTM_MID</t>
        </is>
      </c>
      <c r="D41" s="39" t="inlineStr">
        <is>
          <t>%</t>
        </is>
      </c>
      <c r="E41" s="54" t="inlineStr">
        <is>
          <t>High</t>
        </is>
      </c>
      <c r="F41" s="25" t="inlineStr">
        <is>
          <t>LatAm | YLD_YTM_MID so the pull is a yield in %, never a price</t>
        </is>
      </c>
    </row>
    <row r="42">
      <c r="A42" s="13" t="inlineStr">
        <is>
          <t>Peru 10Y</t>
        </is>
      </c>
      <c r="B42" s="52" t="inlineStr">
        <is>
          <t>GTPEN10Y Govt</t>
        </is>
      </c>
      <c r="C42" s="53" t="inlineStr">
        <is>
          <t>YLD_YTM_MID</t>
        </is>
      </c>
      <c r="D42" s="39" t="inlineStr">
        <is>
          <t>%</t>
        </is>
      </c>
      <c r="E42" s="54" t="inlineStr">
        <is>
          <t>High</t>
        </is>
      </c>
      <c r="F42" s="25" t="inlineStr">
        <is>
          <t>LatAm | YLD_YTM_MID so the pull is a yield in %, never a price</t>
        </is>
      </c>
    </row>
    <row r="43">
      <c r="A43" s="13" t="inlineStr">
        <is>
          <t>Poland 10Y</t>
        </is>
      </c>
      <c r="B43" s="52" t="inlineStr">
        <is>
          <t>GTPLN10Y Govt</t>
        </is>
      </c>
      <c r="C43" s="53" t="inlineStr">
        <is>
          <t>YLD_YTM_MID</t>
        </is>
      </c>
      <c r="D43" s="39" t="inlineStr">
        <is>
          <t>%</t>
        </is>
      </c>
      <c r="E43" s="54" t="inlineStr">
        <is>
          <t>High</t>
        </is>
      </c>
      <c r="F43" s="25" t="inlineStr">
        <is>
          <t>EM Europe | YLD_YTM_MID so the pull is a yield in %, never a price</t>
        </is>
      </c>
    </row>
    <row r="44">
      <c r="A44" s="13" t="inlineStr">
        <is>
          <t>Hungary 10Y</t>
        </is>
      </c>
      <c r="B44" s="52" t="inlineStr">
        <is>
          <t>GTHUF10Y Govt</t>
        </is>
      </c>
      <c r="C44" s="53" t="inlineStr">
        <is>
          <t>YLD_YTM_MID</t>
        </is>
      </c>
      <c r="D44" s="39" t="inlineStr">
        <is>
          <t>%</t>
        </is>
      </c>
      <c r="E44" s="54" t="inlineStr">
        <is>
          <t>High</t>
        </is>
      </c>
      <c r="F44" s="25" t="inlineStr">
        <is>
          <t>EM Europe | YLD_YTM_MID so the pull is a yield in %, never a price</t>
        </is>
      </c>
    </row>
    <row r="45">
      <c r="A45" s="13" t="inlineStr">
        <is>
          <t>Czechia 10Y</t>
        </is>
      </c>
      <c r="B45" s="52" t="inlineStr">
        <is>
          <t>GTCZK10Y Govt</t>
        </is>
      </c>
      <c r="C45" s="53" t="inlineStr">
        <is>
          <t>YLD_YTM_MID</t>
        </is>
      </c>
      <c r="D45" s="39" t="inlineStr">
        <is>
          <t>%</t>
        </is>
      </c>
      <c r="E45" s="54" t="inlineStr">
        <is>
          <t>High</t>
        </is>
      </c>
      <c r="F45" s="25" t="inlineStr">
        <is>
          <t>EM Europe | YLD_YTM_MID so the pull is a yield in %, never a price</t>
        </is>
      </c>
    </row>
    <row r="46">
      <c r="A46" s="13" t="inlineStr">
        <is>
          <t>Romania 10Y</t>
        </is>
      </c>
      <c r="B46" s="52" t="inlineStr">
        <is>
          <t>GTRON10Y Govt</t>
        </is>
      </c>
      <c r="C46" s="53" t="inlineStr">
        <is>
          <t>YLD_YTM_MID</t>
        </is>
      </c>
      <c r="D46" s="39" t="inlineStr">
        <is>
          <t>%</t>
        </is>
      </c>
      <c r="E46" s="54" t="inlineStr">
        <is>
          <t>High</t>
        </is>
      </c>
      <c r="F46" s="25" t="inlineStr">
        <is>
          <t>EM Europe | YLD_YTM_MID so the pull is a yield in %, never a price</t>
        </is>
      </c>
    </row>
    <row r="47">
      <c r="A47" s="13" t="inlineStr">
        <is>
          <t>Turkiye 10Y</t>
        </is>
      </c>
      <c r="B47" s="52" t="inlineStr">
        <is>
          <t>GTTRY10Y Govt</t>
        </is>
      </c>
      <c r="C47" s="53" t="inlineStr">
        <is>
          <t>YLD_YTM_MID</t>
        </is>
      </c>
      <c r="D47" s="39" t="inlineStr">
        <is>
          <t>%</t>
        </is>
      </c>
      <c r="E47" s="54" t="inlineStr">
        <is>
          <t>High</t>
        </is>
      </c>
      <c r="F47" s="25" t="inlineStr">
        <is>
          <t>EM Europe | YLD_YTM_MID so the pull is a yield in %, never a price</t>
        </is>
      </c>
    </row>
    <row r="48">
      <c r="A48" s="13" t="inlineStr">
        <is>
          <t>Israel 10Y</t>
        </is>
      </c>
      <c r="B48" s="52" t="inlineStr">
        <is>
          <t>GTILS10Y Govt</t>
        </is>
      </c>
      <c r="C48" s="53" t="inlineStr">
        <is>
          <t>YLD_YTM_MID</t>
        </is>
      </c>
      <c r="D48" s="39" t="inlineStr">
        <is>
          <t>%</t>
        </is>
      </c>
      <c r="E48" s="54" t="inlineStr">
        <is>
          <t>High</t>
        </is>
      </c>
      <c r="F48" s="25" t="inlineStr">
        <is>
          <t>Middle East | YLD_YTM_MID so the pull is a yield in %, never a price</t>
        </is>
      </c>
    </row>
    <row r="49">
      <c r="A49" s="13" t="inlineStr">
        <is>
          <t>Egypt 10Y</t>
        </is>
      </c>
      <c r="B49" s="52" t="inlineStr">
        <is>
          <t>GTEGP10Y Govt</t>
        </is>
      </c>
      <c r="C49" s="53" t="inlineStr">
        <is>
          <t>YLD_YTM_MID</t>
        </is>
      </c>
      <c r="D49" s="39" t="inlineStr">
        <is>
          <t>%</t>
        </is>
      </c>
      <c r="E49" s="45" t="inlineStr">
        <is>
          <t>Verify</t>
        </is>
      </c>
      <c r="F49" s="25" t="inlineStr">
        <is>
          <t>Middle East | YLD_YTM_MID so the pull is a yield in %, never a price</t>
        </is>
      </c>
    </row>
    <row r="50">
      <c r="A50" s="13" t="inlineStr">
        <is>
          <t>China 10Y</t>
        </is>
      </c>
      <c r="B50" s="52" t="inlineStr">
        <is>
          <t>GTCNY10Y Govt</t>
        </is>
      </c>
      <c r="C50" s="53" t="inlineStr">
        <is>
          <t>YLD_YTM_MID</t>
        </is>
      </c>
      <c r="D50" s="39" t="inlineStr">
        <is>
          <t>%</t>
        </is>
      </c>
      <c r="E50" s="54" t="inlineStr">
        <is>
          <t>High</t>
        </is>
      </c>
      <c r="F50" s="25" t="inlineStr">
        <is>
          <t>EM Asia | YLD_YTM_MID so the pull is a yield in %, never a price</t>
        </is>
      </c>
    </row>
    <row r="51">
      <c r="A51" s="13" t="inlineStr">
        <is>
          <t>India 10Y</t>
        </is>
      </c>
      <c r="B51" s="52" t="inlineStr">
        <is>
          <t>GTINR10Y Govt</t>
        </is>
      </c>
      <c r="C51" s="53" t="inlineStr">
        <is>
          <t>YLD_YTM_MID</t>
        </is>
      </c>
      <c r="D51" s="39" t="inlineStr">
        <is>
          <t>%</t>
        </is>
      </c>
      <c r="E51" s="54" t="inlineStr">
        <is>
          <t>High</t>
        </is>
      </c>
      <c r="F51" s="25" t="inlineStr">
        <is>
          <t>EM Asia | YLD_YTM_MID so the pull is a yield in %, never a price</t>
        </is>
      </c>
    </row>
    <row r="52">
      <c r="A52" s="13" t="inlineStr">
        <is>
          <t>Indonesia 10Y</t>
        </is>
      </c>
      <c r="B52" s="52" t="inlineStr">
        <is>
          <t>GTIDR10Y Govt</t>
        </is>
      </c>
      <c r="C52" s="53" t="inlineStr">
        <is>
          <t>YLD_YTM_MID</t>
        </is>
      </c>
      <c r="D52" s="39" t="inlineStr">
        <is>
          <t>%</t>
        </is>
      </c>
      <c r="E52" s="54" t="inlineStr">
        <is>
          <t>High</t>
        </is>
      </c>
      <c r="F52" s="25" t="inlineStr">
        <is>
          <t>EM Asia | YLD_YTM_MID so the pull is a yield in %, never a price</t>
        </is>
      </c>
    </row>
    <row r="53">
      <c r="A53" s="13" t="inlineStr">
        <is>
          <t>Korea 10Y</t>
        </is>
      </c>
      <c r="B53" s="52" t="inlineStr">
        <is>
          <t>GTKRW10Y Govt</t>
        </is>
      </c>
      <c r="C53" s="53" t="inlineStr">
        <is>
          <t>YLD_YTM_MID</t>
        </is>
      </c>
      <c r="D53" s="39" t="inlineStr">
        <is>
          <t>%</t>
        </is>
      </c>
      <c r="E53" s="54" t="inlineStr">
        <is>
          <t>High</t>
        </is>
      </c>
      <c r="F53" s="25" t="inlineStr">
        <is>
          <t>EM Asia | YLD_YTM_MID so the pull is a yield in %, never a price</t>
        </is>
      </c>
    </row>
    <row r="54">
      <c r="A54" s="13" t="inlineStr">
        <is>
          <t>Thailand 10Y</t>
        </is>
      </c>
      <c r="B54" s="52" t="inlineStr">
        <is>
          <t>GTTHB10Y Govt</t>
        </is>
      </c>
      <c r="C54" s="53" t="inlineStr">
        <is>
          <t>YLD_YTM_MID</t>
        </is>
      </c>
      <c r="D54" s="39" t="inlineStr">
        <is>
          <t>%</t>
        </is>
      </c>
      <c r="E54" s="54" t="inlineStr">
        <is>
          <t>High</t>
        </is>
      </c>
      <c r="F54" s="25" t="inlineStr">
        <is>
          <t>EM Asia | YLD_YTM_MID so the pull is a yield in %, never a price</t>
        </is>
      </c>
    </row>
    <row r="55">
      <c r="A55" s="13" t="inlineStr">
        <is>
          <t>Malaysia 10Y</t>
        </is>
      </c>
      <c r="B55" s="52" t="inlineStr">
        <is>
          <t>GTMYR10Y Govt</t>
        </is>
      </c>
      <c r="C55" s="53" t="inlineStr">
        <is>
          <t>YLD_YTM_MID</t>
        </is>
      </c>
      <c r="D55" s="39" t="inlineStr">
        <is>
          <t>%</t>
        </is>
      </c>
      <c r="E55" s="54" t="inlineStr">
        <is>
          <t>High</t>
        </is>
      </c>
      <c r="F55" s="25" t="inlineStr">
        <is>
          <t>EM Asia | YLD_YTM_MID so the pull is a yield in %, never a price</t>
        </is>
      </c>
    </row>
    <row r="56">
      <c r="A56" s="13" t="inlineStr">
        <is>
          <t>Philippines 10Y</t>
        </is>
      </c>
      <c r="B56" s="52" t="inlineStr">
        <is>
          <t>GTPHP10Y Govt</t>
        </is>
      </c>
      <c r="C56" s="53" t="inlineStr">
        <is>
          <t>YLD_YTM_MID</t>
        </is>
      </c>
      <c r="D56" s="39" t="inlineStr">
        <is>
          <t>%</t>
        </is>
      </c>
      <c r="E56" s="54" t="inlineStr">
        <is>
          <t>High</t>
        </is>
      </c>
      <c r="F56" s="25" t="inlineStr">
        <is>
          <t>EM Asia | YLD_YTM_MID so the pull is a yield in %, never a price</t>
        </is>
      </c>
    </row>
    <row r="57">
      <c r="A57" s="13" t="inlineStr">
        <is>
          <t>South Africa 10Y</t>
        </is>
      </c>
      <c r="B57" s="52" t="inlineStr">
        <is>
          <t>GTZAR10Y Govt</t>
        </is>
      </c>
      <c r="C57" s="53" t="inlineStr">
        <is>
          <t>YLD_YTM_MID</t>
        </is>
      </c>
      <c r="D57" s="39" t="inlineStr">
        <is>
          <t>%</t>
        </is>
      </c>
      <c r="E57" s="54" t="inlineStr">
        <is>
          <t>High</t>
        </is>
      </c>
      <c r="F57" s="25" t="inlineStr">
        <is>
          <t>(memo) | YLD_YTM_MID so the pull is a yield in %, never a price</t>
        </is>
      </c>
    </row>
    <row r="58">
      <c r="A58" s="13" t="inlineStr">
        <is>
          <t>Brazil MSCI (USD)</t>
        </is>
      </c>
      <c r="B58" s="52" t="inlineStr">
        <is>
          <t>MXBR Index</t>
        </is>
      </c>
      <c r="C58" s="53" t="inlineStr">
        <is>
          <t>PX_LAST</t>
        </is>
      </c>
      <c r="D58" s="39" t="inlineStr">
        <is>
          <t>idx</t>
        </is>
      </c>
      <c r="E58" s="54" t="inlineStr">
        <is>
          <t>High</t>
        </is>
      </c>
      <c r="F58" s="25" t="inlineStr">
        <is>
          <t>LatAm | MSCI country index, USD price</t>
        </is>
      </c>
    </row>
    <row r="59">
      <c r="A59" s="13" t="inlineStr">
        <is>
          <t>Mexico MSCI (USD)</t>
        </is>
      </c>
      <c r="B59" s="52" t="inlineStr">
        <is>
          <t>MXMX Index</t>
        </is>
      </c>
      <c r="C59" s="53" t="inlineStr">
        <is>
          <t>PX_LAST</t>
        </is>
      </c>
      <c r="D59" s="39" t="inlineStr">
        <is>
          <t>idx</t>
        </is>
      </c>
      <c r="E59" s="54" t="inlineStr">
        <is>
          <t>High</t>
        </is>
      </c>
      <c r="F59" s="25" t="inlineStr">
        <is>
          <t>LatAm | MSCI country index, USD price</t>
        </is>
      </c>
    </row>
    <row r="60">
      <c r="A60" s="13" t="inlineStr">
        <is>
          <t>Chile MSCI (USD)</t>
        </is>
      </c>
      <c r="B60" s="52" t="inlineStr">
        <is>
          <t>MXCL Index</t>
        </is>
      </c>
      <c r="C60" s="53" t="inlineStr">
        <is>
          <t>PX_LAST</t>
        </is>
      </c>
      <c r="D60" s="39" t="inlineStr">
        <is>
          <t>idx</t>
        </is>
      </c>
      <c r="E60" s="45" t="inlineStr">
        <is>
          <t>Verify</t>
        </is>
      </c>
      <c r="F60" s="25" t="inlineStr">
        <is>
          <t>LatAm | MSCI country index, USD price</t>
        </is>
      </c>
    </row>
    <row r="61">
      <c r="A61" s="13" t="inlineStr">
        <is>
          <t>Colombia MSCI (USD)</t>
        </is>
      </c>
      <c r="B61" s="52" t="inlineStr">
        <is>
          <t>MXCO Index</t>
        </is>
      </c>
      <c r="C61" s="53" t="inlineStr">
        <is>
          <t>PX_LAST</t>
        </is>
      </c>
      <c r="D61" s="39" t="inlineStr">
        <is>
          <t>idx</t>
        </is>
      </c>
      <c r="E61" s="45" t="inlineStr">
        <is>
          <t>Verify</t>
        </is>
      </c>
      <c r="F61" s="25" t="inlineStr">
        <is>
          <t>LatAm | MSCI country index, USD price</t>
        </is>
      </c>
    </row>
    <row r="62">
      <c r="A62" s="13" t="inlineStr">
        <is>
          <t>Peru MSCI (USD)</t>
        </is>
      </c>
      <c r="B62" s="52" t="inlineStr">
        <is>
          <t>MXPE Index</t>
        </is>
      </c>
      <c r="C62" s="53" t="inlineStr">
        <is>
          <t>PX_LAST</t>
        </is>
      </c>
      <c r="D62" s="39" t="inlineStr">
        <is>
          <t>idx</t>
        </is>
      </c>
      <c r="E62" s="45" t="inlineStr">
        <is>
          <t>Verify</t>
        </is>
      </c>
      <c r="F62" s="25" t="inlineStr">
        <is>
          <t>LatAm | MSCI country index, USD price</t>
        </is>
      </c>
    </row>
    <row r="63">
      <c r="A63" s="13" t="inlineStr">
        <is>
          <t>Poland MSCI (USD)</t>
        </is>
      </c>
      <c r="B63" s="52" t="inlineStr">
        <is>
          <t>MXPL Index</t>
        </is>
      </c>
      <c r="C63" s="53" t="inlineStr">
        <is>
          <t>PX_LAST</t>
        </is>
      </c>
      <c r="D63" s="39" t="inlineStr">
        <is>
          <t>idx</t>
        </is>
      </c>
      <c r="E63" s="45" t="inlineStr">
        <is>
          <t>Verify</t>
        </is>
      </c>
      <c r="F63" s="25" t="inlineStr">
        <is>
          <t>EM Europe | MSCI country index, USD price</t>
        </is>
      </c>
    </row>
    <row r="64">
      <c r="A64" s="13" t="inlineStr">
        <is>
          <t>Hungary MSCI (USD)</t>
        </is>
      </c>
      <c r="B64" s="52" t="inlineStr">
        <is>
          <t>MXHU Index</t>
        </is>
      </c>
      <c r="C64" s="53" t="inlineStr">
        <is>
          <t>PX_LAST</t>
        </is>
      </c>
      <c r="D64" s="39" t="inlineStr">
        <is>
          <t>idx</t>
        </is>
      </c>
      <c r="E64" s="45" t="inlineStr">
        <is>
          <t>Verify</t>
        </is>
      </c>
      <c r="F64" s="25" t="inlineStr">
        <is>
          <t>EM Europe | MSCI country index, USD price</t>
        </is>
      </c>
    </row>
    <row r="65">
      <c r="A65" s="13" t="inlineStr">
        <is>
          <t>Czechia MSCI (USD)</t>
        </is>
      </c>
      <c r="B65" s="52" t="inlineStr">
        <is>
          <t>MXCZ Index</t>
        </is>
      </c>
      <c r="C65" s="53" t="inlineStr">
        <is>
          <t>PX_LAST</t>
        </is>
      </c>
      <c r="D65" s="39" t="inlineStr">
        <is>
          <t>idx</t>
        </is>
      </c>
      <c r="E65" s="45" t="inlineStr">
        <is>
          <t>Verify</t>
        </is>
      </c>
      <c r="F65" s="25" t="inlineStr">
        <is>
          <t>EM Europe | MSCI country index, USD price</t>
        </is>
      </c>
    </row>
    <row r="66">
      <c r="A66" s="13" t="inlineStr">
        <is>
          <t>Romania MSCI (USD)</t>
        </is>
      </c>
      <c r="B66" s="52" t="inlineStr">
        <is>
          <t>MXRO Index</t>
        </is>
      </c>
      <c r="C66" s="53" t="inlineStr">
        <is>
          <t>PX_LAST</t>
        </is>
      </c>
      <c r="D66" s="39" t="inlineStr">
        <is>
          <t>idx</t>
        </is>
      </c>
      <c r="E66" s="45" t="inlineStr">
        <is>
          <t>Verify</t>
        </is>
      </c>
      <c r="F66" s="25" t="inlineStr">
        <is>
          <t>EM Europe | MSCI country index, USD price</t>
        </is>
      </c>
    </row>
    <row r="67">
      <c r="A67" s="13" t="inlineStr">
        <is>
          <t>Turkiye MSCI (USD)</t>
        </is>
      </c>
      <c r="B67" s="52" t="inlineStr">
        <is>
          <t>MXTR Index</t>
        </is>
      </c>
      <c r="C67" s="53" t="inlineStr">
        <is>
          <t>PX_LAST</t>
        </is>
      </c>
      <c r="D67" s="39" t="inlineStr">
        <is>
          <t>idx</t>
        </is>
      </c>
      <c r="E67" s="45" t="inlineStr">
        <is>
          <t>Verify</t>
        </is>
      </c>
      <c r="F67" s="25" t="inlineStr">
        <is>
          <t>EM Europe | MSCI country index, USD price</t>
        </is>
      </c>
    </row>
    <row r="68">
      <c r="A68" s="13" t="inlineStr">
        <is>
          <t>Saudi Arabia MSCI (USD)</t>
        </is>
      </c>
      <c r="B68" s="52" t="inlineStr">
        <is>
          <t>MXSA Index</t>
        </is>
      </c>
      <c r="C68" s="53" t="inlineStr">
        <is>
          <t>PX_LAST</t>
        </is>
      </c>
      <c r="D68" s="39" t="inlineStr">
        <is>
          <t>idx</t>
        </is>
      </c>
      <c r="E68" s="45" t="inlineStr">
        <is>
          <t>Verify</t>
        </is>
      </c>
      <c r="F68" s="25" t="inlineStr">
        <is>
          <t>Middle East | MSCI country index, USD price</t>
        </is>
      </c>
    </row>
    <row r="69">
      <c r="A69" s="13" t="inlineStr">
        <is>
          <t>UAE (Abu Dhabi) MSCI (USD)</t>
        </is>
      </c>
      <c r="B69" s="52" t="inlineStr">
        <is>
          <t>MXAE Index</t>
        </is>
      </c>
      <c r="C69" s="53" t="inlineStr">
        <is>
          <t>PX_LAST</t>
        </is>
      </c>
      <c r="D69" s="39" t="inlineStr">
        <is>
          <t>idx</t>
        </is>
      </c>
      <c r="E69" s="45" t="inlineStr">
        <is>
          <t>Verify</t>
        </is>
      </c>
      <c r="F69" s="25" t="inlineStr">
        <is>
          <t>Middle East | MSCI country index, USD price</t>
        </is>
      </c>
    </row>
    <row r="70">
      <c r="A70" s="13" t="inlineStr">
        <is>
          <t>Qatar MSCI (USD)</t>
        </is>
      </c>
      <c r="B70" s="52" t="inlineStr">
        <is>
          <t>MXQA Index</t>
        </is>
      </c>
      <c r="C70" s="53" t="inlineStr">
        <is>
          <t>PX_LAST</t>
        </is>
      </c>
      <c r="D70" s="39" t="inlineStr">
        <is>
          <t>idx</t>
        </is>
      </c>
      <c r="E70" s="45" t="inlineStr">
        <is>
          <t>Verify</t>
        </is>
      </c>
      <c r="F70" s="25" t="inlineStr">
        <is>
          <t>Middle East | MSCI country index, USD price</t>
        </is>
      </c>
    </row>
    <row r="71">
      <c r="A71" s="13" t="inlineStr">
        <is>
          <t>Israel MSCI (USD)</t>
        </is>
      </c>
      <c r="B71" s="52" t="inlineStr">
        <is>
          <t>MXIL Index</t>
        </is>
      </c>
      <c r="C71" s="53" t="inlineStr">
        <is>
          <t>PX_LAST</t>
        </is>
      </c>
      <c r="D71" s="39" t="inlineStr">
        <is>
          <t>idx</t>
        </is>
      </c>
      <c r="E71" s="45" t="inlineStr">
        <is>
          <t>Verify</t>
        </is>
      </c>
      <c r="F71" s="25" t="inlineStr">
        <is>
          <t>Middle East | MSCI country index, USD price</t>
        </is>
      </c>
    </row>
    <row r="72">
      <c r="A72" s="13" t="inlineStr">
        <is>
          <t>Egypt MSCI (USD)</t>
        </is>
      </c>
      <c r="B72" s="52" t="inlineStr">
        <is>
          <t>MXEG Index</t>
        </is>
      </c>
      <c r="C72" s="53" t="inlineStr">
        <is>
          <t>PX_LAST</t>
        </is>
      </c>
      <c r="D72" s="39" t="inlineStr">
        <is>
          <t>idx</t>
        </is>
      </c>
      <c r="E72" s="45" t="inlineStr">
        <is>
          <t>Verify</t>
        </is>
      </c>
      <c r="F72" s="25" t="inlineStr">
        <is>
          <t>Middle East | MSCI country index, USD price</t>
        </is>
      </c>
    </row>
    <row r="73">
      <c r="A73" s="13" t="inlineStr">
        <is>
          <t>China MSCI (USD)</t>
        </is>
      </c>
      <c r="B73" s="52" t="inlineStr">
        <is>
          <t>MXCN Index</t>
        </is>
      </c>
      <c r="C73" s="53" t="inlineStr">
        <is>
          <t>PX_LAST</t>
        </is>
      </c>
      <c r="D73" s="39" t="inlineStr">
        <is>
          <t>idx</t>
        </is>
      </c>
      <c r="E73" s="54" t="inlineStr">
        <is>
          <t>High</t>
        </is>
      </c>
      <c r="F73" s="25" t="inlineStr">
        <is>
          <t>EM Asia | MSCI country index, USD price</t>
        </is>
      </c>
    </row>
    <row r="74">
      <c r="A74" s="13" t="inlineStr">
        <is>
          <t>India MSCI (USD)</t>
        </is>
      </c>
      <c r="B74" s="52" t="inlineStr">
        <is>
          <t>MXIN Index</t>
        </is>
      </c>
      <c r="C74" s="53" t="inlineStr">
        <is>
          <t>PX_LAST</t>
        </is>
      </c>
      <c r="D74" s="39" t="inlineStr">
        <is>
          <t>idx</t>
        </is>
      </c>
      <c r="E74" s="54" t="inlineStr">
        <is>
          <t>High</t>
        </is>
      </c>
      <c r="F74" s="25" t="inlineStr">
        <is>
          <t>EM Asia | MSCI country index, USD price</t>
        </is>
      </c>
    </row>
    <row r="75">
      <c r="A75" s="13" t="inlineStr">
        <is>
          <t>Indonesia MSCI (USD)</t>
        </is>
      </c>
      <c r="B75" s="52" t="inlineStr">
        <is>
          <t>MXID Index</t>
        </is>
      </c>
      <c r="C75" s="53" t="inlineStr">
        <is>
          <t>PX_LAST</t>
        </is>
      </c>
      <c r="D75" s="39" t="inlineStr">
        <is>
          <t>idx</t>
        </is>
      </c>
      <c r="E75" s="45" t="inlineStr">
        <is>
          <t>Verify</t>
        </is>
      </c>
      <c r="F75" s="25" t="inlineStr">
        <is>
          <t>EM Asia | MSCI country index, USD price</t>
        </is>
      </c>
    </row>
    <row r="76">
      <c r="A76" s="13" t="inlineStr">
        <is>
          <t>Korea MSCI (USD)</t>
        </is>
      </c>
      <c r="B76" s="52" t="inlineStr">
        <is>
          <t>MXKR Index</t>
        </is>
      </c>
      <c r="C76" s="53" t="inlineStr">
        <is>
          <t>PX_LAST</t>
        </is>
      </c>
      <c r="D76" s="39" t="inlineStr">
        <is>
          <t>idx</t>
        </is>
      </c>
      <c r="E76" s="54" t="inlineStr">
        <is>
          <t>High</t>
        </is>
      </c>
      <c r="F76" s="25" t="inlineStr">
        <is>
          <t>EM Asia | MSCI country index, USD price</t>
        </is>
      </c>
    </row>
    <row r="77">
      <c r="A77" s="13" t="inlineStr">
        <is>
          <t>Thailand MSCI (USD)</t>
        </is>
      </c>
      <c r="B77" s="52" t="inlineStr">
        <is>
          <t>MXTH Index</t>
        </is>
      </c>
      <c r="C77" s="53" t="inlineStr">
        <is>
          <t>PX_LAST</t>
        </is>
      </c>
      <c r="D77" s="39" t="inlineStr">
        <is>
          <t>idx</t>
        </is>
      </c>
      <c r="E77" s="45" t="inlineStr">
        <is>
          <t>Verify</t>
        </is>
      </c>
      <c r="F77" s="25" t="inlineStr">
        <is>
          <t>EM Asia | MSCI country index, USD price</t>
        </is>
      </c>
    </row>
    <row r="78">
      <c r="A78" s="13" t="inlineStr">
        <is>
          <t>Malaysia MSCI (USD)</t>
        </is>
      </c>
      <c r="B78" s="52" t="inlineStr">
        <is>
          <t>MXMY Index</t>
        </is>
      </c>
      <c r="C78" s="53" t="inlineStr">
        <is>
          <t>PX_LAST</t>
        </is>
      </c>
      <c r="D78" s="39" t="inlineStr">
        <is>
          <t>idx</t>
        </is>
      </c>
      <c r="E78" s="45" t="inlineStr">
        <is>
          <t>Verify</t>
        </is>
      </c>
      <c r="F78" s="25" t="inlineStr">
        <is>
          <t>EM Asia | MSCI country index, USD price</t>
        </is>
      </c>
    </row>
    <row r="79">
      <c r="A79" s="13" t="inlineStr">
        <is>
          <t>Philippines MSCI (USD)</t>
        </is>
      </c>
      <c r="B79" s="52" t="inlineStr">
        <is>
          <t>MXPH Index</t>
        </is>
      </c>
      <c r="C79" s="53" t="inlineStr">
        <is>
          <t>PX_LAST</t>
        </is>
      </c>
      <c r="D79" s="39" t="inlineStr">
        <is>
          <t>idx</t>
        </is>
      </c>
      <c r="E79" s="45" t="inlineStr">
        <is>
          <t>Verify</t>
        </is>
      </c>
      <c r="F79" s="25" t="inlineStr">
        <is>
          <t>EM Asia | MSCI country index, USD price</t>
        </is>
      </c>
    </row>
    <row r="80">
      <c r="A80" s="13" t="inlineStr">
        <is>
          <t>South Africa MSCI (USD)</t>
        </is>
      </c>
      <c r="B80" s="52" t="inlineStr">
        <is>
          <t>MXZA Index</t>
        </is>
      </c>
      <c r="C80" s="53" t="inlineStr">
        <is>
          <t>PX_LAST</t>
        </is>
      </c>
      <c r="D80" s="39" t="inlineStr">
        <is>
          <t>idx</t>
        </is>
      </c>
      <c r="E80" s="45" t="inlineStr">
        <is>
          <t>Verify</t>
        </is>
      </c>
      <c r="F80" s="25" t="inlineStr">
        <is>
          <t>(memo) | MSCI country index, USD price</t>
        </is>
      </c>
    </row>
    <row r="81">
      <c r="A81" s="13" t="inlineStr">
        <is>
          <t>Brazil CDS 5Y</t>
        </is>
      </c>
      <c r="B81" s="52" t="inlineStr">
        <is>
          <t>BRAZIL CDS USD SR 5Y D14 Corp</t>
        </is>
      </c>
      <c r="C81" s="53" t="inlineStr">
        <is>
          <t>PX_LAST</t>
        </is>
      </c>
      <c r="D81" s="39" t="inlineStr">
        <is>
          <t>bp</t>
        </is>
      </c>
      <c r="E81" s="45" t="inlineStr">
        <is>
          <t>Verify</t>
        </is>
      </c>
      <c r="F81" s="25" t="inlineStr">
        <is>
          <t>LatAm</t>
        </is>
      </c>
    </row>
    <row r="82">
      <c r="A82" s="13" t="inlineStr">
        <is>
          <t>Mexico CDS 5Y</t>
        </is>
      </c>
      <c r="B82" s="52" t="inlineStr">
        <is>
          <t>MEX CDS USD SR 5Y D14 Corp</t>
        </is>
      </c>
      <c r="C82" s="53" t="inlineStr">
        <is>
          <t>PX_LAST</t>
        </is>
      </c>
      <c r="D82" s="39" t="inlineStr">
        <is>
          <t>bp</t>
        </is>
      </c>
      <c r="E82" s="45" t="inlineStr">
        <is>
          <t>Verify</t>
        </is>
      </c>
      <c r="F82" s="25" t="inlineStr">
        <is>
          <t>LatAm</t>
        </is>
      </c>
    </row>
    <row r="83">
      <c r="A83" s="13" t="inlineStr">
        <is>
          <t>Chile CDS 5Y</t>
        </is>
      </c>
      <c r="B83" s="52" t="inlineStr">
        <is>
          <t>CHILE CDS USD SR 5Y D14 Corp</t>
        </is>
      </c>
      <c r="C83" s="53" t="inlineStr">
        <is>
          <t>PX_LAST</t>
        </is>
      </c>
      <c r="D83" s="39" t="inlineStr">
        <is>
          <t>bp</t>
        </is>
      </c>
      <c r="E83" s="45" t="inlineStr">
        <is>
          <t>Verify</t>
        </is>
      </c>
      <c r="F83" s="25" t="inlineStr">
        <is>
          <t>LatAm</t>
        </is>
      </c>
    </row>
    <row r="84">
      <c r="A84" s="13" t="inlineStr">
        <is>
          <t>Colombia CDS 5Y</t>
        </is>
      </c>
      <c r="B84" s="52" t="inlineStr">
        <is>
          <t>COLOM CDS USD SR 5Y D14 Corp</t>
        </is>
      </c>
      <c r="C84" s="53" t="inlineStr">
        <is>
          <t>PX_LAST</t>
        </is>
      </c>
      <c r="D84" s="39" t="inlineStr">
        <is>
          <t>bp</t>
        </is>
      </c>
      <c r="E84" s="45" t="inlineStr">
        <is>
          <t>Verify</t>
        </is>
      </c>
      <c r="F84" s="25" t="inlineStr">
        <is>
          <t>LatAm</t>
        </is>
      </c>
    </row>
    <row r="85">
      <c r="A85" s="13" t="inlineStr">
        <is>
          <t>Peru CDS 5Y</t>
        </is>
      </c>
      <c r="B85" s="52" t="inlineStr">
        <is>
          <t>PERU CDS USD SR 5Y D14 Corp</t>
        </is>
      </c>
      <c r="C85" s="53" t="inlineStr">
        <is>
          <t>PX_LAST</t>
        </is>
      </c>
      <c r="D85" s="39" t="inlineStr">
        <is>
          <t>bp</t>
        </is>
      </c>
      <c r="E85" s="45" t="inlineStr">
        <is>
          <t>Verify</t>
        </is>
      </c>
      <c r="F85" s="25" t="inlineStr">
        <is>
          <t>LatAm</t>
        </is>
      </c>
    </row>
    <row r="86">
      <c r="A86" s="13" t="inlineStr">
        <is>
          <t>Poland CDS 5Y</t>
        </is>
      </c>
      <c r="B86" s="52" t="inlineStr">
        <is>
          <t>POLAND CDS USD SR 5Y D14 Corp</t>
        </is>
      </c>
      <c r="C86" s="53" t="inlineStr">
        <is>
          <t>PX_LAST</t>
        </is>
      </c>
      <c r="D86" s="39" t="inlineStr">
        <is>
          <t>bp</t>
        </is>
      </c>
      <c r="E86" s="45" t="inlineStr">
        <is>
          <t>Verify</t>
        </is>
      </c>
      <c r="F86" s="25" t="inlineStr">
        <is>
          <t>EM Europe</t>
        </is>
      </c>
    </row>
    <row r="87">
      <c r="A87" s="13" t="inlineStr">
        <is>
          <t>Hungary CDS 5Y</t>
        </is>
      </c>
      <c r="B87" s="52" t="inlineStr">
        <is>
          <t>REPHUN CDS USD SR 5Y D14 Corp</t>
        </is>
      </c>
      <c r="C87" s="53" t="inlineStr">
        <is>
          <t>PX_LAST</t>
        </is>
      </c>
      <c r="D87" s="39" t="inlineStr">
        <is>
          <t>bp</t>
        </is>
      </c>
      <c r="E87" s="45" t="inlineStr">
        <is>
          <t>Verify</t>
        </is>
      </c>
      <c r="F87" s="25" t="inlineStr">
        <is>
          <t>EM Europe</t>
        </is>
      </c>
    </row>
    <row r="88">
      <c r="A88" s="13" t="inlineStr">
        <is>
          <t>Czechia CDS 5Y</t>
        </is>
      </c>
      <c r="B88" s="52" t="inlineStr">
        <is>
          <t>CZECH CDS USD SR 5Y D14 Corp</t>
        </is>
      </c>
      <c r="C88" s="53" t="inlineStr">
        <is>
          <t>PX_LAST</t>
        </is>
      </c>
      <c r="D88" s="39" t="inlineStr">
        <is>
          <t>bp</t>
        </is>
      </c>
      <c r="E88" s="45" t="inlineStr">
        <is>
          <t>Verify</t>
        </is>
      </c>
      <c r="F88" s="25" t="inlineStr">
        <is>
          <t>EM Europe</t>
        </is>
      </c>
    </row>
    <row r="89">
      <c r="A89" s="13" t="inlineStr">
        <is>
          <t>Romania CDS 5Y</t>
        </is>
      </c>
      <c r="B89" s="52" t="inlineStr">
        <is>
          <t>ROMANI CDS USD SR 5Y D14 Corp</t>
        </is>
      </c>
      <c r="C89" s="53" t="inlineStr">
        <is>
          <t>PX_LAST</t>
        </is>
      </c>
      <c r="D89" s="39" t="inlineStr">
        <is>
          <t>bp</t>
        </is>
      </c>
      <c r="E89" s="45" t="inlineStr">
        <is>
          <t>Verify</t>
        </is>
      </c>
      <c r="F89" s="25" t="inlineStr">
        <is>
          <t>EM Europe</t>
        </is>
      </c>
    </row>
    <row r="90">
      <c r="A90" s="13" t="inlineStr">
        <is>
          <t>Turkiye CDS 5Y</t>
        </is>
      </c>
      <c r="B90" s="52" t="inlineStr">
        <is>
          <t>TURKEY CDS USD SR 5Y D14 Corp</t>
        </is>
      </c>
      <c r="C90" s="53" t="inlineStr">
        <is>
          <t>PX_LAST</t>
        </is>
      </c>
      <c r="D90" s="39" t="inlineStr">
        <is>
          <t>bp</t>
        </is>
      </c>
      <c r="E90" s="45" t="inlineStr">
        <is>
          <t>Verify</t>
        </is>
      </c>
      <c r="F90" s="25" t="inlineStr">
        <is>
          <t>EM Europe</t>
        </is>
      </c>
    </row>
    <row r="91">
      <c r="A91" s="13" t="inlineStr">
        <is>
          <t>Saudi Arabia CDS 5Y</t>
        </is>
      </c>
      <c r="B91" s="52" t="inlineStr">
        <is>
          <t>SAUDI CDS USD SR 5Y D14 Corp</t>
        </is>
      </c>
      <c r="C91" s="53" t="inlineStr">
        <is>
          <t>PX_LAST</t>
        </is>
      </c>
      <c r="D91" s="39" t="inlineStr">
        <is>
          <t>bp</t>
        </is>
      </c>
      <c r="E91" s="45" t="inlineStr">
        <is>
          <t>Verify</t>
        </is>
      </c>
      <c r="F91" s="25" t="inlineStr">
        <is>
          <t>Middle East</t>
        </is>
      </c>
    </row>
    <row r="92">
      <c r="A92" s="13" t="inlineStr">
        <is>
          <t>UAE (Abu Dhabi) CDS 5Y</t>
        </is>
      </c>
      <c r="B92" s="52" t="inlineStr">
        <is>
          <t>ADGB CDS USD SR 5Y D14 Corp</t>
        </is>
      </c>
      <c r="C92" s="53" t="inlineStr">
        <is>
          <t>PX_LAST</t>
        </is>
      </c>
      <c r="D92" s="39" t="inlineStr">
        <is>
          <t>bp</t>
        </is>
      </c>
      <c r="E92" s="45" t="inlineStr">
        <is>
          <t>Verify</t>
        </is>
      </c>
      <c r="F92" s="25" t="inlineStr">
        <is>
          <t>Middle East</t>
        </is>
      </c>
    </row>
    <row r="93">
      <c r="A93" s="13" t="inlineStr">
        <is>
          <t>Qatar CDS 5Y</t>
        </is>
      </c>
      <c r="B93" s="52" t="inlineStr">
        <is>
          <t>QATAR CDS USD SR 5Y D14 Corp</t>
        </is>
      </c>
      <c r="C93" s="53" t="inlineStr">
        <is>
          <t>PX_LAST</t>
        </is>
      </c>
      <c r="D93" s="39" t="inlineStr">
        <is>
          <t>bp</t>
        </is>
      </c>
      <c r="E93" s="45" t="inlineStr">
        <is>
          <t>Verify</t>
        </is>
      </c>
      <c r="F93" s="25" t="inlineStr">
        <is>
          <t>Middle East</t>
        </is>
      </c>
    </row>
    <row r="94">
      <c r="A94" s="13" t="inlineStr">
        <is>
          <t>Israel CDS 5Y</t>
        </is>
      </c>
      <c r="B94" s="52" t="inlineStr">
        <is>
          <t>ISRAEL CDS USD SR 5Y D14 Corp</t>
        </is>
      </c>
      <c r="C94" s="53" t="inlineStr">
        <is>
          <t>PX_LAST</t>
        </is>
      </c>
      <c r="D94" s="39" t="inlineStr">
        <is>
          <t>bp</t>
        </is>
      </c>
      <c r="E94" s="45" t="inlineStr">
        <is>
          <t>Verify</t>
        </is>
      </c>
      <c r="F94" s="25" t="inlineStr">
        <is>
          <t>Middle East</t>
        </is>
      </c>
    </row>
    <row r="95">
      <c r="A95" s="13" t="inlineStr">
        <is>
          <t>Egypt CDS 5Y</t>
        </is>
      </c>
      <c r="B95" s="52" t="inlineStr">
        <is>
          <t>EGYPT CDS USD SR 5Y D14 Corp</t>
        </is>
      </c>
      <c r="C95" s="53" t="inlineStr">
        <is>
          <t>PX_LAST</t>
        </is>
      </c>
      <c r="D95" s="39" t="inlineStr">
        <is>
          <t>bp</t>
        </is>
      </c>
      <c r="E95" s="45" t="inlineStr">
        <is>
          <t>Verify</t>
        </is>
      </c>
      <c r="F95" s="25" t="inlineStr">
        <is>
          <t>Middle East</t>
        </is>
      </c>
    </row>
    <row r="96">
      <c r="A96" s="13" t="inlineStr">
        <is>
          <t>China CDS 5Y</t>
        </is>
      </c>
      <c r="B96" s="52" t="inlineStr">
        <is>
          <t>CHINA CDS USD SR 5Y D14 Corp</t>
        </is>
      </c>
      <c r="C96" s="53" t="inlineStr">
        <is>
          <t>PX_LAST</t>
        </is>
      </c>
      <c r="D96" s="39" t="inlineStr">
        <is>
          <t>bp</t>
        </is>
      </c>
      <c r="E96" s="45" t="inlineStr">
        <is>
          <t>Verify</t>
        </is>
      </c>
      <c r="F96" s="25" t="inlineStr">
        <is>
          <t>EM Asia</t>
        </is>
      </c>
    </row>
    <row r="97">
      <c r="A97" s="13" t="inlineStr">
        <is>
          <t>Indonesia CDS 5Y</t>
        </is>
      </c>
      <c r="B97" s="52" t="inlineStr">
        <is>
          <t>INDON CDS USD SR 5Y D14 Corp</t>
        </is>
      </c>
      <c r="C97" s="53" t="inlineStr">
        <is>
          <t>PX_LAST</t>
        </is>
      </c>
      <c r="D97" s="39" t="inlineStr">
        <is>
          <t>bp</t>
        </is>
      </c>
      <c r="E97" s="45" t="inlineStr">
        <is>
          <t>Verify</t>
        </is>
      </c>
      <c r="F97" s="25" t="inlineStr">
        <is>
          <t>EM Asia</t>
        </is>
      </c>
    </row>
    <row r="98">
      <c r="A98" s="13" t="inlineStr">
        <is>
          <t>Korea CDS 5Y</t>
        </is>
      </c>
      <c r="B98" s="52" t="inlineStr">
        <is>
          <t>KOREA CDS USD SR 5Y D14 Corp</t>
        </is>
      </c>
      <c r="C98" s="53" t="inlineStr">
        <is>
          <t>PX_LAST</t>
        </is>
      </c>
      <c r="D98" s="39" t="inlineStr">
        <is>
          <t>bp</t>
        </is>
      </c>
      <c r="E98" s="45" t="inlineStr">
        <is>
          <t>Verify</t>
        </is>
      </c>
      <c r="F98" s="25" t="inlineStr">
        <is>
          <t>EM Asia</t>
        </is>
      </c>
    </row>
    <row r="99">
      <c r="A99" s="13" t="inlineStr">
        <is>
          <t>Thailand CDS 5Y</t>
        </is>
      </c>
      <c r="B99" s="52" t="inlineStr">
        <is>
          <t>THAI CDS USD SR 5Y D14 Corp</t>
        </is>
      </c>
      <c r="C99" s="53" t="inlineStr">
        <is>
          <t>PX_LAST</t>
        </is>
      </c>
      <c r="D99" s="39" t="inlineStr">
        <is>
          <t>bp</t>
        </is>
      </c>
      <c r="E99" s="45" t="inlineStr">
        <is>
          <t>Verify</t>
        </is>
      </c>
      <c r="F99" s="25" t="inlineStr">
        <is>
          <t>EM Asia</t>
        </is>
      </c>
    </row>
    <row r="100">
      <c r="A100" s="13" t="inlineStr">
        <is>
          <t>Malaysia CDS 5Y</t>
        </is>
      </c>
      <c r="B100" s="52" t="inlineStr">
        <is>
          <t>MALAYS CDS USD SR 5Y D14 Corp</t>
        </is>
      </c>
      <c r="C100" s="53" t="inlineStr">
        <is>
          <t>PX_LAST</t>
        </is>
      </c>
      <c r="D100" s="39" t="inlineStr">
        <is>
          <t>bp</t>
        </is>
      </c>
      <c r="E100" s="45" t="inlineStr">
        <is>
          <t>Verify</t>
        </is>
      </c>
      <c r="F100" s="25" t="inlineStr">
        <is>
          <t>EM Asia</t>
        </is>
      </c>
    </row>
    <row r="101">
      <c r="A101" s="13" t="inlineStr">
        <is>
          <t>Philippines CDS 5Y</t>
        </is>
      </c>
      <c r="B101" s="52" t="inlineStr">
        <is>
          <t>PHILIP CDS USD SR 5Y D14 Corp</t>
        </is>
      </c>
      <c r="C101" s="53" t="inlineStr">
        <is>
          <t>PX_LAST</t>
        </is>
      </c>
      <c r="D101" s="39" t="inlineStr">
        <is>
          <t>bp</t>
        </is>
      </c>
      <c r="E101" s="45" t="inlineStr">
        <is>
          <t>Verify</t>
        </is>
      </c>
      <c r="F101" s="25" t="inlineStr">
        <is>
          <t>EM Asia</t>
        </is>
      </c>
    </row>
    <row r="102">
      <c r="A102" s="13" t="inlineStr">
        <is>
          <t>South Africa CDS 5Y</t>
        </is>
      </c>
      <c r="B102" s="52" t="inlineStr">
        <is>
          <t>SOAF CDS USD SR 5Y D14 Corp</t>
        </is>
      </c>
      <c r="C102" s="53" t="inlineStr">
        <is>
          <t>PX_LAST</t>
        </is>
      </c>
      <c r="D102" s="39" t="inlineStr">
        <is>
          <t>bp</t>
        </is>
      </c>
      <c r="E102" s="45" t="inlineStr">
        <is>
          <t>Verify</t>
        </is>
      </c>
      <c r="F102" s="25" t="inlineStr">
        <is>
          <t>(memo)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E79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11" customWidth="1" min="168" max="168"/>
    <col width="11" customWidth="1" min="169" max="169"/>
    <col width="11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11" customWidth="1" min="175" max="175"/>
    <col width="11" customWidth="1" min="176" max="176"/>
    <col width="11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11" customWidth="1" min="182" max="182"/>
    <col width="11" customWidth="1" min="183" max="183"/>
    <col width="11" customWidth="1" min="184" max="184"/>
    <col width="11" customWidth="1" min="185" max="185"/>
    <col width="11" customWidth="1" min="186" max="186"/>
    <col width="11" customWidth="1" min="187" max="187"/>
  </cols>
  <sheetData>
    <row r="1">
      <c r="A1" s="1" t="inlineStr">
        <is>
          <t>DAILY HISTORY  —  3y weekday block, newest first</t>
        </is>
      </c>
    </row>
    <row r="2">
      <c r="A2" s="2" t="inlineStr">
        <is>
          <t>One BDH per series, row 8 = most recent. Column A/B come from one BDH with Dts=S; every other pulled column uses Dts=H.</t>
        </is>
      </c>
    </row>
    <row r="4">
      <c r="A4" s="7" t="inlineStr">
        <is>
          <t>Pulled from Bloomberg</t>
        </is>
      </c>
    </row>
    <row r="5">
      <c r="A5" s="55" t="inlineStr">
        <is>
          <t>Date</t>
        </is>
      </c>
      <c r="B5" s="55" t="inlineStr">
        <is>
          <t>MSCI World (USD)</t>
        </is>
      </c>
      <c r="C5" s="55" t="inlineStr">
        <is>
          <t>MSCI EM (USD)</t>
        </is>
      </c>
      <c r="D5" s="55" t="inlineStr">
        <is>
          <t>UST 2Y</t>
        </is>
      </c>
      <c r="E5" s="55" t="inlineStr">
        <is>
          <t>UST 5Y</t>
        </is>
      </c>
      <c r="F5" s="55" t="inlineStr">
        <is>
          <t>UST 10Y</t>
        </is>
      </c>
      <c r="G5" s="55" t="inlineStr">
        <is>
          <t>UST 30Y</t>
        </is>
      </c>
      <c r="H5" s="55" t="inlineStr">
        <is>
          <t>UST 10Y real</t>
        </is>
      </c>
      <c r="I5" s="55" t="inlineStr">
        <is>
          <t>Breakeven 10Y</t>
        </is>
      </c>
      <c r="J5" s="55" t="inlineStr">
        <is>
          <t>ACM term premium 10Y</t>
        </is>
      </c>
      <c r="K5" s="55" t="inlineStr">
        <is>
          <t>DXY</t>
        </is>
      </c>
      <c r="L5" s="55" t="inlineStr">
        <is>
          <t>EM USD Aggregate OAS</t>
        </is>
      </c>
      <c r="M5" s="55" t="inlineStr">
        <is>
          <t>EM USD Aggregate TR idx</t>
        </is>
      </c>
      <c r="N5" s="55" t="inlineStr">
        <is>
          <t>Brazil FX</t>
        </is>
      </c>
      <c r="O5" s="55" t="inlineStr">
        <is>
          <t>Mexico FX</t>
        </is>
      </c>
      <c r="P5" s="55" t="inlineStr">
        <is>
          <t>Chile FX</t>
        </is>
      </c>
      <c r="Q5" s="55" t="inlineStr">
        <is>
          <t>Colombia FX</t>
        </is>
      </c>
      <c r="R5" s="55" t="inlineStr">
        <is>
          <t>Peru FX</t>
        </is>
      </c>
      <c r="S5" s="55" t="inlineStr">
        <is>
          <t>Poland FX</t>
        </is>
      </c>
      <c r="T5" s="55" t="inlineStr">
        <is>
          <t>Hungary FX</t>
        </is>
      </c>
      <c r="U5" s="55" t="inlineStr">
        <is>
          <t>Czechia FX</t>
        </is>
      </c>
      <c r="V5" s="55" t="inlineStr">
        <is>
          <t>Romania FX</t>
        </is>
      </c>
      <c r="W5" s="55" t="inlineStr">
        <is>
          <t>Turkiye FX</t>
        </is>
      </c>
      <c r="X5" s="55" t="inlineStr">
        <is>
          <t>Israel FX</t>
        </is>
      </c>
      <c r="Y5" s="55" t="inlineStr">
        <is>
          <t>Egypt FX</t>
        </is>
      </c>
      <c r="Z5" s="55" t="inlineStr">
        <is>
          <t>China FX</t>
        </is>
      </c>
      <c r="AA5" s="55" t="inlineStr">
        <is>
          <t>India FX</t>
        </is>
      </c>
      <c r="AB5" s="55" t="inlineStr">
        <is>
          <t>Indonesia FX</t>
        </is>
      </c>
      <c r="AC5" s="55" t="inlineStr">
        <is>
          <t>Korea FX</t>
        </is>
      </c>
      <c r="AD5" s="55" t="inlineStr">
        <is>
          <t>Thailand FX</t>
        </is>
      </c>
      <c r="AE5" s="55" t="inlineStr">
        <is>
          <t>Malaysia FX</t>
        </is>
      </c>
      <c r="AF5" s="55" t="inlineStr">
        <is>
          <t>Philippines FX</t>
        </is>
      </c>
      <c r="AG5" s="55" t="inlineStr">
        <is>
          <t>South Africa FX</t>
        </is>
      </c>
      <c r="AH5" s="55" t="inlineStr">
        <is>
          <t>Brazil 10Y</t>
        </is>
      </c>
      <c r="AI5" s="55" t="inlineStr">
        <is>
          <t>Mexico 10Y</t>
        </is>
      </c>
      <c r="AJ5" s="55" t="inlineStr">
        <is>
          <t>Chile 10Y</t>
        </is>
      </c>
      <c r="AK5" s="55" t="inlineStr">
        <is>
          <t>Colombia 10Y</t>
        </is>
      </c>
      <c r="AL5" s="55" t="inlineStr">
        <is>
          <t>Peru 10Y</t>
        </is>
      </c>
      <c r="AM5" s="55" t="inlineStr">
        <is>
          <t>Poland 10Y</t>
        </is>
      </c>
      <c r="AN5" s="55" t="inlineStr">
        <is>
          <t>Hungary 10Y</t>
        </is>
      </c>
      <c r="AO5" s="55" t="inlineStr">
        <is>
          <t>Czechia 10Y</t>
        </is>
      </c>
      <c r="AP5" s="55" t="inlineStr">
        <is>
          <t>Romania 10Y</t>
        </is>
      </c>
      <c r="AQ5" s="55" t="inlineStr">
        <is>
          <t>Turkiye 10Y</t>
        </is>
      </c>
      <c r="AR5" s="55" t="inlineStr">
        <is>
          <t>Israel 10Y</t>
        </is>
      </c>
      <c r="AS5" s="55" t="inlineStr">
        <is>
          <t>Egypt 10Y</t>
        </is>
      </c>
      <c r="AT5" s="55" t="inlineStr">
        <is>
          <t>China 10Y</t>
        </is>
      </c>
      <c r="AU5" s="55" t="inlineStr">
        <is>
          <t>India 10Y</t>
        </is>
      </c>
      <c r="AV5" s="55" t="inlineStr">
        <is>
          <t>Indonesia 10Y</t>
        </is>
      </c>
      <c r="AW5" s="55" t="inlineStr">
        <is>
          <t>Korea 10Y</t>
        </is>
      </c>
      <c r="AX5" s="55" t="inlineStr">
        <is>
          <t>Thailand 10Y</t>
        </is>
      </c>
      <c r="AY5" s="55" t="inlineStr">
        <is>
          <t>Malaysia 10Y</t>
        </is>
      </c>
      <c r="AZ5" s="55" t="inlineStr">
        <is>
          <t>Philippines 10Y</t>
        </is>
      </c>
      <c r="BA5" s="55" t="inlineStr">
        <is>
          <t>South Africa 10Y</t>
        </is>
      </c>
      <c r="BB5" s="55" t="inlineStr">
        <is>
          <t>Brazil MSCI (USD)</t>
        </is>
      </c>
      <c r="BC5" s="55" t="inlineStr">
        <is>
          <t>Mexico MSCI (USD)</t>
        </is>
      </c>
      <c r="BD5" s="55" t="inlineStr">
        <is>
          <t>Chile MSCI (USD)</t>
        </is>
      </c>
      <c r="BE5" s="55" t="inlineStr">
        <is>
          <t>Colombia MSCI (USD)</t>
        </is>
      </c>
      <c r="BF5" s="55" t="inlineStr">
        <is>
          <t>Peru MSCI (USD)</t>
        </is>
      </c>
      <c r="BG5" s="55" t="inlineStr">
        <is>
          <t>Poland MSCI (USD)</t>
        </is>
      </c>
      <c r="BH5" s="55" t="inlineStr">
        <is>
          <t>Hungary MSCI (USD)</t>
        </is>
      </c>
      <c r="BI5" s="55" t="inlineStr">
        <is>
          <t>Czechia MSCI (USD)</t>
        </is>
      </c>
      <c r="BJ5" s="55" t="inlineStr">
        <is>
          <t>Romania MSCI (USD)</t>
        </is>
      </c>
      <c r="BK5" s="55" t="inlineStr">
        <is>
          <t>Turkiye MSCI (USD)</t>
        </is>
      </c>
      <c r="BL5" s="55" t="inlineStr">
        <is>
          <t>Saudi Arabia MSCI (USD)</t>
        </is>
      </c>
      <c r="BM5" s="55" t="inlineStr">
        <is>
          <t>UAE (Abu Dhabi) MSCI (USD)</t>
        </is>
      </c>
      <c r="BN5" s="55" t="inlineStr">
        <is>
          <t>Qatar MSCI (USD)</t>
        </is>
      </c>
      <c r="BO5" s="55" t="inlineStr">
        <is>
          <t>Israel MSCI (USD)</t>
        </is>
      </c>
      <c r="BP5" s="55" t="inlineStr">
        <is>
          <t>Egypt MSCI (USD)</t>
        </is>
      </c>
      <c r="BQ5" s="55" t="inlineStr">
        <is>
          <t>China MSCI (USD)</t>
        </is>
      </c>
      <c r="BR5" s="55" t="inlineStr">
        <is>
          <t>India MSCI (USD)</t>
        </is>
      </c>
      <c r="BS5" s="55" t="inlineStr">
        <is>
          <t>Indonesia MSCI (USD)</t>
        </is>
      </c>
      <c r="BT5" s="55" t="inlineStr">
        <is>
          <t>Korea MSCI (USD)</t>
        </is>
      </c>
      <c r="BU5" s="55" t="inlineStr">
        <is>
          <t>Thailand MSCI (USD)</t>
        </is>
      </c>
      <c r="BV5" s="55" t="inlineStr">
        <is>
          <t>Malaysia MSCI (USD)</t>
        </is>
      </c>
      <c r="BW5" s="55" t="inlineStr">
        <is>
          <t>Philippines MSCI (USD)</t>
        </is>
      </c>
      <c r="BX5" s="55" t="inlineStr">
        <is>
          <t>South Africa MSCI (USD)</t>
        </is>
      </c>
      <c r="BY5" s="55" t="inlineStr">
        <is>
          <t>Brazil CDS 5Y</t>
        </is>
      </c>
      <c r="BZ5" s="55" t="inlineStr">
        <is>
          <t>Mexico CDS 5Y</t>
        </is>
      </c>
      <c r="CA5" s="55" t="inlineStr">
        <is>
          <t>Chile CDS 5Y</t>
        </is>
      </c>
      <c r="CB5" s="55" t="inlineStr">
        <is>
          <t>Colombia CDS 5Y</t>
        </is>
      </c>
      <c r="CC5" s="55" t="inlineStr">
        <is>
          <t>Peru CDS 5Y</t>
        </is>
      </c>
      <c r="CD5" s="55" t="inlineStr">
        <is>
          <t>Poland CDS 5Y</t>
        </is>
      </c>
      <c r="CE5" s="55" t="inlineStr">
        <is>
          <t>Hungary CDS 5Y</t>
        </is>
      </c>
      <c r="CF5" s="55" t="inlineStr">
        <is>
          <t>Czechia CDS 5Y</t>
        </is>
      </c>
      <c r="CG5" s="55" t="inlineStr">
        <is>
          <t>Romania CDS 5Y</t>
        </is>
      </c>
      <c r="CH5" s="55" t="inlineStr">
        <is>
          <t>Turkiye CDS 5Y</t>
        </is>
      </c>
      <c r="CI5" s="55" t="inlineStr">
        <is>
          <t>Saudi Arabia CDS 5Y</t>
        </is>
      </c>
      <c r="CJ5" s="55" t="inlineStr">
        <is>
          <t>UAE (Abu Dhabi) CDS 5Y</t>
        </is>
      </c>
      <c r="CK5" s="55" t="inlineStr">
        <is>
          <t>Qatar CDS 5Y</t>
        </is>
      </c>
      <c r="CL5" s="55" t="inlineStr">
        <is>
          <t>Israel CDS 5Y</t>
        </is>
      </c>
      <c r="CM5" s="55" t="inlineStr">
        <is>
          <t>Egypt CDS 5Y</t>
        </is>
      </c>
      <c r="CN5" s="55" t="inlineStr">
        <is>
          <t>China CDS 5Y</t>
        </is>
      </c>
      <c r="CO5" s="55" t="inlineStr">
        <is>
          <t>Indonesia CDS 5Y</t>
        </is>
      </c>
      <c r="CP5" s="55" t="inlineStr">
        <is>
          <t>Korea CDS 5Y</t>
        </is>
      </c>
      <c r="CQ5" s="55" t="inlineStr">
        <is>
          <t>Thailand CDS 5Y</t>
        </is>
      </c>
      <c r="CR5" s="55" t="inlineStr">
        <is>
          <t>Malaysia CDS 5Y</t>
        </is>
      </c>
      <c r="CS5" s="55" t="inlineStr">
        <is>
          <t>Philippines CDS 5Y</t>
        </is>
      </c>
      <c r="CT5" s="55" t="inlineStr">
        <is>
          <t>South Africa CDS 5Y</t>
        </is>
      </c>
      <c r="CU5" s="55" t="inlineStr">
        <is>
          <t>MSCI World return (1d)</t>
        </is>
      </c>
      <c r="CV5" s="55" t="inlineStr">
        <is>
          <t>d UST 10Y (1d)</t>
        </is>
      </c>
      <c r="CW5" s="55" t="inlineStr">
        <is>
          <t>d UST 5Y (1d)</t>
        </is>
      </c>
      <c r="CX5" s="55" t="inlineStr">
        <is>
          <t>DXY return (1d)</t>
        </is>
      </c>
      <c r="CY5" s="55" t="inlineStr">
        <is>
          <t>d Brazil 10Y (1d)</t>
        </is>
      </c>
      <c r="CZ5" s="55" t="inlineStr">
        <is>
          <t>d Mexico 10Y (1d)</t>
        </is>
      </c>
      <c r="DA5" s="55" t="inlineStr">
        <is>
          <t>d Chile 10Y (1d)</t>
        </is>
      </c>
      <c r="DB5" s="55" t="inlineStr">
        <is>
          <t>d Colombia 10Y (1d)</t>
        </is>
      </c>
      <c r="DC5" s="55" t="inlineStr">
        <is>
          <t>d Peru 10Y (1d)</t>
        </is>
      </c>
      <c r="DD5" s="55" t="inlineStr">
        <is>
          <t>d Poland 10Y (1d)</t>
        </is>
      </c>
      <c r="DE5" s="55" t="inlineStr">
        <is>
          <t>d Hungary 10Y (1d)</t>
        </is>
      </c>
      <c r="DF5" s="55" t="inlineStr">
        <is>
          <t>d Czechia 10Y (1d)</t>
        </is>
      </c>
      <c r="DG5" s="55" t="inlineStr">
        <is>
          <t>d Romania 10Y (1d)</t>
        </is>
      </c>
      <c r="DH5" s="55" t="inlineStr">
        <is>
          <t>d Turkiye 10Y (1d)</t>
        </is>
      </c>
      <c r="DI5" s="55" t="inlineStr">
        <is>
          <t>d Israel 10Y (1d)</t>
        </is>
      </c>
      <c r="DJ5" s="55" t="inlineStr">
        <is>
          <t>d Egypt 10Y (1d)</t>
        </is>
      </c>
      <c r="DK5" s="55" t="inlineStr">
        <is>
          <t>d China 10Y (1d)</t>
        </is>
      </c>
      <c r="DL5" s="55" t="inlineStr">
        <is>
          <t>d India 10Y (1d)</t>
        </is>
      </c>
      <c r="DM5" s="55" t="inlineStr">
        <is>
          <t>d Indonesia 10Y (1d)</t>
        </is>
      </c>
      <c r="DN5" s="55" t="inlineStr">
        <is>
          <t>d Korea 10Y (1d)</t>
        </is>
      </c>
      <c r="DO5" s="55" t="inlineStr">
        <is>
          <t>d Thailand 10Y (1d)</t>
        </is>
      </c>
      <c r="DP5" s="55" t="inlineStr">
        <is>
          <t>d Malaysia 10Y (1d)</t>
        </is>
      </c>
      <c r="DQ5" s="55" t="inlineStr">
        <is>
          <t>d Philippines 10Y (1d)</t>
        </is>
      </c>
      <c r="DR5" s="55" t="inlineStr">
        <is>
          <t>d South Africa 10Y (1d)</t>
        </is>
      </c>
      <c r="DS5" s="55" t="inlineStr">
        <is>
          <t>Brazil ccy return (1d)</t>
        </is>
      </c>
      <c r="DT5" s="55" t="inlineStr">
        <is>
          <t>Mexico ccy return (1d)</t>
        </is>
      </c>
      <c r="DU5" s="55" t="inlineStr">
        <is>
          <t>Chile ccy return (1d)</t>
        </is>
      </c>
      <c r="DV5" s="55" t="inlineStr">
        <is>
          <t>Colombia ccy return (1d)</t>
        </is>
      </c>
      <c r="DW5" s="55" t="inlineStr">
        <is>
          <t>Peru ccy return (1d)</t>
        </is>
      </c>
      <c r="DX5" s="55" t="inlineStr">
        <is>
          <t>Poland ccy return (1d)</t>
        </is>
      </c>
      <c r="DY5" s="55" t="inlineStr">
        <is>
          <t>Hungary ccy return (1d)</t>
        </is>
      </c>
      <c r="DZ5" s="55" t="inlineStr">
        <is>
          <t>Czechia ccy return (1d)</t>
        </is>
      </c>
      <c r="EA5" s="55" t="inlineStr">
        <is>
          <t>Romania ccy return (1d)</t>
        </is>
      </c>
      <c r="EB5" s="55" t="inlineStr">
        <is>
          <t>Turkiye ccy return (1d)</t>
        </is>
      </c>
      <c r="EC5" s="55" t="inlineStr">
        <is>
          <t>Israel ccy return (1d)</t>
        </is>
      </c>
      <c r="ED5" s="55" t="inlineStr">
        <is>
          <t>Egypt ccy return (1d)</t>
        </is>
      </c>
      <c r="EE5" s="55" t="inlineStr">
        <is>
          <t>China ccy return (1d)</t>
        </is>
      </c>
      <c r="EF5" s="55" t="inlineStr">
        <is>
          <t>India ccy return (1d)</t>
        </is>
      </c>
      <c r="EG5" s="55" t="inlineStr">
        <is>
          <t>Indonesia ccy return (1d)</t>
        </is>
      </c>
      <c r="EH5" s="55" t="inlineStr">
        <is>
          <t>Korea ccy return (1d)</t>
        </is>
      </c>
      <c r="EI5" s="55" t="inlineStr">
        <is>
          <t>Thailand ccy return (1d)</t>
        </is>
      </c>
      <c r="EJ5" s="55" t="inlineStr">
        <is>
          <t>Malaysia ccy return (1d)</t>
        </is>
      </c>
      <c r="EK5" s="55" t="inlineStr">
        <is>
          <t>Philippines ccy return (1d)</t>
        </is>
      </c>
      <c r="EL5" s="55" t="inlineStr">
        <is>
          <t>South Africa ccy return (1d)</t>
        </is>
      </c>
      <c r="EM5" s="55" t="inlineStr">
        <is>
          <t>Brazil MSCI return (1d)</t>
        </is>
      </c>
      <c r="EN5" s="55" t="inlineStr">
        <is>
          <t>Mexico MSCI return (1d)</t>
        </is>
      </c>
      <c r="EO5" s="55" t="inlineStr">
        <is>
          <t>Chile MSCI return (1d)</t>
        </is>
      </c>
      <c r="EP5" s="55" t="inlineStr">
        <is>
          <t>Colombia MSCI return (1d)</t>
        </is>
      </c>
      <c r="EQ5" s="55" t="inlineStr">
        <is>
          <t>Peru MSCI return (1d)</t>
        </is>
      </c>
      <c r="ER5" s="55" t="inlineStr">
        <is>
          <t>Poland MSCI return (1d)</t>
        </is>
      </c>
      <c r="ES5" s="55" t="inlineStr">
        <is>
          <t>Hungary MSCI return (1d)</t>
        </is>
      </c>
      <c r="ET5" s="55" t="inlineStr">
        <is>
          <t>Czechia MSCI return (1d)</t>
        </is>
      </c>
      <c r="EU5" s="55" t="inlineStr">
        <is>
          <t>Romania MSCI return (1d)</t>
        </is>
      </c>
      <c r="EV5" s="55" t="inlineStr">
        <is>
          <t>Turkiye MSCI return (1d)</t>
        </is>
      </c>
      <c r="EW5" s="55" t="inlineStr">
        <is>
          <t>Saudi Arabia MSCI return (1d)</t>
        </is>
      </c>
      <c r="EX5" s="55" t="inlineStr">
        <is>
          <t>UAE (Abu Dhabi) MSCI return (1d)</t>
        </is>
      </c>
      <c r="EY5" s="55" t="inlineStr">
        <is>
          <t>Qatar MSCI return (1d)</t>
        </is>
      </c>
      <c r="EZ5" s="55" t="inlineStr">
        <is>
          <t>Israel MSCI return (1d)</t>
        </is>
      </c>
      <c r="FA5" s="55" t="inlineStr">
        <is>
          <t>Egypt MSCI return (1d)</t>
        </is>
      </c>
      <c r="FB5" s="55" t="inlineStr">
        <is>
          <t>China MSCI return (1d)</t>
        </is>
      </c>
      <c r="FC5" s="55" t="inlineStr">
        <is>
          <t>India MSCI return (1d)</t>
        </is>
      </c>
      <c r="FD5" s="55" t="inlineStr">
        <is>
          <t>Indonesia MSCI return (1d)</t>
        </is>
      </c>
      <c r="FE5" s="55" t="inlineStr">
        <is>
          <t>Korea MSCI return (1d)</t>
        </is>
      </c>
      <c r="FF5" s="55" t="inlineStr">
        <is>
          <t>Thailand MSCI return (1d)</t>
        </is>
      </c>
      <c r="FG5" s="55" t="inlineStr">
        <is>
          <t>Malaysia MSCI return (1d)</t>
        </is>
      </c>
      <c r="FH5" s="55" t="inlineStr">
        <is>
          <t>Philippines MSCI return (1d)</t>
        </is>
      </c>
      <c r="FI5" s="55" t="inlineStr">
        <is>
          <t>South Africa MSCI return (1d)</t>
        </is>
      </c>
      <c r="FJ5" s="55" t="inlineStr">
        <is>
          <t>d Brazil CDS (1d)</t>
        </is>
      </c>
      <c r="FK5" s="55" t="inlineStr">
        <is>
          <t>d Mexico CDS (1d)</t>
        </is>
      </c>
      <c r="FL5" s="55" t="inlineStr">
        <is>
          <t>d Chile CDS (1d)</t>
        </is>
      </c>
      <c r="FM5" s="55" t="inlineStr">
        <is>
          <t>d Colombia CDS (1d)</t>
        </is>
      </c>
      <c r="FN5" s="55" t="inlineStr">
        <is>
          <t>d Peru CDS (1d)</t>
        </is>
      </c>
      <c r="FO5" s="55" t="inlineStr">
        <is>
          <t>d Poland CDS (1d)</t>
        </is>
      </c>
      <c r="FP5" s="55" t="inlineStr">
        <is>
          <t>d Hungary CDS (1d)</t>
        </is>
      </c>
      <c r="FQ5" s="55" t="inlineStr">
        <is>
          <t>d Czechia CDS (1d)</t>
        </is>
      </c>
      <c r="FR5" s="55" t="inlineStr">
        <is>
          <t>d Romania CDS (1d)</t>
        </is>
      </c>
      <c r="FS5" s="55" t="inlineStr">
        <is>
          <t>d Turkiye CDS (1d)</t>
        </is>
      </c>
      <c r="FT5" s="55" t="inlineStr">
        <is>
          <t>d Saudi Arabia CDS (1d)</t>
        </is>
      </c>
      <c r="FU5" s="55" t="inlineStr">
        <is>
          <t>d UAE (Abu Dhabi) CDS (1d)</t>
        </is>
      </c>
      <c r="FV5" s="55" t="inlineStr">
        <is>
          <t>d Qatar CDS (1d)</t>
        </is>
      </c>
      <c r="FW5" s="55" t="inlineStr">
        <is>
          <t>d Israel CDS (1d)</t>
        </is>
      </c>
      <c r="FX5" s="55" t="inlineStr">
        <is>
          <t>d Egypt CDS (1d)</t>
        </is>
      </c>
      <c r="FY5" s="55" t="inlineStr">
        <is>
          <t>d China CDS (1d)</t>
        </is>
      </c>
      <c r="FZ5" s="55" t="inlineStr">
        <is>
          <t>d Indonesia CDS (1d)</t>
        </is>
      </c>
      <c r="GA5" s="55" t="inlineStr">
        <is>
          <t>d Korea CDS (1d)</t>
        </is>
      </c>
      <c r="GB5" s="55" t="inlineStr">
        <is>
          <t>d Thailand CDS (1d)</t>
        </is>
      </c>
      <c r="GC5" s="55" t="inlineStr">
        <is>
          <t>d Malaysia CDS (1d)</t>
        </is>
      </c>
      <c r="GD5" s="55" t="inlineStr">
        <is>
          <t>d Philippines CDS (1d)</t>
        </is>
      </c>
      <c r="GE5" s="55" t="inlineStr">
        <is>
          <t>d South Africa CDS (1d)</t>
        </is>
      </c>
    </row>
    <row r="6">
      <c r="B6" s="55">
        <f>Tickers!$B$6</f>
        <v/>
      </c>
      <c r="C6" s="55">
        <f>Tickers!$B$7</f>
        <v/>
      </c>
      <c r="D6" s="55">
        <f>Tickers!$B$8</f>
        <v/>
      </c>
      <c r="E6" s="55">
        <f>Tickers!$B$9</f>
        <v/>
      </c>
      <c r="F6" s="55">
        <f>Tickers!$B$10</f>
        <v/>
      </c>
      <c r="G6" s="55">
        <f>Tickers!$B$11</f>
        <v/>
      </c>
      <c r="H6" s="55">
        <f>Tickers!$B$12</f>
        <v/>
      </c>
      <c r="I6" s="55">
        <f>Tickers!$B$13</f>
        <v/>
      </c>
      <c r="J6" s="55">
        <f>Tickers!$B$14</f>
        <v/>
      </c>
      <c r="K6" s="55">
        <f>Tickers!$B$15</f>
        <v/>
      </c>
      <c r="L6" s="55">
        <f>Tickers!$B$16</f>
        <v/>
      </c>
      <c r="M6" s="55">
        <f>Tickers!$B$17</f>
        <v/>
      </c>
      <c r="N6" s="55">
        <f>Tickers!$B$18</f>
        <v/>
      </c>
      <c r="O6" s="55">
        <f>Tickers!$B$19</f>
        <v/>
      </c>
      <c r="P6" s="55">
        <f>Tickers!$B$20</f>
        <v/>
      </c>
      <c r="Q6" s="55">
        <f>Tickers!$B$21</f>
        <v/>
      </c>
      <c r="R6" s="55">
        <f>Tickers!$B$22</f>
        <v/>
      </c>
      <c r="S6" s="55">
        <f>Tickers!$B$23</f>
        <v/>
      </c>
      <c r="T6" s="55">
        <f>Tickers!$B$24</f>
        <v/>
      </c>
      <c r="U6" s="55">
        <f>Tickers!$B$25</f>
        <v/>
      </c>
      <c r="V6" s="55">
        <f>Tickers!$B$26</f>
        <v/>
      </c>
      <c r="W6" s="55">
        <f>Tickers!$B$27</f>
        <v/>
      </c>
      <c r="X6" s="55">
        <f>Tickers!$B$28</f>
        <v/>
      </c>
      <c r="Y6" s="55">
        <f>Tickers!$B$29</f>
        <v/>
      </c>
      <c r="Z6" s="55">
        <f>Tickers!$B$30</f>
        <v/>
      </c>
      <c r="AA6" s="55">
        <f>Tickers!$B$31</f>
        <v/>
      </c>
      <c r="AB6" s="55">
        <f>Tickers!$B$32</f>
        <v/>
      </c>
      <c r="AC6" s="55">
        <f>Tickers!$B$33</f>
        <v/>
      </c>
      <c r="AD6" s="55">
        <f>Tickers!$B$34</f>
        <v/>
      </c>
      <c r="AE6" s="55">
        <f>Tickers!$B$35</f>
        <v/>
      </c>
      <c r="AF6" s="55">
        <f>Tickers!$B$36</f>
        <v/>
      </c>
      <c r="AG6" s="55">
        <f>Tickers!$B$37</f>
        <v/>
      </c>
      <c r="AH6" s="55">
        <f>Tickers!$B$38</f>
        <v/>
      </c>
      <c r="AI6" s="55">
        <f>Tickers!$B$39</f>
        <v/>
      </c>
      <c r="AJ6" s="55">
        <f>Tickers!$B$40</f>
        <v/>
      </c>
      <c r="AK6" s="55">
        <f>Tickers!$B$41</f>
        <v/>
      </c>
      <c r="AL6" s="55">
        <f>Tickers!$B$42</f>
        <v/>
      </c>
      <c r="AM6" s="55">
        <f>Tickers!$B$43</f>
        <v/>
      </c>
      <c r="AN6" s="55">
        <f>Tickers!$B$44</f>
        <v/>
      </c>
      <c r="AO6" s="55">
        <f>Tickers!$B$45</f>
        <v/>
      </c>
      <c r="AP6" s="55">
        <f>Tickers!$B$46</f>
        <v/>
      </c>
      <c r="AQ6" s="55">
        <f>Tickers!$B$47</f>
        <v/>
      </c>
      <c r="AR6" s="55">
        <f>Tickers!$B$48</f>
        <v/>
      </c>
      <c r="AS6" s="55">
        <f>Tickers!$B$49</f>
        <v/>
      </c>
      <c r="AT6" s="55">
        <f>Tickers!$B$50</f>
        <v/>
      </c>
      <c r="AU6" s="55">
        <f>Tickers!$B$51</f>
        <v/>
      </c>
      <c r="AV6" s="55">
        <f>Tickers!$B$52</f>
        <v/>
      </c>
      <c r="AW6" s="55">
        <f>Tickers!$B$53</f>
        <v/>
      </c>
      <c r="AX6" s="55">
        <f>Tickers!$B$54</f>
        <v/>
      </c>
      <c r="AY6" s="55">
        <f>Tickers!$B$55</f>
        <v/>
      </c>
      <c r="AZ6" s="55">
        <f>Tickers!$B$56</f>
        <v/>
      </c>
      <c r="BA6" s="55">
        <f>Tickers!$B$57</f>
        <v/>
      </c>
      <c r="BB6" s="55">
        <f>Tickers!$B$58</f>
        <v/>
      </c>
      <c r="BC6" s="55">
        <f>Tickers!$B$59</f>
        <v/>
      </c>
      <c r="BD6" s="55">
        <f>Tickers!$B$60</f>
        <v/>
      </c>
      <c r="BE6" s="55">
        <f>Tickers!$B$61</f>
        <v/>
      </c>
      <c r="BF6" s="55">
        <f>Tickers!$B$62</f>
        <v/>
      </c>
      <c r="BG6" s="55">
        <f>Tickers!$B$63</f>
        <v/>
      </c>
      <c r="BH6" s="55">
        <f>Tickers!$B$64</f>
        <v/>
      </c>
      <c r="BI6" s="55">
        <f>Tickers!$B$65</f>
        <v/>
      </c>
      <c r="BJ6" s="55">
        <f>Tickers!$B$66</f>
        <v/>
      </c>
      <c r="BK6" s="55">
        <f>Tickers!$B$67</f>
        <v/>
      </c>
      <c r="BL6" s="55">
        <f>Tickers!$B$68</f>
        <v/>
      </c>
      <c r="BM6" s="55">
        <f>Tickers!$B$69</f>
        <v/>
      </c>
      <c r="BN6" s="55">
        <f>Tickers!$B$70</f>
        <v/>
      </c>
      <c r="BO6" s="55">
        <f>Tickers!$B$71</f>
        <v/>
      </c>
      <c r="BP6" s="55">
        <f>Tickers!$B$72</f>
        <v/>
      </c>
      <c r="BQ6" s="55">
        <f>Tickers!$B$73</f>
        <v/>
      </c>
      <c r="BR6" s="55">
        <f>Tickers!$B$74</f>
        <v/>
      </c>
      <c r="BS6" s="55">
        <f>Tickers!$B$75</f>
        <v/>
      </c>
      <c r="BT6" s="55">
        <f>Tickers!$B$76</f>
        <v/>
      </c>
      <c r="BU6" s="55">
        <f>Tickers!$B$77</f>
        <v/>
      </c>
      <c r="BV6" s="55">
        <f>Tickers!$B$78</f>
        <v/>
      </c>
      <c r="BW6" s="55">
        <f>Tickers!$B$79</f>
        <v/>
      </c>
      <c r="BX6" s="55">
        <f>Tickers!$B$80</f>
        <v/>
      </c>
      <c r="BY6" s="55">
        <f>Tickers!$B$81</f>
        <v/>
      </c>
      <c r="BZ6" s="55">
        <f>Tickers!$B$82</f>
        <v/>
      </c>
      <c r="CA6" s="55">
        <f>Tickers!$B$83</f>
        <v/>
      </c>
      <c r="CB6" s="55">
        <f>Tickers!$B$84</f>
        <v/>
      </c>
      <c r="CC6" s="55">
        <f>Tickers!$B$85</f>
        <v/>
      </c>
      <c r="CD6" s="55">
        <f>Tickers!$B$86</f>
        <v/>
      </c>
      <c r="CE6" s="55">
        <f>Tickers!$B$87</f>
        <v/>
      </c>
      <c r="CF6" s="55">
        <f>Tickers!$B$88</f>
        <v/>
      </c>
      <c r="CG6" s="55">
        <f>Tickers!$B$89</f>
        <v/>
      </c>
      <c r="CH6" s="55">
        <f>Tickers!$B$90</f>
        <v/>
      </c>
      <c r="CI6" s="55">
        <f>Tickers!$B$91</f>
        <v/>
      </c>
      <c r="CJ6" s="55">
        <f>Tickers!$B$92</f>
        <v/>
      </c>
      <c r="CK6" s="55">
        <f>Tickers!$B$93</f>
        <v/>
      </c>
      <c r="CL6" s="55">
        <f>Tickers!$B$94</f>
        <v/>
      </c>
      <c r="CM6" s="55">
        <f>Tickers!$B$95</f>
        <v/>
      </c>
      <c r="CN6" s="55">
        <f>Tickers!$B$96</f>
        <v/>
      </c>
      <c r="CO6" s="55">
        <f>Tickers!$B$97</f>
        <v/>
      </c>
      <c r="CP6" s="55">
        <f>Tickers!$B$98</f>
        <v/>
      </c>
      <c r="CQ6" s="55">
        <f>Tickers!$B$99</f>
        <v/>
      </c>
      <c r="CR6" s="55">
        <f>Tickers!$B$100</f>
        <v/>
      </c>
      <c r="CS6" s="55">
        <f>Tickers!$B$101</f>
        <v/>
      </c>
      <c r="CT6" s="55">
        <f>Tickers!$B$102</f>
        <v/>
      </c>
      <c r="CU6" s="55" t="inlineStr">
        <is>
          <t>derived</t>
        </is>
      </c>
      <c r="CV6" s="55" t="inlineStr">
        <is>
          <t>derived</t>
        </is>
      </c>
      <c r="CW6" s="55" t="inlineStr">
        <is>
          <t>derived</t>
        </is>
      </c>
      <c r="CX6" s="55" t="inlineStr">
        <is>
          <t>derived</t>
        </is>
      </c>
      <c r="CY6" s="55" t="inlineStr">
        <is>
          <t>derived</t>
        </is>
      </c>
      <c r="CZ6" s="55" t="inlineStr">
        <is>
          <t>derived</t>
        </is>
      </c>
      <c r="DA6" s="55" t="inlineStr">
        <is>
          <t>derived</t>
        </is>
      </c>
      <c r="DB6" s="55" t="inlineStr">
        <is>
          <t>derived</t>
        </is>
      </c>
      <c r="DC6" s="55" t="inlineStr">
        <is>
          <t>derived</t>
        </is>
      </c>
      <c r="DD6" s="55" t="inlineStr">
        <is>
          <t>derived</t>
        </is>
      </c>
      <c r="DE6" s="55" t="inlineStr">
        <is>
          <t>derived</t>
        </is>
      </c>
      <c r="DF6" s="55" t="inlineStr">
        <is>
          <t>derived</t>
        </is>
      </c>
      <c r="DG6" s="55" t="inlineStr">
        <is>
          <t>derived</t>
        </is>
      </c>
      <c r="DH6" s="55" t="inlineStr">
        <is>
          <t>derived</t>
        </is>
      </c>
      <c r="DI6" s="55" t="inlineStr">
        <is>
          <t>derived</t>
        </is>
      </c>
      <c r="DJ6" s="55" t="inlineStr">
        <is>
          <t>derived</t>
        </is>
      </c>
      <c r="DK6" s="55" t="inlineStr">
        <is>
          <t>derived</t>
        </is>
      </c>
      <c r="DL6" s="55" t="inlineStr">
        <is>
          <t>derived</t>
        </is>
      </c>
      <c r="DM6" s="55" t="inlineStr">
        <is>
          <t>derived</t>
        </is>
      </c>
      <c r="DN6" s="55" t="inlineStr">
        <is>
          <t>derived</t>
        </is>
      </c>
      <c r="DO6" s="55" t="inlineStr">
        <is>
          <t>derived</t>
        </is>
      </c>
      <c r="DP6" s="55" t="inlineStr">
        <is>
          <t>derived</t>
        </is>
      </c>
      <c r="DQ6" s="55" t="inlineStr">
        <is>
          <t>derived</t>
        </is>
      </c>
      <c r="DR6" s="55" t="inlineStr">
        <is>
          <t>derived</t>
        </is>
      </c>
      <c r="DS6" s="55" t="inlineStr">
        <is>
          <t>derived</t>
        </is>
      </c>
      <c r="DT6" s="55" t="inlineStr">
        <is>
          <t>derived</t>
        </is>
      </c>
      <c r="DU6" s="55" t="inlineStr">
        <is>
          <t>derived</t>
        </is>
      </c>
      <c r="DV6" s="55" t="inlineStr">
        <is>
          <t>derived</t>
        </is>
      </c>
      <c r="DW6" s="55" t="inlineStr">
        <is>
          <t>derived</t>
        </is>
      </c>
      <c r="DX6" s="55" t="inlineStr">
        <is>
          <t>derived</t>
        </is>
      </c>
      <c r="DY6" s="55" t="inlineStr">
        <is>
          <t>derived</t>
        </is>
      </c>
      <c r="DZ6" s="55" t="inlineStr">
        <is>
          <t>derived</t>
        </is>
      </c>
      <c r="EA6" s="55" t="inlineStr">
        <is>
          <t>derived</t>
        </is>
      </c>
      <c r="EB6" s="55" t="inlineStr">
        <is>
          <t>derived</t>
        </is>
      </c>
      <c r="EC6" s="55" t="inlineStr">
        <is>
          <t>derived</t>
        </is>
      </c>
      <c r="ED6" s="55" t="inlineStr">
        <is>
          <t>derived</t>
        </is>
      </c>
      <c r="EE6" s="55" t="inlineStr">
        <is>
          <t>derived</t>
        </is>
      </c>
      <c r="EF6" s="55" t="inlineStr">
        <is>
          <t>derived</t>
        </is>
      </c>
      <c r="EG6" s="55" t="inlineStr">
        <is>
          <t>derived</t>
        </is>
      </c>
      <c r="EH6" s="55" t="inlineStr">
        <is>
          <t>derived</t>
        </is>
      </c>
      <c r="EI6" s="55" t="inlineStr">
        <is>
          <t>derived</t>
        </is>
      </c>
      <c r="EJ6" s="55" t="inlineStr">
        <is>
          <t>derived</t>
        </is>
      </c>
      <c r="EK6" s="55" t="inlineStr">
        <is>
          <t>derived</t>
        </is>
      </c>
      <c r="EL6" s="55" t="inlineStr">
        <is>
          <t>derived</t>
        </is>
      </c>
      <c r="EM6" s="55" t="inlineStr">
        <is>
          <t>derived</t>
        </is>
      </c>
      <c r="EN6" s="55" t="inlineStr">
        <is>
          <t>derived</t>
        </is>
      </c>
      <c r="EO6" s="55" t="inlineStr">
        <is>
          <t>derived</t>
        </is>
      </c>
      <c r="EP6" s="55" t="inlineStr">
        <is>
          <t>derived</t>
        </is>
      </c>
      <c r="EQ6" s="55" t="inlineStr">
        <is>
          <t>derived</t>
        </is>
      </c>
      <c r="ER6" s="55" t="inlineStr">
        <is>
          <t>derived</t>
        </is>
      </c>
      <c r="ES6" s="55" t="inlineStr">
        <is>
          <t>derived</t>
        </is>
      </c>
      <c r="ET6" s="55" t="inlineStr">
        <is>
          <t>derived</t>
        </is>
      </c>
      <c r="EU6" s="55" t="inlineStr">
        <is>
          <t>derived</t>
        </is>
      </c>
      <c r="EV6" s="55" t="inlineStr">
        <is>
          <t>derived</t>
        </is>
      </c>
      <c r="EW6" s="55" t="inlineStr">
        <is>
          <t>derived</t>
        </is>
      </c>
      <c r="EX6" s="55" t="inlineStr">
        <is>
          <t>derived</t>
        </is>
      </c>
      <c r="EY6" s="55" t="inlineStr">
        <is>
          <t>derived</t>
        </is>
      </c>
      <c r="EZ6" s="55" t="inlineStr">
        <is>
          <t>derived</t>
        </is>
      </c>
      <c r="FA6" s="55" t="inlineStr">
        <is>
          <t>derived</t>
        </is>
      </c>
      <c r="FB6" s="55" t="inlineStr">
        <is>
          <t>derived</t>
        </is>
      </c>
      <c r="FC6" s="55" t="inlineStr">
        <is>
          <t>derived</t>
        </is>
      </c>
      <c r="FD6" s="55" t="inlineStr">
        <is>
          <t>derived</t>
        </is>
      </c>
      <c r="FE6" s="55" t="inlineStr">
        <is>
          <t>derived</t>
        </is>
      </c>
      <c r="FF6" s="55" t="inlineStr">
        <is>
          <t>derived</t>
        </is>
      </c>
      <c r="FG6" s="55" t="inlineStr">
        <is>
          <t>derived</t>
        </is>
      </c>
      <c r="FH6" s="55" t="inlineStr">
        <is>
          <t>derived</t>
        </is>
      </c>
      <c r="FI6" s="55" t="inlineStr">
        <is>
          <t>derived</t>
        </is>
      </c>
      <c r="FJ6" s="55" t="inlineStr">
        <is>
          <t>derived</t>
        </is>
      </c>
      <c r="FK6" s="55" t="inlineStr">
        <is>
          <t>derived</t>
        </is>
      </c>
      <c r="FL6" s="55" t="inlineStr">
        <is>
          <t>derived</t>
        </is>
      </c>
      <c r="FM6" s="55" t="inlineStr">
        <is>
          <t>derived</t>
        </is>
      </c>
      <c r="FN6" s="55" t="inlineStr">
        <is>
          <t>derived</t>
        </is>
      </c>
      <c r="FO6" s="55" t="inlineStr">
        <is>
          <t>derived</t>
        </is>
      </c>
      <c r="FP6" s="55" t="inlineStr">
        <is>
          <t>derived</t>
        </is>
      </c>
      <c r="FQ6" s="55" t="inlineStr">
        <is>
          <t>derived</t>
        </is>
      </c>
      <c r="FR6" s="55" t="inlineStr">
        <is>
          <t>derived</t>
        </is>
      </c>
      <c r="FS6" s="55" t="inlineStr">
        <is>
          <t>derived</t>
        </is>
      </c>
      <c r="FT6" s="55" t="inlineStr">
        <is>
          <t>derived</t>
        </is>
      </c>
      <c r="FU6" s="55" t="inlineStr">
        <is>
          <t>derived</t>
        </is>
      </c>
      <c r="FV6" s="55" t="inlineStr">
        <is>
          <t>derived</t>
        </is>
      </c>
      <c r="FW6" s="55" t="inlineStr">
        <is>
          <t>derived</t>
        </is>
      </c>
      <c r="FX6" s="55" t="inlineStr">
        <is>
          <t>derived</t>
        </is>
      </c>
      <c r="FY6" s="55" t="inlineStr">
        <is>
          <t>derived</t>
        </is>
      </c>
      <c r="FZ6" s="55" t="inlineStr">
        <is>
          <t>derived</t>
        </is>
      </c>
      <c r="GA6" s="55" t="inlineStr">
        <is>
          <t>derived</t>
        </is>
      </c>
      <c r="GB6" s="55" t="inlineStr">
        <is>
          <t>derived</t>
        </is>
      </c>
      <c r="GC6" s="55" t="inlineStr">
        <is>
          <t>derived</t>
        </is>
      </c>
      <c r="GD6" s="55" t="inlineStr">
        <is>
          <t>derived</t>
        </is>
      </c>
      <c r="GE6" s="55" t="inlineStr">
        <is>
          <t>derived</t>
        </is>
      </c>
    </row>
    <row r="7">
      <c r="A7" s="55" t="inlineStr">
        <is>
          <t>date</t>
        </is>
      </c>
      <c r="B7" s="55" t="inlineStr">
        <is>
          <t>idx</t>
        </is>
      </c>
      <c r="C7" s="55" t="inlineStr">
        <is>
          <t>idx</t>
        </is>
      </c>
      <c r="D7" s="55" t="inlineStr">
        <is>
          <t>%</t>
        </is>
      </c>
      <c r="E7" s="55" t="inlineStr">
        <is>
          <t>%</t>
        </is>
      </c>
      <c r="F7" s="55" t="inlineStr">
        <is>
          <t>%</t>
        </is>
      </c>
      <c r="G7" s="55" t="inlineStr">
        <is>
          <t>%</t>
        </is>
      </c>
      <c r="H7" s="55" t="inlineStr">
        <is>
          <t>%</t>
        </is>
      </c>
      <c r="I7" s="55" t="inlineStr">
        <is>
          <t>%</t>
        </is>
      </c>
      <c r="J7" s="55" t="inlineStr">
        <is>
          <t>%</t>
        </is>
      </c>
      <c r="K7" s="55" t="inlineStr">
        <is>
          <t>pt</t>
        </is>
      </c>
      <c r="L7" s="55" t="inlineStr">
        <is>
          <t>bp</t>
        </is>
      </c>
      <c r="M7" s="55" t="inlineStr">
        <is>
          <t>idx</t>
        </is>
      </c>
      <c r="N7" s="55" t="inlineStr">
        <is>
          <t>fx</t>
        </is>
      </c>
      <c r="O7" s="55" t="inlineStr">
        <is>
          <t>fx</t>
        </is>
      </c>
      <c r="P7" s="55" t="inlineStr">
        <is>
          <t>fx</t>
        </is>
      </c>
      <c r="Q7" s="55" t="inlineStr">
        <is>
          <t>fx</t>
        </is>
      </c>
      <c r="R7" s="55" t="inlineStr">
        <is>
          <t>fx</t>
        </is>
      </c>
      <c r="S7" s="55" t="inlineStr">
        <is>
          <t>fx</t>
        </is>
      </c>
      <c r="T7" s="55" t="inlineStr">
        <is>
          <t>fx</t>
        </is>
      </c>
      <c r="U7" s="55" t="inlineStr">
        <is>
          <t>fx</t>
        </is>
      </c>
      <c r="V7" s="55" t="inlineStr">
        <is>
          <t>fx</t>
        </is>
      </c>
      <c r="W7" s="55" t="inlineStr">
        <is>
          <t>fx</t>
        </is>
      </c>
      <c r="X7" s="55" t="inlineStr">
        <is>
          <t>fx</t>
        </is>
      </c>
      <c r="Y7" s="55" t="inlineStr">
        <is>
          <t>fx</t>
        </is>
      </c>
      <c r="Z7" s="55" t="inlineStr">
        <is>
          <t>fx</t>
        </is>
      </c>
      <c r="AA7" s="55" t="inlineStr">
        <is>
          <t>fx</t>
        </is>
      </c>
      <c r="AB7" s="55" t="inlineStr">
        <is>
          <t>fx</t>
        </is>
      </c>
      <c r="AC7" s="55" t="inlineStr">
        <is>
          <t>fx</t>
        </is>
      </c>
      <c r="AD7" s="55" t="inlineStr">
        <is>
          <t>fx</t>
        </is>
      </c>
      <c r="AE7" s="55" t="inlineStr">
        <is>
          <t>fx</t>
        </is>
      </c>
      <c r="AF7" s="55" t="inlineStr">
        <is>
          <t>fx</t>
        </is>
      </c>
      <c r="AG7" s="55" t="inlineStr">
        <is>
          <t>fx</t>
        </is>
      </c>
      <c r="AH7" s="55" t="inlineStr">
        <is>
          <t>%</t>
        </is>
      </c>
      <c r="AI7" s="55" t="inlineStr">
        <is>
          <t>%</t>
        </is>
      </c>
      <c r="AJ7" s="55" t="inlineStr">
        <is>
          <t>%</t>
        </is>
      </c>
      <c r="AK7" s="55" t="inlineStr">
        <is>
          <t>%</t>
        </is>
      </c>
      <c r="AL7" s="55" t="inlineStr">
        <is>
          <t>%</t>
        </is>
      </c>
      <c r="AM7" s="55" t="inlineStr">
        <is>
          <t>%</t>
        </is>
      </c>
      <c r="AN7" s="55" t="inlineStr">
        <is>
          <t>%</t>
        </is>
      </c>
      <c r="AO7" s="55" t="inlineStr">
        <is>
          <t>%</t>
        </is>
      </c>
      <c r="AP7" s="55" t="inlineStr">
        <is>
          <t>%</t>
        </is>
      </c>
      <c r="AQ7" s="55" t="inlineStr">
        <is>
          <t>%</t>
        </is>
      </c>
      <c r="AR7" s="55" t="inlineStr">
        <is>
          <t>%</t>
        </is>
      </c>
      <c r="AS7" s="55" t="inlineStr">
        <is>
          <t>%</t>
        </is>
      </c>
      <c r="AT7" s="55" t="inlineStr">
        <is>
          <t>%</t>
        </is>
      </c>
      <c r="AU7" s="55" t="inlineStr">
        <is>
          <t>%</t>
        </is>
      </c>
      <c r="AV7" s="55" t="inlineStr">
        <is>
          <t>%</t>
        </is>
      </c>
      <c r="AW7" s="55" t="inlineStr">
        <is>
          <t>%</t>
        </is>
      </c>
      <c r="AX7" s="55" t="inlineStr">
        <is>
          <t>%</t>
        </is>
      </c>
      <c r="AY7" s="55" t="inlineStr">
        <is>
          <t>%</t>
        </is>
      </c>
      <c r="AZ7" s="55" t="inlineStr">
        <is>
          <t>%</t>
        </is>
      </c>
      <c r="BA7" s="55" t="inlineStr">
        <is>
          <t>%</t>
        </is>
      </c>
      <c r="BB7" s="55" t="inlineStr">
        <is>
          <t>idx</t>
        </is>
      </c>
      <c r="BC7" s="55" t="inlineStr">
        <is>
          <t>idx</t>
        </is>
      </c>
      <c r="BD7" s="55" t="inlineStr">
        <is>
          <t>idx</t>
        </is>
      </c>
      <c r="BE7" s="55" t="inlineStr">
        <is>
          <t>idx</t>
        </is>
      </c>
      <c r="BF7" s="55" t="inlineStr">
        <is>
          <t>idx</t>
        </is>
      </c>
      <c r="BG7" s="55" t="inlineStr">
        <is>
          <t>idx</t>
        </is>
      </c>
      <c r="BH7" s="55" t="inlineStr">
        <is>
          <t>idx</t>
        </is>
      </c>
      <c r="BI7" s="55" t="inlineStr">
        <is>
          <t>idx</t>
        </is>
      </c>
      <c r="BJ7" s="55" t="inlineStr">
        <is>
          <t>idx</t>
        </is>
      </c>
      <c r="BK7" s="55" t="inlineStr">
        <is>
          <t>idx</t>
        </is>
      </c>
      <c r="BL7" s="55" t="inlineStr">
        <is>
          <t>idx</t>
        </is>
      </c>
      <c r="BM7" s="55" t="inlineStr">
        <is>
          <t>idx</t>
        </is>
      </c>
      <c r="BN7" s="55" t="inlineStr">
        <is>
          <t>idx</t>
        </is>
      </c>
      <c r="BO7" s="55" t="inlineStr">
        <is>
          <t>idx</t>
        </is>
      </c>
      <c r="BP7" s="55" t="inlineStr">
        <is>
          <t>idx</t>
        </is>
      </c>
      <c r="BQ7" s="55" t="inlineStr">
        <is>
          <t>idx</t>
        </is>
      </c>
      <c r="BR7" s="55" t="inlineStr">
        <is>
          <t>idx</t>
        </is>
      </c>
      <c r="BS7" s="55" t="inlineStr">
        <is>
          <t>idx</t>
        </is>
      </c>
      <c r="BT7" s="55" t="inlineStr">
        <is>
          <t>idx</t>
        </is>
      </c>
      <c r="BU7" s="55" t="inlineStr">
        <is>
          <t>idx</t>
        </is>
      </c>
      <c r="BV7" s="55" t="inlineStr">
        <is>
          <t>idx</t>
        </is>
      </c>
      <c r="BW7" s="55" t="inlineStr">
        <is>
          <t>idx</t>
        </is>
      </c>
      <c r="BX7" s="55" t="inlineStr">
        <is>
          <t>idx</t>
        </is>
      </c>
      <c r="BY7" s="55" t="inlineStr">
        <is>
          <t>bp</t>
        </is>
      </c>
      <c r="BZ7" s="55" t="inlineStr">
        <is>
          <t>bp</t>
        </is>
      </c>
      <c r="CA7" s="55" t="inlineStr">
        <is>
          <t>bp</t>
        </is>
      </c>
      <c r="CB7" s="55" t="inlineStr">
        <is>
          <t>bp</t>
        </is>
      </c>
      <c r="CC7" s="55" t="inlineStr">
        <is>
          <t>bp</t>
        </is>
      </c>
      <c r="CD7" s="55" t="inlineStr">
        <is>
          <t>bp</t>
        </is>
      </c>
      <c r="CE7" s="55" t="inlineStr">
        <is>
          <t>bp</t>
        </is>
      </c>
      <c r="CF7" s="55" t="inlineStr">
        <is>
          <t>bp</t>
        </is>
      </c>
      <c r="CG7" s="55" t="inlineStr">
        <is>
          <t>bp</t>
        </is>
      </c>
      <c r="CH7" s="55" t="inlineStr">
        <is>
          <t>bp</t>
        </is>
      </c>
      <c r="CI7" s="55" t="inlineStr">
        <is>
          <t>bp</t>
        </is>
      </c>
      <c r="CJ7" s="55" t="inlineStr">
        <is>
          <t>bp</t>
        </is>
      </c>
      <c r="CK7" s="55" t="inlineStr">
        <is>
          <t>bp</t>
        </is>
      </c>
      <c r="CL7" s="55" t="inlineStr">
        <is>
          <t>bp</t>
        </is>
      </c>
      <c r="CM7" s="55" t="inlineStr">
        <is>
          <t>bp</t>
        </is>
      </c>
      <c r="CN7" s="55" t="inlineStr">
        <is>
          <t>bp</t>
        </is>
      </c>
      <c r="CO7" s="55" t="inlineStr">
        <is>
          <t>bp</t>
        </is>
      </c>
      <c r="CP7" s="55" t="inlineStr">
        <is>
          <t>bp</t>
        </is>
      </c>
      <c r="CQ7" s="55" t="inlineStr">
        <is>
          <t>bp</t>
        </is>
      </c>
      <c r="CR7" s="55" t="inlineStr">
        <is>
          <t>bp</t>
        </is>
      </c>
      <c r="CS7" s="55" t="inlineStr">
        <is>
          <t>bp</t>
        </is>
      </c>
      <c r="CT7" s="55" t="inlineStr">
        <is>
          <t>bp</t>
        </is>
      </c>
      <c r="CU7" s="55" t="inlineStr">
        <is>
          <t>ret</t>
        </is>
      </c>
      <c r="CV7" s="55" t="inlineStr">
        <is>
          <t>bp</t>
        </is>
      </c>
      <c r="CW7" s="55" t="inlineStr">
        <is>
          <t>bp</t>
        </is>
      </c>
      <c r="CX7" s="55" t="inlineStr">
        <is>
          <t>ret</t>
        </is>
      </c>
      <c r="CY7" s="55" t="inlineStr">
        <is>
          <t>bp</t>
        </is>
      </c>
      <c r="CZ7" s="55" t="inlineStr">
        <is>
          <t>bp</t>
        </is>
      </c>
      <c r="DA7" s="55" t="inlineStr">
        <is>
          <t>bp</t>
        </is>
      </c>
      <c r="DB7" s="55" t="inlineStr">
        <is>
          <t>bp</t>
        </is>
      </c>
      <c r="DC7" s="55" t="inlineStr">
        <is>
          <t>bp</t>
        </is>
      </c>
      <c r="DD7" s="55" t="inlineStr">
        <is>
          <t>bp</t>
        </is>
      </c>
      <c r="DE7" s="55" t="inlineStr">
        <is>
          <t>bp</t>
        </is>
      </c>
      <c r="DF7" s="55" t="inlineStr">
        <is>
          <t>bp</t>
        </is>
      </c>
      <c r="DG7" s="55" t="inlineStr">
        <is>
          <t>bp</t>
        </is>
      </c>
      <c r="DH7" s="55" t="inlineStr">
        <is>
          <t>bp</t>
        </is>
      </c>
      <c r="DI7" s="55" t="inlineStr">
        <is>
          <t>bp</t>
        </is>
      </c>
      <c r="DJ7" s="55" t="inlineStr">
        <is>
          <t>bp</t>
        </is>
      </c>
      <c r="DK7" s="55" t="inlineStr">
        <is>
          <t>bp</t>
        </is>
      </c>
      <c r="DL7" s="55" t="inlineStr">
        <is>
          <t>bp</t>
        </is>
      </c>
      <c r="DM7" s="55" t="inlineStr">
        <is>
          <t>bp</t>
        </is>
      </c>
      <c r="DN7" s="55" t="inlineStr">
        <is>
          <t>bp</t>
        </is>
      </c>
      <c r="DO7" s="55" t="inlineStr">
        <is>
          <t>bp</t>
        </is>
      </c>
      <c r="DP7" s="55" t="inlineStr">
        <is>
          <t>bp</t>
        </is>
      </c>
      <c r="DQ7" s="55" t="inlineStr">
        <is>
          <t>bp</t>
        </is>
      </c>
      <c r="DR7" s="55" t="inlineStr">
        <is>
          <t>bp</t>
        </is>
      </c>
      <c r="DS7" s="55" t="inlineStr">
        <is>
          <t>ret</t>
        </is>
      </c>
      <c r="DT7" s="55" t="inlineStr">
        <is>
          <t>ret</t>
        </is>
      </c>
      <c r="DU7" s="55" t="inlineStr">
        <is>
          <t>ret</t>
        </is>
      </c>
      <c r="DV7" s="55" t="inlineStr">
        <is>
          <t>ret</t>
        </is>
      </c>
      <c r="DW7" s="55" t="inlineStr">
        <is>
          <t>ret</t>
        </is>
      </c>
      <c r="DX7" s="55" t="inlineStr">
        <is>
          <t>ret</t>
        </is>
      </c>
      <c r="DY7" s="55" t="inlineStr">
        <is>
          <t>ret</t>
        </is>
      </c>
      <c r="DZ7" s="55" t="inlineStr">
        <is>
          <t>ret</t>
        </is>
      </c>
      <c r="EA7" s="55" t="inlineStr">
        <is>
          <t>ret</t>
        </is>
      </c>
      <c r="EB7" s="55" t="inlineStr">
        <is>
          <t>ret</t>
        </is>
      </c>
      <c r="EC7" s="55" t="inlineStr">
        <is>
          <t>ret</t>
        </is>
      </c>
      <c r="ED7" s="55" t="inlineStr">
        <is>
          <t>ret</t>
        </is>
      </c>
      <c r="EE7" s="55" t="inlineStr">
        <is>
          <t>ret</t>
        </is>
      </c>
      <c r="EF7" s="55" t="inlineStr">
        <is>
          <t>ret</t>
        </is>
      </c>
      <c r="EG7" s="55" t="inlineStr">
        <is>
          <t>ret</t>
        </is>
      </c>
      <c r="EH7" s="55" t="inlineStr">
        <is>
          <t>ret</t>
        </is>
      </c>
      <c r="EI7" s="55" t="inlineStr">
        <is>
          <t>ret</t>
        </is>
      </c>
      <c r="EJ7" s="55" t="inlineStr">
        <is>
          <t>ret</t>
        </is>
      </c>
      <c r="EK7" s="55" t="inlineStr">
        <is>
          <t>ret</t>
        </is>
      </c>
      <c r="EL7" s="55" t="inlineStr">
        <is>
          <t>ret</t>
        </is>
      </c>
      <c r="EM7" s="55" t="inlineStr">
        <is>
          <t>ret</t>
        </is>
      </c>
      <c r="EN7" s="55" t="inlineStr">
        <is>
          <t>ret</t>
        </is>
      </c>
      <c r="EO7" s="55" t="inlineStr">
        <is>
          <t>ret</t>
        </is>
      </c>
      <c r="EP7" s="55" t="inlineStr">
        <is>
          <t>ret</t>
        </is>
      </c>
      <c r="EQ7" s="55" t="inlineStr">
        <is>
          <t>ret</t>
        </is>
      </c>
      <c r="ER7" s="55" t="inlineStr">
        <is>
          <t>ret</t>
        </is>
      </c>
      <c r="ES7" s="55" t="inlineStr">
        <is>
          <t>ret</t>
        </is>
      </c>
      <c r="ET7" s="55" t="inlineStr">
        <is>
          <t>ret</t>
        </is>
      </c>
      <c r="EU7" s="55" t="inlineStr">
        <is>
          <t>ret</t>
        </is>
      </c>
      <c r="EV7" s="55" t="inlineStr">
        <is>
          <t>ret</t>
        </is>
      </c>
      <c r="EW7" s="55" t="inlineStr">
        <is>
          <t>ret</t>
        </is>
      </c>
      <c r="EX7" s="55" t="inlineStr">
        <is>
          <t>ret</t>
        </is>
      </c>
      <c r="EY7" s="55" t="inlineStr">
        <is>
          <t>ret</t>
        </is>
      </c>
      <c r="EZ7" s="55" t="inlineStr">
        <is>
          <t>ret</t>
        </is>
      </c>
      <c r="FA7" s="55" t="inlineStr">
        <is>
          <t>ret</t>
        </is>
      </c>
      <c r="FB7" s="55" t="inlineStr">
        <is>
          <t>ret</t>
        </is>
      </c>
      <c r="FC7" s="55" t="inlineStr">
        <is>
          <t>ret</t>
        </is>
      </c>
      <c r="FD7" s="55" t="inlineStr">
        <is>
          <t>ret</t>
        </is>
      </c>
      <c r="FE7" s="55" t="inlineStr">
        <is>
          <t>ret</t>
        </is>
      </c>
      <c r="FF7" s="55" t="inlineStr">
        <is>
          <t>ret</t>
        </is>
      </c>
      <c r="FG7" s="55" t="inlineStr">
        <is>
          <t>ret</t>
        </is>
      </c>
      <c r="FH7" s="55" t="inlineStr">
        <is>
          <t>ret</t>
        </is>
      </c>
      <c r="FI7" s="55" t="inlineStr">
        <is>
          <t>ret</t>
        </is>
      </c>
      <c r="FJ7" s="55" t="inlineStr">
        <is>
          <t>bp</t>
        </is>
      </c>
      <c r="FK7" s="55" t="inlineStr">
        <is>
          <t>bp</t>
        </is>
      </c>
      <c r="FL7" s="55" t="inlineStr">
        <is>
          <t>bp</t>
        </is>
      </c>
      <c r="FM7" s="55" t="inlineStr">
        <is>
          <t>bp</t>
        </is>
      </c>
      <c r="FN7" s="55" t="inlineStr">
        <is>
          <t>bp</t>
        </is>
      </c>
      <c r="FO7" s="55" t="inlineStr">
        <is>
          <t>bp</t>
        </is>
      </c>
      <c r="FP7" s="55" t="inlineStr">
        <is>
          <t>bp</t>
        </is>
      </c>
      <c r="FQ7" s="55" t="inlineStr">
        <is>
          <t>bp</t>
        </is>
      </c>
      <c r="FR7" s="55" t="inlineStr">
        <is>
          <t>bp</t>
        </is>
      </c>
      <c r="FS7" s="55" t="inlineStr">
        <is>
          <t>bp</t>
        </is>
      </c>
      <c r="FT7" s="55" t="inlineStr">
        <is>
          <t>bp</t>
        </is>
      </c>
      <c r="FU7" s="55" t="inlineStr">
        <is>
          <t>bp</t>
        </is>
      </c>
      <c r="FV7" s="55" t="inlineStr">
        <is>
          <t>bp</t>
        </is>
      </c>
      <c r="FW7" s="55" t="inlineStr">
        <is>
          <t>bp</t>
        </is>
      </c>
      <c r="FX7" s="55" t="inlineStr">
        <is>
          <t>bp</t>
        </is>
      </c>
      <c r="FY7" s="55" t="inlineStr">
        <is>
          <t>bp</t>
        </is>
      </c>
      <c r="FZ7" s="55" t="inlineStr">
        <is>
          <t>bp</t>
        </is>
      </c>
      <c r="GA7" s="55" t="inlineStr">
        <is>
          <t>bp</t>
        </is>
      </c>
      <c r="GB7" s="55" t="inlineStr">
        <is>
          <t>bp</t>
        </is>
      </c>
      <c r="GC7" s="55" t="inlineStr">
        <is>
          <t>bp</t>
        </is>
      </c>
      <c r="GD7" s="55" t="inlineStr">
        <is>
          <t>bp</t>
        </is>
      </c>
      <c r="GE7" s="55" t="inlineStr">
        <is>
          <t>bp</t>
        </is>
      </c>
    </row>
    <row r="8">
      <c r="A8" s="56">
        <f>BDH(Tickers!$B$6,Tickers!$C$6,Control!$B$6,Control!$B$7,"Dir=V","Sort=D","Days=W","Fill=P","Dts=S")</f>
        <v/>
      </c>
      <c r="C8" s="57">
        <f>BDH(Tickers!$B$7,Tickers!$C$7,Control!$B$6,Control!$B$7,"Dir=V","Sort=D","Days=W","Fill=P","Dts=H")</f>
        <v/>
      </c>
      <c r="D8" s="57">
        <f>BDH(Tickers!$B$8,Tickers!$C$8,Control!$B$6,Control!$B$7,"Dir=V","Sort=D","Days=W","Fill=P","Dts=H")</f>
        <v/>
      </c>
      <c r="E8" s="57">
        <f>BDH(Tickers!$B$9,Tickers!$C$9,Control!$B$6,Control!$B$7,"Dir=V","Sort=D","Days=W","Fill=P","Dts=H")</f>
        <v/>
      </c>
      <c r="F8" s="57">
        <f>BDH(Tickers!$B$10,Tickers!$C$10,Control!$B$6,Control!$B$7,"Dir=V","Sort=D","Days=W","Fill=P","Dts=H")</f>
        <v/>
      </c>
      <c r="G8" s="57">
        <f>BDH(Tickers!$B$11,Tickers!$C$11,Control!$B$6,Control!$B$7,"Dir=V","Sort=D","Days=W","Fill=P","Dts=H")</f>
        <v/>
      </c>
      <c r="H8" s="57">
        <f>BDH(Tickers!$B$12,Tickers!$C$12,Control!$B$6,Control!$B$7,"Dir=V","Sort=D","Days=W","Fill=P","Dts=H")</f>
        <v/>
      </c>
      <c r="I8" s="57">
        <f>BDH(Tickers!$B$13,Tickers!$C$13,Control!$B$6,Control!$B$7,"Dir=V","Sort=D","Days=W","Fill=P","Dts=H")</f>
        <v/>
      </c>
      <c r="J8" s="57">
        <f>BDH(Tickers!$B$14,Tickers!$C$14,Control!$B$6,Control!$B$7,"Dir=V","Sort=D","Days=W","Fill=P","Dts=H")</f>
        <v/>
      </c>
      <c r="K8" s="57">
        <f>BDH(Tickers!$B$15,Tickers!$C$15,Control!$B$6,Control!$B$7,"Dir=V","Sort=D","Days=W","Fill=P","Dts=H")</f>
        <v/>
      </c>
      <c r="L8" s="57">
        <f>BDH(Tickers!$B$16,Tickers!$C$16,Control!$B$6,Control!$B$7,"Dir=V","Sort=D","Days=W","Fill=P","Dts=H")</f>
        <v/>
      </c>
      <c r="M8" s="57">
        <f>BDH(Tickers!$B$17,Tickers!$C$17,Control!$B$6,Control!$B$7,"Dir=V","Sort=D","Days=W","Fill=P","Dts=H")</f>
        <v/>
      </c>
      <c r="N8" s="57">
        <f>BDH(Tickers!$B$18,Tickers!$C$18,Control!$B$6,Control!$B$7,"Dir=V","Sort=D","Days=W","Fill=P","Dts=H")</f>
        <v/>
      </c>
      <c r="O8" s="57">
        <f>BDH(Tickers!$B$19,Tickers!$C$19,Control!$B$6,Control!$B$7,"Dir=V","Sort=D","Days=W","Fill=P","Dts=H")</f>
        <v/>
      </c>
      <c r="P8" s="57">
        <f>BDH(Tickers!$B$20,Tickers!$C$20,Control!$B$6,Control!$B$7,"Dir=V","Sort=D","Days=W","Fill=P","Dts=H")</f>
        <v/>
      </c>
      <c r="Q8" s="57">
        <f>BDH(Tickers!$B$21,Tickers!$C$21,Control!$B$6,Control!$B$7,"Dir=V","Sort=D","Days=W","Fill=P","Dts=H")</f>
        <v/>
      </c>
      <c r="R8" s="57">
        <f>BDH(Tickers!$B$22,Tickers!$C$22,Control!$B$6,Control!$B$7,"Dir=V","Sort=D","Days=W","Fill=P","Dts=H")</f>
        <v/>
      </c>
      <c r="S8" s="57">
        <f>BDH(Tickers!$B$23,Tickers!$C$23,Control!$B$6,Control!$B$7,"Dir=V","Sort=D","Days=W","Fill=P","Dts=H")</f>
        <v/>
      </c>
      <c r="T8" s="57">
        <f>BDH(Tickers!$B$24,Tickers!$C$24,Control!$B$6,Control!$B$7,"Dir=V","Sort=D","Days=W","Fill=P","Dts=H")</f>
        <v/>
      </c>
      <c r="U8" s="57">
        <f>BDH(Tickers!$B$25,Tickers!$C$25,Control!$B$6,Control!$B$7,"Dir=V","Sort=D","Days=W","Fill=P","Dts=H")</f>
        <v/>
      </c>
      <c r="V8" s="57">
        <f>BDH(Tickers!$B$26,Tickers!$C$26,Control!$B$6,Control!$B$7,"Dir=V","Sort=D","Days=W","Fill=P","Dts=H")</f>
        <v/>
      </c>
      <c r="W8" s="57">
        <f>BDH(Tickers!$B$27,Tickers!$C$27,Control!$B$6,Control!$B$7,"Dir=V","Sort=D","Days=W","Fill=P","Dts=H")</f>
        <v/>
      </c>
      <c r="X8" s="57">
        <f>BDH(Tickers!$B$28,Tickers!$C$28,Control!$B$6,Control!$B$7,"Dir=V","Sort=D","Days=W","Fill=P","Dts=H")</f>
        <v/>
      </c>
      <c r="Y8" s="57">
        <f>BDH(Tickers!$B$29,Tickers!$C$29,Control!$B$6,Control!$B$7,"Dir=V","Sort=D","Days=W","Fill=P","Dts=H")</f>
        <v/>
      </c>
      <c r="Z8" s="57">
        <f>BDH(Tickers!$B$30,Tickers!$C$30,Control!$B$6,Control!$B$7,"Dir=V","Sort=D","Days=W","Fill=P","Dts=H")</f>
        <v/>
      </c>
      <c r="AA8" s="57">
        <f>BDH(Tickers!$B$31,Tickers!$C$31,Control!$B$6,Control!$B$7,"Dir=V","Sort=D","Days=W","Fill=P","Dts=H")</f>
        <v/>
      </c>
      <c r="AB8" s="57">
        <f>BDH(Tickers!$B$32,Tickers!$C$32,Control!$B$6,Control!$B$7,"Dir=V","Sort=D","Days=W","Fill=P","Dts=H")</f>
        <v/>
      </c>
      <c r="AC8" s="57">
        <f>BDH(Tickers!$B$33,Tickers!$C$33,Control!$B$6,Control!$B$7,"Dir=V","Sort=D","Days=W","Fill=P","Dts=H")</f>
        <v/>
      </c>
      <c r="AD8" s="57">
        <f>BDH(Tickers!$B$34,Tickers!$C$34,Control!$B$6,Control!$B$7,"Dir=V","Sort=D","Days=W","Fill=P","Dts=H")</f>
        <v/>
      </c>
      <c r="AE8" s="57">
        <f>BDH(Tickers!$B$35,Tickers!$C$35,Control!$B$6,Control!$B$7,"Dir=V","Sort=D","Days=W","Fill=P","Dts=H")</f>
        <v/>
      </c>
      <c r="AF8" s="57">
        <f>BDH(Tickers!$B$36,Tickers!$C$36,Control!$B$6,Control!$B$7,"Dir=V","Sort=D","Days=W","Fill=P","Dts=H")</f>
        <v/>
      </c>
      <c r="AG8" s="57">
        <f>BDH(Tickers!$B$37,Tickers!$C$37,Control!$B$6,Control!$B$7,"Dir=V","Sort=D","Days=W","Fill=P","Dts=H")</f>
        <v/>
      </c>
      <c r="AH8" s="57">
        <f>BDH(Tickers!$B$38,Tickers!$C$38,Control!$B$6,Control!$B$7,"Dir=V","Sort=D","Days=W","Fill=P","Dts=H")</f>
        <v/>
      </c>
      <c r="AI8" s="57">
        <f>BDH(Tickers!$B$39,Tickers!$C$39,Control!$B$6,Control!$B$7,"Dir=V","Sort=D","Days=W","Fill=P","Dts=H")</f>
        <v/>
      </c>
      <c r="AJ8" s="57">
        <f>BDH(Tickers!$B$40,Tickers!$C$40,Control!$B$6,Control!$B$7,"Dir=V","Sort=D","Days=W","Fill=P","Dts=H")</f>
        <v/>
      </c>
      <c r="AK8" s="57">
        <f>BDH(Tickers!$B$41,Tickers!$C$41,Control!$B$6,Control!$B$7,"Dir=V","Sort=D","Days=W","Fill=P","Dts=H")</f>
        <v/>
      </c>
      <c r="AL8" s="57">
        <f>BDH(Tickers!$B$42,Tickers!$C$42,Control!$B$6,Control!$B$7,"Dir=V","Sort=D","Days=W","Fill=P","Dts=H")</f>
        <v/>
      </c>
      <c r="AM8" s="57">
        <f>BDH(Tickers!$B$43,Tickers!$C$43,Control!$B$6,Control!$B$7,"Dir=V","Sort=D","Days=W","Fill=P","Dts=H")</f>
        <v/>
      </c>
      <c r="AN8" s="57">
        <f>BDH(Tickers!$B$44,Tickers!$C$44,Control!$B$6,Control!$B$7,"Dir=V","Sort=D","Days=W","Fill=P","Dts=H")</f>
        <v/>
      </c>
      <c r="AO8" s="57">
        <f>BDH(Tickers!$B$45,Tickers!$C$45,Control!$B$6,Control!$B$7,"Dir=V","Sort=D","Days=W","Fill=P","Dts=H")</f>
        <v/>
      </c>
      <c r="AP8" s="57">
        <f>BDH(Tickers!$B$46,Tickers!$C$46,Control!$B$6,Control!$B$7,"Dir=V","Sort=D","Days=W","Fill=P","Dts=H")</f>
        <v/>
      </c>
      <c r="AQ8" s="57">
        <f>BDH(Tickers!$B$47,Tickers!$C$47,Control!$B$6,Control!$B$7,"Dir=V","Sort=D","Days=W","Fill=P","Dts=H")</f>
        <v/>
      </c>
      <c r="AR8" s="57">
        <f>BDH(Tickers!$B$48,Tickers!$C$48,Control!$B$6,Control!$B$7,"Dir=V","Sort=D","Days=W","Fill=P","Dts=H")</f>
        <v/>
      </c>
      <c r="AS8" s="57">
        <f>BDH(Tickers!$B$49,Tickers!$C$49,Control!$B$6,Control!$B$7,"Dir=V","Sort=D","Days=W","Fill=P","Dts=H")</f>
        <v/>
      </c>
      <c r="AT8" s="57">
        <f>BDH(Tickers!$B$50,Tickers!$C$50,Control!$B$6,Control!$B$7,"Dir=V","Sort=D","Days=W","Fill=P","Dts=H")</f>
        <v/>
      </c>
      <c r="AU8" s="57">
        <f>BDH(Tickers!$B$51,Tickers!$C$51,Control!$B$6,Control!$B$7,"Dir=V","Sort=D","Days=W","Fill=P","Dts=H")</f>
        <v/>
      </c>
      <c r="AV8" s="57">
        <f>BDH(Tickers!$B$52,Tickers!$C$52,Control!$B$6,Control!$B$7,"Dir=V","Sort=D","Days=W","Fill=P","Dts=H")</f>
        <v/>
      </c>
      <c r="AW8" s="57">
        <f>BDH(Tickers!$B$53,Tickers!$C$53,Control!$B$6,Control!$B$7,"Dir=V","Sort=D","Days=W","Fill=P","Dts=H")</f>
        <v/>
      </c>
      <c r="AX8" s="57">
        <f>BDH(Tickers!$B$54,Tickers!$C$54,Control!$B$6,Control!$B$7,"Dir=V","Sort=D","Days=W","Fill=P","Dts=H")</f>
        <v/>
      </c>
      <c r="AY8" s="57">
        <f>BDH(Tickers!$B$55,Tickers!$C$55,Control!$B$6,Control!$B$7,"Dir=V","Sort=D","Days=W","Fill=P","Dts=H")</f>
        <v/>
      </c>
      <c r="AZ8" s="57">
        <f>BDH(Tickers!$B$56,Tickers!$C$56,Control!$B$6,Control!$B$7,"Dir=V","Sort=D","Days=W","Fill=P","Dts=H")</f>
        <v/>
      </c>
      <c r="BA8" s="57">
        <f>BDH(Tickers!$B$57,Tickers!$C$57,Control!$B$6,Control!$B$7,"Dir=V","Sort=D","Days=W","Fill=P","Dts=H")</f>
        <v/>
      </c>
      <c r="BB8" s="57">
        <f>BDH(Tickers!$B$58,Tickers!$C$58,Control!$B$6,Control!$B$7,"Dir=V","Sort=D","Days=W","Fill=P","Dts=H")</f>
        <v/>
      </c>
      <c r="BC8" s="57">
        <f>BDH(Tickers!$B$59,Tickers!$C$59,Control!$B$6,Control!$B$7,"Dir=V","Sort=D","Days=W","Fill=P","Dts=H")</f>
        <v/>
      </c>
      <c r="BD8" s="57">
        <f>BDH(Tickers!$B$60,Tickers!$C$60,Control!$B$6,Control!$B$7,"Dir=V","Sort=D","Days=W","Fill=P","Dts=H")</f>
        <v/>
      </c>
      <c r="BE8" s="57">
        <f>BDH(Tickers!$B$61,Tickers!$C$61,Control!$B$6,Control!$B$7,"Dir=V","Sort=D","Days=W","Fill=P","Dts=H")</f>
        <v/>
      </c>
      <c r="BF8" s="57">
        <f>BDH(Tickers!$B$62,Tickers!$C$62,Control!$B$6,Control!$B$7,"Dir=V","Sort=D","Days=W","Fill=P","Dts=H")</f>
        <v/>
      </c>
      <c r="BG8" s="57">
        <f>BDH(Tickers!$B$63,Tickers!$C$63,Control!$B$6,Control!$B$7,"Dir=V","Sort=D","Days=W","Fill=P","Dts=H")</f>
        <v/>
      </c>
      <c r="BH8" s="57">
        <f>BDH(Tickers!$B$64,Tickers!$C$64,Control!$B$6,Control!$B$7,"Dir=V","Sort=D","Days=W","Fill=P","Dts=H")</f>
        <v/>
      </c>
      <c r="BI8" s="57">
        <f>BDH(Tickers!$B$65,Tickers!$C$65,Control!$B$6,Control!$B$7,"Dir=V","Sort=D","Days=W","Fill=P","Dts=H")</f>
        <v/>
      </c>
      <c r="BJ8" s="57">
        <f>BDH(Tickers!$B$66,Tickers!$C$66,Control!$B$6,Control!$B$7,"Dir=V","Sort=D","Days=W","Fill=P","Dts=H")</f>
        <v/>
      </c>
      <c r="BK8" s="57">
        <f>BDH(Tickers!$B$67,Tickers!$C$67,Control!$B$6,Control!$B$7,"Dir=V","Sort=D","Days=W","Fill=P","Dts=H")</f>
        <v/>
      </c>
      <c r="BL8" s="57">
        <f>BDH(Tickers!$B$68,Tickers!$C$68,Control!$B$6,Control!$B$7,"Dir=V","Sort=D","Days=W","Fill=P","Dts=H")</f>
        <v/>
      </c>
      <c r="BM8" s="57">
        <f>BDH(Tickers!$B$69,Tickers!$C$69,Control!$B$6,Control!$B$7,"Dir=V","Sort=D","Days=W","Fill=P","Dts=H")</f>
        <v/>
      </c>
      <c r="BN8" s="57">
        <f>BDH(Tickers!$B$70,Tickers!$C$70,Control!$B$6,Control!$B$7,"Dir=V","Sort=D","Days=W","Fill=P","Dts=H")</f>
        <v/>
      </c>
      <c r="BO8" s="57">
        <f>BDH(Tickers!$B$71,Tickers!$C$71,Control!$B$6,Control!$B$7,"Dir=V","Sort=D","Days=W","Fill=P","Dts=H")</f>
        <v/>
      </c>
      <c r="BP8" s="57">
        <f>BDH(Tickers!$B$72,Tickers!$C$72,Control!$B$6,Control!$B$7,"Dir=V","Sort=D","Days=W","Fill=P","Dts=H")</f>
        <v/>
      </c>
      <c r="BQ8" s="57">
        <f>BDH(Tickers!$B$73,Tickers!$C$73,Control!$B$6,Control!$B$7,"Dir=V","Sort=D","Days=W","Fill=P","Dts=H")</f>
        <v/>
      </c>
      <c r="BR8" s="57">
        <f>BDH(Tickers!$B$74,Tickers!$C$74,Control!$B$6,Control!$B$7,"Dir=V","Sort=D","Days=W","Fill=P","Dts=H")</f>
        <v/>
      </c>
      <c r="BS8" s="57">
        <f>BDH(Tickers!$B$75,Tickers!$C$75,Control!$B$6,Control!$B$7,"Dir=V","Sort=D","Days=W","Fill=P","Dts=H")</f>
        <v/>
      </c>
      <c r="BT8" s="57">
        <f>BDH(Tickers!$B$76,Tickers!$C$76,Control!$B$6,Control!$B$7,"Dir=V","Sort=D","Days=W","Fill=P","Dts=H")</f>
        <v/>
      </c>
      <c r="BU8" s="57">
        <f>BDH(Tickers!$B$77,Tickers!$C$77,Control!$B$6,Control!$B$7,"Dir=V","Sort=D","Days=W","Fill=P","Dts=H")</f>
        <v/>
      </c>
      <c r="BV8" s="57">
        <f>BDH(Tickers!$B$78,Tickers!$C$78,Control!$B$6,Control!$B$7,"Dir=V","Sort=D","Days=W","Fill=P","Dts=H")</f>
        <v/>
      </c>
      <c r="BW8" s="57">
        <f>BDH(Tickers!$B$79,Tickers!$C$79,Control!$B$6,Control!$B$7,"Dir=V","Sort=D","Days=W","Fill=P","Dts=H")</f>
        <v/>
      </c>
      <c r="BX8" s="57">
        <f>BDH(Tickers!$B$80,Tickers!$C$80,Control!$B$6,Control!$B$7,"Dir=V","Sort=D","Days=W","Fill=P","Dts=H")</f>
        <v/>
      </c>
      <c r="BY8" s="57">
        <f>BDH(Tickers!$B$81,Tickers!$C$81,Control!$B$6,Control!$B$7,"Dir=V","Sort=D","Days=W","Fill=P","Dts=H")</f>
        <v/>
      </c>
      <c r="BZ8" s="57">
        <f>BDH(Tickers!$B$82,Tickers!$C$82,Control!$B$6,Control!$B$7,"Dir=V","Sort=D","Days=W","Fill=P","Dts=H")</f>
        <v/>
      </c>
      <c r="CA8" s="57">
        <f>BDH(Tickers!$B$83,Tickers!$C$83,Control!$B$6,Control!$B$7,"Dir=V","Sort=D","Days=W","Fill=P","Dts=H")</f>
        <v/>
      </c>
      <c r="CB8" s="57">
        <f>BDH(Tickers!$B$84,Tickers!$C$84,Control!$B$6,Control!$B$7,"Dir=V","Sort=D","Days=W","Fill=P","Dts=H")</f>
        <v/>
      </c>
      <c r="CC8" s="57">
        <f>BDH(Tickers!$B$85,Tickers!$C$85,Control!$B$6,Control!$B$7,"Dir=V","Sort=D","Days=W","Fill=P","Dts=H")</f>
        <v/>
      </c>
      <c r="CD8" s="57">
        <f>BDH(Tickers!$B$86,Tickers!$C$86,Control!$B$6,Control!$B$7,"Dir=V","Sort=D","Days=W","Fill=P","Dts=H")</f>
        <v/>
      </c>
      <c r="CE8" s="57">
        <f>BDH(Tickers!$B$87,Tickers!$C$87,Control!$B$6,Control!$B$7,"Dir=V","Sort=D","Days=W","Fill=P","Dts=H")</f>
        <v/>
      </c>
      <c r="CF8" s="57">
        <f>BDH(Tickers!$B$88,Tickers!$C$88,Control!$B$6,Control!$B$7,"Dir=V","Sort=D","Days=W","Fill=P","Dts=H")</f>
        <v/>
      </c>
      <c r="CG8" s="57">
        <f>BDH(Tickers!$B$89,Tickers!$C$89,Control!$B$6,Control!$B$7,"Dir=V","Sort=D","Days=W","Fill=P","Dts=H")</f>
        <v/>
      </c>
      <c r="CH8" s="57">
        <f>BDH(Tickers!$B$90,Tickers!$C$90,Control!$B$6,Control!$B$7,"Dir=V","Sort=D","Days=W","Fill=P","Dts=H")</f>
        <v/>
      </c>
      <c r="CI8" s="57">
        <f>BDH(Tickers!$B$91,Tickers!$C$91,Control!$B$6,Control!$B$7,"Dir=V","Sort=D","Days=W","Fill=P","Dts=H")</f>
        <v/>
      </c>
      <c r="CJ8" s="57">
        <f>BDH(Tickers!$B$92,Tickers!$C$92,Control!$B$6,Control!$B$7,"Dir=V","Sort=D","Days=W","Fill=P","Dts=H")</f>
        <v/>
      </c>
      <c r="CK8" s="57">
        <f>BDH(Tickers!$B$93,Tickers!$C$93,Control!$B$6,Control!$B$7,"Dir=V","Sort=D","Days=W","Fill=P","Dts=H")</f>
        <v/>
      </c>
      <c r="CL8" s="57">
        <f>BDH(Tickers!$B$94,Tickers!$C$94,Control!$B$6,Control!$B$7,"Dir=V","Sort=D","Days=W","Fill=P","Dts=H")</f>
        <v/>
      </c>
      <c r="CM8" s="57">
        <f>BDH(Tickers!$B$95,Tickers!$C$95,Control!$B$6,Control!$B$7,"Dir=V","Sort=D","Days=W","Fill=P","Dts=H")</f>
        <v/>
      </c>
      <c r="CN8" s="57">
        <f>BDH(Tickers!$B$96,Tickers!$C$96,Control!$B$6,Control!$B$7,"Dir=V","Sort=D","Days=W","Fill=P","Dts=H")</f>
        <v/>
      </c>
      <c r="CO8" s="57">
        <f>BDH(Tickers!$B$97,Tickers!$C$97,Control!$B$6,Control!$B$7,"Dir=V","Sort=D","Days=W","Fill=P","Dts=H")</f>
        <v/>
      </c>
      <c r="CP8" s="57">
        <f>BDH(Tickers!$B$98,Tickers!$C$98,Control!$B$6,Control!$B$7,"Dir=V","Sort=D","Days=W","Fill=P","Dts=H")</f>
        <v/>
      </c>
      <c r="CQ8" s="57">
        <f>BDH(Tickers!$B$99,Tickers!$C$99,Control!$B$6,Control!$B$7,"Dir=V","Sort=D","Days=W","Fill=P","Dts=H")</f>
        <v/>
      </c>
      <c r="CR8" s="57">
        <f>BDH(Tickers!$B$100,Tickers!$C$100,Control!$B$6,Control!$B$7,"Dir=V","Sort=D","Days=W","Fill=P","Dts=H")</f>
        <v/>
      </c>
      <c r="CS8" s="57">
        <f>BDH(Tickers!$B$101,Tickers!$C$101,Control!$B$6,Control!$B$7,"Dir=V","Sort=D","Days=W","Fill=P","Dts=H")</f>
        <v/>
      </c>
      <c r="CT8" s="57">
        <f>BDH(Tickers!$B$102,Tickers!$C$102,Control!$B$6,Control!$B$7,"Dir=V","Sort=D","Days=W","Fill=P","Dts=H")</f>
        <v/>
      </c>
      <c r="CU8" s="58">
        <f>IFERROR($B8/$B9-1,"")</f>
        <v/>
      </c>
      <c r="CV8" s="59">
        <f>($F8-$F9)*100</f>
        <v/>
      </c>
      <c r="CW8" s="59">
        <f>($E8-$E9)*100</f>
        <v/>
      </c>
      <c r="CX8" s="58">
        <f>IFERROR($K8/$K9-1,"")</f>
        <v/>
      </c>
      <c r="CY8" s="59">
        <f>($AH8-$AH9)*100</f>
        <v/>
      </c>
      <c r="CZ8" s="59">
        <f>($AI8-$AI9)*100</f>
        <v/>
      </c>
      <c r="DA8" s="59">
        <f>($AJ8-$AJ9)*100</f>
        <v/>
      </c>
      <c r="DB8" s="59">
        <f>($AK8-$AK9)*100</f>
        <v/>
      </c>
      <c r="DC8" s="59">
        <f>($AL8-$AL9)*100</f>
        <v/>
      </c>
      <c r="DD8" s="59">
        <f>($AM8-$AM9)*100</f>
        <v/>
      </c>
      <c r="DE8" s="59">
        <f>($AN8-$AN9)*100</f>
        <v/>
      </c>
      <c r="DF8" s="59">
        <f>($AO8-$AO9)*100</f>
        <v/>
      </c>
      <c r="DG8" s="59">
        <f>($AP8-$AP9)*100</f>
        <v/>
      </c>
      <c r="DH8" s="59">
        <f>($AQ8-$AQ9)*100</f>
        <v/>
      </c>
      <c r="DI8" s="59">
        <f>($AR8-$AR9)*100</f>
        <v/>
      </c>
      <c r="DJ8" s="59">
        <f>($AS8-$AS9)*100</f>
        <v/>
      </c>
      <c r="DK8" s="59">
        <f>($AT8-$AT9)*100</f>
        <v/>
      </c>
      <c r="DL8" s="59">
        <f>($AU8-$AU9)*100</f>
        <v/>
      </c>
      <c r="DM8" s="59">
        <f>($AV8-$AV9)*100</f>
        <v/>
      </c>
      <c r="DN8" s="59">
        <f>($AW8-$AW9)*100</f>
        <v/>
      </c>
      <c r="DO8" s="59">
        <f>($AX8-$AX9)*100</f>
        <v/>
      </c>
      <c r="DP8" s="59">
        <f>($AY8-$AY9)*100</f>
        <v/>
      </c>
      <c r="DQ8" s="59">
        <f>($AZ8-$AZ9)*100</f>
        <v/>
      </c>
      <c r="DR8" s="59">
        <f>($BA8-$BA9)*100</f>
        <v/>
      </c>
      <c r="DS8" s="58">
        <f>IFERROR($N9/$N8-1,"")</f>
        <v/>
      </c>
      <c r="DT8" s="58">
        <f>IFERROR($O9/$O8-1,"")</f>
        <v/>
      </c>
      <c r="DU8" s="58">
        <f>IFERROR($P9/$P8-1,"")</f>
        <v/>
      </c>
      <c r="DV8" s="58">
        <f>IFERROR($Q9/$Q8-1,"")</f>
        <v/>
      </c>
      <c r="DW8" s="58">
        <f>IFERROR($R9/$R8-1,"")</f>
        <v/>
      </c>
      <c r="DX8" s="58">
        <f>IFERROR($S9/$S8-1,"")</f>
        <v/>
      </c>
      <c r="DY8" s="58">
        <f>IFERROR($T9/$T8-1,"")</f>
        <v/>
      </c>
      <c r="DZ8" s="58">
        <f>IFERROR($U9/$U8-1,"")</f>
        <v/>
      </c>
      <c r="EA8" s="58">
        <f>IFERROR($V9/$V8-1,"")</f>
        <v/>
      </c>
      <c r="EB8" s="58">
        <f>IFERROR($W9/$W8-1,"")</f>
        <v/>
      </c>
      <c r="EC8" s="58">
        <f>IFERROR($X9/$X8-1,"")</f>
        <v/>
      </c>
      <c r="ED8" s="58">
        <f>IFERROR($Y9/$Y8-1,"")</f>
        <v/>
      </c>
      <c r="EE8" s="58">
        <f>IFERROR($Z9/$Z8-1,"")</f>
        <v/>
      </c>
      <c r="EF8" s="58">
        <f>IFERROR($AA9/$AA8-1,"")</f>
        <v/>
      </c>
      <c r="EG8" s="58">
        <f>IFERROR($AB9/$AB8-1,"")</f>
        <v/>
      </c>
      <c r="EH8" s="58">
        <f>IFERROR($AC9/$AC8-1,"")</f>
        <v/>
      </c>
      <c r="EI8" s="58">
        <f>IFERROR($AD9/$AD8-1,"")</f>
        <v/>
      </c>
      <c r="EJ8" s="58">
        <f>IFERROR($AE9/$AE8-1,"")</f>
        <v/>
      </c>
      <c r="EK8" s="58">
        <f>IFERROR($AF9/$AF8-1,"")</f>
        <v/>
      </c>
      <c r="EL8" s="58">
        <f>IFERROR($AG9/$AG8-1,"")</f>
        <v/>
      </c>
      <c r="EM8" s="58">
        <f>IFERROR($BB8/$BB9-1,"")</f>
        <v/>
      </c>
      <c r="EN8" s="58">
        <f>IFERROR($BC8/$BC9-1,"")</f>
        <v/>
      </c>
      <c r="EO8" s="58">
        <f>IFERROR($BD8/$BD9-1,"")</f>
        <v/>
      </c>
      <c r="EP8" s="58">
        <f>IFERROR($BE8/$BE9-1,"")</f>
        <v/>
      </c>
      <c r="EQ8" s="58">
        <f>IFERROR($BF8/$BF9-1,"")</f>
        <v/>
      </c>
      <c r="ER8" s="58">
        <f>IFERROR($BG8/$BG9-1,"")</f>
        <v/>
      </c>
      <c r="ES8" s="58">
        <f>IFERROR($BH8/$BH9-1,"")</f>
        <v/>
      </c>
      <c r="ET8" s="58">
        <f>IFERROR($BI8/$BI9-1,"")</f>
        <v/>
      </c>
      <c r="EU8" s="58">
        <f>IFERROR($BJ8/$BJ9-1,"")</f>
        <v/>
      </c>
      <c r="EV8" s="58">
        <f>IFERROR($BK8/$BK9-1,"")</f>
        <v/>
      </c>
      <c r="EW8" s="58">
        <f>IFERROR($BL8/$BL9-1,"")</f>
        <v/>
      </c>
      <c r="EX8" s="58">
        <f>IFERROR($BM8/$BM9-1,"")</f>
        <v/>
      </c>
      <c r="EY8" s="58">
        <f>IFERROR($BN8/$BN9-1,"")</f>
        <v/>
      </c>
      <c r="EZ8" s="58">
        <f>IFERROR($BO8/$BO9-1,"")</f>
        <v/>
      </c>
      <c r="FA8" s="58">
        <f>IFERROR($BP8/$BP9-1,"")</f>
        <v/>
      </c>
      <c r="FB8" s="58">
        <f>IFERROR($BQ8/$BQ9-1,"")</f>
        <v/>
      </c>
      <c r="FC8" s="58">
        <f>IFERROR($BR8/$BR9-1,"")</f>
        <v/>
      </c>
      <c r="FD8" s="58">
        <f>IFERROR($BS8/$BS9-1,"")</f>
        <v/>
      </c>
      <c r="FE8" s="58">
        <f>IFERROR($BT8/$BT9-1,"")</f>
        <v/>
      </c>
      <c r="FF8" s="58">
        <f>IFERROR($BU8/$BU9-1,"")</f>
        <v/>
      </c>
      <c r="FG8" s="58">
        <f>IFERROR($BV8/$BV9-1,"")</f>
        <v/>
      </c>
      <c r="FH8" s="58">
        <f>IFERROR($BW8/$BW9-1,"")</f>
        <v/>
      </c>
      <c r="FI8" s="58">
        <f>IFERROR($BX8/$BX9-1,"")</f>
        <v/>
      </c>
      <c r="FJ8" s="59">
        <f>$BY8-$BY9</f>
        <v/>
      </c>
      <c r="FK8" s="59">
        <f>$BZ8-$BZ9</f>
        <v/>
      </c>
      <c r="FL8" s="59">
        <f>$CA8-$CA9</f>
        <v/>
      </c>
      <c r="FM8" s="59">
        <f>$CB8-$CB9</f>
        <v/>
      </c>
      <c r="FN8" s="59">
        <f>$CC8-$CC9</f>
        <v/>
      </c>
      <c r="FO8" s="59">
        <f>$CD8-$CD9</f>
        <v/>
      </c>
      <c r="FP8" s="59">
        <f>$CE8-$CE9</f>
        <v/>
      </c>
      <c r="FQ8" s="59">
        <f>$CF8-$CF9</f>
        <v/>
      </c>
      <c r="FR8" s="59">
        <f>$CG8-$CG9</f>
        <v/>
      </c>
      <c r="FS8" s="59">
        <f>$CH8-$CH9</f>
        <v/>
      </c>
      <c r="FT8" s="59">
        <f>$CI8-$CI9</f>
        <v/>
      </c>
      <c r="FU8" s="59">
        <f>$CJ8-$CJ9</f>
        <v/>
      </c>
      <c r="FV8" s="59">
        <f>$CK8-$CK9</f>
        <v/>
      </c>
      <c r="FW8" s="59">
        <f>$CL8-$CL9</f>
        <v/>
      </c>
      <c r="FX8" s="59">
        <f>$CM8-$CM9</f>
        <v/>
      </c>
      <c r="FY8" s="59">
        <f>$CN8-$CN9</f>
        <v/>
      </c>
      <c r="FZ8" s="59">
        <f>$CO8-$CO9</f>
        <v/>
      </c>
      <c r="GA8" s="59">
        <f>$CP8-$CP9</f>
        <v/>
      </c>
      <c r="GB8" s="59">
        <f>$CQ8-$CQ9</f>
        <v/>
      </c>
      <c r="GC8" s="59">
        <f>$CR8-$CR9</f>
        <v/>
      </c>
      <c r="GD8" s="59">
        <f>$CS8-$CS9</f>
        <v/>
      </c>
      <c r="GE8" s="59">
        <f>$CT8-$CT9</f>
        <v/>
      </c>
    </row>
    <row r="9">
      <c r="CU9" s="58">
        <f>IFERROR($B9/$B10-1,"")</f>
        <v/>
      </c>
      <c r="CV9" s="59">
        <f>($F9-$F10)*100</f>
        <v/>
      </c>
      <c r="CW9" s="59">
        <f>($E9-$E10)*100</f>
        <v/>
      </c>
      <c r="CX9" s="58">
        <f>IFERROR($K9/$K10-1,"")</f>
        <v/>
      </c>
      <c r="CY9" s="59">
        <f>($AH9-$AH10)*100</f>
        <v/>
      </c>
      <c r="CZ9" s="59">
        <f>($AI9-$AI10)*100</f>
        <v/>
      </c>
      <c r="DA9" s="59">
        <f>($AJ9-$AJ10)*100</f>
        <v/>
      </c>
      <c r="DB9" s="59">
        <f>($AK9-$AK10)*100</f>
        <v/>
      </c>
      <c r="DC9" s="59">
        <f>($AL9-$AL10)*100</f>
        <v/>
      </c>
      <c r="DD9" s="59">
        <f>($AM9-$AM10)*100</f>
        <v/>
      </c>
      <c r="DE9" s="59">
        <f>($AN9-$AN10)*100</f>
        <v/>
      </c>
      <c r="DF9" s="59">
        <f>($AO9-$AO10)*100</f>
        <v/>
      </c>
      <c r="DG9" s="59">
        <f>($AP9-$AP10)*100</f>
        <v/>
      </c>
      <c r="DH9" s="59">
        <f>($AQ9-$AQ10)*100</f>
        <v/>
      </c>
      <c r="DI9" s="59">
        <f>($AR9-$AR10)*100</f>
        <v/>
      </c>
      <c r="DJ9" s="59">
        <f>($AS9-$AS10)*100</f>
        <v/>
      </c>
      <c r="DK9" s="59">
        <f>($AT9-$AT10)*100</f>
        <v/>
      </c>
      <c r="DL9" s="59">
        <f>($AU9-$AU10)*100</f>
        <v/>
      </c>
      <c r="DM9" s="59">
        <f>($AV9-$AV10)*100</f>
        <v/>
      </c>
      <c r="DN9" s="59">
        <f>($AW9-$AW10)*100</f>
        <v/>
      </c>
      <c r="DO9" s="59">
        <f>($AX9-$AX10)*100</f>
        <v/>
      </c>
      <c r="DP9" s="59">
        <f>($AY9-$AY10)*100</f>
        <v/>
      </c>
      <c r="DQ9" s="59">
        <f>($AZ9-$AZ10)*100</f>
        <v/>
      </c>
      <c r="DR9" s="59">
        <f>($BA9-$BA10)*100</f>
        <v/>
      </c>
      <c r="DS9" s="58">
        <f>IFERROR($N10/$N9-1,"")</f>
        <v/>
      </c>
      <c r="DT9" s="58">
        <f>IFERROR($O10/$O9-1,"")</f>
        <v/>
      </c>
      <c r="DU9" s="58">
        <f>IFERROR($P10/$P9-1,"")</f>
        <v/>
      </c>
      <c r="DV9" s="58">
        <f>IFERROR($Q10/$Q9-1,"")</f>
        <v/>
      </c>
      <c r="DW9" s="58">
        <f>IFERROR($R10/$R9-1,"")</f>
        <v/>
      </c>
      <c r="DX9" s="58">
        <f>IFERROR($S10/$S9-1,"")</f>
        <v/>
      </c>
      <c r="DY9" s="58">
        <f>IFERROR($T10/$T9-1,"")</f>
        <v/>
      </c>
      <c r="DZ9" s="58">
        <f>IFERROR($U10/$U9-1,"")</f>
        <v/>
      </c>
      <c r="EA9" s="58">
        <f>IFERROR($V10/$V9-1,"")</f>
        <v/>
      </c>
      <c r="EB9" s="58">
        <f>IFERROR($W10/$W9-1,"")</f>
        <v/>
      </c>
      <c r="EC9" s="58">
        <f>IFERROR($X10/$X9-1,"")</f>
        <v/>
      </c>
      <c r="ED9" s="58">
        <f>IFERROR($Y10/$Y9-1,"")</f>
        <v/>
      </c>
      <c r="EE9" s="58">
        <f>IFERROR($Z10/$Z9-1,"")</f>
        <v/>
      </c>
      <c r="EF9" s="58">
        <f>IFERROR($AA10/$AA9-1,"")</f>
        <v/>
      </c>
      <c r="EG9" s="58">
        <f>IFERROR($AB10/$AB9-1,"")</f>
        <v/>
      </c>
      <c r="EH9" s="58">
        <f>IFERROR($AC10/$AC9-1,"")</f>
        <v/>
      </c>
      <c r="EI9" s="58">
        <f>IFERROR($AD10/$AD9-1,"")</f>
        <v/>
      </c>
      <c r="EJ9" s="58">
        <f>IFERROR($AE10/$AE9-1,"")</f>
        <v/>
      </c>
      <c r="EK9" s="58">
        <f>IFERROR($AF10/$AF9-1,"")</f>
        <v/>
      </c>
      <c r="EL9" s="58">
        <f>IFERROR($AG10/$AG9-1,"")</f>
        <v/>
      </c>
      <c r="EM9" s="58">
        <f>IFERROR($BB9/$BB10-1,"")</f>
        <v/>
      </c>
      <c r="EN9" s="58">
        <f>IFERROR($BC9/$BC10-1,"")</f>
        <v/>
      </c>
      <c r="EO9" s="58">
        <f>IFERROR($BD9/$BD10-1,"")</f>
        <v/>
      </c>
      <c r="EP9" s="58">
        <f>IFERROR($BE9/$BE10-1,"")</f>
        <v/>
      </c>
      <c r="EQ9" s="58">
        <f>IFERROR($BF9/$BF10-1,"")</f>
        <v/>
      </c>
      <c r="ER9" s="58">
        <f>IFERROR($BG9/$BG10-1,"")</f>
        <v/>
      </c>
      <c r="ES9" s="58">
        <f>IFERROR($BH9/$BH10-1,"")</f>
        <v/>
      </c>
      <c r="ET9" s="58">
        <f>IFERROR($BI9/$BI10-1,"")</f>
        <v/>
      </c>
      <c r="EU9" s="58">
        <f>IFERROR($BJ9/$BJ10-1,"")</f>
        <v/>
      </c>
      <c r="EV9" s="58">
        <f>IFERROR($BK9/$BK10-1,"")</f>
        <v/>
      </c>
      <c r="EW9" s="58">
        <f>IFERROR($BL9/$BL10-1,"")</f>
        <v/>
      </c>
      <c r="EX9" s="58">
        <f>IFERROR($BM9/$BM10-1,"")</f>
        <v/>
      </c>
      <c r="EY9" s="58">
        <f>IFERROR($BN9/$BN10-1,"")</f>
        <v/>
      </c>
      <c r="EZ9" s="58">
        <f>IFERROR($BO9/$BO10-1,"")</f>
        <v/>
      </c>
      <c r="FA9" s="58">
        <f>IFERROR($BP9/$BP10-1,"")</f>
        <v/>
      </c>
      <c r="FB9" s="58">
        <f>IFERROR($BQ9/$BQ10-1,"")</f>
        <v/>
      </c>
      <c r="FC9" s="58">
        <f>IFERROR($BR9/$BR10-1,"")</f>
        <v/>
      </c>
      <c r="FD9" s="58">
        <f>IFERROR($BS9/$BS10-1,"")</f>
        <v/>
      </c>
      <c r="FE9" s="58">
        <f>IFERROR($BT9/$BT10-1,"")</f>
        <v/>
      </c>
      <c r="FF9" s="58">
        <f>IFERROR($BU9/$BU10-1,"")</f>
        <v/>
      </c>
      <c r="FG9" s="58">
        <f>IFERROR($BV9/$BV10-1,"")</f>
        <v/>
      </c>
      <c r="FH9" s="58">
        <f>IFERROR($BW9/$BW10-1,"")</f>
        <v/>
      </c>
      <c r="FI9" s="58">
        <f>IFERROR($BX9/$BX10-1,"")</f>
        <v/>
      </c>
      <c r="FJ9" s="59">
        <f>$BY9-$BY10</f>
        <v/>
      </c>
      <c r="FK9" s="59">
        <f>$BZ9-$BZ10</f>
        <v/>
      </c>
      <c r="FL9" s="59">
        <f>$CA9-$CA10</f>
        <v/>
      </c>
      <c r="FM9" s="59">
        <f>$CB9-$CB10</f>
        <v/>
      </c>
      <c r="FN9" s="59">
        <f>$CC9-$CC10</f>
        <v/>
      </c>
      <c r="FO9" s="59">
        <f>$CD9-$CD10</f>
        <v/>
      </c>
      <c r="FP9" s="59">
        <f>$CE9-$CE10</f>
        <v/>
      </c>
      <c r="FQ9" s="59">
        <f>$CF9-$CF10</f>
        <v/>
      </c>
      <c r="FR9" s="59">
        <f>$CG9-$CG10</f>
        <v/>
      </c>
      <c r="FS9" s="59">
        <f>$CH9-$CH10</f>
        <v/>
      </c>
      <c r="FT9" s="59">
        <f>$CI9-$CI10</f>
        <v/>
      </c>
      <c r="FU9" s="59">
        <f>$CJ9-$CJ10</f>
        <v/>
      </c>
      <c r="FV9" s="59">
        <f>$CK9-$CK10</f>
        <v/>
      </c>
      <c r="FW9" s="59">
        <f>$CL9-$CL10</f>
        <v/>
      </c>
      <c r="FX9" s="59">
        <f>$CM9-$CM10</f>
        <v/>
      </c>
      <c r="FY9" s="59">
        <f>$CN9-$CN10</f>
        <v/>
      </c>
      <c r="FZ9" s="59">
        <f>$CO9-$CO10</f>
        <v/>
      </c>
      <c r="GA9" s="59">
        <f>$CP9-$CP10</f>
        <v/>
      </c>
      <c r="GB9" s="59">
        <f>$CQ9-$CQ10</f>
        <v/>
      </c>
      <c r="GC9" s="59">
        <f>$CR9-$CR10</f>
        <v/>
      </c>
      <c r="GD9" s="59">
        <f>$CS9-$CS10</f>
        <v/>
      </c>
      <c r="GE9" s="59">
        <f>$CT9-$CT10</f>
        <v/>
      </c>
    </row>
    <row r="10">
      <c r="CU10" s="58">
        <f>IFERROR($B10/$B11-1,"")</f>
        <v/>
      </c>
      <c r="CV10" s="59">
        <f>($F10-$F11)*100</f>
        <v/>
      </c>
      <c r="CW10" s="59">
        <f>($E10-$E11)*100</f>
        <v/>
      </c>
      <c r="CX10" s="58">
        <f>IFERROR($K10/$K11-1,"")</f>
        <v/>
      </c>
      <c r="CY10" s="59">
        <f>($AH10-$AH11)*100</f>
        <v/>
      </c>
      <c r="CZ10" s="59">
        <f>($AI10-$AI11)*100</f>
        <v/>
      </c>
      <c r="DA10" s="59">
        <f>($AJ10-$AJ11)*100</f>
        <v/>
      </c>
      <c r="DB10" s="59">
        <f>($AK10-$AK11)*100</f>
        <v/>
      </c>
      <c r="DC10" s="59">
        <f>($AL10-$AL11)*100</f>
        <v/>
      </c>
      <c r="DD10" s="59">
        <f>($AM10-$AM11)*100</f>
        <v/>
      </c>
      <c r="DE10" s="59">
        <f>($AN10-$AN11)*100</f>
        <v/>
      </c>
      <c r="DF10" s="59">
        <f>($AO10-$AO11)*100</f>
        <v/>
      </c>
      <c r="DG10" s="59">
        <f>($AP10-$AP11)*100</f>
        <v/>
      </c>
      <c r="DH10" s="59">
        <f>($AQ10-$AQ11)*100</f>
        <v/>
      </c>
      <c r="DI10" s="59">
        <f>($AR10-$AR11)*100</f>
        <v/>
      </c>
      <c r="DJ10" s="59">
        <f>($AS10-$AS11)*100</f>
        <v/>
      </c>
      <c r="DK10" s="59">
        <f>($AT10-$AT11)*100</f>
        <v/>
      </c>
      <c r="DL10" s="59">
        <f>($AU10-$AU11)*100</f>
        <v/>
      </c>
      <c r="DM10" s="59">
        <f>($AV10-$AV11)*100</f>
        <v/>
      </c>
      <c r="DN10" s="59">
        <f>($AW10-$AW11)*100</f>
        <v/>
      </c>
      <c r="DO10" s="59">
        <f>($AX10-$AX11)*100</f>
        <v/>
      </c>
      <c r="DP10" s="59">
        <f>($AY10-$AY11)*100</f>
        <v/>
      </c>
      <c r="DQ10" s="59">
        <f>($AZ10-$AZ11)*100</f>
        <v/>
      </c>
      <c r="DR10" s="59">
        <f>($BA10-$BA11)*100</f>
        <v/>
      </c>
      <c r="DS10" s="58">
        <f>IFERROR($N11/$N10-1,"")</f>
        <v/>
      </c>
      <c r="DT10" s="58">
        <f>IFERROR($O11/$O10-1,"")</f>
        <v/>
      </c>
      <c r="DU10" s="58">
        <f>IFERROR($P11/$P10-1,"")</f>
        <v/>
      </c>
      <c r="DV10" s="58">
        <f>IFERROR($Q11/$Q10-1,"")</f>
        <v/>
      </c>
      <c r="DW10" s="58">
        <f>IFERROR($R11/$R10-1,"")</f>
        <v/>
      </c>
      <c r="DX10" s="58">
        <f>IFERROR($S11/$S10-1,"")</f>
        <v/>
      </c>
      <c r="DY10" s="58">
        <f>IFERROR($T11/$T10-1,"")</f>
        <v/>
      </c>
      <c r="DZ10" s="58">
        <f>IFERROR($U11/$U10-1,"")</f>
        <v/>
      </c>
      <c r="EA10" s="58">
        <f>IFERROR($V11/$V10-1,"")</f>
        <v/>
      </c>
      <c r="EB10" s="58">
        <f>IFERROR($W11/$W10-1,"")</f>
        <v/>
      </c>
      <c r="EC10" s="58">
        <f>IFERROR($X11/$X10-1,"")</f>
        <v/>
      </c>
      <c r="ED10" s="58">
        <f>IFERROR($Y11/$Y10-1,"")</f>
        <v/>
      </c>
      <c r="EE10" s="58">
        <f>IFERROR($Z11/$Z10-1,"")</f>
        <v/>
      </c>
      <c r="EF10" s="58">
        <f>IFERROR($AA11/$AA10-1,"")</f>
        <v/>
      </c>
      <c r="EG10" s="58">
        <f>IFERROR($AB11/$AB10-1,"")</f>
        <v/>
      </c>
      <c r="EH10" s="58">
        <f>IFERROR($AC11/$AC10-1,"")</f>
        <v/>
      </c>
      <c r="EI10" s="58">
        <f>IFERROR($AD11/$AD10-1,"")</f>
        <v/>
      </c>
      <c r="EJ10" s="58">
        <f>IFERROR($AE11/$AE10-1,"")</f>
        <v/>
      </c>
      <c r="EK10" s="58">
        <f>IFERROR($AF11/$AF10-1,"")</f>
        <v/>
      </c>
      <c r="EL10" s="58">
        <f>IFERROR($AG11/$AG10-1,"")</f>
        <v/>
      </c>
      <c r="EM10" s="58">
        <f>IFERROR($BB10/$BB11-1,"")</f>
        <v/>
      </c>
      <c r="EN10" s="58">
        <f>IFERROR($BC10/$BC11-1,"")</f>
        <v/>
      </c>
      <c r="EO10" s="58">
        <f>IFERROR($BD10/$BD11-1,"")</f>
        <v/>
      </c>
      <c r="EP10" s="58">
        <f>IFERROR($BE10/$BE11-1,"")</f>
        <v/>
      </c>
      <c r="EQ10" s="58">
        <f>IFERROR($BF10/$BF11-1,"")</f>
        <v/>
      </c>
      <c r="ER10" s="58">
        <f>IFERROR($BG10/$BG11-1,"")</f>
        <v/>
      </c>
      <c r="ES10" s="58">
        <f>IFERROR($BH10/$BH11-1,"")</f>
        <v/>
      </c>
      <c r="ET10" s="58">
        <f>IFERROR($BI10/$BI11-1,"")</f>
        <v/>
      </c>
      <c r="EU10" s="58">
        <f>IFERROR($BJ10/$BJ11-1,"")</f>
        <v/>
      </c>
      <c r="EV10" s="58">
        <f>IFERROR($BK10/$BK11-1,"")</f>
        <v/>
      </c>
      <c r="EW10" s="58">
        <f>IFERROR($BL10/$BL11-1,"")</f>
        <v/>
      </c>
      <c r="EX10" s="58">
        <f>IFERROR($BM10/$BM11-1,"")</f>
        <v/>
      </c>
      <c r="EY10" s="58">
        <f>IFERROR($BN10/$BN11-1,"")</f>
        <v/>
      </c>
      <c r="EZ10" s="58">
        <f>IFERROR($BO10/$BO11-1,"")</f>
        <v/>
      </c>
      <c r="FA10" s="58">
        <f>IFERROR($BP10/$BP11-1,"")</f>
        <v/>
      </c>
      <c r="FB10" s="58">
        <f>IFERROR($BQ10/$BQ11-1,"")</f>
        <v/>
      </c>
      <c r="FC10" s="58">
        <f>IFERROR($BR10/$BR11-1,"")</f>
        <v/>
      </c>
      <c r="FD10" s="58">
        <f>IFERROR($BS10/$BS11-1,"")</f>
        <v/>
      </c>
      <c r="FE10" s="58">
        <f>IFERROR($BT10/$BT11-1,"")</f>
        <v/>
      </c>
      <c r="FF10" s="58">
        <f>IFERROR($BU10/$BU11-1,"")</f>
        <v/>
      </c>
      <c r="FG10" s="58">
        <f>IFERROR($BV10/$BV11-1,"")</f>
        <v/>
      </c>
      <c r="FH10" s="58">
        <f>IFERROR($BW10/$BW11-1,"")</f>
        <v/>
      </c>
      <c r="FI10" s="58">
        <f>IFERROR($BX10/$BX11-1,"")</f>
        <v/>
      </c>
      <c r="FJ10" s="59">
        <f>$BY10-$BY11</f>
        <v/>
      </c>
      <c r="FK10" s="59">
        <f>$BZ10-$BZ11</f>
        <v/>
      </c>
      <c r="FL10" s="59">
        <f>$CA10-$CA11</f>
        <v/>
      </c>
      <c r="FM10" s="59">
        <f>$CB10-$CB11</f>
        <v/>
      </c>
      <c r="FN10" s="59">
        <f>$CC10-$CC11</f>
        <v/>
      </c>
      <c r="FO10" s="59">
        <f>$CD10-$CD11</f>
        <v/>
      </c>
      <c r="FP10" s="59">
        <f>$CE10-$CE11</f>
        <v/>
      </c>
      <c r="FQ10" s="59">
        <f>$CF10-$CF11</f>
        <v/>
      </c>
      <c r="FR10" s="59">
        <f>$CG10-$CG11</f>
        <v/>
      </c>
      <c r="FS10" s="59">
        <f>$CH10-$CH11</f>
        <v/>
      </c>
      <c r="FT10" s="59">
        <f>$CI10-$CI11</f>
        <v/>
      </c>
      <c r="FU10" s="59">
        <f>$CJ10-$CJ11</f>
        <v/>
      </c>
      <c r="FV10" s="59">
        <f>$CK10-$CK11</f>
        <v/>
      </c>
      <c r="FW10" s="59">
        <f>$CL10-$CL11</f>
        <v/>
      </c>
      <c r="FX10" s="59">
        <f>$CM10-$CM11</f>
        <v/>
      </c>
      <c r="FY10" s="59">
        <f>$CN10-$CN11</f>
        <v/>
      </c>
      <c r="FZ10" s="59">
        <f>$CO10-$CO11</f>
        <v/>
      </c>
      <c r="GA10" s="59">
        <f>$CP10-$CP11</f>
        <v/>
      </c>
      <c r="GB10" s="59">
        <f>$CQ10-$CQ11</f>
        <v/>
      </c>
      <c r="GC10" s="59">
        <f>$CR10-$CR11</f>
        <v/>
      </c>
      <c r="GD10" s="59">
        <f>$CS10-$CS11</f>
        <v/>
      </c>
      <c r="GE10" s="59">
        <f>$CT10-$CT11</f>
        <v/>
      </c>
    </row>
    <row r="11">
      <c r="CU11" s="58">
        <f>IFERROR($B11/$B12-1,"")</f>
        <v/>
      </c>
      <c r="CV11" s="59">
        <f>($F11-$F12)*100</f>
        <v/>
      </c>
      <c r="CW11" s="59">
        <f>($E11-$E12)*100</f>
        <v/>
      </c>
      <c r="CX11" s="58">
        <f>IFERROR($K11/$K12-1,"")</f>
        <v/>
      </c>
      <c r="CY11" s="59">
        <f>($AH11-$AH12)*100</f>
        <v/>
      </c>
      <c r="CZ11" s="59">
        <f>($AI11-$AI12)*100</f>
        <v/>
      </c>
      <c r="DA11" s="59">
        <f>($AJ11-$AJ12)*100</f>
        <v/>
      </c>
      <c r="DB11" s="59">
        <f>($AK11-$AK12)*100</f>
        <v/>
      </c>
      <c r="DC11" s="59">
        <f>($AL11-$AL12)*100</f>
        <v/>
      </c>
      <c r="DD11" s="59">
        <f>($AM11-$AM12)*100</f>
        <v/>
      </c>
      <c r="DE11" s="59">
        <f>($AN11-$AN12)*100</f>
        <v/>
      </c>
      <c r="DF11" s="59">
        <f>($AO11-$AO12)*100</f>
        <v/>
      </c>
      <c r="DG11" s="59">
        <f>($AP11-$AP12)*100</f>
        <v/>
      </c>
      <c r="DH11" s="59">
        <f>($AQ11-$AQ12)*100</f>
        <v/>
      </c>
      <c r="DI11" s="59">
        <f>($AR11-$AR12)*100</f>
        <v/>
      </c>
      <c r="DJ11" s="59">
        <f>($AS11-$AS12)*100</f>
        <v/>
      </c>
      <c r="DK11" s="59">
        <f>($AT11-$AT12)*100</f>
        <v/>
      </c>
      <c r="DL11" s="59">
        <f>($AU11-$AU12)*100</f>
        <v/>
      </c>
      <c r="DM11" s="59">
        <f>($AV11-$AV12)*100</f>
        <v/>
      </c>
      <c r="DN11" s="59">
        <f>($AW11-$AW12)*100</f>
        <v/>
      </c>
      <c r="DO11" s="59">
        <f>($AX11-$AX12)*100</f>
        <v/>
      </c>
      <c r="DP11" s="59">
        <f>($AY11-$AY12)*100</f>
        <v/>
      </c>
      <c r="DQ11" s="59">
        <f>($AZ11-$AZ12)*100</f>
        <v/>
      </c>
      <c r="DR11" s="59">
        <f>($BA11-$BA12)*100</f>
        <v/>
      </c>
      <c r="DS11" s="58">
        <f>IFERROR($N12/$N11-1,"")</f>
        <v/>
      </c>
      <c r="DT11" s="58">
        <f>IFERROR($O12/$O11-1,"")</f>
        <v/>
      </c>
      <c r="DU11" s="58">
        <f>IFERROR($P12/$P11-1,"")</f>
        <v/>
      </c>
      <c r="DV11" s="58">
        <f>IFERROR($Q12/$Q11-1,"")</f>
        <v/>
      </c>
      <c r="DW11" s="58">
        <f>IFERROR($R12/$R11-1,"")</f>
        <v/>
      </c>
      <c r="DX11" s="58">
        <f>IFERROR($S12/$S11-1,"")</f>
        <v/>
      </c>
      <c r="DY11" s="58">
        <f>IFERROR($T12/$T11-1,"")</f>
        <v/>
      </c>
      <c r="DZ11" s="58">
        <f>IFERROR($U12/$U11-1,"")</f>
        <v/>
      </c>
      <c r="EA11" s="58">
        <f>IFERROR($V12/$V11-1,"")</f>
        <v/>
      </c>
      <c r="EB11" s="58">
        <f>IFERROR($W12/$W11-1,"")</f>
        <v/>
      </c>
      <c r="EC11" s="58">
        <f>IFERROR($X12/$X11-1,"")</f>
        <v/>
      </c>
      <c r="ED11" s="58">
        <f>IFERROR($Y12/$Y11-1,"")</f>
        <v/>
      </c>
      <c r="EE11" s="58">
        <f>IFERROR($Z12/$Z11-1,"")</f>
        <v/>
      </c>
      <c r="EF11" s="58">
        <f>IFERROR($AA12/$AA11-1,"")</f>
        <v/>
      </c>
      <c r="EG11" s="58">
        <f>IFERROR($AB12/$AB11-1,"")</f>
        <v/>
      </c>
      <c r="EH11" s="58">
        <f>IFERROR($AC12/$AC11-1,"")</f>
        <v/>
      </c>
      <c r="EI11" s="58">
        <f>IFERROR($AD12/$AD11-1,"")</f>
        <v/>
      </c>
      <c r="EJ11" s="58">
        <f>IFERROR($AE12/$AE11-1,"")</f>
        <v/>
      </c>
      <c r="EK11" s="58">
        <f>IFERROR($AF12/$AF11-1,"")</f>
        <v/>
      </c>
      <c r="EL11" s="58">
        <f>IFERROR($AG12/$AG11-1,"")</f>
        <v/>
      </c>
      <c r="EM11" s="58">
        <f>IFERROR($BB11/$BB12-1,"")</f>
        <v/>
      </c>
      <c r="EN11" s="58">
        <f>IFERROR($BC11/$BC12-1,"")</f>
        <v/>
      </c>
      <c r="EO11" s="58">
        <f>IFERROR($BD11/$BD12-1,"")</f>
        <v/>
      </c>
      <c r="EP11" s="58">
        <f>IFERROR($BE11/$BE12-1,"")</f>
        <v/>
      </c>
      <c r="EQ11" s="58">
        <f>IFERROR($BF11/$BF12-1,"")</f>
        <v/>
      </c>
      <c r="ER11" s="58">
        <f>IFERROR($BG11/$BG12-1,"")</f>
        <v/>
      </c>
      <c r="ES11" s="58">
        <f>IFERROR($BH11/$BH12-1,"")</f>
        <v/>
      </c>
      <c r="ET11" s="58">
        <f>IFERROR($BI11/$BI12-1,"")</f>
        <v/>
      </c>
      <c r="EU11" s="58">
        <f>IFERROR($BJ11/$BJ12-1,"")</f>
        <v/>
      </c>
      <c r="EV11" s="58">
        <f>IFERROR($BK11/$BK12-1,"")</f>
        <v/>
      </c>
      <c r="EW11" s="58">
        <f>IFERROR($BL11/$BL12-1,"")</f>
        <v/>
      </c>
      <c r="EX11" s="58">
        <f>IFERROR($BM11/$BM12-1,"")</f>
        <v/>
      </c>
      <c r="EY11" s="58">
        <f>IFERROR($BN11/$BN12-1,"")</f>
        <v/>
      </c>
      <c r="EZ11" s="58">
        <f>IFERROR($BO11/$BO12-1,"")</f>
        <v/>
      </c>
      <c r="FA11" s="58">
        <f>IFERROR($BP11/$BP12-1,"")</f>
        <v/>
      </c>
      <c r="FB11" s="58">
        <f>IFERROR($BQ11/$BQ12-1,"")</f>
        <v/>
      </c>
      <c r="FC11" s="58">
        <f>IFERROR($BR11/$BR12-1,"")</f>
        <v/>
      </c>
      <c r="FD11" s="58">
        <f>IFERROR($BS11/$BS12-1,"")</f>
        <v/>
      </c>
      <c r="FE11" s="58">
        <f>IFERROR($BT11/$BT12-1,"")</f>
        <v/>
      </c>
      <c r="FF11" s="58">
        <f>IFERROR($BU11/$BU12-1,"")</f>
        <v/>
      </c>
      <c r="FG11" s="58">
        <f>IFERROR($BV11/$BV12-1,"")</f>
        <v/>
      </c>
      <c r="FH11" s="58">
        <f>IFERROR($BW11/$BW12-1,"")</f>
        <v/>
      </c>
      <c r="FI11" s="58">
        <f>IFERROR($BX11/$BX12-1,"")</f>
        <v/>
      </c>
      <c r="FJ11" s="59">
        <f>$BY11-$BY12</f>
        <v/>
      </c>
      <c r="FK11" s="59">
        <f>$BZ11-$BZ12</f>
        <v/>
      </c>
      <c r="FL11" s="59">
        <f>$CA11-$CA12</f>
        <v/>
      </c>
      <c r="FM11" s="59">
        <f>$CB11-$CB12</f>
        <v/>
      </c>
      <c r="FN11" s="59">
        <f>$CC11-$CC12</f>
        <v/>
      </c>
      <c r="FO11" s="59">
        <f>$CD11-$CD12</f>
        <v/>
      </c>
      <c r="FP11" s="59">
        <f>$CE11-$CE12</f>
        <v/>
      </c>
      <c r="FQ11" s="59">
        <f>$CF11-$CF12</f>
        <v/>
      </c>
      <c r="FR11" s="59">
        <f>$CG11-$CG12</f>
        <v/>
      </c>
      <c r="FS11" s="59">
        <f>$CH11-$CH12</f>
        <v/>
      </c>
      <c r="FT11" s="59">
        <f>$CI11-$CI12</f>
        <v/>
      </c>
      <c r="FU11" s="59">
        <f>$CJ11-$CJ12</f>
        <v/>
      </c>
      <c r="FV11" s="59">
        <f>$CK11-$CK12</f>
        <v/>
      </c>
      <c r="FW11" s="59">
        <f>$CL11-$CL12</f>
        <v/>
      </c>
      <c r="FX11" s="59">
        <f>$CM11-$CM12</f>
        <v/>
      </c>
      <c r="FY11" s="59">
        <f>$CN11-$CN12</f>
        <v/>
      </c>
      <c r="FZ11" s="59">
        <f>$CO11-$CO12</f>
        <v/>
      </c>
      <c r="GA11" s="59">
        <f>$CP11-$CP12</f>
        <v/>
      </c>
      <c r="GB11" s="59">
        <f>$CQ11-$CQ12</f>
        <v/>
      </c>
      <c r="GC11" s="59">
        <f>$CR11-$CR12</f>
        <v/>
      </c>
      <c r="GD11" s="59">
        <f>$CS11-$CS12</f>
        <v/>
      </c>
      <c r="GE11" s="59">
        <f>$CT11-$CT12</f>
        <v/>
      </c>
    </row>
    <row r="12">
      <c r="CU12" s="58">
        <f>IFERROR($B12/$B13-1,"")</f>
        <v/>
      </c>
      <c r="CV12" s="59">
        <f>($F12-$F13)*100</f>
        <v/>
      </c>
      <c r="CW12" s="59">
        <f>($E12-$E13)*100</f>
        <v/>
      </c>
      <c r="CX12" s="58">
        <f>IFERROR($K12/$K13-1,"")</f>
        <v/>
      </c>
      <c r="CY12" s="59">
        <f>($AH12-$AH13)*100</f>
        <v/>
      </c>
      <c r="CZ12" s="59">
        <f>($AI12-$AI13)*100</f>
        <v/>
      </c>
      <c r="DA12" s="59">
        <f>($AJ12-$AJ13)*100</f>
        <v/>
      </c>
      <c r="DB12" s="59">
        <f>($AK12-$AK13)*100</f>
        <v/>
      </c>
      <c r="DC12" s="59">
        <f>($AL12-$AL13)*100</f>
        <v/>
      </c>
      <c r="DD12" s="59">
        <f>($AM12-$AM13)*100</f>
        <v/>
      </c>
      <c r="DE12" s="59">
        <f>($AN12-$AN13)*100</f>
        <v/>
      </c>
      <c r="DF12" s="59">
        <f>($AO12-$AO13)*100</f>
        <v/>
      </c>
      <c r="DG12" s="59">
        <f>($AP12-$AP13)*100</f>
        <v/>
      </c>
      <c r="DH12" s="59">
        <f>($AQ12-$AQ13)*100</f>
        <v/>
      </c>
      <c r="DI12" s="59">
        <f>($AR12-$AR13)*100</f>
        <v/>
      </c>
      <c r="DJ12" s="59">
        <f>($AS12-$AS13)*100</f>
        <v/>
      </c>
      <c r="DK12" s="59">
        <f>($AT12-$AT13)*100</f>
        <v/>
      </c>
      <c r="DL12" s="59">
        <f>($AU12-$AU13)*100</f>
        <v/>
      </c>
      <c r="DM12" s="59">
        <f>($AV12-$AV13)*100</f>
        <v/>
      </c>
      <c r="DN12" s="59">
        <f>($AW12-$AW13)*100</f>
        <v/>
      </c>
      <c r="DO12" s="59">
        <f>($AX12-$AX13)*100</f>
        <v/>
      </c>
      <c r="DP12" s="59">
        <f>($AY12-$AY13)*100</f>
        <v/>
      </c>
      <c r="DQ12" s="59">
        <f>($AZ12-$AZ13)*100</f>
        <v/>
      </c>
      <c r="DR12" s="59">
        <f>($BA12-$BA13)*100</f>
        <v/>
      </c>
      <c r="DS12" s="58">
        <f>IFERROR($N13/$N12-1,"")</f>
        <v/>
      </c>
      <c r="DT12" s="58">
        <f>IFERROR($O13/$O12-1,"")</f>
        <v/>
      </c>
      <c r="DU12" s="58">
        <f>IFERROR($P13/$P12-1,"")</f>
        <v/>
      </c>
      <c r="DV12" s="58">
        <f>IFERROR($Q13/$Q12-1,"")</f>
        <v/>
      </c>
      <c r="DW12" s="58">
        <f>IFERROR($R13/$R12-1,"")</f>
        <v/>
      </c>
      <c r="DX12" s="58">
        <f>IFERROR($S13/$S12-1,"")</f>
        <v/>
      </c>
      <c r="DY12" s="58">
        <f>IFERROR($T13/$T12-1,"")</f>
        <v/>
      </c>
      <c r="DZ12" s="58">
        <f>IFERROR($U13/$U12-1,"")</f>
        <v/>
      </c>
      <c r="EA12" s="58">
        <f>IFERROR($V13/$V12-1,"")</f>
        <v/>
      </c>
      <c r="EB12" s="58">
        <f>IFERROR($W13/$W12-1,"")</f>
        <v/>
      </c>
      <c r="EC12" s="58">
        <f>IFERROR($X13/$X12-1,"")</f>
        <v/>
      </c>
      <c r="ED12" s="58">
        <f>IFERROR($Y13/$Y12-1,"")</f>
        <v/>
      </c>
      <c r="EE12" s="58">
        <f>IFERROR($Z13/$Z12-1,"")</f>
        <v/>
      </c>
      <c r="EF12" s="58">
        <f>IFERROR($AA13/$AA12-1,"")</f>
        <v/>
      </c>
      <c r="EG12" s="58">
        <f>IFERROR($AB13/$AB12-1,"")</f>
        <v/>
      </c>
      <c r="EH12" s="58">
        <f>IFERROR($AC13/$AC12-1,"")</f>
        <v/>
      </c>
      <c r="EI12" s="58">
        <f>IFERROR($AD13/$AD12-1,"")</f>
        <v/>
      </c>
      <c r="EJ12" s="58">
        <f>IFERROR($AE13/$AE12-1,"")</f>
        <v/>
      </c>
      <c r="EK12" s="58">
        <f>IFERROR($AF13/$AF12-1,"")</f>
        <v/>
      </c>
      <c r="EL12" s="58">
        <f>IFERROR($AG13/$AG12-1,"")</f>
        <v/>
      </c>
      <c r="EM12" s="58">
        <f>IFERROR($BB12/$BB13-1,"")</f>
        <v/>
      </c>
      <c r="EN12" s="58">
        <f>IFERROR($BC12/$BC13-1,"")</f>
        <v/>
      </c>
      <c r="EO12" s="58">
        <f>IFERROR($BD12/$BD13-1,"")</f>
        <v/>
      </c>
      <c r="EP12" s="58">
        <f>IFERROR($BE12/$BE13-1,"")</f>
        <v/>
      </c>
      <c r="EQ12" s="58">
        <f>IFERROR($BF12/$BF13-1,"")</f>
        <v/>
      </c>
      <c r="ER12" s="58">
        <f>IFERROR($BG12/$BG13-1,"")</f>
        <v/>
      </c>
      <c r="ES12" s="58">
        <f>IFERROR($BH12/$BH13-1,"")</f>
        <v/>
      </c>
      <c r="ET12" s="58">
        <f>IFERROR($BI12/$BI13-1,"")</f>
        <v/>
      </c>
      <c r="EU12" s="58">
        <f>IFERROR($BJ12/$BJ13-1,"")</f>
        <v/>
      </c>
      <c r="EV12" s="58">
        <f>IFERROR($BK12/$BK13-1,"")</f>
        <v/>
      </c>
      <c r="EW12" s="58">
        <f>IFERROR($BL12/$BL13-1,"")</f>
        <v/>
      </c>
      <c r="EX12" s="58">
        <f>IFERROR($BM12/$BM13-1,"")</f>
        <v/>
      </c>
      <c r="EY12" s="58">
        <f>IFERROR($BN12/$BN13-1,"")</f>
        <v/>
      </c>
      <c r="EZ12" s="58">
        <f>IFERROR($BO12/$BO13-1,"")</f>
        <v/>
      </c>
      <c r="FA12" s="58">
        <f>IFERROR($BP12/$BP13-1,"")</f>
        <v/>
      </c>
      <c r="FB12" s="58">
        <f>IFERROR($BQ12/$BQ13-1,"")</f>
        <v/>
      </c>
      <c r="FC12" s="58">
        <f>IFERROR($BR12/$BR13-1,"")</f>
        <v/>
      </c>
      <c r="FD12" s="58">
        <f>IFERROR($BS12/$BS13-1,"")</f>
        <v/>
      </c>
      <c r="FE12" s="58">
        <f>IFERROR($BT12/$BT13-1,"")</f>
        <v/>
      </c>
      <c r="FF12" s="58">
        <f>IFERROR($BU12/$BU13-1,"")</f>
        <v/>
      </c>
      <c r="FG12" s="58">
        <f>IFERROR($BV12/$BV13-1,"")</f>
        <v/>
      </c>
      <c r="FH12" s="58">
        <f>IFERROR($BW12/$BW13-1,"")</f>
        <v/>
      </c>
      <c r="FI12" s="58">
        <f>IFERROR($BX12/$BX13-1,"")</f>
        <v/>
      </c>
      <c r="FJ12" s="59">
        <f>$BY12-$BY13</f>
        <v/>
      </c>
      <c r="FK12" s="59">
        <f>$BZ12-$BZ13</f>
        <v/>
      </c>
      <c r="FL12" s="59">
        <f>$CA12-$CA13</f>
        <v/>
      </c>
      <c r="FM12" s="59">
        <f>$CB12-$CB13</f>
        <v/>
      </c>
      <c r="FN12" s="59">
        <f>$CC12-$CC13</f>
        <v/>
      </c>
      <c r="FO12" s="59">
        <f>$CD12-$CD13</f>
        <v/>
      </c>
      <c r="FP12" s="59">
        <f>$CE12-$CE13</f>
        <v/>
      </c>
      <c r="FQ12" s="59">
        <f>$CF12-$CF13</f>
        <v/>
      </c>
      <c r="FR12" s="59">
        <f>$CG12-$CG13</f>
        <v/>
      </c>
      <c r="FS12" s="59">
        <f>$CH12-$CH13</f>
        <v/>
      </c>
      <c r="FT12" s="59">
        <f>$CI12-$CI13</f>
        <v/>
      </c>
      <c r="FU12" s="59">
        <f>$CJ12-$CJ13</f>
        <v/>
      </c>
      <c r="FV12" s="59">
        <f>$CK12-$CK13</f>
        <v/>
      </c>
      <c r="FW12" s="59">
        <f>$CL12-$CL13</f>
        <v/>
      </c>
      <c r="FX12" s="59">
        <f>$CM12-$CM13</f>
        <v/>
      </c>
      <c r="FY12" s="59">
        <f>$CN12-$CN13</f>
        <v/>
      </c>
      <c r="FZ12" s="59">
        <f>$CO12-$CO13</f>
        <v/>
      </c>
      <c r="GA12" s="59">
        <f>$CP12-$CP13</f>
        <v/>
      </c>
      <c r="GB12" s="59">
        <f>$CQ12-$CQ13</f>
        <v/>
      </c>
      <c r="GC12" s="59">
        <f>$CR12-$CR13</f>
        <v/>
      </c>
      <c r="GD12" s="59">
        <f>$CS12-$CS13</f>
        <v/>
      </c>
      <c r="GE12" s="59">
        <f>$CT12-$CT13</f>
        <v/>
      </c>
    </row>
    <row r="13">
      <c r="CU13" s="58">
        <f>IFERROR($B13/$B14-1,"")</f>
        <v/>
      </c>
      <c r="CV13" s="59">
        <f>($F13-$F14)*100</f>
        <v/>
      </c>
      <c r="CW13" s="59">
        <f>($E13-$E14)*100</f>
        <v/>
      </c>
      <c r="CX13" s="58">
        <f>IFERROR($K13/$K14-1,"")</f>
        <v/>
      </c>
      <c r="CY13" s="59">
        <f>($AH13-$AH14)*100</f>
        <v/>
      </c>
      <c r="CZ13" s="59">
        <f>($AI13-$AI14)*100</f>
        <v/>
      </c>
      <c r="DA13" s="59">
        <f>($AJ13-$AJ14)*100</f>
        <v/>
      </c>
      <c r="DB13" s="59">
        <f>($AK13-$AK14)*100</f>
        <v/>
      </c>
      <c r="DC13" s="59">
        <f>($AL13-$AL14)*100</f>
        <v/>
      </c>
      <c r="DD13" s="59">
        <f>($AM13-$AM14)*100</f>
        <v/>
      </c>
      <c r="DE13" s="59">
        <f>($AN13-$AN14)*100</f>
        <v/>
      </c>
      <c r="DF13" s="59">
        <f>($AO13-$AO14)*100</f>
        <v/>
      </c>
      <c r="DG13" s="59">
        <f>($AP13-$AP14)*100</f>
        <v/>
      </c>
      <c r="DH13" s="59">
        <f>($AQ13-$AQ14)*100</f>
        <v/>
      </c>
      <c r="DI13" s="59">
        <f>($AR13-$AR14)*100</f>
        <v/>
      </c>
      <c r="DJ13" s="59">
        <f>($AS13-$AS14)*100</f>
        <v/>
      </c>
      <c r="DK13" s="59">
        <f>($AT13-$AT14)*100</f>
        <v/>
      </c>
      <c r="DL13" s="59">
        <f>($AU13-$AU14)*100</f>
        <v/>
      </c>
      <c r="DM13" s="59">
        <f>($AV13-$AV14)*100</f>
        <v/>
      </c>
      <c r="DN13" s="59">
        <f>($AW13-$AW14)*100</f>
        <v/>
      </c>
      <c r="DO13" s="59">
        <f>($AX13-$AX14)*100</f>
        <v/>
      </c>
      <c r="DP13" s="59">
        <f>($AY13-$AY14)*100</f>
        <v/>
      </c>
      <c r="DQ13" s="59">
        <f>($AZ13-$AZ14)*100</f>
        <v/>
      </c>
      <c r="DR13" s="59">
        <f>($BA13-$BA14)*100</f>
        <v/>
      </c>
      <c r="DS13" s="58">
        <f>IFERROR($N14/$N13-1,"")</f>
        <v/>
      </c>
      <c r="DT13" s="58">
        <f>IFERROR($O14/$O13-1,"")</f>
        <v/>
      </c>
      <c r="DU13" s="58">
        <f>IFERROR($P14/$P13-1,"")</f>
        <v/>
      </c>
      <c r="DV13" s="58">
        <f>IFERROR($Q14/$Q13-1,"")</f>
        <v/>
      </c>
      <c r="DW13" s="58">
        <f>IFERROR($R14/$R13-1,"")</f>
        <v/>
      </c>
      <c r="DX13" s="58">
        <f>IFERROR($S14/$S13-1,"")</f>
        <v/>
      </c>
      <c r="DY13" s="58">
        <f>IFERROR($T14/$T13-1,"")</f>
        <v/>
      </c>
      <c r="DZ13" s="58">
        <f>IFERROR($U14/$U13-1,"")</f>
        <v/>
      </c>
      <c r="EA13" s="58">
        <f>IFERROR($V14/$V13-1,"")</f>
        <v/>
      </c>
      <c r="EB13" s="58">
        <f>IFERROR($W14/$W13-1,"")</f>
        <v/>
      </c>
      <c r="EC13" s="58">
        <f>IFERROR($X14/$X13-1,"")</f>
        <v/>
      </c>
      <c r="ED13" s="58">
        <f>IFERROR($Y14/$Y13-1,"")</f>
        <v/>
      </c>
      <c r="EE13" s="58">
        <f>IFERROR($Z14/$Z13-1,"")</f>
        <v/>
      </c>
      <c r="EF13" s="58">
        <f>IFERROR($AA14/$AA13-1,"")</f>
        <v/>
      </c>
      <c r="EG13" s="58">
        <f>IFERROR($AB14/$AB13-1,"")</f>
        <v/>
      </c>
      <c r="EH13" s="58">
        <f>IFERROR($AC14/$AC13-1,"")</f>
        <v/>
      </c>
      <c r="EI13" s="58">
        <f>IFERROR($AD14/$AD13-1,"")</f>
        <v/>
      </c>
      <c r="EJ13" s="58">
        <f>IFERROR($AE14/$AE13-1,"")</f>
        <v/>
      </c>
      <c r="EK13" s="58">
        <f>IFERROR($AF14/$AF13-1,"")</f>
        <v/>
      </c>
      <c r="EL13" s="58">
        <f>IFERROR($AG14/$AG13-1,"")</f>
        <v/>
      </c>
      <c r="EM13" s="58">
        <f>IFERROR($BB13/$BB14-1,"")</f>
        <v/>
      </c>
      <c r="EN13" s="58">
        <f>IFERROR($BC13/$BC14-1,"")</f>
        <v/>
      </c>
      <c r="EO13" s="58">
        <f>IFERROR($BD13/$BD14-1,"")</f>
        <v/>
      </c>
      <c r="EP13" s="58">
        <f>IFERROR($BE13/$BE14-1,"")</f>
        <v/>
      </c>
      <c r="EQ13" s="58">
        <f>IFERROR($BF13/$BF14-1,"")</f>
        <v/>
      </c>
      <c r="ER13" s="58">
        <f>IFERROR($BG13/$BG14-1,"")</f>
        <v/>
      </c>
      <c r="ES13" s="58">
        <f>IFERROR($BH13/$BH14-1,"")</f>
        <v/>
      </c>
      <c r="ET13" s="58">
        <f>IFERROR($BI13/$BI14-1,"")</f>
        <v/>
      </c>
      <c r="EU13" s="58">
        <f>IFERROR($BJ13/$BJ14-1,"")</f>
        <v/>
      </c>
      <c r="EV13" s="58">
        <f>IFERROR($BK13/$BK14-1,"")</f>
        <v/>
      </c>
      <c r="EW13" s="58">
        <f>IFERROR($BL13/$BL14-1,"")</f>
        <v/>
      </c>
      <c r="EX13" s="58">
        <f>IFERROR($BM13/$BM14-1,"")</f>
        <v/>
      </c>
      <c r="EY13" s="58">
        <f>IFERROR($BN13/$BN14-1,"")</f>
        <v/>
      </c>
      <c r="EZ13" s="58">
        <f>IFERROR($BO13/$BO14-1,"")</f>
        <v/>
      </c>
      <c r="FA13" s="58">
        <f>IFERROR($BP13/$BP14-1,"")</f>
        <v/>
      </c>
      <c r="FB13" s="58">
        <f>IFERROR($BQ13/$BQ14-1,"")</f>
        <v/>
      </c>
      <c r="FC13" s="58">
        <f>IFERROR($BR13/$BR14-1,"")</f>
        <v/>
      </c>
      <c r="FD13" s="58">
        <f>IFERROR($BS13/$BS14-1,"")</f>
        <v/>
      </c>
      <c r="FE13" s="58">
        <f>IFERROR($BT13/$BT14-1,"")</f>
        <v/>
      </c>
      <c r="FF13" s="58">
        <f>IFERROR($BU13/$BU14-1,"")</f>
        <v/>
      </c>
      <c r="FG13" s="58">
        <f>IFERROR($BV13/$BV14-1,"")</f>
        <v/>
      </c>
      <c r="FH13" s="58">
        <f>IFERROR($BW13/$BW14-1,"")</f>
        <v/>
      </c>
      <c r="FI13" s="58">
        <f>IFERROR($BX13/$BX14-1,"")</f>
        <v/>
      </c>
      <c r="FJ13" s="59">
        <f>$BY13-$BY14</f>
        <v/>
      </c>
      <c r="FK13" s="59">
        <f>$BZ13-$BZ14</f>
        <v/>
      </c>
      <c r="FL13" s="59">
        <f>$CA13-$CA14</f>
        <v/>
      </c>
      <c r="FM13" s="59">
        <f>$CB13-$CB14</f>
        <v/>
      </c>
      <c r="FN13" s="59">
        <f>$CC13-$CC14</f>
        <v/>
      </c>
      <c r="FO13" s="59">
        <f>$CD13-$CD14</f>
        <v/>
      </c>
      <c r="FP13" s="59">
        <f>$CE13-$CE14</f>
        <v/>
      </c>
      <c r="FQ13" s="59">
        <f>$CF13-$CF14</f>
        <v/>
      </c>
      <c r="FR13" s="59">
        <f>$CG13-$CG14</f>
        <v/>
      </c>
      <c r="FS13" s="59">
        <f>$CH13-$CH14</f>
        <v/>
      </c>
      <c r="FT13" s="59">
        <f>$CI13-$CI14</f>
        <v/>
      </c>
      <c r="FU13" s="59">
        <f>$CJ13-$CJ14</f>
        <v/>
      </c>
      <c r="FV13" s="59">
        <f>$CK13-$CK14</f>
        <v/>
      </c>
      <c r="FW13" s="59">
        <f>$CL13-$CL14</f>
        <v/>
      </c>
      <c r="FX13" s="59">
        <f>$CM13-$CM14</f>
        <v/>
      </c>
      <c r="FY13" s="59">
        <f>$CN13-$CN14</f>
        <v/>
      </c>
      <c r="FZ13" s="59">
        <f>$CO13-$CO14</f>
        <v/>
      </c>
      <c r="GA13" s="59">
        <f>$CP13-$CP14</f>
        <v/>
      </c>
      <c r="GB13" s="59">
        <f>$CQ13-$CQ14</f>
        <v/>
      </c>
      <c r="GC13" s="59">
        <f>$CR13-$CR14</f>
        <v/>
      </c>
      <c r="GD13" s="59">
        <f>$CS13-$CS14</f>
        <v/>
      </c>
      <c r="GE13" s="59">
        <f>$CT13-$CT14</f>
        <v/>
      </c>
    </row>
    <row r="14">
      <c r="CU14" s="58">
        <f>IFERROR($B14/$B15-1,"")</f>
        <v/>
      </c>
      <c r="CV14" s="59">
        <f>($F14-$F15)*100</f>
        <v/>
      </c>
      <c r="CW14" s="59">
        <f>($E14-$E15)*100</f>
        <v/>
      </c>
      <c r="CX14" s="58">
        <f>IFERROR($K14/$K15-1,"")</f>
        <v/>
      </c>
      <c r="CY14" s="59">
        <f>($AH14-$AH15)*100</f>
        <v/>
      </c>
      <c r="CZ14" s="59">
        <f>($AI14-$AI15)*100</f>
        <v/>
      </c>
      <c r="DA14" s="59">
        <f>($AJ14-$AJ15)*100</f>
        <v/>
      </c>
      <c r="DB14" s="59">
        <f>($AK14-$AK15)*100</f>
        <v/>
      </c>
      <c r="DC14" s="59">
        <f>($AL14-$AL15)*100</f>
        <v/>
      </c>
      <c r="DD14" s="59">
        <f>($AM14-$AM15)*100</f>
        <v/>
      </c>
      <c r="DE14" s="59">
        <f>($AN14-$AN15)*100</f>
        <v/>
      </c>
      <c r="DF14" s="59">
        <f>($AO14-$AO15)*100</f>
        <v/>
      </c>
      <c r="DG14" s="59">
        <f>($AP14-$AP15)*100</f>
        <v/>
      </c>
      <c r="DH14" s="59">
        <f>($AQ14-$AQ15)*100</f>
        <v/>
      </c>
      <c r="DI14" s="59">
        <f>($AR14-$AR15)*100</f>
        <v/>
      </c>
      <c r="DJ14" s="59">
        <f>($AS14-$AS15)*100</f>
        <v/>
      </c>
      <c r="DK14" s="59">
        <f>($AT14-$AT15)*100</f>
        <v/>
      </c>
      <c r="DL14" s="59">
        <f>($AU14-$AU15)*100</f>
        <v/>
      </c>
      <c r="DM14" s="59">
        <f>($AV14-$AV15)*100</f>
        <v/>
      </c>
      <c r="DN14" s="59">
        <f>($AW14-$AW15)*100</f>
        <v/>
      </c>
      <c r="DO14" s="59">
        <f>($AX14-$AX15)*100</f>
        <v/>
      </c>
      <c r="DP14" s="59">
        <f>($AY14-$AY15)*100</f>
        <v/>
      </c>
      <c r="DQ14" s="59">
        <f>($AZ14-$AZ15)*100</f>
        <v/>
      </c>
      <c r="DR14" s="59">
        <f>($BA14-$BA15)*100</f>
        <v/>
      </c>
      <c r="DS14" s="58">
        <f>IFERROR($N15/$N14-1,"")</f>
        <v/>
      </c>
      <c r="DT14" s="58">
        <f>IFERROR($O15/$O14-1,"")</f>
        <v/>
      </c>
      <c r="DU14" s="58">
        <f>IFERROR($P15/$P14-1,"")</f>
        <v/>
      </c>
      <c r="DV14" s="58">
        <f>IFERROR($Q15/$Q14-1,"")</f>
        <v/>
      </c>
      <c r="DW14" s="58">
        <f>IFERROR($R15/$R14-1,"")</f>
        <v/>
      </c>
      <c r="DX14" s="58">
        <f>IFERROR($S15/$S14-1,"")</f>
        <v/>
      </c>
      <c r="DY14" s="58">
        <f>IFERROR($T15/$T14-1,"")</f>
        <v/>
      </c>
      <c r="DZ14" s="58">
        <f>IFERROR($U15/$U14-1,"")</f>
        <v/>
      </c>
      <c r="EA14" s="58">
        <f>IFERROR($V15/$V14-1,"")</f>
        <v/>
      </c>
      <c r="EB14" s="58">
        <f>IFERROR($W15/$W14-1,"")</f>
        <v/>
      </c>
      <c r="EC14" s="58">
        <f>IFERROR($X15/$X14-1,"")</f>
        <v/>
      </c>
      <c r="ED14" s="58">
        <f>IFERROR($Y15/$Y14-1,"")</f>
        <v/>
      </c>
      <c r="EE14" s="58">
        <f>IFERROR($Z15/$Z14-1,"")</f>
        <v/>
      </c>
      <c r="EF14" s="58">
        <f>IFERROR($AA15/$AA14-1,"")</f>
        <v/>
      </c>
      <c r="EG14" s="58">
        <f>IFERROR($AB15/$AB14-1,"")</f>
        <v/>
      </c>
      <c r="EH14" s="58">
        <f>IFERROR($AC15/$AC14-1,"")</f>
        <v/>
      </c>
      <c r="EI14" s="58">
        <f>IFERROR($AD15/$AD14-1,"")</f>
        <v/>
      </c>
      <c r="EJ14" s="58">
        <f>IFERROR($AE15/$AE14-1,"")</f>
        <v/>
      </c>
      <c r="EK14" s="58">
        <f>IFERROR($AF15/$AF14-1,"")</f>
        <v/>
      </c>
      <c r="EL14" s="58">
        <f>IFERROR($AG15/$AG14-1,"")</f>
        <v/>
      </c>
      <c r="EM14" s="58">
        <f>IFERROR($BB14/$BB15-1,"")</f>
        <v/>
      </c>
      <c r="EN14" s="58">
        <f>IFERROR($BC14/$BC15-1,"")</f>
        <v/>
      </c>
      <c r="EO14" s="58">
        <f>IFERROR($BD14/$BD15-1,"")</f>
        <v/>
      </c>
      <c r="EP14" s="58">
        <f>IFERROR($BE14/$BE15-1,"")</f>
        <v/>
      </c>
      <c r="EQ14" s="58">
        <f>IFERROR($BF14/$BF15-1,"")</f>
        <v/>
      </c>
      <c r="ER14" s="58">
        <f>IFERROR($BG14/$BG15-1,"")</f>
        <v/>
      </c>
      <c r="ES14" s="58">
        <f>IFERROR($BH14/$BH15-1,"")</f>
        <v/>
      </c>
      <c r="ET14" s="58">
        <f>IFERROR($BI14/$BI15-1,"")</f>
        <v/>
      </c>
      <c r="EU14" s="58">
        <f>IFERROR($BJ14/$BJ15-1,"")</f>
        <v/>
      </c>
      <c r="EV14" s="58">
        <f>IFERROR($BK14/$BK15-1,"")</f>
        <v/>
      </c>
      <c r="EW14" s="58">
        <f>IFERROR($BL14/$BL15-1,"")</f>
        <v/>
      </c>
      <c r="EX14" s="58">
        <f>IFERROR($BM14/$BM15-1,"")</f>
        <v/>
      </c>
      <c r="EY14" s="58">
        <f>IFERROR($BN14/$BN15-1,"")</f>
        <v/>
      </c>
      <c r="EZ14" s="58">
        <f>IFERROR($BO14/$BO15-1,"")</f>
        <v/>
      </c>
      <c r="FA14" s="58">
        <f>IFERROR($BP14/$BP15-1,"")</f>
        <v/>
      </c>
      <c r="FB14" s="58">
        <f>IFERROR($BQ14/$BQ15-1,"")</f>
        <v/>
      </c>
      <c r="FC14" s="58">
        <f>IFERROR($BR14/$BR15-1,"")</f>
        <v/>
      </c>
      <c r="FD14" s="58">
        <f>IFERROR($BS14/$BS15-1,"")</f>
        <v/>
      </c>
      <c r="FE14" s="58">
        <f>IFERROR($BT14/$BT15-1,"")</f>
        <v/>
      </c>
      <c r="FF14" s="58">
        <f>IFERROR($BU14/$BU15-1,"")</f>
        <v/>
      </c>
      <c r="FG14" s="58">
        <f>IFERROR($BV14/$BV15-1,"")</f>
        <v/>
      </c>
      <c r="FH14" s="58">
        <f>IFERROR($BW14/$BW15-1,"")</f>
        <v/>
      </c>
      <c r="FI14" s="58">
        <f>IFERROR($BX14/$BX15-1,"")</f>
        <v/>
      </c>
      <c r="FJ14" s="59">
        <f>$BY14-$BY15</f>
        <v/>
      </c>
      <c r="FK14" s="59">
        <f>$BZ14-$BZ15</f>
        <v/>
      </c>
      <c r="FL14" s="59">
        <f>$CA14-$CA15</f>
        <v/>
      </c>
      <c r="FM14" s="59">
        <f>$CB14-$CB15</f>
        <v/>
      </c>
      <c r="FN14" s="59">
        <f>$CC14-$CC15</f>
        <v/>
      </c>
      <c r="FO14" s="59">
        <f>$CD14-$CD15</f>
        <v/>
      </c>
      <c r="FP14" s="59">
        <f>$CE14-$CE15</f>
        <v/>
      </c>
      <c r="FQ14" s="59">
        <f>$CF14-$CF15</f>
        <v/>
      </c>
      <c r="FR14" s="59">
        <f>$CG14-$CG15</f>
        <v/>
      </c>
      <c r="FS14" s="59">
        <f>$CH14-$CH15</f>
        <v/>
      </c>
      <c r="FT14" s="59">
        <f>$CI14-$CI15</f>
        <v/>
      </c>
      <c r="FU14" s="59">
        <f>$CJ14-$CJ15</f>
        <v/>
      </c>
      <c r="FV14" s="59">
        <f>$CK14-$CK15</f>
        <v/>
      </c>
      <c r="FW14" s="59">
        <f>$CL14-$CL15</f>
        <v/>
      </c>
      <c r="FX14" s="59">
        <f>$CM14-$CM15</f>
        <v/>
      </c>
      <c r="FY14" s="59">
        <f>$CN14-$CN15</f>
        <v/>
      </c>
      <c r="FZ14" s="59">
        <f>$CO14-$CO15</f>
        <v/>
      </c>
      <c r="GA14" s="59">
        <f>$CP14-$CP15</f>
        <v/>
      </c>
      <c r="GB14" s="59">
        <f>$CQ14-$CQ15</f>
        <v/>
      </c>
      <c r="GC14" s="59">
        <f>$CR14-$CR15</f>
        <v/>
      </c>
      <c r="GD14" s="59">
        <f>$CS14-$CS15</f>
        <v/>
      </c>
      <c r="GE14" s="59">
        <f>$CT14-$CT15</f>
        <v/>
      </c>
    </row>
    <row r="15">
      <c r="CU15" s="58">
        <f>IFERROR($B15/$B16-1,"")</f>
        <v/>
      </c>
      <c r="CV15" s="59">
        <f>($F15-$F16)*100</f>
        <v/>
      </c>
      <c r="CW15" s="59">
        <f>($E15-$E16)*100</f>
        <v/>
      </c>
      <c r="CX15" s="58">
        <f>IFERROR($K15/$K16-1,"")</f>
        <v/>
      </c>
      <c r="CY15" s="59">
        <f>($AH15-$AH16)*100</f>
        <v/>
      </c>
      <c r="CZ15" s="59">
        <f>($AI15-$AI16)*100</f>
        <v/>
      </c>
      <c r="DA15" s="59">
        <f>($AJ15-$AJ16)*100</f>
        <v/>
      </c>
      <c r="DB15" s="59">
        <f>($AK15-$AK16)*100</f>
        <v/>
      </c>
      <c r="DC15" s="59">
        <f>($AL15-$AL16)*100</f>
        <v/>
      </c>
      <c r="DD15" s="59">
        <f>($AM15-$AM16)*100</f>
        <v/>
      </c>
      <c r="DE15" s="59">
        <f>($AN15-$AN16)*100</f>
        <v/>
      </c>
      <c r="DF15" s="59">
        <f>($AO15-$AO16)*100</f>
        <v/>
      </c>
      <c r="DG15" s="59">
        <f>($AP15-$AP16)*100</f>
        <v/>
      </c>
      <c r="DH15" s="59">
        <f>($AQ15-$AQ16)*100</f>
        <v/>
      </c>
      <c r="DI15" s="59">
        <f>($AR15-$AR16)*100</f>
        <v/>
      </c>
      <c r="DJ15" s="59">
        <f>($AS15-$AS16)*100</f>
        <v/>
      </c>
      <c r="DK15" s="59">
        <f>($AT15-$AT16)*100</f>
        <v/>
      </c>
      <c r="DL15" s="59">
        <f>($AU15-$AU16)*100</f>
        <v/>
      </c>
      <c r="DM15" s="59">
        <f>($AV15-$AV16)*100</f>
        <v/>
      </c>
      <c r="DN15" s="59">
        <f>($AW15-$AW16)*100</f>
        <v/>
      </c>
      <c r="DO15" s="59">
        <f>($AX15-$AX16)*100</f>
        <v/>
      </c>
      <c r="DP15" s="59">
        <f>($AY15-$AY16)*100</f>
        <v/>
      </c>
      <c r="DQ15" s="59">
        <f>($AZ15-$AZ16)*100</f>
        <v/>
      </c>
      <c r="DR15" s="59">
        <f>($BA15-$BA16)*100</f>
        <v/>
      </c>
      <c r="DS15" s="58">
        <f>IFERROR($N16/$N15-1,"")</f>
        <v/>
      </c>
      <c r="DT15" s="58">
        <f>IFERROR($O16/$O15-1,"")</f>
        <v/>
      </c>
      <c r="DU15" s="58">
        <f>IFERROR($P16/$P15-1,"")</f>
        <v/>
      </c>
      <c r="DV15" s="58">
        <f>IFERROR($Q16/$Q15-1,"")</f>
        <v/>
      </c>
      <c r="DW15" s="58">
        <f>IFERROR($R16/$R15-1,"")</f>
        <v/>
      </c>
      <c r="DX15" s="58">
        <f>IFERROR($S16/$S15-1,"")</f>
        <v/>
      </c>
      <c r="DY15" s="58">
        <f>IFERROR($T16/$T15-1,"")</f>
        <v/>
      </c>
      <c r="DZ15" s="58">
        <f>IFERROR($U16/$U15-1,"")</f>
        <v/>
      </c>
      <c r="EA15" s="58">
        <f>IFERROR($V16/$V15-1,"")</f>
        <v/>
      </c>
      <c r="EB15" s="58">
        <f>IFERROR($W16/$W15-1,"")</f>
        <v/>
      </c>
      <c r="EC15" s="58">
        <f>IFERROR($X16/$X15-1,"")</f>
        <v/>
      </c>
      <c r="ED15" s="58">
        <f>IFERROR($Y16/$Y15-1,"")</f>
        <v/>
      </c>
      <c r="EE15" s="58">
        <f>IFERROR($Z16/$Z15-1,"")</f>
        <v/>
      </c>
      <c r="EF15" s="58">
        <f>IFERROR($AA16/$AA15-1,"")</f>
        <v/>
      </c>
      <c r="EG15" s="58">
        <f>IFERROR($AB16/$AB15-1,"")</f>
        <v/>
      </c>
      <c r="EH15" s="58">
        <f>IFERROR($AC16/$AC15-1,"")</f>
        <v/>
      </c>
      <c r="EI15" s="58">
        <f>IFERROR($AD16/$AD15-1,"")</f>
        <v/>
      </c>
      <c r="EJ15" s="58">
        <f>IFERROR($AE16/$AE15-1,"")</f>
        <v/>
      </c>
      <c r="EK15" s="58">
        <f>IFERROR($AF16/$AF15-1,"")</f>
        <v/>
      </c>
      <c r="EL15" s="58">
        <f>IFERROR($AG16/$AG15-1,"")</f>
        <v/>
      </c>
      <c r="EM15" s="58">
        <f>IFERROR($BB15/$BB16-1,"")</f>
        <v/>
      </c>
      <c r="EN15" s="58">
        <f>IFERROR($BC15/$BC16-1,"")</f>
        <v/>
      </c>
      <c r="EO15" s="58">
        <f>IFERROR($BD15/$BD16-1,"")</f>
        <v/>
      </c>
      <c r="EP15" s="58">
        <f>IFERROR($BE15/$BE16-1,"")</f>
        <v/>
      </c>
      <c r="EQ15" s="58">
        <f>IFERROR($BF15/$BF16-1,"")</f>
        <v/>
      </c>
      <c r="ER15" s="58">
        <f>IFERROR($BG15/$BG16-1,"")</f>
        <v/>
      </c>
      <c r="ES15" s="58">
        <f>IFERROR($BH15/$BH16-1,"")</f>
        <v/>
      </c>
      <c r="ET15" s="58">
        <f>IFERROR($BI15/$BI16-1,"")</f>
        <v/>
      </c>
      <c r="EU15" s="58">
        <f>IFERROR($BJ15/$BJ16-1,"")</f>
        <v/>
      </c>
      <c r="EV15" s="58">
        <f>IFERROR($BK15/$BK16-1,"")</f>
        <v/>
      </c>
      <c r="EW15" s="58">
        <f>IFERROR($BL15/$BL16-1,"")</f>
        <v/>
      </c>
      <c r="EX15" s="58">
        <f>IFERROR($BM15/$BM16-1,"")</f>
        <v/>
      </c>
      <c r="EY15" s="58">
        <f>IFERROR($BN15/$BN16-1,"")</f>
        <v/>
      </c>
      <c r="EZ15" s="58">
        <f>IFERROR($BO15/$BO16-1,"")</f>
        <v/>
      </c>
      <c r="FA15" s="58">
        <f>IFERROR($BP15/$BP16-1,"")</f>
        <v/>
      </c>
      <c r="FB15" s="58">
        <f>IFERROR($BQ15/$BQ16-1,"")</f>
        <v/>
      </c>
      <c r="FC15" s="58">
        <f>IFERROR($BR15/$BR16-1,"")</f>
        <v/>
      </c>
      <c r="FD15" s="58">
        <f>IFERROR($BS15/$BS16-1,"")</f>
        <v/>
      </c>
      <c r="FE15" s="58">
        <f>IFERROR($BT15/$BT16-1,"")</f>
        <v/>
      </c>
      <c r="FF15" s="58">
        <f>IFERROR($BU15/$BU16-1,"")</f>
        <v/>
      </c>
      <c r="FG15" s="58">
        <f>IFERROR($BV15/$BV16-1,"")</f>
        <v/>
      </c>
      <c r="FH15" s="58">
        <f>IFERROR($BW15/$BW16-1,"")</f>
        <v/>
      </c>
      <c r="FI15" s="58">
        <f>IFERROR($BX15/$BX16-1,"")</f>
        <v/>
      </c>
      <c r="FJ15" s="59">
        <f>$BY15-$BY16</f>
        <v/>
      </c>
      <c r="FK15" s="59">
        <f>$BZ15-$BZ16</f>
        <v/>
      </c>
      <c r="FL15" s="59">
        <f>$CA15-$CA16</f>
        <v/>
      </c>
      <c r="FM15" s="59">
        <f>$CB15-$CB16</f>
        <v/>
      </c>
      <c r="FN15" s="59">
        <f>$CC15-$CC16</f>
        <v/>
      </c>
      <c r="FO15" s="59">
        <f>$CD15-$CD16</f>
        <v/>
      </c>
      <c r="FP15" s="59">
        <f>$CE15-$CE16</f>
        <v/>
      </c>
      <c r="FQ15" s="59">
        <f>$CF15-$CF16</f>
        <v/>
      </c>
      <c r="FR15" s="59">
        <f>$CG15-$CG16</f>
        <v/>
      </c>
      <c r="FS15" s="59">
        <f>$CH15-$CH16</f>
        <v/>
      </c>
      <c r="FT15" s="59">
        <f>$CI15-$CI16</f>
        <v/>
      </c>
      <c r="FU15" s="59">
        <f>$CJ15-$CJ16</f>
        <v/>
      </c>
      <c r="FV15" s="59">
        <f>$CK15-$CK16</f>
        <v/>
      </c>
      <c r="FW15" s="59">
        <f>$CL15-$CL16</f>
        <v/>
      </c>
      <c r="FX15" s="59">
        <f>$CM15-$CM16</f>
        <v/>
      </c>
      <c r="FY15" s="59">
        <f>$CN15-$CN16</f>
        <v/>
      </c>
      <c r="FZ15" s="59">
        <f>$CO15-$CO16</f>
        <v/>
      </c>
      <c r="GA15" s="59">
        <f>$CP15-$CP16</f>
        <v/>
      </c>
      <c r="GB15" s="59">
        <f>$CQ15-$CQ16</f>
        <v/>
      </c>
      <c r="GC15" s="59">
        <f>$CR15-$CR16</f>
        <v/>
      </c>
      <c r="GD15" s="59">
        <f>$CS15-$CS16</f>
        <v/>
      </c>
      <c r="GE15" s="59">
        <f>$CT15-$CT16</f>
        <v/>
      </c>
    </row>
    <row r="16">
      <c r="CU16" s="58">
        <f>IFERROR($B16/$B17-1,"")</f>
        <v/>
      </c>
      <c r="CV16" s="59">
        <f>($F16-$F17)*100</f>
        <v/>
      </c>
      <c r="CW16" s="59">
        <f>($E16-$E17)*100</f>
        <v/>
      </c>
      <c r="CX16" s="58">
        <f>IFERROR($K16/$K17-1,"")</f>
        <v/>
      </c>
      <c r="CY16" s="59">
        <f>($AH16-$AH17)*100</f>
        <v/>
      </c>
      <c r="CZ16" s="59">
        <f>($AI16-$AI17)*100</f>
        <v/>
      </c>
      <c r="DA16" s="59">
        <f>($AJ16-$AJ17)*100</f>
        <v/>
      </c>
      <c r="DB16" s="59">
        <f>($AK16-$AK17)*100</f>
        <v/>
      </c>
      <c r="DC16" s="59">
        <f>($AL16-$AL17)*100</f>
        <v/>
      </c>
      <c r="DD16" s="59">
        <f>($AM16-$AM17)*100</f>
        <v/>
      </c>
      <c r="DE16" s="59">
        <f>($AN16-$AN17)*100</f>
        <v/>
      </c>
      <c r="DF16" s="59">
        <f>($AO16-$AO17)*100</f>
        <v/>
      </c>
      <c r="DG16" s="59">
        <f>($AP16-$AP17)*100</f>
        <v/>
      </c>
      <c r="DH16" s="59">
        <f>($AQ16-$AQ17)*100</f>
        <v/>
      </c>
      <c r="DI16" s="59">
        <f>($AR16-$AR17)*100</f>
        <v/>
      </c>
      <c r="DJ16" s="59">
        <f>($AS16-$AS17)*100</f>
        <v/>
      </c>
      <c r="DK16" s="59">
        <f>($AT16-$AT17)*100</f>
        <v/>
      </c>
      <c r="DL16" s="59">
        <f>($AU16-$AU17)*100</f>
        <v/>
      </c>
      <c r="DM16" s="59">
        <f>($AV16-$AV17)*100</f>
        <v/>
      </c>
      <c r="DN16" s="59">
        <f>($AW16-$AW17)*100</f>
        <v/>
      </c>
      <c r="DO16" s="59">
        <f>($AX16-$AX17)*100</f>
        <v/>
      </c>
      <c r="DP16" s="59">
        <f>($AY16-$AY17)*100</f>
        <v/>
      </c>
      <c r="DQ16" s="59">
        <f>($AZ16-$AZ17)*100</f>
        <v/>
      </c>
      <c r="DR16" s="59">
        <f>($BA16-$BA17)*100</f>
        <v/>
      </c>
      <c r="DS16" s="58">
        <f>IFERROR($N17/$N16-1,"")</f>
        <v/>
      </c>
      <c r="DT16" s="58">
        <f>IFERROR($O17/$O16-1,"")</f>
        <v/>
      </c>
      <c r="DU16" s="58">
        <f>IFERROR($P17/$P16-1,"")</f>
        <v/>
      </c>
      <c r="DV16" s="58">
        <f>IFERROR($Q17/$Q16-1,"")</f>
        <v/>
      </c>
      <c r="DW16" s="58">
        <f>IFERROR($R17/$R16-1,"")</f>
        <v/>
      </c>
      <c r="DX16" s="58">
        <f>IFERROR($S17/$S16-1,"")</f>
        <v/>
      </c>
      <c r="DY16" s="58">
        <f>IFERROR($T17/$T16-1,"")</f>
        <v/>
      </c>
      <c r="DZ16" s="58">
        <f>IFERROR($U17/$U16-1,"")</f>
        <v/>
      </c>
      <c r="EA16" s="58">
        <f>IFERROR($V17/$V16-1,"")</f>
        <v/>
      </c>
      <c r="EB16" s="58">
        <f>IFERROR($W17/$W16-1,"")</f>
        <v/>
      </c>
      <c r="EC16" s="58">
        <f>IFERROR($X17/$X16-1,"")</f>
        <v/>
      </c>
      <c r="ED16" s="58">
        <f>IFERROR($Y17/$Y16-1,"")</f>
        <v/>
      </c>
      <c r="EE16" s="58">
        <f>IFERROR($Z17/$Z16-1,"")</f>
        <v/>
      </c>
      <c r="EF16" s="58">
        <f>IFERROR($AA17/$AA16-1,"")</f>
        <v/>
      </c>
      <c r="EG16" s="58">
        <f>IFERROR($AB17/$AB16-1,"")</f>
        <v/>
      </c>
      <c r="EH16" s="58">
        <f>IFERROR($AC17/$AC16-1,"")</f>
        <v/>
      </c>
      <c r="EI16" s="58">
        <f>IFERROR($AD17/$AD16-1,"")</f>
        <v/>
      </c>
      <c r="EJ16" s="58">
        <f>IFERROR($AE17/$AE16-1,"")</f>
        <v/>
      </c>
      <c r="EK16" s="58">
        <f>IFERROR($AF17/$AF16-1,"")</f>
        <v/>
      </c>
      <c r="EL16" s="58">
        <f>IFERROR($AG17/$AG16-1,"")</f>
        <v/>
      </c>
      <c r="EM16" s="58">
        <f>IFERROR($BB16/$BB17-1,"")</f>
        <v/>
      </c>
      <c r="EN16" s="58">
        <f>IFERROR($BC16/$BC17-1,"")</f>
        <v/>
      </c>
      <c r="EO16" s="58">
        <f>IFERROR($BD16/$BD17-1,"")</f>
        <v/>
      </c>
      <c r="EP16" s="58">
        <f>IFERROR($BE16/$BE17-1,"")</f>
        <v/>
      </c>
      <c r="EQ16" s="58">
        <f>IFERROR($BF16/$BF17-1,"")</f>
        <v/>
      </c>
      <c r="ER16" s="58">
        <f>IFERROR($BG16/$BG17-1,"")</f>
        <v/>
      </c>
      <c r="ES16" s="58">
        <f>IFERROR($BH16/$BH17-1,"")</f>
        <v/>
      </c>
      <c r="ET16" s="58">
        <f>IFERROR($BI16/$BI17-1,"")</f>
        <v/>
      </c>
      <c r="EU16" s="58">
        <f>IFERROR($BJ16/$BJ17-1,"")</f>
        <v/>
      </c>
      <c r="EV16" s="58">
        <f>IFERROR($BK16/$BK17-1,"")</f>
        <v/>
      </c>
      <c r="EW16" s="58">
        <f>IFERROR($BL16/$BL17-1,"")</f>
        <v/>
      </c>
      <c r="EX16" s="58">
        <f>IFERROR($BM16/$BM17-1,"")</f>
        <v/>
      </c>
      <c r="EY16" s="58">
        <f>IFERROR($BN16/$BN17-1,"")</f>
        <v/>
      </c>
      <c r="EZ16" s="58">
        <f>IFERROR($BO16/$BO17-1,"")</f>
        <v/>
      </c>
      <c r="FA16" s="58">
        <f>IFERROR($BP16/$BP17-1,"")</f>
        <v/>
      </c>
      <c r="FB16" s="58">
        <f>IFERROR($BQ16/$BQ17-1,"")</f>
        <v/>
      </c>
      <c r="FC16" s="58">
        <f>IFERROR($BR16/$BR17-1,"")</f>
        <v/>
      </c>
      <c r="FD16" s="58">
        <f>IFERROR($BS16/$BS17-1,"")</f>
        <v/>
      </c>
      <c r="FE16" s="58">
        <f>IFERROR($BT16/$BT17-1,"")</f>
        <v/>
      </c>
      <c r="FF16" s="58">
        <f>IFERROR($BU16/$BU17-1,"")</f>
        <v/>
      </c>
      <c r="FG16" s="58">
        <f>IFERROR($BV16/$BV17-1,"")</f>
        <v/>
      </c>
      <c r="FH16" s="58">
        <f>IFERROR($BW16/$BW17-1,"")</f>
        <v/>
      </c>
      <c r="FI16" s="58">
        <f>IFERROR($BX16/$BX17-1,"")</f>
        <v/>
      </c>
      <c r="FJ16" s="59">
        <f>$BY16-$BY17</f>
        <v/>
      </c>
      <c r="FK16" s="59">
        <f>$BZ16-$BZ17</f>
        <v/>
      </c>
      <c r="FL16" s="59">
        <f>$CA16-$CA17</f>
        <v/>
      </c>
      <c r="FM16" s="59">
        <f>$CB16-$CB17</f>
        <v/>
      </c>
      <c r="FN16" s="59">
        <f>$CC16-$CC17</f>
        <v/>
      </c>
      <c r="FO16" s="59">
        <f>$CD16-$CD17</f>
        <v/>
      </c>
      <c r="FP16" s="59">
        <f>$CE16-$CE17</f>
        <v/>
      </c>
      <c r="FQ16" s="59">
        <f>$CF16-$CF17</f>
        <v/>
      </c>
      <c r="FR16" s="59">
        <f>$CG16-$CG17</f>
        <v/>
      </c>
      <c r="FS16" s="59">
        <f>$CH16-$CH17</f>
        <v/>
      </c>
      <c r="FT16" s="59">
        <f>$CI16-$CI17</f>
        <v/>
      </c>
      <c r="FU16" s="59">
        <f>$CJ16-$CJ17</f>
        <v/>
      </c>
      <c r="FV16" s="59">
        <f>$CK16-$CK17</f>
        <v/>
      </c>
      <c r="FW16" s="59">
        <f>$CL16-$CL17</f>
        <v/>
      </c>
      <c r="FX16" s="59">
        <f>$CM16-$CM17</f>
        <v/>
      </c>
      <c r="FY16" s="59">
        <f>$CN16-$CN17</f>
        <v/>
      </c>
      <c r="FZ16" s="59">
        <f>$CO16-$CO17</f>
        <v/>
      </c>
      <c r="GA16" s="59">
        <f>$CP16-$CP17</f>
        <v/>
      </c>
      <c r="GB16" s="59">
        <f>$CQ16-$CQ17</f>
        <v/>
      </c>
      <c r="GC16" s="59">
        <f>$CR16-$CR17</f>
        <v/>
      </c>
      <c r="GD16" s="59">
        <f>$CS16-$CS17</f>
        <v/>
      </c>
      <c r="GE16" s="59">
        <f>$CT16-$CT17</f>
        <v/>
      </c>
    </row>
    <row r="17">
      <c r="CU17" s="58">
        <f>IFERROR($B17/$B18-1,"")</f>
        <v/>
      </c>
      <c r="CV17" s="59">
        <f>($F17-$F18)*100</f>
        <v/>
      </c>
      <c r="CW17" s="59">
        <f>($E17-$E18)*100</f>
        <v/>
      </c>
      <c r="CX17" s="58">
        <f>IFERROR($K17/$K18-1,"")</f>
        <v/>
      </c>
      <c r="CY17" s="59">
        <f>($AH17-$AH18)*100</f>
        <v/>
      </c>
      <c r="CZ17" s="59">
        <f>($AI17-$AI18)*100</f>
        <v/>
      </c>
      <c r="DA17" s="59">
        <f>($AJ17-$AJ18)*100</f>
        <v/>
      </c>
      <c r="DB17" s="59">
        <f>($AK17-$AK18)*100</f>
        <v/>
      </c>
      <c r="DC17" s="59">
        <f>($AL17-$AL18)*100</f>
        <v/>
      </c>
      <c r="DD17" s="59">
        <f>($AM17-$AM18)*100</f>
        <v/>
      </c>
      <c r="DE17" s="59">
        <f>($AN17-$AN18)*100</f>
        <v/>
      </c>
      <c r="DF17" s="59">
        <f>($AO17-$AO18)*100</f>
        <v/>
      </c>
      <c r="DG17" s="59">
        <f>($AP17-$AP18)*100</f>
        <v/>
      </c>
      <c r="DH17" s="59">
        <f>($AQ17-$AQ18)*100</f>
        <v/>
      </c>
      <c r="DI17" s="59">
        <f>($AR17-$AR18)*100</f>
        <v/>
      </c>
      <c r="DJ17" s="59">
        <f>($AS17-$AS18)*100</f>
        <v/>
      </c>
      <c r="DK17" s="59">
        <f>($AT17-$AT18)*100</f>
        <v/>
      </c>
      <c r="DL17" s="59">
        <f>($AU17-$AU18)*100</f>
        <v/>
      </c>
      <c r="DM17" s="59">
        <f>($AV17-$AV18)*100</f>
        <v/>
      </c>
      <c r="DN17" s="59">
        <f>($AW17-$AW18)*100</f>
        <v/>
      </c>
      <c r="DO17" s="59">
        <f>($AX17-$AX18)*100</f>
        <v/>
      </c>
      <c r="DP17" s="59">
        <f>($AY17-$AY18)*100</f>
        <v/>
      </c>
      <c r="DQ17" s="59">
        <f>($AZ17-$AZ18)*100</f>
        <v/>
      </c>
      <c r="DR17" s="59">
        <f>($BA17-$BA18)*100</f>
        <v/>
      </c>
      <c r="DS17" s="58">
        <f>IFERROR($N18/$N17-1,"")</f>
        <v/>
      </c>
      <c r="DT17" s="58">
        <f>IFERROR($O18/$O17-1,"")</f>
        <v/>
      </c>
      <c r="DU17" s="58">
        <f>IFERROR($P18/$P17-1,"")</f>
        <v/>
      </c>
      <c r="DV17" s="58">
        <f>IFERROR($Q18/$Q17-1,"")</f>
        <v/>
      </c>
      <c r="DW17" s="58">
        <f>IFERROR($R18/$R17-1,"")</f>
        <v/>
      </c>
      <c r="DX17" s="58">
        <f>IFERROR($S18/$S17-1,"")</f>
        <v/>
      </c>
      <c r="DY17" s="58">
        <f>IFERROR($T18/$T17-1,"")</f>
        <v/>
      </c>
      <c r="DZ17" s="58">
        <f>IFERROR($U18/$U17-1,"")</f>
        <v/>
      </c>
      <c r="EA17" s="58">
        <f>IFERROR($V18/$V17-1,"")</f>
        <v/>
      </c>
      <c r="EB17" s="58">
        <f>IFERROR($W18/$W17-1,"")</f>
        <v/>
      </c>
      <c r="EC17" s="58">
        <f>IFERROR($X18/$X17-1,"")</f>
        <v/>
      </c>
      <c r="ED17" s="58">
        <f>IFERROR($Y18/$Y17-1,"")</f>
        <v/>
      </c>
      <c r="EE17" s="58">
        <f>IFERROR($Z18/$Z17-1,"")</f>
        <v/>
      </c>
      <c r="EF17" s="58">
        <f>IFERROR($AA18/$AA17-1,"")</f>
        <v/>
      </c>
      <c r="EG17" s="58">
        <f>IFERROR($AB18/$AB17-1,"")</f>
        <v/>
      </c>
      <c r="EH17" s="58">
        <f>IFERROR($AC18/$AC17-1,"")</f>
        <v/>
      </c>
      <c r="EI17" s="58">
        <f>IFERROR($AD18/$AD17-1,"")</f>
        <v/>
      </c>
      <c r="EJ17" s="58">
        <f>IFERROR($AE18/$AE17-1,"")</f>
        <v/>
      </c>
      <c r="EK17" s="58">
        <f>IFERROR($AF18/$AF17-1,"")</f>
        <v/>
      </c>
      <c r="EL17" s="58">
        <f>IFERROR($AG18/$AG17-1,"")</f>
        <v/>
      </c>
      <c r="EM17" s="58">
        <f>IFERROR($BB17/$BB18-1,"")</f>
        <v/>
      </c>
      <c r="EN17" s="58">
        <f>IFERROR($BC17/$BC18-1,"")</f>
        <v/>
      </c>
      <c r="EO17" s="58">
        <f>IFERROR($BD17/$BD18-1,"")</f>
        <v/>
      </c>
      <c r="EP17" s="58">
        <f>IFERROR($BE17/$BE18-1,"")</f>
        <v/>
      </c>
      <c r="EQ17" s="58">
        <f>IFERROR($BF17/$BF18-1,"")</f>
        <v/>
      </c>
      <c r="ER17" s="58">
        <f>IFERROR($BG17/$BG18-1,"")</f>
        <v/>
      </c>
      <c r="ES17" s="58">
        <f>IFERROR($BH17/$BH18-1,"")</f>
        <v/>
      </c>
      <c r="ET17" s="58">
        <f>IFERROR($BI17/$BI18-1,"")</f>
        <v/>
      </c>
      <c r="EU17" s="58">
        <f>IFERROR($BJ17/$BJ18-1,"")</f>
        <v/>
      </c>
      <c r="EV17" s="58">
        <f>IFERROR($BK17/$BK18-1,"")</f>
        <v/>
      </c>
      <c r="EW17" s="58">
        <f>IFERROR($BL17/$BL18-1,"")</f>
        <v/>
      </c>
      <c r="EX17" s="58">
        <f>IFERROR($BM17/$BM18-1,"")</f>
        <v/>
      </c>
      <c r="EY17" s="58">
        <f>IFERROR($BN17/$BN18-1,"")</f>
        <v/>
      </c>
      <c r="EZ17" s="58">
        <f>IFERROR($BO17/$BO18-1,"")</f>
        <v/>
      </c>
      <c r="FA17" s="58">
        <f>IFERROR($BP17/$BP18-1,"")</f>
        <v/>
      </c>
      <c r="FB17" s="58">
        <f>IFERROR($BQ17/$BQ18-1,"")</f>
        <v/>
      </c>
      <c r="FC17" s="58">
        <f>IFERROR($BR17/$BR18-1,"")</f>
        <v/>
      </c>
      <c r="FD17" s="58">
        <f>IFERROR($BS17/$BS18-1,"")</f>
        <v/>
      </c>
      <c r="FE17" s="58">
        <f>IFERROR($BT17/$BT18-1,"")</f>
        <v/>
      </c>
      <c r="FF17" s="58">
        <f>IFERROR($BU17/$BU18-1,"")</f>
        <v/>
      </c>
      <c r="FG17" s="58">
        <f>IFERROR($BV17/$BV18-1,"")</f>
        <v/>
      </c>
      <c r="FH17" s="58">
        <f>IFERROR($BW17/$BW18-1,"")</f>
        <v/>
      </c>
      <c r="FI17" s="58">
        <f>IFERROR($BX17/$BX18-1,"")</f>
        <v/>
      </c>
      <c r="FJ17" s="59">
        <f>$BY17-$BY18</f>
        <v/>
      </c>
      <c r="FK17" s="59">
        <f>$BZ17-$BZ18</f>
        <v/>
      </c>
      <c r="FL17" s="59">
        <f>$CA17-$CA18</f>
        <v/>
      </c>
      <c r="FM17" s="59">
        <f>$CB17-$CB18</f>
        <v/>
      </c>
      <c r="FN17" s="59">
        <f>$CC17-$CC18</f>
        <v/>
      </c>
      <c r="FO17" s="59">
        <f>$CD17-$CD18</f>
        <v/>
      </c>
      <c r="FP17" s="59">
        <f>$CE17-$CE18</f>
        <v/>
      </c>
      <c r="FQ17" s="59">
        <f>$CF17-$CF18</f>
        <v/>
      </c>
      <c r="FR17" s="59">
        <f>$CG17-$CG18</f>
        <v/>
      </c>
      <c r="FS17" s="59">
        <f>$CH17-$CH18</f>
        <v/>
      </c>
      <c r="FT17" s="59">
        <f>$CI17-$CI18</f>
        <v/>
      </c>
      <c r="FU17" s="59">
        <f>$CJ17-$CJ18</f>
        <v/>
      </c>
      <c r="FV17" s="59">
        <f>$CK17-$CK18</f>
        <v/>
      </c>
      <c r="FW17" s="59">
        <f>$CL17-$CL18</f>
        <v/>
      </c>
      <c r="FX17" s="59">
        <f>$CM17-$CM18</f>
        <v/>
      </c>
      <c r="FY17" s="59">
        <f>$CN17-$CN18</f>
        <v/>
      </c>
      <c r="FZ17" s="59">
        <f>$CO17-$CO18</f>
        <v/>
      </c>
      <c r="GA17" s="59">
        <f>$CP17-$CP18</f>
        <v/>
      </c>
      <c r="GB17" s="59">
        <f>$CQ17-$CQ18</f>
        <v/>
      </c>
      <c r="GC17" s="59">
        <f>$CR17-$CR18</f>
        <v/>
      </c>
      <c r="GD17" s="59">
        <f>$CS17-$CS18</f>
        <v/>
      </c>
      <c r="GE17" s="59">
        <f>$CT17-$CT18</f>
        <v/>
      </c>
    </row>
    <row r="18">
      <c r="CU18" s="58">
        <f>IFERROR($B18/$B19-1,"")</f>
        <v/>
      </c>
      <c r="CV18" s="59">
        <f>($F18-$F19)*100</f>
        <v/>
      </c>
      <c r="CW18" s="59">
        <f>($E18-$E19)*100</f>
        <v/>
      </c>
      <c r="CX18" s="58">
        <f>IFERROR($K18/$K19-1,"")</f>
        <v/>
      </c>
      <c r="CY18" s="59">
        <f>($AH18-$AH19)*100</f>
        <v/>
      </c>
      <c r="CZ18" s="59">
        <f>($AI18-$AI19)*100</f>
        <v/>
      </c>
      <c r="DA18" s="59">
        <f>($AJ18-$AJ19)*100</f>
        <v/>
      </c>
      <c r="DB18" s="59">
        <f>($AK18-$AK19)*100</f>
        <v/>
      </c>
      <c r="DC18" s="59">
        <f>($AL18-$AL19)*100</f>
        <v/>
      </c>
      <c r="DD18" s="59">
        <f>($AM18-$AM19)*100</f>
        <v/>
      </c>
      <c r="DE18" s="59">
        <f>($AN18-$AN19)*100</f>
        <v/>
      </c>
      <c r="DF18" s="59">
        <f>($AO18-$AO19)*100</f>
        <v/>
      </c>
      <c r="DG18" s="59">
        <f>($AP18-$AP19)*100</f>
        <v/>
      </c>
      <c r="DH18" s="59">
        <f>($AQ18-$AQ19)*100</f>
        <v/>
      </c>
      <c r="DI18" s="59">
        <f>($AR18-$AR19)*100</f>
        <v/>
      </c>
      <c r="DJ18" s="59">
        <f>($AS18-$AS19)*100</f>
        <v/>
      </c>
      <c r="DK18" s="59">
        <f>($AT18-$AT19)*100</f>
        <v/>
      </c>
      <c r="DL18" s="59">
        <f>($AU18-$AU19)*100</f>
        <v/>
      </c>
      <c r="DM18" s="59">
        <f>($AV18-$AV19)*100</f>
        <v/>
      </c>
      <c r="DN18" s="59">
        <f>($AW18-$AW19)*100</f>
        <v/>
      </c>
      <c r="DO18" s="59">
        <f>($AX18-$AX19)*100</f>
        <v/>
      </c>
      <c r="DP18" s="59">
        <f>($AY18-$AY19)*100</f>
        <v/>
      </c>
      <c r="DQ18" s="59">
        <f>($AZ18-$AZ19)*100</f>
        <v/>
      </c>
      <c r="DR18" s="59">
        <f>($BA18-$BA19)*100</f>
        <v/>
      </c>
      <c r="DS18" s="58">
        <f>IFERROR($N19/$N18-1,"")</f>
        <v/>
      </c>
      <c r="DT18" s="58">
        <f>IFERROR($O19/$O18-1,"")</f>
        <v/>
      </c>
      <c r="DU18" s="58">
        <f>IFERROR($P19/$P18-1,"")</f>
        <v/>
      </c>
      <c r="DV18" s="58">
        <f>IFERROR($Q19/$Q18-1,"")</f>
        <v/>
      </c>
      <c r="DW18" s="58">
        <f>IFERROR($R19/$R18-1,"")</f>
        <v/>
      </c>
      <c r="DX18" s="58">
        <f>IFERROR($S19/$S18-1,"")</f>
        <v/>
      </c>
      <c r="DY18" s="58">
        <f>IFERROR($T19/$T18-1,"")</f>
        <v/>
      </c>
      <c r="DZ18" s="58">
        <f>IFERROR($U19/$U18-1,"")</f>
        <v/>
      </c>
      <c r="EA18" s="58">
        <f>IFERROR($V19/$V18-1,"")</f>
        <v/>
      </c>
      <c r="EB18" s="58">
        <f>IFERROR($W19/$W18-1,"")</f>
        <v/>
      </c>
      <c r="EC18" s="58">
        <f>IFERROR($X19/$X18-1,"")</f>
        <v/>
      </c>
      <c r="ED18" s="58">
        <f>IFERROR($Y19/$Y18-1,"")</f>
        <v/>
      </c>
      <c r="EE18" s="58">
        <f>IFERROR($Z19/$Z18-1,"")</f>
        <v/>
      </c>
      <c r="EF18" s="58">
        <f>IFERROR($AA19/$AA18-1,"")</f>
        <v/>
      </c>
      <c r="EG18" s="58">
        <f>IFERROR($AB19/$AB18-1,"")</f>
        <v/>
      </c>
      <c r="EH18" s="58">
        <f>IFERROR($AC19/$AC18-1,"")</f>
        <v/>
      </c>
      <c r="EI18" s="58">
        <f>IFERROR($AD19/$AD18-1,"")</f>
        <v/>
      </c>
      <c r="EJ18" s="58">
        <f>IFERROR($AE19/$AE18-1,"")</f>
        <v/>
      </c>
      <c r="EK18" s="58">
        <f>IFERROR($AF19/$AF18-1,"")</f>
        <v/>
      </c>
      <c r="EL18" s="58">
        <f>IFERROR($AG19/$AG18-1,"")</f>
        <v/>
      </c>
      <c r="EM18" s="58">
        <f>IFERROR($BB18/$BB19-1,"")</f>
        <v/>
      </c>
      <c r="EN18" s="58">
        <f>IFERROR($BC18/$BC19-1,"")</f>
        <v/>
      </c>
      <c r="EO18" s="58">
        <f>IFERROR($BD18/$BD19-1,"")</f>
        <v/>
      </c>
      <c r="EP18" s="58">
        <f>IFERROR($BE18/$BE19-1,"")</f>
        <v/>
      </c>
      <c r="EQ18" s="58">
        <f>IFERROR($BF18/$BF19-1,"")</f>
        <v/>
      </c>
      <c r="ER18" s="58">
        <f>IFERROR($BG18/$BG19-1,"")</f>
        <v/>
      </c>
      <c r="ES18" s="58">
        <f>IFERROR($BH18/$BH19-1,"")</f>
        <v/>
      </c>
      <c r="ET18" s="58">
        <f>IFERROR($BI18/$BI19-1,"")</f>
        <v/>
      </c>
      <c r="EU18" s="58">
        <f>IFERROR($BJ18/$BJ19-1,"")</f>
        <v/>
      </c>
      <c r="EV18" s="58">
        <f>IFERROR($BK18/$BK19-1,"")</f>
        <v/>
      </c>
      <c r="EW18" s="58">
        <f>IFERROR($BL18/$BL19-1,"")</f>
        <v/>
      </c>
      <c r="EX18" s="58">
        <f>IFERROR($BM18/$BM19-1,"")</f>
        <v/>
      </c>
      <c r="EY18" s="58">
        <f>IFERROR($BN18/$BN19-1,"")</f>
        <v/>
      </c>
      <c r="EZ18" s="58">
        <f>IFERROR($BO18/$BO19-1,"")</f>
        <v/>
      </c>
      <c r="FA18" s="58">
        <f>IFERROR($BP18/$BP19-1,"")</f>
        <v/>
      </c>
      <c r="FB18" s="58">
        <f>IFERROR($BQ18/$BQ19-1,"")</f>
        <v/>
      </c>
      <c r="FC18" s="58">
        <f>IFERROR($BR18/$BR19-1,"")</f>
        <v/>
      </c>
      <c r="FD18" s="58">
        <f>IFERROR($BS18/$BS19-1,"")</f>
        <v/>
      </c>
      <c r="FE18" s="58">
        <f>IFERROR($BT18/$BT19-1,"")</f>
        <v/>
      </c>
      <c r="FF18" s="58">
        <f>IFERROR($BU18/$BU19-1,"")</f>
        <v/>
      </c>
      <c r="FG18" s="58">
        <f>IFERROR($BV18/$BV19-1,"")</f>
        <v/>
      </c>
      <c r="FH18" s="58">
        <f>IFERROR($BW18/$BW19-1,"")</f>
        <v/>
      </c>
      <c r="FI18" s="58">
        <f>IFERROR($BX18/$BX19-1,"")</f>
        <v/>
      </c>
      <c r="FJ18" s="59">
        <f>$BY18-$BY19</f>
        <v/>
      </c>
      <c r="FK18" s="59">
        <f>$BZ18-$BZ19</f>
        <v/>
      </c>
      <c r="FL18" s="59">
        <f>$CA18-$CA19</f>
        <v/>
      </c>
      <c r="FM18" s="59">
        <f>$CB18-$CB19</f>
        <v/>
      </c>
      <c r="FN18" s="59">
        <f>$CC18-$CC19</f>
        <v/>
      </c>
      <c r="FO18" s="59">
        <f>$CD18-$CD19</f>
        <v/>
      </c>
      <c r="FP18" s="59">
        <f>$CE18-$CE19</f>
        <v/>
      </c>
      <c r="FQ18" s="59">
        <f>$CF18-$CF19</f>
        <v/>
      </c>
      <c r="FR18" s="59">
        <f>$CG18-$CG19</f>
        <v/>
      </c>
      <c r="FS18" s="59">
        <f>$CH18-$CH19</f>
        <v/>
      </c>
      <c r="FT18" s="59">
        <f>$CI18-$CI19</f>
        <v/>
      </c>
      <c r="FU18" s="59">
        <f>$CJ18-$CJ19</f>
        <v/>
      </c>
      <c r="FV18" s="59">
        <f>$CK18-$CK19</f>
        <v/>
      </c>
      <c r="FW18" s="59">
        <f>$CL18-$CL19</f>
        <v/>
      </c>
      <c r="FX18" s="59">
        <f>$CM18-$CM19</f>
        <v/>
      </c>
      <c r="FY18" s="59">
        <f>$CN18-$CN19</f>
        <v/>
      </c>
      <c r="FZ18" s="59">
        <f>$CO18-$CO19</f>
        <v/>
      </c>
      <c r="GA18" s="59">
        <f>$CP18-$CP19</f>
        <v/>
      </c>
      <c r="GB18" s="59">
        <f>$CQ18-$CQ19</f>
        <v/>
      </c>
      <c r="GC18" s="59">
        <f>$CR18-$CR19</f>
        <v/>
      </c>
      <c r="GD18" s="59">
        <f>$CS18-$CS19</f>
        <v/>
      </c>
      <c r="GE18" s="59">
        <f>$CT18-$CT19</f>
        <v/>
      </c>
    </row>
    <row r="19">
      <c r="CU19" s="58">
        <f>IFERROR($B19/$B20-1,"")</f>
        <v/>
      </c>
      <c r="CV19" s="59">
        <f>($F19-$F20)*100</f>
        <v/>
      </c>
      <c r="CW19" s="59">
        <f>($E19-$E20)*100</f>
        <v/>
      </c>
      <c r="CX19" s="58">
        <f>IFERROR($K19/$K20-1,"")</f>
        <v/>
      </c>
      <c r="CY19" s="59">
        <f>($AH19-$AH20)*100</f>
        <v/>
      </c>
      <c r="CZ19" s="59">
        <f>($AI19-$AI20)*100</f>
        <v/>
      </c>
      <c r="DA19" s="59">
        <f>($AJ19-$AJ20)*100</f>
        <v/>
      </c>
      <c r="DB19" s="59">
        <f>($AK19-$AK20)*100</f>
        <v/>
      </c>
      <c r="DC19" s="59">
        <f>($AL19-$AL20)*100</f>
        <v/>
      </c>
      <c r="DD19" s="59">
        <f>($AM19-$AM20)*100</f>
        <v/>
      </c>
      <c r="DE19" s="59">
        <f>($AN19-$AN20)*100</f>
        <v/>
      </c>
      <c r="DF19" s="59">
        <f>($AO19-$AO20)*100</f>
        <v/>
      </c>
      <c r="DG19" s="59">
        <f>($AP19-$AP20)*100</f>
        <v/>
      </c>
      <c r="DH19" s="59">
        <f>($AQ19-$AQ20)*100</f>
        <v/>
      </c>
      <c r="DI19" s="59">
        <f>($AR19-$AR20)*100</f>
        <v/>
      </c>
      <c r="DJ19" s="59">
        <f>($AS19-$AS20)*100</f>
        <v/>
      </c>
      <c r="DK19" s="59">
        <f>($AT19-$AT20)*100</f>
        <v/>
      </c>
      <c r="DL19" s="59">
        <f>($AU19-$AU20)*100</f>
        <v/>
      </c>
      <c r="DM19" s="59">
        <f>($AV19-$AV20)*100</f>
        <v/>
      </c>
      <c r="DN19" s="59">
        <f>($AW19-$AW20)*100</f>
        <v/>
      </c>
      <c r="DO19" s="59">
        <f>($AX19-$AX20)*100</f>
        <v/>
      </c>
      <c r="DP19" s="59">
        <f>($AY19-$AY20)*100</f>
        <v/>
      </c>
      <c r="DQ19" s="59">
        <f>($AZ19-$AZ20)*100</f>
        <v/>
      </c>
      <c r="DR19" s="59">
        <f>($BA19-$BA20)*100</f>
        <v/>
      </c>
      <c r="DS19" s="58">
        <f>IFERROR($N20/$N19-1,"")</f>
        <v/>
      </c>
      <c r="DT19" s="58">
        <f>IFERROR($O20/$O19-1,"")</f>
        <v/>
      </c>
      <c r="DU19" s="58">
        <f>IFERROR($P20/$P19-1,"")</f>
        <v/>
      </c>
      <c r="DV19" s="58">
        <f>IFERROR($Q20/$Q19-1,"")</f>
        <v/>
      </c>
      <c r="DW19" s="58">
        <f>IFERROR($R20/$R19-1,"")</f>
        <v/>
      </c>
      <c r="DX19" s="58">
        <f>IFERROR($S20/$S19-1,"")</f>
        <v/>
      </c>
      <c r="DY19" s="58">
        <f>IFERROR($T20/$T19-1,"")</f>
        <v/>
      </c>
      <c r="DZ19" s="58">
        <f>IFERROR($U20/$U19-1,"")</f>
        <v/>
      </c>
      <c r="EA19" s="58">
        <f>IFERROR($V20/$V19-1,"")</f>
        <v/>
      </c>
      <c r="EB19" s="58">
        <f>IFERROR($W20/$W19-1,"")</f>
        <v/>
      </c>
      <c r="EC19" s="58">
        <f>IFERROR($X20/$X19-1,"")</f>
        <v/>
      </c>
      <c r="ED19" s="58">
        <f>IFERROR($Y20/$Y19-1,"")</f>
        <v/>
      </c>
      <c r="EE19" s="58">
        <f>IFERROR($Z20/$Z19-1,"")</f>
        <v/>
      </c>
      <c r="EF19" s="58">
        <f>IFERROR($AA20/$AA19-1,"")</f>
        <v/>
      </c>
      <c r="EG19" s="58">
        <f>IFERROR($AB20/$AB19-1,"")</f>
        <v/>
      </c>
      <c r="EH19" s="58">
        <f>IFERROR($AC20/$AC19-1,"")</f>
        <v/>
      </c>
      <c r="EI19" s="58">
        <f>IFERROR($AD20/$AD19-1,"")</f>
        <v/>
      </c>
      <c r="EJ19" s="58">
        <f>IFERROR($AE20/$AE19-1,"")</f>
        <v/>
      </c>
      <c r="EK19" s="58">
        <f>IFERROR($AF20/$AF19-1,"")</f>
        <v/>
      </c>
      <c r="EL19" s="58">
        <f>IFERROR($AG20/$AG19-1,"")</f>
        <v/>
      </c>
      <c r="EM19" s="58">
        <f>IFERROR($BB19/$BB20-1,"")</f>
        <v/>
      </c>
      <c r="EN19" s="58">
        <f>IFERROR($BC19/$BC20-1,"")</f>
        <v/>
      </c>
      <c r="EO19" s="58">
        <f>IFERROR($BD19/$BD20-1,"")</f>
        <v/>
      </c>
      <c r="EP19" s="58">
        <f>IFERROR($BE19/$BE20-1,"")</f>
        <v/>
      </c>
      <c r="EQ19" s="58">
        <f>IFERROR($BF19/$BF20-1,"")</f>
        <v/>
      </c>
      <c r="ER19" s="58">
        <f>IFERROR($BG19/$BG20-1,"")</f>
        <v/>
      </c>
      <c r="ES19" s="58">
        <f>IFERROR($BH19/$BH20-1,"")</f>
        <v/>
      </c>
      <c r="ET19" s="58">
        <f>IFERROR($BI19/$BI20-1,"")</f>
        <v/>
      </c>
      <c r="EU19" s="58">
        <f>IFERROR($BJ19/$BJ20-1,"")</f>
        <v/>
      </c>
      <c r="EV19" s="58">
        <f>IFERROR($BK19/$BK20-1,"")</f>
        <v/>
      </c>
      <c r="EW19" s="58">
        <f>IFERROR($BL19/$BL20-1,"")</f>
        <v/>
      </c>
      <c r="EX19" s="58">
        <f>IFERROR($BM19/$BM20-1,"")</f>
        <v/>
      </c>
      <c r="EY19" s="58">
        <f>IFERROR($BN19/$BN20-1,"")</f>
        <v/>
      </c>
      <c r="EZ19" s="58">
        <f>IFERROR($BO19/$BO20-1,"")</f>
        <v/>
      </c>
      <c r="FA19" s="58">
        <f>IFERROR($BP19/$BP20-1,"")</f>
        <v/>
      </c>
      <c r="FB19" s="58">
        <f>IFERROR($BQ19/$BQ20-1,"")</f>
        <v/>
      </c>
      <c r="FC19" s="58">
        <f>IFERROR($BR19/$BR20-1,"")</f>
        <v/>
      </c>
      <c r="FD19" s="58">
        <f>IFERROR($BS19/$BS20-1,"")</f>
        <v/>
      </c>
      <c r="FE19" s="58">
        <f>IFERROR($BT19/$BT20-1,"")</f>
        <v/>
      </c>
      <c r="FF19" s="58">
        <f>IFERROR($BU19/$BU20-1,"")</f>
        <v/>
      </c>
      <c r="FG19" s="58">
        <f>IFERROR($BV19/$BV20-1,"")</f>
        <v/>
      </c>
      <c r="FH19" s="58">
        <f>IFERROR($BW19/$BW20-1,"")</f>
        <v/>
      </c>
      <c r="FI19" s="58">
        <f>IFERROR($BX19/$BX20-1,"")</f>
        <v/>
      </c>
      <c r="FJ19" s="59">
        <f>$BY19-$BY20</f>
        <v/>
      </c>
      <c r="FK19" s="59">
        <f>$BZ19-$BZ20</f>
        <v/>
      </c>
      <c r="FL19" s="59">
        <f>$CA19-$CA20</f>
        <v/>
      </c>
      <c r="FM19" s="59">
        <f>$CB19-$CB20</f>
        <v/>
      </c>
      <c r="FN19" s="59">
        <f>$CC19-$CC20</f>
        <v/>
      </c>
      <c r="FO19" s="59">
        <f>$CD19-$CD20</f>
        <v/>
      </c>
      <c r="FP19" s="59">
        <f>$CE19-$CE20</f>
        <v/>
      </c>
      <c r="FQ19" s="59">
        <f>$CF19-$CF20</f>
        <v/>
      </c>
      <c r="FR19" s="59">
        <f>$CG19-$CG20</f>
        <v/>
      </c>
      <c r="FS19" s="59">
        <f>$CH19-$CH20</f>
        <v/>
      </c>
      <c r="FT19" s="59">
        <f>$CI19-$CI20</f>
        <v/>
      </c>
      <c r="FU19" s="59">
        <f>$CJ19-$CJ20</f>
        <v/>
      </c>
      <c r="FV19" s="59">
        <f>$CK19-$CK20</f>
        <v/>
      </c>
      <c r="FW19" s="59">
        <f>$CL19-$CL20</f>
        <v/>
      </c>
      <c r="FX19" s="59">
        <f>$CM19-$CM20</f>
        <v/>
      </c>
      <c r="FY19" s="59">
        <f>$CN19-$CN20</f>
        <v/>
      </c>
      <c r="FZ19" s="59">
        <f>$CO19-$CO20</f>
        <v/>
      </c>
      <c r="GA19" s="59">
        <f>$CP19-$CP20</f>
        <v/>
      </c>
      <c r="GB19" s="59">
        <f>$CQ19-$CQ20</f>
        <v/>
      </c>
      <c r="GC19" s="59">
        <f>$CR19-$CR20</f>
        <v/>
      </c>
      <c r="GD19" s="59">
        <f>$CS19-$CS20</f>
        <v/>
      </c>
      <c r="GE19" s="59">
        <f>$CT19-$CT20</f>
        <v/>
      </c>
    </row>
    <row r="20">
      <c r="CU20" s="58">
        <f>IFERROR($B20/$B21-1,"")</f>
        <v/>
      </c>
      <c r="CV20" s="59">
        <f>($F20-$F21)*100</f>
        <v/>
      </c>
      <c r="CW20" s="59">
        <f>($E20-$E21)*100</f>
        <v/>
      </c>
      <c r="CX20" s="58">
        <f>IFERROR($K20/$K21-1,"")</f>
        <v/>
      </c>
      <c r="CY20" s="59">
        <f>($AH20-$AH21)*100</f>
        <v/>
      </c>
      <c r="CZ20" s="59">
        <f>($AI20-$AI21)*100</f>
        <v/>
      </c>
      <c r="DA20" s="59">
        <f>($AJ20-$AJ21)*100</f>
        <v/>
      </c>
      <c r="DB20" s="59">
        <f>($AK20-$AK21)*100</f>
        <v/>
      </c>
      <c r="DC20" s="59">
        <f>($AL20-$AL21)*100</f>
        <v/>
      </c>
      <c r="DD20" s="59">
        <f>($AM20-$AM21)*100</f>
        <v/>
      </c>
      <c r="DE20" s="59">
        <f>($AN20-$AN21)*100</f>
        <v/>
      </c>
      <c r="DF20" s="59">
        <f>($AO20-$AO21)*100</f>
        <v/>
      </c>
      <c r="DG20" s="59">
        <f>($AP20-$AP21)*100</f>
        <v/>
      </c>
      <c r="DH20" s="59">
        <f>($AQ20-$AQ21)*100</f>
        <v/>
      </c>
      <c r="DI20" s="59">
        <f>($AR20-$AR21)*100</f>
        <v/>
      </c>
      <c r="DJ20" s="59">
        <f>($AS20-$AS21)*100</f>
        <v/>
      </c>
      <c r="DK20" s="59">
        <f>($AT20-$AT21)*100</f>
        <v/>
      </c>
      <c r="DL20" s="59">
        <f>($AU20-$AU21)*100</f>
        <v/>
      </c>
      <c r="DM20" s="59">
        <f>($AV20-$AV21)*100</f>
        <v/>
      </c>
      <c r="DN20" s="59">
        <f>($AW20-$AW21)*100</f>
        <v/>
      </c>
      <c r="DO20" s="59">
        <f>($AX20-$AX21)*100</f>
        <v/>
      </c>
      <c r="DP20" s="59">
        <f>($AY20-$AY21)*100</f>
        <v/>
      </c>
      <c r="DQ20" s="59">
        <f>($AZ20-$AZ21)*100</f>
        <v/>
      </c>
      <c r="DR20" s="59">
        <f>($BA20-$BA21)*100</f>
        <v/>
      </c>
      <c r="DS20" s="58">
        <f>IFERROR($N21/$N20-1,"")</f>
        <v/>
      </c>
      <c r="DT20" s="58">
        <f>IFERROR($O21/$O20-1,"")</f>
        <v/>
      </c>
      <c r="DU20" s="58">
        <f>IFERROR($P21/$P20-1,"")</f>
        <v/>
      </c>
      <c r="DV20" s="58">
        <f>IFERROR($Q21/$Q20-1,"")</f>
        <v/>
      </c>
      <c r="DW20" s="58">
        <f>IFERROR($R21/$R20-1,"")</f>
        <v/>
      </c>
      <c r="DX20" s="58">
        <f>IFERROR($S21/$S20-1,"")</f>
        <v/>
      </c>
      <c r="DY20" s="58">
        <f>IFERROR($T21/$T20-1,"")</f>
        <v/>
      </c>
      <c r="DZ20" s="58">
        <f>IFERROR($U21/$U20-1,"")</f>
        <v/>
      </c>
      <c r="EA20" s="58">
        <f>IFERROR($V21/$V20-1,"")</f>
        <v/>
      </c>
      <c r="EB20" s="58">
        <f>IFERROR($W21/$W20-1,"")</f>
        <v/>
      </c>
      <c r="EC20" s="58">
        <f>IFERROR($X21/$X20-1,"")</f>
        <v/>
      </c>
      <c r="ED20" s="58">
        <f>IFERROR($Y21/$Y20-1,"")</f>
        <v/>
      </c>
      <c r="EE20" s="58">
        <f>IFERROR($Z21/$Z20-1,"")</f>
        <v/>
      </c>
      <c r="EF20" s="58">
        <f>IFERROR($AA21/$AA20-1,"")</f>
        <v/>
      </c>
      <c r="EG20" s="58">
        <f>IFERROR($AB21/$AB20-1,"")</f>
        <v/>
      </c>
      <c r="EH20" s="58">
        <f>IFERROR($AC21/$AC20-1,"")</f>
        <v/>
      </c>
      <c r="EI20" s="58">
        <f>IFERROR($AD21/$AD20-1,"")</f>
        <v/>
      </c>
      <c r="EJ20" s="58">
        <f>IFERROR($AE21/$AE20-1,"")</f>
        <v/>
      </c>
      <c r="EK20" s="58">
        <f>IFERROR($AF21/$AF20-1,"")</f>
        <v/>
      </c>
      <c r="EL20" s="58">
        <f>IFERROR($AG21/$AG20-1,"")</f>
        <v/>
      </c>
      <c r="EM20" s="58">
        <f>IFERROR($BB20/$BB21-1,"")</f>
        <v/>
      </c>
      <c r="EN20" s="58">
        <f>IFERROR($BC20/$BC21-1,"")</f>
        <v/>
      </c>
      <c r="EO20" s="58">
        <f>IFERROR($BD20/$BD21-1,"")</f>
        <v/>
      </c>
      <c r="EP20" s="58">
        <f>IFERROR($BE20/$BE21-1,"")</f>
        <v/>
      </c>
      <c r="EQ20" s="58">
        <f>IFERROR($BF20/$BF21-1,"")</f>
        <v/>
      </c>
      <c r="ER20" s="58">
        <f>IFERROR($BG20/$BG21-1,"")</f>
        <v/>
      </c>
      <c r="ES20" s="58">
        <f>IFERROR($BH20/$BH21-1,"")</f>
        <v/>
      </c>
      <c r="ET20" s="58">
        <f>IFERROR($BI20/$BI21-1,"")</f>
        <v/>
      </c>
      <c r="EU20" s="58">
        <f>IFERROR($BJ20/$BJ21-1,"")</f>
        <v/>
      </c>
      <c r="EV20" s="58">
        <f>IFERROR($BK20/$BK21-1,"")</f>
        <v/>
      </c>
      <c r="EW20" s="58">
        <f>IFERROR($BL20/$BL21-1,"")</f>
        <v/>
      </c>
      <c r="EX20" s="58">
        <f>IFERROR($BM20/$BM21-1,"")</f>
        <v/>
      </c>
      <c r="EY20" s="58">
        <f>IFERROR($BN20/$BN21-1,"")</f>
        <v/>
      </c>
      <c r="EZ20" s="58">
        <f>IFERROR($BO20/$BO21-1,"")</f>
        <v/>
      </c>
      <c r="FA20" s="58">
        <f>IFERROR($BP20/$BP21-1,"")</f>
        <v/>
      </c>
      <c r="FB20" s="58">
        <f>IFERROR($BQ20/$BQ21-1,"")</f>
        <v/>
      </c>
      <c r="FC20" s="58">
        <f>IFERROR($BR20/$BR21-1,"")</f>
        <v/>
      </c>
      <c r="FD20" s="58">
        <f>IFERROR($BS20/$BS21-1,"")</f>
        <v/>
      </c>
      <c r="FE20" s="58">
        <f>IFERROR($BT20/$BT21-1,"")</f>
        <v/>
      </c>
      <c r="FF20" s="58">
        <f>IFERROR($BU20/$BU21-1,"")</f>
        <v/>
      </c>
      <c r="FG20" s="58">
        <f>IFERROR($BV20/$BV21-1,"")</f>
        <v/>
      </c>
      <c r="FH20" s="58">
        <f>IFERROR($BW20/$BW21-1,"")</f>
        <v/>
      </c>
      <c r="FI20" s="58">
        <f>IFERROR($BX20/$BX21-1,"")</f>
        <v/>
      </c>
      <c r="FJ20" s="59">
        <f>$BY20-$BY21</f>
        <v/>
      </c>
      <c r="FK20" s="59">
        <f>$BZ20-$BZ21</f>
        <v/>
      </c>
      <c r="FL20" s="59">
        <f>$CA20-$CA21</f>
        <v/>
      </c>
      <c r="FM20" s="59">
        <f>$CB20-$CB21</f>
        <v/>
      </c>
      <c r="FN20" s="59">
        <f>$CC20-$CC21</f>
        <v/>
      </c>
      <c r="FO20" s="59">
        <f>$CD20-$CD21</f>
        <v/>
      </c>
      <c r="FP20" s="59">
        <f>$CE20-$CE21</f>
        <v/>
      </c>
      <c r="FQ20" s="59">
        <f>$CF20-$CF21</f>
        <v/>
      </c>
      <c r="FR20" s="59">
        <f>$CG20-$CG21</f>
        <v/>
      </c>
      <c r="FS20" s="59">
        <f>$CH20-$CH21</f>
        <v/>
      </c>
      <c r="FT20" s="59">
        <f>$CI20-$CI21</f>
        <v/>
      </c>
      <c r="FU20" s="59">
        <f>$CJ20-$CJ21</f>
        <v/>
      </c>
      <c r="FV20" s="59">
        <f>$CK20-$CK21</f>
        <v/>
      </c>
      <c r="FW20" s="59">
        <f>$CL20-$CL21</f>
        <v/>
      </c>
      <c r="FX20" s="59">
        <f>$CM20-$CM21</f>
        <v/>
      </c>
      <c r="FY20" s="59">
        <f>$CN20-$CN21</f>
        <v/>
      </c>
      <c r="FZ20" s="59">
        <f>$CO20-$CO21</f>
        <v/>
      </c>
      <c r="GA20" s="59">
        <f>$CP20-$CP21</f>
        <v/>
      </c>
      <c r="GB20" s="59">
        <f>$CQ20-$CQ21</f>
        <v/>
      </c>
      <c r="GC20" s="59">
        <f>$CR20-$CR21</f>
        <v/>
      </c>
      <c r="GD20" s="59">
        <f>$CS20-$CS21</f>
        <v/>
      </c>
      <c r="GE20" s="59">
        <f>$CT20-$CT21</f>
        <v/>
      </c>
    </row>
    <row r="21">
      <c r="CU21" s="58">
        <f>IFERROR($B21/$B22-1,"")</f>
        <v/>
      </c>
      <c r="CV21" s="59">
        <f>($F21-$F22)*100</f>
        <v/>
      </c>
      <c r="CW21" s="59">
        <f>($E21-$E22)*100</f>
        <v/>
      </c>
      <c r="CX21" s="58">
        <f>IFERROR($K21/$K22-1,"")</f>
        <v/>
      </c>
      <c r="CY21" s="59">
        <f>($AH21-$AH22)*100</f>
        <v/>
      </c>
      <c r="CZ21" s="59">
        <f>($AI21-$AI22)*100</f>
        <v/>
      </c>
      <c r="DA21" s="59">
        <f>($AJ21-$AJ22)*100</f>
        <v/>
      </c>
      <c r="DB21" s="59">
        <f>($AK21-$AK22)*100</f>
        <v/>
      </c>
      <c r="DC21" s="59">
        <f>($AL21-$AL22)*100</f>
        <v/>
      </c>
      <c r="DD21" s="59">
        <f>($AM21-$AM22)*100</f>
        <v/>
      </c>
      <c r="DE21" s="59">
        <f>($AN21-$AN22)*100</f>
        <v/>
      </c>
      <c r="DF21" s="59">
        <f>($AO21-$AO22)*100</f>
        <v/>
      </c>
      <c r="DG21" s="59">
        <f>($AP21-$AP22)*100</f>
        <v/>
      </c>
      <c r="DH21" s="59">
        <f>($AQ21-$AQ22)*100</f>
        <v/>
      </c>
      <c r="DI21" s="59">
        <f>($AR21-$AR22)*100</f>
        <v/>
      </c>
      <c r="DJ21" s="59">
        <f>($AS21-$AS22)*100</f>
        <v/>
      </c>
      <c r="DK21" s="59">
        <f>($AT21-$AT22)*100</f>
        <v/>
      </c>
      <c r="DL21" s="59">
        <f>($AU21-$AU22)*100</f>
        <v/>
      </c>
      <c r="DM21" s="59">
        <f>($AV21-$AV22)*100</f>
        <v/>
      </c>
      <c r="DN21" s="59">
        <f>($AW21-$AW22)*100</f>
        <v/>
      </c>
      <c r="DO21" s="59">
        <f>($AX21-$AX22)*100</f>
        <v/>
      </c>
      <c r="DP21" s="59">
        <f>($AY21-$AY22)*100</f>
        <v/>
      </c>
      <c r="DQ21" s="59">
        <f>($AZ21-$AZ22)*100</f>
        <v/>
      </c>
      <c r="DR21" s="59">
        <f>($BA21-$BA22)*100</f>
        <v/>
      </c>
      <c r="DS21" s="58">
        <f>IFERROR($N22/$N21-1,"")</f>
        <v/>
      </c>
      <c r="DT21" s="58">
        <f>IFERROR($O22/$O21-1,"")</f>
        <v/>
      </c>
      <c r="DU21" s="58">
        <f>IFERROR($P22/$P21-1,"")</f>
        <v/>
      </c>
      <c r="DV21" s="58">
        <f>IFERROR($Q22/$Q21-1,"")</f>
        <v/>
      </c>
      <c r="DW21" s="58">
        <f>IFERROR($R22/$R21-1,"")</f>
        <v/>
      </c>
      <c r="DX21" s="58">
        <f>IFERROR($S22/$S21-1,"")</f>
        <v/>
      </c>
      <c r="DY21" s="58">
        <f>IFERROR($T22/$T21-1,"")</f>
        <v/>
      </c>
      <c r="DZ21" s="58">
        <f>IFERROR($U22/$U21-1,"")</f>
        <v/>
      </c>
      <c r="EA21" s="58">
        <f>IFERROR($V22/$V21-1,"")</f>
        <v/>
      </c>
      <c r="EB21" s="58">
        <f>IFERROR($W22/$W21-1,"")</f>
        <v/>
      </c>
      <c r="EC21" s="58">
        <f>IFERROR($X22/$X21-1,"")</f>
        <v/>
      </c>
      <c r="ED21" s="58">
        <f>IFERROR($Y22/$Y21-1,"")</f>
        <v/>
      </c>
      <c r="EE21" s="58">
        <f>IFERROR($Z22/$Z21-1,"")</f>
        <v/>
      </c>
      <c r="EF21" s="58">
        <f>IFERROR($AA22/$AA21-1,"")</f>
        <v/>
      </c>
      <c r="EG21" s="58">
        <f>IFERROR($AB22/$AB21-1,"")</f>
        <v/>
      </c>
      <c r="EH21" s="58">
        <f>IFERROR($AC22/$AC21-1,"")</f>
        <v/>
      </c>
      <c r="EI21" s="58">
        <f>IFERROR($AD22/$AD21-1,"")</f>
        <v/>
      </c>
      <c r="EJ21" s="58">
        <f>IFERROR($AE22/$AE21-1,"")</f>
        <v/>
      </c>
      <c r="EK21" s="58">
        <f>IFERROR($AF22/$AF21-1,"")</f>
        <v/>
      </c>
      <c r="EL21" s="58">
        <f>IFERROR($AG22/$AG21-1,"")</f>
        <v/>
      </c>
      <c r="EM21" s="58">
        <f>IFERROR($BB21/$BB22-1,"")</f>
        <v/>
      </c>
      <c r="EN21" s="58">
        <f>IFERROR($BC21/$BC22-1,"")</f>
        <v/>
      </c>
      <c r="EO21" s="58">
        <f>IFERROR($BD21/$BD22-1,"")</f>
        <v/>
      </c>
      <c r="EP21" s="58">
        <f>IFERROR($BE21/$BE22-1,"")</f>
        <v/>
      </c>
      <c r="EQ21" s="58">
        <f>IFERROR($BF21/$BF22-1,"")</f>
        <v/>
      </c>
      <c r="ER21" s="58">
        <f>IFERROR($BG21/$BG22-1,"")</f>
        <v/>
      </c>
      <c r="ES21" s="58">
        <f>IFERROR($BH21/$BH22-1,"")</f>
        <v/>
      </c>
      <c r="ET21" s="58">
        <f>IFERROR($BI21/$BI22-1,"")</f>
        <v/>
      </c>
      <c r="EU21" s="58">
        <f>IFERROR($BJ21/$BJ22-1,"")</f>
        <v/>
      </c>
      <c r="EV21" s="58">
        <f>IFERROR($BK21/$BK22-1,"")</f>
        <v/>
      </c>
      <c r="EW21" s="58">
        <f>IFERROR($BL21/$BL22-1,"")</f>
        <v/>
      </c>
      <c r="EX21" s="58">
        <f>IFERROR($BM21/$BM22-1,"")</f>
        <v/>
      </c>
      <c r="EY21" s="58">
        <f>IFERROR($BN21/$BN22-1,"")</f>
        <v/>
      </c>
      <c r="EZ21" s="58">
        <f>IFERROR($BO21/$BO22-1,"")</f>
        <v/>
      </c>
      <c r="FA21" s="58">
        <f>IFERROR($BP21/$BP22-1,"")</f>
        <v/>
      </c>
      <c r="FB21" s="58">
        <f>IFERROR($BQ21/$BQ22-1,"")</f>
        <v/>
      </c>
      <c r="FC21" s="58">
        <f>IFERROR($BR21/$BR22-1,"")</f>
        <v/>
      </c>
      <c r="FD21" s="58">
        <f>IFERROR($BS21/$BS22-1,"")</f>
        <v/>
      </c>
      <c r="FE21" s="58">
        <f>IFERROR($BT21/$BT22-1,"")</f>
        <v/>
      </c>
      <c r="FF21" s="58">
        <f>IFERROR($BU21/$BU22-1,"")</f>
        <v/>
      </c>
      <c r="FG21" s="58">
        <f>IFERROR($BV21/$BV22-1,"")</f>
        <v/>
      </c>
      <c r="FH21" s="58">
        <f>IFERROR($BW21/$BW22-1,"")</f>
        <v/>
      </c>
      <c r="FI21" s="58">
        <f>IFERROR($BX21/$BX22-1,"")</f>
        <v/>
      </c>
      <c r="FJ21" s="59">
        <f>$BY21-$BY22</f>
        <v/>
      </c>
      <c r="FK21" s="59">
        <f>$BZ21-$BZ22</f>
        <v/>
      </c>
      <c r="FL21" s="59">
        <f>$CA21-$CA22</f>
        <v/>
      </c>
      <c r="FM21" s="59">
        <f>$CB21-$CB22</f>
        <v/>
      </c>
      <c r="FN21" s="59">
        <f>$CC21-$CC22</f>
        <v/>
      </c>
      <c r="FO21" s="59">
        <f>$CD21-$CD22</f>
        <v/>
      </c>
      <c r="FP21" s="59">
        <f>$CE21-$CE22</f>
        <v/>
      </c>
      <c r="FQ21" s="59">
        <f>$CF21-$CF22</f>
        <v/>
      </c>
      <c r="FR21" s="59">
        <f>$CG21-$CG22</f>
        <v/>
      </c>
      <c r="FS21" s="59">
        <f>$CH21-$CH22</f>
        <v/>
      </c>
      <c r="FT21" s="59">
        <f>$CI21-$CI22</f>
        <v/>
      </c>
      <c r="FU21" s="59">
        <f>$CJ21-$CJ22</f>
        <v/>
      </c>
      <c r="FV21" s="59">
        <f>$CK21-$CK22</f>
        <v/>
      </c>
      <c r="FW21" s="59">
        <f>$CL21-$CL22</f>
        <v/>
      </c>
      <c r="FX21" s="59">
        <f>$CM21-$CM22</f>
        <v/>
      </c>
      <c r="FY21" s="59">
        <f>$CN21-$CN22</f>
        <v/>
      </c>
      <c r="FZ21" s="59">
        <f>$CO21-$CO22</f>
        <v/>
      </c>
      <c r="GA21" s="59">
        <f>$CP21-$CP22</f>
        <v/>
      </c>
      <c r="GB21" s="59">
        <f>$CQ21-$CQ22</f>
        <v/>
      </c>
      <c r="GC21" s="59">
        <f>$CR21-$CR22</f>
        <v/>
      </c>
      <c r="GD21" s="59">
        <f>$CS21-$CS22</f>
        <v/>
      </c>
      <c r="GE21" s="59">
        <f>$CT21-$CT22</f>
        <v/>
      </c>
    </row>
    <row r="22">
      <c r="CU22" s="58">
        <f>IFERROR($B22/$B23-1,"")</f>
        <v/>
      </c>
      <c r="CV22" s="59">
        <f>($F22-$F23)*100</f>
        <v/>
      </c>
      <c r="CW22" s="59">
        <f>($E22-$E23)*100</f>
        <v/>
      </c>
      <c r="CX22" s="58">
        <f>IFERROR($K22/$K23-1,"")</f>
        <v/>
      </c>
      <c r="CY22" s="59">
        <f>($AH22-$AH23)*100</f>
        <v/>
      </c>
      <c r="CZ22" s="59">
        <f>($AI22-$AI23)*100</f>
        <v/>
      </c>
      <c r="DA22" s="59">
        <f>($AJ22-$AJ23)*100</f>
        <v/>
      </c>
      <c r="DB22" s="59">
        <f>($AK22-$AK23)*100</f>
        <v/>
      </c>
      <c r="DC22" s="59">
        <f>($AL22-$AL23)*100</f>
        <v/>
      </c>
      <c r="DD22" s="59">
        <f>($AM22-$AM23)*100</f>
        <v/>
      </c>
      <c r="DE22" s="59">
        <f>($AN22-$AN23)*100</f>
        <v/>
      </c>
      <c r="DF22" s="59">
        <f>($AO22-$AO23)*100</f>
        <v/>
      </c>
      <c r="DG22" s="59">
        <f>($AP22-$AP23)*100</f>
        <v/>
      </c>
      <c r="DH22" s="59">
        <f>($AQ22-$AQ23)*100</f>
        <v/>
      </c>
      <c r="DI22" s="59">
        <f>($AR22-$AR23)*100</f>
        <v/>
      </c>
      <c r="DJ22" s="59">
        <f>($AS22-$AS23)*100</f>
        <v/>
      </c>
      <c r="DK22" s="59">
        <f>($AT22-$AT23)*100</f>
        <v/>
      </c>
      <c r="DL22" s="59">
        <f>($AU22-$AU23)*100</f>
        <v/>
      </c>
      <c r="DM22" s="59">
        <f>($AV22-$AV23)*100</f>
        <v/>
      </c>
      <c r="DN22" s="59">
        <f>($AW22-$AW23)*100</f>
        <v/>
      </c>
      <c r="DO22" s="59">
        <f>($AX22-$AX23)*100</f>
        <v/>
      </c>
      <c r="DP22" s="59">
        <f>($AY22-$AY23)*100</f>
        <v/>
      </c>
      <c r="DQ22" s="59">
        <f>($AZ22-$AZ23)*100</f>
        <v/>
      </c>
      <c r="DR22" s="59">
        <f>($BA22-$BA23)*100</f>
        <v/>
      </c>
      <c r="DS22" s="58">
        <f>IFERROR($N23/$N22-1,"")</f>
        <v/>
      </c>
      <c r="DT22" s="58">
        <f>IFERROR($O23/$O22-1,"")</f>
        <v/>
      </c>
      <c r="DU22" s="58">
        <f>IFERROR($P23/$P22-1,"")</f>
        <v/>
      </c>
      <c r="DV22" s="58">
        <f>IFERROR($Q23/$Q22-1,"")</f>
        <v/>
      </c>
      <c r="DW22" s="58">
        <f>IFERROR($R23/$R22-1,"")</f>
        <v/>
      </c>
      <c r="DX22" s="58">
        <f>IFERROR($S23/$S22-1,"")</f>
        <v/>
      </c>
      <c r="DY22" s="58">
        <f>IFERROR($T23/$T22-1,"")</f>
        <v/>
      </c>
      <c r="DZ22" s="58">
        <f>IFERROR($U23/$U22-1,"")</f>
        <v/>
      </c>
      <c r="EA22" s="58">
        <f>IFERROR($V23/$V22-1,"")</f>
        <v/>
      </c>
      <c r="EB22" s="58">
        <f>IFERROR($W23/$W22-1,"")</f>
        <v/>
      </c>
      <c r="EC22" s="58">
        <f>IFERROR($X23/$X22-1,"")</f>
        <v/>
      </c>
      <c r="ED22" s="58">
        <f>IFERROR($Y23/$Y22-1,"")</f>
        <v/>
      </c>
      <c r="EE22" s="58">
        <f>IFERROR($Z23/$Z22-1,"")</f>
        <v/>
      </c>
      <c r="EF22" s="58">
        <f>IFERROR($AA23/$AA22-1,"")</f>
        <v/>
      </c>
      <c r="EG22" s="58">
        <f>IFERROR($AB23/$AB22-1,"")</f>
        <v/>
      </c>
      <c r="EH22" s="58">
        <f>IFERROR($AC23/$AC22-1,"")</f>
        <v/>
      </c>
      <c r="EI22" s="58">
        <f>IFERROR($AD23/$AD22-1,"")</f>
        <v/>
      </c>
      <c r="EJ22" s="58">
        <f>IFERROR($AE23/$AE22-1,"")</f>
        <v/>
      </c>
      <c r="EK22" s="58">
        <f>IFERROR($AF23/$AF22-1,"")</f>
        <v/>
      </c>
      <c r="EL22" s="58">
        <f>IFERROR($AG23/$AG22-1,"")</f>
        <v/>
      </c>
      <c r="EM22" s="58">
        <f>IFERROR($BB22/$BB23-1,"")</f>
        <v/>
      </c>
      <c r="EN22" s="58">
        <f>IFERROR($BC22/$BC23-1,"")</f>
        <v/>
      </c>
      <c r="EO22" s="58">
        <f>IFERROR($BD22/$BD23-1,"")</f>
        <v/>
      </c>
      <c r="EP22" s="58">
        <f>IFERROR($BE22/$BE23-1,"")</f>
        <v/>
      </c>
      <c r="EQ22" s="58">
        <f>IFERROR($BF22/$BF23-1,"")</f>
        <v/>
      </c>
      <c r="ER22" s="58">
        <f>IFERROR($BG22/$BG23-1,"")</f>
        <v/>
      </c>
      <c r="ES22" s="58">
        <f>IFERROR($BH22/$BH23-1,"")</f>
        <v/>
      </c>
      <c r="ET22" s="58">
        <f>IFERROR($BI22/$BI23-1,"")</f>
        <v/>
      </c>
      <c r="EU22" s="58">
        <f>IFERROR($BJ22/$BJ23-1,"")</f>
        <v/>
      </c>
      <c r="EV22" s="58">
        <f>IFERROR($BK22/$BK23-1,"")</f>
        <v/>
      </c>
      <c r="EW22" s="58">
        <f>IFERROR($BL22/$BL23-1,"")</f>
        <v/>
      </c>
      <c r="EX22" s="58">
        <f>IFERROR($BM22/$BM23-1,"")</f>
        <v/>
      </c>
      <c r="EY22" s="58">
        <f>IFERROR($BN22/$BN23-1,"")</f>
        <v/>
      </c>
      <c r="EZ22" s="58">
        <f>IFERROR($BO22/$BO23-1,"")</f>
        <v/>
      </c>
      <c r="FA22" s="58">
        <f>IFERROR($BP22/$BP23-1,"")</f>
        <v/>
      </c>
      <c r="FB22" s="58">
        <f>IFERROR($BQ22/$BQ23-1,"")</f>
        <v/>
      </c>
      <c r="FC22" s="58">
        <f>IFERROR($BR22/$BR23-1,"")</f>
        <v/>
      </c>
      <c r="FD22" s="58">
        <f>IFERROR($BS22/$BS23-1,"")</f>
        <v/>
      </c>
      <c r="FE22" s="58">
        <f>IFERROR($BT22/$BT23-1,"")</f>
        <v/>
      </c>
      <c r="FF22" s="58">
        <f>IFERROR($BU22/$BU23-1,"")</f>
        <v/>
      </c>
      <c r="FG22" s="58">
        <f>IFERROR($BV22/$BV23-1,"")</f>
        <v/>
      </c>
      <c r="FH22" s="58">
        <f>IFERROR($BW22/$BW23-1,"")</f>
        <v/>
      </c>
      <c r="FI22" s="58">
        <f>IFERROR($BX22/$BX23-1,"")</f>
        <v/>
      </c>
      <c r="FJ22" s="59">
        <f>$BY22-$BY23</f>
        <v/>
      </c>
      <c r="FK22" s="59">
        <f>$BZ22-$BZ23</f>
        <v/>
      </c>
      <c r="FL22" s="59">
        <f>$CA22-$CA23</f>
        <v/>
      </c>
      <c r="FM22" s="59">
        <f>$CB22-$CB23</f>
        <v/>
      </c>
      <c r="FN22" s="59">
        <f>$CC22-$CC23</f>
        <v/>
      </c>
      <c r="FO22" s="59">
        <f>$CD22-$CD23</f>
        <v/>
      </c>
      <c r="FP22" s="59">
        <f>$CE22-$CE23</f>
        <v/>
      </c>
      <c r="FQ22" s="59">
        <f>$CF22-$CF23</f>
        <v/>
      </c>
      <c r="FR22" s="59">
        <f>$CG22-$CG23</f>
        <v/>
      </c>
      <c r="FS22" s="59">
        <f>$CH22-$CH23</f>
        <v/>
      </c>
      <c r="FT22" s="59">
        <f>$CI22-$CI23</f>
        <v/>
      </c>
      <c r="FU22" s="59">
        <f>$CJ22-$CJ23</f>
        <v/>
      </c>
      <c r="FV22" s="59">
        <f>$CK22-$CK23</f>
        <v/>
      </c>
      <c r="FW22" s="59">
        <f>$CL22-$CL23</f>
        <v/>
      </c>
      <c r="FX22" s="59">
        <f>$CM22-$CM23</f>
        <v/>
      </c>
      <c r="FY22" s="59">
        <f>$CN22-$CN23</f>
        <v/>
      </c>
      <c r="FZ22" s="59">
        <f>$CO22-$CO23</f>
        <v/>
      </c>
      <c r="GA22" s="59">
        <f>$CP22-$CP23</f>
        <v/>
      </c>
      <c r="GB22" s="59">
        <f>$CQ22-$CQ23</f>
        <v/>
      </c>
      <c r="GC22" s="59">
        <f>$CR22-$CR23</f>
        <v/>
      </c>
      <c r="GD22" s="59">
        <f>$CS22-$CS23</f>
        <v/>
      </c>
      <c r="GE22" s="59">
        <f>$CT22-$CT23</f>
        <v/>
      </c>
    </row>
    <row r="23">
      <c r="CU23" s="58">
        <f>IFERROR($B23/$B24-1,"")</f>
        <v/>
      </c>
      <c r="CV23" s="59">
        <f>($F23-$F24)*100</f>
        <v/>
      </c>
      <c r="CW23" s="59">
        <f>($E23-$E24)*100</f>
        <v/>
      </c>
      <c r="CX23" s="58">
        <f>IFERROR($K23/$K24-1,"")</f>
        <v/>
      </c>
      <c r="CY23" s="59">
        <f>($AH23-$AH24)*100</f>
        <v/>
      </c>
      <c r="CZ23" s="59">
        <f>($AI23-$AI24)*100</f>
        <v/>
      </c>
      <c r="DA23" s="59">
        <f>($AJ23-$AJ24)*100</f>
        <v/>
      </c>
      <c r="DB23" s="59">
        <f>($AK23-$AK24)*100</f>
        <v/>
      </c>
      <c r="DC23" s="59">
        <f>($AL23-$AL24)*100</f>
        <v/>
      </c>
      <c r="DD23" s="59">
        <f>($AM23-$AM24)*100</f>
        <v/>
      </c>
      <c r="DE23" s="59">
        <f>($AN23-$AN24)*100</f>
        <v/>
      </c>
      <c r="DF23" s="59">
        <f>($AO23-$AO24)*100</f>
        <v/>
      </c>
      <c r="DG23" s="59">
        <f>($AP23-$AP24)*100</f>
        <v/>
      </c>
      <c r="DH23" s="59">
        <f>($AQ23-$AQ24)*100</f>
        <v/>
      </c>
      <c r="DI23" s="59">
        <f>($AR23-$AR24)*100</f>
        <v/>
      </c>
      <c r="DJ23" s="59">
        <f>($AS23-$AS24)*100</f>
        <v/>
      </c>
      <c r="DK23" s="59">
        <f>($AT23-$AT24)*100</f>
        <v/>
      </c>
      <c r="DL23" s="59">
        <f>($AU23-$AU24)*100</f>
        <v/>
      </c>
      <c r="DM23" s="59">
        <f>($AV23-$AV24)*100</f>
        <v/>
      </c>
      <c r="DN23" s="59">
        <f>($AW23-$AW24)*100</f>
        <v/>
      </c>
      <c r="DO23" s="59">
        <f>($AX23-$AX24)*100</f>
        <v/>
      </c>
      <c r="DP23" s="59">
        <f>($AY23-$AY24)*100</f>
        <v/>
      </c>
      <c r="DQ23" s="59">
        <f>($AZ23-$AZ24)*100</f>
        <v/>
      </c>
      <c r="DR23" s="59">
        <f>($BA23-$BA24)*100</f>
        <v/>
      </c>
      <c r="DS23" s="58">
        <f>IFERROR($N24/$N23-1,"")</f>
        <v/>
      </c>
      <c r="DT23" s="58">
        <f>IFERROR($O24/$O23-1,"")</f>
        <v/>
      </c>
      <c r="DU23" s="58">
        <f>IFERROR($P24/$P23-1,"")</f>
        <v/>
      </c>
      <c r="DV23" s="58">
        <f>IFERROR($Q24/$Q23-1,"")</f>
        <v/>
      </c>
      <c r="DW23" s="58">
        <f>IFERROR($R24/$R23-1,"")</f>
        <v/>
      </c>
      <c r="DX23" s="58">
        <f>IFERROR($S24/$S23-1,"")</f>
        <v/>
      </c>
      <c r="DY23" s="58">
        <f>IFERROR($T24/$T23-1,"")</f>
        <v/>
      </c>
      <c r="DZ23" s="58">
        <f>IFERROR($U24/$U23-1,"")</f>
        <v/>
      </c>
      <c r="EA23" s="58">
        <f>IFERROR($V24/$V23-1,"")</f>
        <v/>
      </c>
      <c r="EB23" s="58">
        <f>IFERROR($W24/$W23-1,"")</f>
        <v/>
      </c>
      <c r="EC23" s="58">
        <f>IFERROR($X24/$X23-1,"")</f>
        <v/>
      </c>
      <c r="ED23" s="58">
        <f>IFERROR($Y24/$Y23-1,"")</f>
        <v/>
      </c>
      <c r="EE23" s="58">
        <f>IFERROR($Z24/$Z23-1,"")</f>
        <v/>
      </c>
      <c r="EF23" s="58">
        <f>IFERROR($AA24/$AA23-1,"")</f>
        <v/>
      </c>
      <c r="EG23" s="58">
        <f>IFERROR($AB24/$AB23-1,"")</f>
        <v/>
      </c>
      <c r="EH23" s="58">
        <f>IFERROR($AC24/$AC23-1,"")</f>
        <v/>
      </c>
      <c r="EI23" s="58">
        <f>IFERROR($AD24/$AD23-1,"")</f>
        <v/>
      </c>
      <c r="EJ23" s="58">
        <f>IFERROR($AE24/$AE23-1,"")</f>
        <v/>
      </c>
      <c r="EK23" s="58">
        <f>IFERROR($AF24/$AF23-1,"")</f>
        <v/>
      </c>
      <c r="EL23" s="58">
        <f>IFERROR($AG24/$AG23-1,"")</f>
        <v/>
      </c>
      <c r="EM23" s="58">
        <f>IFERROR($BB23/$BB24-1,"")</f>
        <v/>
      </c>
      <c r="EN23" s="58">
        <f>IFERROR($BC23/$BC24-1,"")</f>
        <v/>
      </c>
      <c r="EO23" s="58">
        <f>IFERROR($BD23/$BD24-1,"")</f>
        <v/>
      </c>
      <c r="EP23" s="58">
        <f>IFERROR($BE23/$BE24-1,"")</f>
        <v/>
      </c>
      <c r="EQ23" s="58">
        <f>IFERROR($BF23/$BF24-1,"")</f>
        <v/>
      </c>
      <c r="ER23" s="58">
        <f>IFERROR($BG23/$BG24-1,"")</f>
        <v/>
      </c>
      <c r="ES23" s="58">
        <f>IFERROR($BH23/$BH24-1,"")</f>
        <v/>
      </c>
      <c r="ET23" s="58">
        <f>IFERROR($BI23/$BI24-1,"")</f>
        <v/>
      </c>
      <c r="EU23" s="58">
        <f>IFERROR($BJ23/$BJ24-1,"")</f>
        <v/>
      </c>
      <c r="EV23" s="58">
        <f>IFERROR($BK23/$BK24-1,"")</f>
        <v/>
      </c>
      <c r="EW23" s="58">
        <f>IFERROR($BL23/$BL24-1,"")</f>
        <v/>
      </c>
      <c r="EX23" s="58">
        <f>IFERROR($BM23/$BM24-1,"")</f>
        <v/>
      </c>
      <c r="EY23" s="58">
        <f>IFERROR($BN23/$BN24-1,"")</f>
        <v/>
      </c>
      <c r="EZ23" s="58">
        <f>IFERROR($BO23/$BO24-1,"")</f>
        <v/>
      </c>
      <c r="FA23" s="58">
        <f>IFERROR($BP23/$BP24-1,"")</f>
        <v/>
      </c>
      <c r="FB23" s="58">
        <f>IFERROR($BQ23/$BQ24-1,"")</f>
        <v/>
      </c>
      <c r="FC23" s="58">
        <f>IFERROR($BR23/$BR24-1,"")</f>
        <v/>
      </c>
      <c r="FD23" s="58">
        <f>IFERROR($BS23/$BS24-1,"")</f>
        <v/>
      </c>
      <c r="FE23" s="58">
        <f>IFERROR($BT23/$BT24-1,"")</f>
        <v/>
      </c>
      <c r="FF23" s="58">
        <f>IFERROR($BU23/$BU24-1,"")</f>
        <v/>
      </c>
      <c r="FG23" s="58">
        <f>IFERROR($BV23/$BV24-1,"")</f>
        <v/>
      </c>
      <c r="FH23" s="58">
        <f>IFERROR($BW23/$BW24-1,"")</f>
        <v/>
      </c>
      <c r="FI23" s="58">
        <f>IFERROR($BX23/$BX24-1,"")</f>
        <v/>
      </c>
      <c r="FJ23" s="59">
        <f>$BY23-$BY24</f>
        <v/>
      </c>
      <c r="FK23" s="59">
        <f>$BZ23-$BZ24</f>
        <v/>
      </c>
      <c r="FL23" s="59">
        <f>$CA23-$CA24</f>
        <v/>
      </c>
      <c r="FM23" s="59">
        <f>$CB23-$CB24</f>
        <v/>
      </c>
      <c r="FN23" s="59">
        <f>$CC23-$CC24</f>
        <v/>
      </c>
      <c r="FO23" s="59">
        <f>$CD23-$CD24</f>
        <v/>
      </c>
      <c r="FP23" s="59">
        <f>$CE23-$CE24</f>
        <v/>
      </c>
      <c r="FQ23" s="59">
        <f>$CF23-$CF24</f>
        <v/>
      </c>
      <c r="FR23" s="59">
        <f>$CG23-$CG24</f>
        <v/>
      </c>
      <c r="FS23" s="59">
        <f>$CH23-$CH24</f>
        <v/>
      </c>
      <c r="FT23" s="59">
        <f>$CI23-$CI24</f>
        <v/>
      </c>
      <c r="FU23" s="59">
        <f>$CJ23-$CJ24</f>
        <v/>
      </c>
      <c r="FV23" s="59">
        <f>$CK23-$CK24</f>
        <v/>
      </c>
      <c r="FW23" s="59">
        <f>$CL23-$CL24</f>
        <v/>
      </c>
      <c r="FX23" s="59">
        <f>$CM23-$CM24</f>
        <v/>
      </c>
      <c r="FY23" s="59">
        <f>$CN23-$CN24</f>
        <v/>
      </c>
      <c r="FZ23" s="59">
        <f>$CO23-$CO24</f>
        <v/>
      </c>
      <c r="GA23" s="59">
        <f>$CP23-$CP24</f>
        <v/>
      </c>
      <c r="GB23" s="59">
        <f>$CQ23-$CQ24</f>
        <v/>
      </c>
      <c r="GC23" s="59">
        <f>$CR23-$CR24</f>
        <v/>
      </c>
      <c r="GD23" s="59">
        <f>$CS23-$CS24</f>
        <v/>
      </c>
      <c r="GE23" s="59">
        <f>$CT23-$CT24</f>
        <v/>
      </c>
    </row>
    <row r="24">
      <c r="CU24" s="58">
        <f>IFERROR($B24/$B25-1,"")</f>
        <v/>
      </c>
      <c r="CV24" s="59">
        <f>($F24-$F25)*100</f>
        <v/>
      </c>
      <c r="CW24" s="59">
        <f>($E24-$E25)*100</f>
        <v/>
      </c>
      <c r="CX24" s="58">
        <f>IFERROR($K24/$K25-1,"")</f>
        <v/>
      </c>
      <c r="CY24" s="59">
        <f>($AH24-$AH25)*100</f>
        <v/>
      </c>
      <c r="CZ24" s="59">
        <f>($AI24-$AI25)*100</f>
        <v/>
      </c>
      <c r="DA24" s="59">
        <f>($AJ24-$AJ25)*100</f>
        <v/>
      </c>
      <c r="DB24" s="59">
        <f>($AK24-$AK25)*100</f>
        <v/>
      </c>
      <c r="DC24" s="59">
        <f>($AL24-$AL25)*100</f>
        <v/>
      </c>
      <c r="DD24" s="59">
        <f>($AM24-$AM25)*100</f>
        <v/>
      </c>
      <c r="DE24" s="59">
        <f>($AN24-$AN25)*100</f>
        <v/>
      </c>
      <c r="DF24" s="59">
        <f>($AO24-$AO25)*100</f>
        <v/>
      </c>
      <c r="DG24" s="59">
        <f>($AP24-$AP25)*100</f>
        <v/>
      </c>
      <c r="DH24" s="59">
        <f>($AQ24-$AQ25)*100</f>
        <v/>
      </c>
      <c r="DI24" s="59">
        <f>($AR24-$AR25)*100</f>
        <v/>
      </c>
      <c r="DJ24" s="59">
        <f>($AS24-$AS25)*100</f>
        <v/>
      </c>
      <c r="DK24" s="59">
        <f>($AT24-$AT25)*100</f>
        <v/>
      </c>
      <c r="DL24" s="59">
        <f>($AU24-$AU25)*100</f>
        <v/>
      </c>
      <c r="DM24" s="59">
        <f>($AV24-$AV25)*100</f>
        <v/>
      </c>
      <c r="DN24" s="59">
        <f>($AW24-$AW25)*100</f>
        <v/>
      </c>
      <c r="DO24" s="59">
        <f>($AX24-$AX25)*100</f>
        <v/>
      </c>
      <c r="DP24" s="59">
        <f>($AY24-$AY25)*100</f>
        <v/>
      </c>
      <c r="DQ24" s="59">
        <f>($AZ24-$AZ25)*100</f>
        <v/>
      </c>
      <c r="DR24" s="59">
        <f>($BA24-$BA25)*100</f>
        <v/>
      </c>
      <c r="DS24" s="58">
        <f>IFERROR($N25/$N24-1,"")</f>
        <v/>
      </c>
      <c r="DT24" s="58">
        <f>IFERROR($O25/$O24-1,"")</f>
        <v/>
      </c>
      <c r="DU24" s="58">
        <f>IFERROR($P25/$P24-1,"")</f>
        <v/>
      </c>
      <c r="DV24" s="58">
        <f>IFERROR($Q25/$Q24-1,"")</f>
        <v/>
      </c>
      <c r="DW24" s="58">
        <f>IFERROR($R25/$R24-1,"")</f>
        <v/>
      </c>
      <c r="DX24" s="58">
        <f>IFERROR($S25/$S24-1,"")</f>
        <v/>
      </c>
      <c r="DY24" s="58">
        <f>IFERROR($T25/$T24-1,"")</f>
        <v/>
      </c>
      <c r="DZ24" s="58">
        <f>IFERROR($U25/$U24-1,"")</f>
        <v/>
      </c>
      <c r="EA24" s="58">
        <f>IFERROR($V25/$V24-1,"")</f>
        <v/>
      </c>
      <c r="EB24" s="58">
        <f>IFERROR($W25/$W24-1,"")</f>
        <v/>
      </c>
      <c r="EC24" s="58">
        <f>IFERROR($X25/$X24-1,"")</f>
        <v/>
      </c>
      <c r="ED24" s="58">
        <f>IFERROR($Y25/$Y24-1,"")</f>
        <v/>
      </c>
      <c r="EE24" s="58">
        <f>IFERROR($Z25/$Z24-1,"")</f>
        <v/>
      </c>
      <c r="EF24" s="58">
        <f>IFERROR($AA25/$AA24-1,"")</f>
        <v/>
      </c>
      <c r="EG24" s="58">
        <f>IFERROR($AB25/$AB24-1,"")</f>
        <v/>
      </c>
      <c r="EH24" s="58">
        <f>IFERROR($AC25/$AC24-1,"")</f>
        <v/>
      </c>
      <c r="EI24" s="58">
        <f>IFERROR($AD25/$AD24-1,"")</f>
        <v/>
      </c>
      <c r="EJ24" s="58">
        <f>IFERROR($AE25/$AE24-1,"")</f>
        <v/>
      </c>
      <c r="EK24" s="58">
        <f>IFERROR($AF25/$AF24-1,"")</f>
        <v/>
      </c>
      <c r="EL24" s="58">
        <f>IFERROR($AG25/$AG24-1,"")</f>
        <v/>
      </c>
      <c r="EM24" s="58">
        <f>IFERROR($BB24/$BB25-1,"")</f>
        <v/>
      </c>
      <c r="EN24" s="58">
        <f>IFERROR($BC24/$BC25-1,"")</f>
        <v/>
      </c>
      <c r="EO24" s="58">
        <f>IFERROR($BD24/$BD25-1,"")</f>
        <v/>
      </c>
      <c r="EP24" s="58">
        <f>IFERROR($BE24/$BE25-1,"")</f>
        <v/>
      </c>
      <c r="EQ24" s="58">
        <f>IFERROR($BF24/$BF25-1,"")</f>
        <v/>
      </c>
      <c r="ER24" s="58">
        <f>IFERROR($BG24/$BG25-1,"")</f>
        <v/>
      </c>
      <c r="ES24" s="58">
        <f>IFERROR($BH24/$BH25-1,"")</f>
        <v/>
      </c>
      <c r="ET24" s="58">
        <f>IFERROR($BI24/$BI25-1,"")</f>
        <v/>
      </c>
      <c r="EU24" s="58">
        <f>IFERROR($BJ24/$BJ25-1,"")</f>
        <v/>
      </c>
      <c r="EV24" s="58">
        <f>IFERROR($BK24/$BK25-1,"")</f>
        <v/>
      </c>
      <c r="EW24" s="58">
        <f>IFERROR($BL24/$BL25-1,"")</f>
        <v/>
      </c>
      <c r="EX24" s="58">
        <f>IFERROR($BM24/$BM25-1,"")</f>
        <v/>
      </c>
      <c r="EY24" s="58">
        <f>IFERROR($BN24/$BN25-1,"")</f>
        <v/>
      </c>
      <c r="EZ24" s="58">
        <f>IFERROR($BO24/$BO25-1,"")</f>
        <v/>
      </c>
      <c r="FA24" s="58">
        <f>IFERROR($BP24/$BP25-1,"")</f>
        <v/>
      </c>
      <c r="FB24" s="58">
        <f>IFERROR($BQ24/$BQ25-1,"")</f>
        <v/>
      </c>
      <c r="FC24" s="58">
        <f>IFERROR($BR24/$BR25-1,"")</f>
        <v/>
      </c>
      <c r="FD24" s="58">
        <f>IFERROR($BS24/$BS25-1,"")</f>
        <v/>
      </c>
      <c r="FE24" s="58">
        <f>IFERROR($BT24/$BT25-1,"")</f>
        <v/>
      </c>
      <c r="FF24" s="58">
        <f>IFERROR($BU24/$BU25-1,"")</f>
        <v/>
      </c>
      <c r="FG24" s="58">
        <f>IFERROR($BV24/$BV25-1,"")</f>
        <v/>
      </c>
      <c r="FH24" s="58">
        <f>IFERROR($BW24/$BW25-1,"")</f>
        <v/>
      </c>
      <c r="FI24" s="58">
        <f>IFERROR($BX24/$BX25-1,"")</f>
        <v/>
      </c>
      <c r="FJ24" s="59">
        <f>$BY24-$BY25</f>
        <v/>
      </c>
      <c r="FK24" s="59">
        <f>$BZ24-$BZ25</f>
        <v/>
      </c>
      <c r="FL24" s="59">
        <f>$CA24-$CA25</f>
        <v/>
      </c>
      <c r="FM24" s="59">
        <f>$CB24-$CB25</f>
        <v/>
      </c>
      <c r="FN24" s="59">
        <f>$CC24-$CC25</f>
        <v/>
      </c>
      <c r="FO24" s="59">
        <f>$CD24-$CD25</f>
        <v/>
      </c>
      <c r="FP24" s="59">
        <f>$CE24-$CE25</f>
        <v/>
      </c>
      <c r="FQ24" s="59">
        <f>$CF24-$CF25</f>
        <v/>
      </c>
      <c r="FR24" s="59">
        <f>$CG24-$CG25</f>
        <v/>
      </c>
      <c r="FS24" s="59">
        <f>$CH24-$CH25</f>
        <v/>
      </c>
      <c r="FT24" s="59">
        <f>$CI24-$CI25</f>
        <v/>
      </c>
      <c r="FU24" s="59">
        <f>$CJ24-$CJ25</f>
        <v/>
      </c>
      <c r="FV24" s="59">
        <f>$CK24-$CK25</f>
        <v/>
      </c>
      <c r="FW24" s="59">
        <f>$CL24-$CL25</f>
        <v/>
      </c>
      <c r="FX24" s="59">
        <f>$CM24-$CM25</f>
        <v/>
      </c>
      <c r="FY24" s="59">
        <f>$CN24-$CN25</f>
        <v/>
      </c>
      <c r="FZ24" s="59">
        <f>$CO24-$CO25</f>
        <v/>
      </c>
      <c r="GA24" s="59">
        <f>$CP24-$CP25</f>
        <v/>
      </c>
      <c r="GB24" s="59">
        <f>$CQ24-$CQ25</f>
        <v/>
      </c>
      <c r="GC24" s="59">
        <f>$CR24-$CR25</f>
        <v/>
      </c>
      <c r="GD24" s="59">
        <f>$CS24-$CS25</f>
        <v/>
      </c>
      <c r="GE24" s="59">
        <f>$CT24-$CT25</f>
        <v/>
      </c>
    </row>
    <row r="25">
      <c r="CU25" s="58">
        <f>IFERROR($B25/$B26-1,"")</f>
        <v/>
      </c>
      <c r="CV25" s="59">
        <f>($F25-$F26)*100</f>
        <v/>
      </c>
      <c r="CW25" s="59">
        <f>($E25-$E26)*100</f>
        <v/>
      </c>
      <c r="CX25" s="58">
        <f>IFERROR($K25/$K26-1,"")</f>
        <v/>
      </c>
      <c r="CY25" s="59">
        <f>($AH25-$AH26)*100</f>
        <v/>
      </c>
      <c r="CZ25" s="59">
        <f>($AI25-$AI26)*100</f>
        <v/>
      </c>
      <c r="DA25" s="59">
        <f>($AJ25-$AJ26)*100</f>
        <v/>
      </c>
      <c r="DB25" s="59">
        <f>($AK25-$AK26)*100</f>
        <v/>
      </c>
      <c r="DC25" s="59">
        <f>($AL25-$AL26)*100</f>
        <v/>
      </c>
      <c r="DD25" s="59">
        <f>($AM25-$AM26)*100</f>
        <v/>
      </c>
      <c r="DE25" s="59">
        <f>($AN25-$AN26)*100</f>
        <v/>
      </c>
      <c r="DF25" s="59">
        <f>($AO25-$AO26)*100</f>
        <v/>
      </c>
      <c r="DG25" s="59">
        <f>($AP25-$AP26)*100</f>
        <v/>
      </c>
      <c r="DH25" s="59">
        <f>($AQ25-$AQ26)*100</f>
        <v/>
      </c>
      <c r="DI25" s="59">
        <f>($AR25-$AR26)*100</f>
        <v/>
      </c>
      <c r="DJ25" s="59">
        <f>($AS25-$AS26)*100</f>
        <v/>
      </c>
      <c r="DK25" s="59">
        <f>($AT25-$AT26)*100</f>
        <v/>
      </c>
      <c r="DL25" s="59">
        <f>($AU25-$AU26)*100</f>
        <v/>
      </c>
      <c r="DM25" s="59">
        <f>($AV25-$AV26)*100</f>
        <v/>
      </c>
      <c r="DN25" s="59">
        <f>($AW25-$AW26)*100</f>
        <v/>
      </c>
      <c r="DO25" s="59">
        <f>($AX25-$AX26)*100</f>
        <v/>
      </c>
      <c r="DP25" s="59">
        <f>($AY25-$AY26)*100</f>
        <v/>
      </c>
      <c r="DQ25" s="59">
        <f>($AZ25-$AZ26)*100</f>
        <v/>
      </c>
      <c r="DR25" s="59">
        <f>($BA25-$BA26)*100</f>
        <v/>
      </c>
      <c r="DS25" s="58">
        <f>IFERROR($N26/$N25-1,"")</f>
        <v/>
      </c>
      <c r="DT25" s="58">
        <f>IFERROR($O26/$O25-1,"")</f>
        <v/>
      </c>
      <c r="DU25" s="58">
        <f>IFERROR($P26/$P25-1,"")</f>
        <v/>
      </c>
      <c r="DV25" s="58">
        <f>IFERROR($Q26/$Q25-1,"")</f>
        <v/>
      </c>
      <c r="DW25" s="58">
        <f>IFERROR($R26/$R25-1,"")</f>
        <v/>
      </c>
      <c r="DX25" s="58">
        <f>IFERROR($S26/$S25-1,"")</f>
        <v/>
      </c>
      <c r="DY25" s="58">
        <f>IFERROR($T26/$T25-1,"")</f>
        <v/>
      </c>
      <c r="DZ25" s="58">
        <f>IFERROR($U26/$U25-1,"")</f>
        <v/>
      </c>
      <c r="EA25" s="58">
        <f>IFERROR($V26/$V25-1,"")</f>
        <v/>
      </c>
      <c r="EB25" s="58">
        <f>IFERROR($W26/$W25-1,"")</f>
        <v/>
      </c>
      <c r="EC25" s="58">
        <f>IFERROR($X26/$X25-1,"")</f>
        <v/>
      </c>
      <c r="ED25" s="58">
        <f>IFERROR($Y26/$Y25-1,"")</f>
        <v/>
      </c>
      <c r="EE25" s="58">
        <f>IFERROR($Z26/$Z25-1,"")</f>
        <v/>
      </c>
      <c r="EF25" s="58">
        <f>IFERROR($AA26/$AA25-1,"")</f>
        <v/>
      </c>
      <c r="EG25" s="58">
        <f>IFERROR($AB26/$AB25-1,"")</f>
        <v/>
      </c>
      <c r="EH25" s="58">
        <f>IFERROR($AC26/$AC25-1,"")</f>
        <v/>
      </c>
      <c r="EI25" s="58">
        <f>IFERROR($AD26/$AD25-1,"")</f>
        <v/>
      </c>
      <c r="EJ25" s="58">
        <f>IFERROR($AE26/$AE25-1,"")</f>
        <v/>
      </c>
      <c r="EK25" s="58">
        <f>IFERROR($AF26/$AF25-1,"")</f>
        <v/>
      </c>
      <c r="EL25" s="58">
        <f>IFERROR($AG26/$AG25-1,"")</f>
        <v/>
      </c>
      <c r="EM25" s="58">
        <f>IFERROR($BB25/$BB26-1,"")</f>
        <v/>
      </c>
      <c r="EN25" s="58">
        <f>IFERROR($BC25/$BC26-1,"")</f>
        <v/>
      </c>
      <c r="EO25" s="58">
        <f>IFERROR($BD25/$BD26-1,"")</f>
        <v/>
      </c>
      <c r="EP25" s="58">
        <f>IFERROR($BE25/$BE26-1,"")</f>
        <v/>
      </c>
      <c r="EQ25" s="58">
        <f>IFERROR($BF25/$BF26-1,"")</f>
        <v/>
      </c>
      <c r="ER25" s="58">
        <f>IFERROR($BG25/$BG26-1,"")</f>
        <v/>
      </c>
      <c r="ES25" s="58">
        <f>IFERROR($BH25/$BH26-1,"")</f>
        <v/>
      </c>
      <c r="ET25" s="58">
        <f>IFERROR($BI25/$BI26-1,"")</f>
        <v/>
      </c>
      <c r="EU25" s="58">
        <f>IFERROR($BJ25/$BJ26-1,"")</f>
        <v/>
      </c>
      <c r="EV25" s="58">
        <f>IFERROR($BK25/$BK26-1,"")</f>
        <v/>
      </c>
      <c r="EW25" s="58">
        <f>IFERROR($BL25/$BL26-1,"")</f>
        <v/>
      </c>
      <c r="EX25" s="58">
        <f>IFERROR($BM25/$BM26-1,"")</f>
        <v/>
      </c>
      <c r="EY25" s="58">
        <f>IFERROR($BN25/$BN26-1,"")</f>
        <v/>
      </c>
      <c r="EZ25" s="58">
        <f>IFERROR($BO25/$BO26-1,"")</f>
        <v/>
      </c>
      <c r="FA25" s="58">
        <f>IFERROR($BP25/$BP26-1,"")</f>
        <v/>
      </c>
      <c r="FB25" s="58">
        <f>IFERROR($BQ25/$BQ26-1,"")</f>
        <v/>
      </c>
      <c r="FC25" s="58">
        <f>IFERROR($BR25/$BR26-1,"")</f>
        <v/>
      </c>
      <c r="FD25" s="58">
        <f>IFERROR($BS25/$BS26-1,"")</f>
        <v/>
      </c>
      <c r="FE25" s="58">
        <f>IFERROR($BT25/$BT26-1,"")</f>
        <v/>
      </c>
      <c r="FF25" s="58">
        <f>IFERROR($BU25/$BU26-1,"")</f>
        <v/>
      </c>
      <c r="FG25" s="58">
        <f>IFERROR($BV25/$BV26-1,"")</f>
        <v/>
      </c>
      <c r="FH25" s="58">
        <f>IFERROR($BW25/$BW26-1,"")</f>
        <v/>
      </c>
      <c r="FI25" s="58">
        <f>IFERROR($BX25/$BX26-1,"")</f>
        <v/>
      </c>
      <c r="FJ25" s="59">
        <f>$BY25-$BY26</f>
        <v/>
      </c>
      <c r="FK25" s="59">
        <f>$BZ25-$BZ26</f>
        <v/>
      </c>
      <c r="FL25" s="59">
        <f>$CA25-$CA26</f>
        <v/>
      </c>
      <c r="FM25" s="59">
        <f>$CB25-$CB26</f>
        <v/>
      </c>
      <c r="FN25" s="59">
        <f>$CC25-$CC26</f>
        <v/>
      </c>
      <c r="FO25" s="59">
        <f>$CD25-$CD26</f>
        <v/>
      </c>
      <c r="FP25" s="59">
        <f>$CE25-$CE26</f>
        <v/>
      </c>
      <c r="FQ25" s="59">
        <f>$CF25-$CF26</f>
        <v/>
      </c>
      <c r="FR25" s="59">
        <f>$CG25-$CG26</f>
        <v/>
      </c>
      <c r="FS25" s="59">
        <f>$CH25-$CH26</f>
        <v/>
      </c>
      <c r="FT25" s="59">
        <f>$CI25-$CI26</f>
        <v/>
      </c>
      <c r="FU25" s="59">
        <f>$CJ25-$CJ26</f>
        <v/>
      </c>
      <c r="FV25" s="59">
        <f>$CK25-$CK26</f>
        <v/>
      </c>
      <c r="FW25" s="59">
        <f>$CL25-$CL26</f>
        <v/>
      </c>
      <c r="FX25" s="59">
        <f>$CM25-$CM26</f>
        <v/>
      </c>
      <c r="FY25" s="59">
        <f>$CN25-$CN26</f>
        <v/>
      </c>
      <c r="FZ25" s="59">
        <f>$CO25-$CO26</f>
        <v/>
      </c>
      <c r="GA25" s="59">
        <f>$CP25-$CP26</f>
        <v/>
      </c>
      <c r="GB25" s="59">
        <f>$CQ25-$CQ26</f>
        <v/>
      </c>
      <c r="GC25" s="59">
        <f>$CR25-$CR26</f>
        <v/>
      </c>
      <c r="GD25" s="59">
        <f>$CS25-$CS26</f>
        <v/>
      </c>
      <c r="GE25" s="59">
        <f>$CT25-$CT26</f>
        <v/>
      </c>
    </row>
    <row r="26">
      <c r="CU26" s="58">
        <f>IFERROR($B26/$B27-1,"")</f>
        <v/>
      </c>
      <c r="CV26" s="59">
        <f>($F26-$F27)*100</f>
        <v/>
      </c>
      <c r="CW26" s="59">
        <f>($E26-$E27)*100</f>
        <v/>
      </c>
      <c r="CX26" s="58">
        <f>IFERROR($K26/$K27-1,"")</f>
        <v/>
      </c>
      <c r="CY26" s="59">
        <f>($AH26-$AH27)*100</f>
        <v/>
      </c>
      <c r="CZ26" s="59">
        <f>($AI26-$AI27)*100</f>
        <v/>
      </c>
      <c r="DA26" s="59">
        <f>($AJ26-$AJ27)*100</f>
        <v/>
      </c>
      <c r="DB26" s="59">
        <f>($AK26-$AK27)*100</f>
        <v/>
      </c>
      <c r="DC26" s="59">
        <f>($AL26-$AL27)*100</f>
        <v/>
      </c>
      <c r="DD26" s="59">
        <f>($AM26-$AM27)*100</f>
        <v/>
      </c>
      <c r="DE26" s="59">
        <f>($AN26-$AN27)*100</f>
        <v/>
      </c>
      <c r="DF26" s="59">
        <f>($AO26-$AO27)*100</f>
        <v/>
      </c>
      <c r="DG26" s="59">
        <f>($AP26-$AP27)*100</f>
        <v/>
      </c>
      <c r="DH26" s="59">
        <f>($AQ26-$AQ27)*100</f>
        <v/>
      </c>
      <c r="DI26" s="59">
        <f>($AR26-$AR27)*100</f>
        <v/>
      </c>
      <c r="DJ26" s="59">
        <f>($AS26-$AS27)*100</f>
        <v/>
      </c>
      <c r="DK26" s="59">
        <f>($AT26-$AT27)*100</f>
        <v/>
      </c>
      <c r="DL26" s="59">
        <f>($AU26-$AU27)*100</f>
        <v/>
      </c>
      <c r="DM26" s="59">
        <f>($AV26-$AV27)*100</f>
        <v/>
      </c>
      <c r="DN26" s="59">
        <f>($AW26-$AW27)*100</f>
        <v/>
      </c>
      <c r="DO26" s="59">
        <f>($AX26-$AX27)*100</f>
        <v/>
      </c>
      <c r="DP26" s="59">
        <f>($AY26-$AY27)*100</f>
        <v/>
      </c>
      <c r="DQ26" s="59">
        <f>($AZ26-$AZ27)*100</f>
        <v/>
      </c>
      <c r="DR26" s="59">
        <f>($BA26-$BA27)*100</f>
        <v/>
      </c>
      <c r="DS26" s="58">
        <f>IFERROR($N27/$N26-1,"")</f>
        <v/>
      </c>
      <c r="DT26" s="58">
        <f>IFERROR($O27/$O26-1,"")</f>
        <v/>
      </c>
      <c r="DU26" s="58">
        <f>IFERROR($P27/$P26-1,"")</f>
        <v/>
      </c>
      <c r="DV26" s="58">
        <f>IFERROR($Q27/$Q26-1,"")</f>
        <v/>
      </c>
      <c r="DW26" s="58">
        <f>IFERROR($R27/$R26-1,"")</f>
        <v/>
      </c>
      <c r="DX26" s="58">
        <f>IFERROR($S27/$S26-1,"")</f>
        <v/>
      </c>
      <c r="DY26" s="58">
        <f>IFERROR($T27/$T26-1,"")</f>
        <v/>
      </c>
      <c r="DZ26" s="58">
        <f>IFERROR($U27/$U26-1,"")</f>
        <v/>
      </c>
      <c r="EA26" s="58">
        <f>IFERROR($V27/$V26-1,"")</f>
        <v/>
      </c>
      <c r="EB26" s="58">
        <f>IFERROR($W27/$W26-1,"")</f>
        <v/>
      </c>
      <c r="EC26" s="58">
        <f>IFERROR($X27/$X26-1,"")</f>
        <v/>
      </c>
      <c r="ED26" s="58">
        <f>IFERROR($Y27/$Y26-1,"")</f>
        <v/>
      </c>
      <c r="EE26" s="58">
        <f>IFERROR($Z27/$Z26-1,"")</f>
        <v/>
      </c>
      <c r="EF26" s="58">
        <f>IFERROR($AA27/$AA26-1,"")</f>
        <v/>
      </c>
      <c r="EG26" s="58">
        <f>IFERROR($AB27/$AB26-1,"")</f>
        <v/>
      </c>
      <c r="EH26" s="58">
        <f>IFERROR($AC27/$AC26-1,"")</f>
        <v/>
      </c>
      <c r="EI26" s="58">
        <f>IFERROR($AD27/$AD26-1,"")</f>
        <v/>
      </c>
      <c r="EJ26" s="58">
        <f>IFERROR($AE27/$AE26-1,"")</f>
        <v/>
      </c>
      <c r="EK26" s="58">
        <f>IFERROR($AF27/$AF26-1,"")</f>
        <v/>
      </c>
      <c r="EL26" s="58">
        <f>IFERROR($AG27/$AG26-1,"")</f>
        <v/>
      </c>
      <c r="EM26" s="58">
        <f>IFERROR($BB26/$BB27-1,"")</f>
        <v/>
      </c>
      <c r="EN26" s="58">
        <f>IFERROR($BC26/$BC27-1,"")</f>
        <v/>
      </c>
      <c r="EO26" s="58">
        <f>IFERROR($BD26/$BD27-1,"")</f>
        <v/>
      </c>
      <c r="EP26" s="58">
        <f>IFERROR($BE26/$BE27-1,"")</f>
        <v/>
      </c>
      <c r="EQ26" s="58">
        <f>IFERROR($BF26/$BF27-1,"")</f>
        <v/>
      </c>
      <c r="ER26" s="58">
        <f>IFERROR($BG26/$BG27-1,"")</f>
        <v/>
      </c>
      <c r="ES26" s="58">
        <f>IFERROR($BH26/$BH27-1,"")</f>
        <v/>
      </c>
      <c r="ET26" s="58">
        <f>IFERROR($BI26/$BI27-1,"")</f>
        <v/>
      </c>
      <c r="EU26" s="58">
        <f>IFERROR($BJ26/$BJ27-1,"")</f>
        <v/>
      </c>
      <c r="EV26" s="58">
        <f>IFERROR($BK26/$BK27-1,"")</f>
        <v/>
      </c>
      <c r="EW26" s="58">
        <f>IFERROR($BL26/$BL27-1,"")</f>
        <v/>
      </c>
      <c r="EX26" s="58">
        <f>IFERROR($BM26/$BM27-1,"")</f>
        <v/>
      </c>
      <c r="EY26" s="58">
        <f>IFERROR($BN26/$BN27-1,"")</f>
        <v/>
      </c>
      <c r="EZ26" s="58">
        <f>IFERROR($BO26/$BO27-1,"")</f>
        <v/>
      </c>
      <c r="FA26" s="58">
        <f>IFERROR($BP26/$BP27-1,"")</f>
        <v/>
      </c>
      <c r="FB26" s="58">
        <f>IFERROR($BQ26/$BQ27-1,"")</f>
        <v/>
      </c>
      <c r="FC26" s="58">
        <f>IFERROR($BR26/$BR27-1,"")</f>
        <v/>
      </c>
      <c r="FD26" s="58">
        <f>IFERROR($BS26/$BS27-1,"")</f>
        <v/>
      </c>
      <c r="FE26" s="58">
        <f>IFERROR($BT26/$BT27-1,"")</f>
        <v/>
      </c>
      <c r="FF26" s="58">
        <f>IFERROR($BU26/$BU27-1,"")</f>
        <v/>
      </c>
      <c r="FG26" s="58">
        <f>IFERROR($BV26/$BV27-1,"")</f>
        <v/>
      </c>
      <c r="FH26" s="58">
        <f>IFERROR($BW26/$BW27-1,"")</f>
        <v/>
      </c>
      <c r="FI26" s="58">
        <f>IFERROR($BX26/$BX27-1,"")</f>
        <v/>
      </c>
      <c r="FJ26" s="59">
        <f>$BY26-$BY27</f>
        <v/>
      </c>
      <c r="FK26" s="59">
        <f>$BZ26-$BZ27</f>
        <v/>
      </c>
      <c r="FL26" s="59">
        <f>$CA26-$CA27</f>
        <v/>
      </c>
      <c r="FM26" s="59">
        <f>$CB26-$CB27</f>
        <v/>
      </c>
      <c r="FN26" s="59">
        <f>$CC26-$CC27</f>
        <v/>
      </c>
      <c r="FO26" s="59">
        <f>$CD26-$CD27</f>
        <v/>
      </c>
      <c r="FP26" s="59">
        <f>$CE26-$CE27</f>
        <v/>
      </c>
      <c r="FQ26" s="59">
        <f>$CF26-$CF27</f>
        <v/>
      </c>
      <c r="FR26" s="59">
        <f>$CG26-$CG27</f>
        <v/>
      </c>
      <c r="FS26" s="59">
        <f>$CH26-$CH27</f>
        <v/>
      </c>
      <c r="FT26" s="59">
        <f>$CI26-$CI27</f>
        <v/>
      </c>
      <c r="FU26" s="59">
        <f>$CJ26-$CJ27</f>
        <v/>
      </c>
      <c r="FV26" s="59">
        <f>$CK26-$CK27</f>
        <v/>
      </c>
      <c r="FW26" s="59">
        <f>$CL26-$CL27</f>
        <v/>
      </c>
      <c r="FX26" s="59">
        <f>$CM26-$CM27</f>
        <v/>
      </c>
      <c r="FY26" s="59">
        <f>$CN26-$CN27</f>
        <v/>
      </c>
      <c r="FZ26" s="59">
        <f>$CO26-$CO27</f>
        <v/>
      </c>
      <c r="GA26" s="59">
        <f>$CP26-$CP27</f>
        <v/>
      </c>
      <c r="GB26" s="59">
        <f>$CQ26-$CQ27</f>
        <v/>
      </c>
      <c r="GC26" s="59">
        <f>$CR26-$CR27</f>
        <v/>
      </c>
      <c r="GD26" s="59">
        <f>$CS26-$CS27</f>
        <v/>
      </c>
      <c r="GE26" s="59">
        <f>$CT26-$CT27</f>
        <v/>
      </c>
    </row>
    <row r="27">
      <c r="CU27" s="58">
        <f>IFERROR($B27/$B28-1,"")</f>
        <v/>
      </c>
      <c r="CV27" s="59">
        <f>($F27-$F28)*100</f>
        <v/>
      </c>
      <c r="CW27" s="59">
        <f>($E27-$E28)*100</f>
        <v/>
      </c>
      <c r="CX27" s="58">
        <f>IFERROR($K27/$K28-1,"")</f>
        <v/>
      </c>
      <c r="CY27" s="59">
        <f>($AH27-$AH28)*100</f>
        <v/>
      </c>
      <c r="CZ27" s="59">
        <f>($AI27-$AI28)*100</f>
        <v/>
      </c>
      <c r="DA27" s="59">
        <f>($AJ27-$AJ28)*100</f>
        <v/>
      </c>
      <c r="DB27" s="59">
        <f>($AK27-$AK28)*100</f>
        <v/>
      </c>
      <c r="DC27" s="59">
        <f>($AL27-$AL28)*100</f>
        <v/>
      </c>
      <c r="DD27" s="59">
        <f>($AM27-$AM28)*100</f>
        <v/>
      </c>
      <c r="DE27" s="59">
        <f>($AN27-$AN28)*100</f>
        <v/>
      </c>
      <c r="DF27" s="59">
        <f>($AO27-$AO28)*100</f>
        <v/>
      </c>
      <c r="DG27" s="59">
        <f>($AP27-$AP28)*100</f>
        <v/>
      </c>
      <c r="DH27" s="59">
        <f>($AQ27-$AQ28)*100</f>
        <v/>
      </c>
      <c r="DI27" s="59">
        <f>($AR27-$AR28)*100</f>
        <v/>
      </c>
      <c r="DJ27" s="59">
        <f>($AS27-$AS28)*100</f>
        <v/>
      </c>
      <c r="DK27" s="59">
        <f>($AT27-$AT28)*100</f>
        <v/>
      </c>
      <c r="DL27" s="59">
        <f>($AU27-$AU28)*100</f>
        <v/>
      </c>
      <c r="DM27" s="59">
        <f>($AV27-$AV28)*100</f>
        <v/>
      </c>
      <c r="DN27" s="59">
        <f>($AW27-$AW28)*100</f>
        <v/>
      </c>
      <c r="DO27" s="59">
        <f>($AX27-$AX28)*100</f>
        <v/>
      </c>
      <c r="DP27" s="59">
        <f>($AY27-$AY28)*100</f>
        <v/>
      </c>
      <c r="DQ27" s="59">
        <f>($AZ27-$AZ28)*100</f>
        <v/>
      </c>
      <c r="DR27" s="59">
        <f>($BA27-$BA28)*100</f>
        <v/>
      </c>
      <c r="DS27" s="58">
        <f>IFERROR($N28/$N27-1,"")</f>
        <v/>
      </c>
      <c r="DT27" s="58">
        <f>IFERROR($O28/$O27-1,"")</f>
        <v/>
      </c>
      <c r="DU27" s="58">
        <f>IFERROR($P28/$P27-1,"")</f>
        <v/>
      </c>
      <c r="DV27" s="58">
        <f>IFERROR($Q28/$Q27-1,"")</f>
        <v/>
      </c>
      <c r="DW27" s="58">
        <f>IFERROR($R28/$R27-1,"")</f>
        <v/>
      </c>
      <c r="DX27" s="58">
        <f>IFERROR($S28/$S27-1,"")</f>
        <v/>
      </c>
      <c r="DY27" s="58">
        <f>IFERROR($T28/$T27-1,"")</f>
        <v/>
      </c>
      <c r="DZ27" s="58">
        <f>IFERROR($U28/$U27-1,"")</f>
        <v/>
      </c>
      <c r="EA27" s="58">
        <f>IFERROR($V28/$V27-1,"")</f>
        <v/>
      </c>
      <c r="EB27" s="58">
        <f>IFERROR($W28/$W27-1,"")</f>
        <v/>
      </c>
      <c r="EC27" s="58">
        <f>IFERROR($X28/$X27-1,"")</f>
        <v/>
      </c>
      <c r="ED27" s="58">
        <f>IFERROR($Y28/$Y27-1,"")</f>
        <v/>
      </c>
      <c r="EE27" s="58">
        <f>IFERROR($Z28/$Z27-1,"")</f>
        <v/>
      </c>
      <c r="EF27" s="58">
        <f>IFERROR($AA28/$AA27-1,"")</f>
        <v/>
      </c>
      <c r="EG27" s="58">
        <f>IFERROR($AB28/$AB27-1,"")</f>
        <v/>
      </c>
      <c r="EH27" s="58">
        <f>IFERROR($AC28/$AC27-1,"")</f>
        <v/>
      </c>
      <c r="EI27" s="58">
        <f>IFERROR($AD28/$AD27-1,"")</f>
        <v/>
      </c>
      <c r="EJ27" s="58">
        <f>IFERROR($AE28/$AE27-1,"")</f>
        <v/>
      </c>
      <c r="EK27" s="58">
        <f>IFERROR($AF28/$AF27-1,"")</f>
        <v/>
      </c>
      <c r="EL27" s="58">
        <f>IFERROR($AG28/$AG27-1,"")</f>
        <v/>
      </c>
      <c r="EM27" s="58">
        <f>IFERROR($BB27/$BB28-1,"")</f>
        <v/>
      </c>
      <c r="EN27" s="58">
        <f>IFERROR($BC27/$BC28-1,"")</f>
        <v/>
      </c>
      <c r="EO27" s="58">
        <f>IFERROR($BD27/$BD28-1,"")</f>
        <v/>
      </c>
      <c r="EP27" s="58">
        <f>IFERROR($BE27/$BE28-1,"")</f>
        <v/>
      </c>
      <c r="EQ27" s="58">
        <f>IFERROR($BF27/$BF28-1,"")</f>
        <v/>
      </c>
      <c r="ER27" s="58">
        <f>IFERROR($BG27/$BG28-1,"")</f>
        <v/>
      </c>
      <c r="ES27" s="58">
        <f>IFERROR($BH27/$BH28-1,"")</f>
        <v/>
      </c>
      <c r="ET27" s="58">
        <f>IFERROR($BI27/$BI28-1,"")</f>
        <v/>
      </c>
      <c r="EU27" s="58">
        <f>IFERROR($BJ27/$BJ28-1,"")</f>
        <v/>
      </c>
      <c r="EV27" s="58">
        <f>IFERROR($BK27/$BK28-1,"")</f>
        <v/>
      </c>
      <c r="EW27" s="58">
        <f>IFERROR($BL27/$BL28-1,"")</f>
        <v/>
      </c>
      <c r="EX27" s="58">
        <f>IFERROR($BM27/$BM28-1,"")</f>
        <v/>
      </c>
      <c r="EY27" s="58">
        <f>IFERROR($BN27/$BN28-1,"")</f>
        <v/>
      </c>
      <c r="EZ27" s="58">
        <f>IFERROR($BO27/$BO28-1,"")</f>
        <v/>
      </c>
      <c r="FA27" s="58">
        <f>IFERROR($BP27/$BP28-1,"")</f>
        <v/>
      </c>
      <c r="FB27" s="58">
        <f>IFERROR($BQ27/$BQ28-1,"")</f>
        <v/>
      </c>
      <c r="FC27" s="58">
        <f>IFERROR($BR27/$BR28-1,"")</f>
        <v/>
      </c>
      <c r="FD27" s="58">
        <f>IFERROR($BS27/$BS28-1,"")</f>
        <v/>
      </c>
      <c r="FE27" s="58">
        <f>IFERROR($BT27/$BT28-1,"")</f>
        <v/>
      </c>
      <c r="FF27" s="58">
        <f>IFERROR($BU27/$BU28-1,"")</f>
        <v/>
      </c>
      <c r="FG27" s="58">
        <f>IFERROR($BV27/$BV28-1,"")</f>
        <v/>
      </c>
      <c r="FH27" s="58">
        <f>IFERROR($BW27/$BW28-1,"")</f>
        <v/>
      </c>
      <c r="FI27" s="58">
        <f>IFERROR($BX27/$BX28-1,"")</f>
        <v/>
      </c>
      <c r="FJ27" s="59">
        <f>$BY27-$BY28</f>
        <v/>
      </c>
      <c r="FK27" s="59">
        <f>$BZ27-$BZ28</f>
        <v/>
      </c>
      <c r="FL27" s="59">
        <f>$CA27-$CA28</f>
        <v/>
      </c>
      <c r="FM27" s="59">
        <f>$CB27-$CB28</f>
        <v/>
      </c>
      <c r="FN27" s="59">
        <f>$CC27-$CC28</f>
        <v/>
      </c>
      <c r="FO27" s="59">
        <f>$CD27-$CD28</f>
        <v/>
      </c>
      <c r="FP27" s="59">
        <f>$CE27-$CE28</f>
        <v/>
      </c>
      <c r="FQ27" s="59">
        <f>$CF27-$CF28</f>
        <v/>
      </c>
      <c r="FR27" s="59">
        <f>$CG27-$CG28</f>
        <v/>
      </c>
      <c r="FS27" s="59">
        <f>$CH27-$CH28</f>
        <v/>
      </c>
      <c r="FT27" s="59">
        <f>$CI27-$CI28</f>
        <v/>
      </c>
      <c r="FU27" s="59">
        <f>$CJ27-$CJ28</f>
        <v/>
      </c>
      <c r="FV27" s="59">
        <f>$CK27-$CK28</f>
        <v/>
      </c>
      <c r="FW27" s="59">
        <f>$CL27-$CL28</f>
        <v/>
      </c>
      <c r="FX27" s="59">
        <f>$CM27-$CM28</f>
        <v/>
      </c>
      <c r="FY27" s="59">
        <f>$CN27-$CN28</f>
        <v/>
      </c>
      <c r="FZ27" s="59">
        <f>$CO27-$CO28</f>
        <v/>
      </c>
      <c r="GA27" s="59">
        <f>$CP27-$CP28</f>
        <v/>
      </c>
      <c r="GB27" s="59">
        <f>$CQ27-$CQ28</f>
        <v/>
      </c>
      <c r="GC27" s="59">
        <f>$CR27-$CR28</f>
        <v/>
      </c>
      <c r="GD27" s="59">
        <f>$CS27-$CS28</f>
        <v/>
      </c>
      <c r="GE27" s="59">
        <f>$CT27-$CT28</f>
        <v/>
      </c>
    </row>
    <row r="28">
      <c r="CU28" s="58">
        <f>IFERROR($B28/$B29-1,"")</f>
        <v/>
      </c>
      <c r="CV28" s="59">
        <f>($F28-$F29)*100</f>
        <v/>
      </c>
      <c r="CW28" s="59">
        <f>($E28-$E29)*100</f>
        <v/>
      </c>
      <c r="CX28" s="58">
        <f>IFERROR($K28/$K29-1,"")</f>
        <v/>
      </c>
      <c r="CY28" s="59">
        <f>($AH28-$AH29)*100</f>
        <v/>
      </c>
      <c r="CZ28" s="59">
        <f>($AI28-$AI29)*100</f>
        <v/>
      </c>
      <c r="DA28" s="59">
        <f>($AJ28-$AJ29)*100</f>
        <v/>
      </c>
      <c r="DB28" s="59">
        <f>($AK28-$AK29)*100</f>
        <v/>
      </c>
      <c r="DC28" s="59">
        <f>($AL28-$AL29)*100</f>
        <v/>
      </c>
      <c r="DD28" s="59">
        <f>($AM28-$AM29)*100</f>
        <v/>
      </c>
      <c r="DE28" s="59">
        <f>($AN28-$AN29)*100</f>
        <v/>
      </c>
      <c r="DF28" s="59">
        <f>($AO28-$AO29)*100</f>
        <v/>
      </c>
      <c r="DG28" s="59">
        <f>($AP28-$AP29)*100</f>
        <v/>
      </c>
      <c r="DH28" s="59">
        <f>($AQ28-$AQ29)*100</f>
        <v/>
      </c>
      <c r="DI28" s="59">
        <f>($AR28-$AR29)*100</f>
        <v/>
      </c>
      <c r="DJ28" s="59">
        <f>($AS28-$AS29)*100</f>
        <v/>
      </c>
      <c r="DK28" s="59">
        <f>($AT28-$AT29)*100</f>
        <v/>
      </c>
      <c r="DL28" s="59">
        <f>($AU28-$AU29)*100</f>
        <v/>
      </c>
      <c r="DM28" s="59">
        <f>($AV28-$AV29)*100</f>
        <v/>
      </c>
      <c r="DN28" s="59">
        <f>($AW28-$AW29)*100</f>
        <v/>
      </c>
      <c r="DO28" s="59">
        <f>($AX28-$AX29)*100</f>
        <v/>
      </c>
      <c r="DP28" s="59">
        <f>($AY28-$AY29)*100</f>
        <v/>
      </c>
      <c r="DQ28" s="59">
        <f>($AZ28-$AZ29)*100</f>
        <v/>
      </c>
      <c r="DR28" s="59">
        <f>($BA28-$BA29)*100</f>
        <v/>
      </c>
      <c r="DS28" s="58">
        <f>IFERROR($N29/$N28-1,"")</f>
        <v/>
      </c>
      <c r="DT28" s="58">
        <f>IFERROR($O29/$O28-1,"")</f>
        <v/>
      </c>
      <c r="DU28" s="58">
        <f>IFERROR($P29/$P28-1,"")</f>
        <v/>
      </c>
      <c r="DV28" s="58">
        <f>IFERROR($Q29/$Q28-1,"")</f>
        <v/>
      </c>
      <c r="DW28" s="58">
        <f>IFERROR($R29/$R28-1,"")</f>
        <v/>
      </c>
      <c r="DX28" s="58">
        <f>IFERROR($S29/$S28-1,"")</f>
        <v/>
      </c>
      <c r="DY28" s="58">
        <f>IFERROR($T29/$T28-1,"")</f>
        <v/>
      </c>
      <c r="DZ28" s="58">
        <f>IFERROR($U29/$U28-1,"")</f>
        <v/>
      </c>
      <c r="EA28" s="58">
        <f>IFERROR($V29/$V28-1,"")</f>
        <v/>
      </c>
      <c r="EB28" s="58">
        <f>IFERROR($W29/$W28-1,"")</f>
        <v/>
      </c>
      <c r="EC28" s="58">
        <f>IFERROR($X29/$X28-1,"")</f>
        <v/>
      </c>
      <c r="ED28" s="58">
        <f>IFERROR($Y29/$Y28-1,"")</f>
        <v/>
      </c>
      <c r="EE28" s="58">
        <f>IFERROR($Z29/$Z28-1,"")</f>
        <v/>
      </c>
      <c r="EF28" s="58">
        <f>IFERROR($AA29/$AA28-1,"")</f>
        <v/>
      </c>
      <c r="EG28" s="58">
        <f>IFERROR($AB29/$AB28-1,"")</f>
        <v/>
      </c>
      <c r="EH28" s="58">
        <f>IFERROR($AC29/$AC28-1,"")</f>
        <v/>
      </c>
      <c r="EI28" s="58">
        <f>IFERROR($AD29/$AD28-1,"")</f>
        <v/>
      </c>
      <c r="EJ28" s="58">
        <f>IFERROR($AE29/$AE28-1,"")</f>
        <v/>
      </c>
      <c r="EK28" s="58">
        <f>IFERROR($AF29/$AF28-1,"")</f>
        <v/>
      </c>
      <c r="EL28" s="58">
        <f>IFERROR($AG29/$AG28-1,"")</f>
        <v/>
      </c>
      <c r="EM28" s="58">
        <f>IFERROR($BB28/$BB29-1,"")</f>
        <v/>
      </c>
      <c r="EN28" s="58">
        <f>IFERROR($BC28/$BC29-1,"")</f>
        <v/>
      </c>
      <c r="EO28" s="58">
        <f>IFERROR($BD28/$BD29-1,"")</f>
        <v/>
      </c>
      <c r="EP28" s="58">
        <f>IFERROR($BE28/$BE29-1,"")</f>
        <v/>
      </c>
      <c r="EQ28" s="58">
        <f>IFERROR($BF28/$BF29-1,"")</f>
        <v/>
      </c>
      <c r="ER28" s="58">
        <f>IFERROR($BG28/$BG29-1,"")</f>
        <v/>
      </c>
      <c r="ES28" s="58">
        <f>IFERROR($BH28/$BH29-1,"")</f>
        <v/>
      </c>
      <c r="ET28" s="58">
        <f>IFERROR($BI28/$BI29-1,"")</f>
        <v/>
      </c>
      <c r="EU28" s="58">
        <f>IFERROR($BJ28/$BJ29-1,"")</f>
        <v/>
      </c>
      <c r="EV28" s="58">
        <f>IFERROR($BK28/$BK29-1,"")</f>
        <v/>
      </c>
      <c r="EW28" s="58">
        <f>IFERROR($BL28/$BL29-1,"")</f>
        <v/>
      </c>
      <c r="EX28" s="58">
        <f>IFERROR($BM28/$BM29-1,"")</f>
        <v/>
      </c>
      <c r="EY28" s="58">
        <f>IFERROR($BN28/$BN29-1,"")</f>
        <v/>
      </c>
      <c r="EZ28" s="58">
        <f>IFERROR($BO28/$BO29-1,"")</f>
        <v/>
      </c>
      <c r="FA28" s="58">
        <f>IFERROR($BP28/$BP29-1,"")</f>
        <v/>
      </c>
      <c r="FB28" s="58">
        <f>IFERROR($BQ28/$BQ29-1,"")</f>
        <v/>
      </c>
      <c r="FC28" s="58">
        <f>IFERROR($BR28/$BR29-1,"")</f>
        <v/>
      </c>
      <c r="FD28" s="58">
        <f>IFERROR($BS28/$BS29-1,"")</f>
        <v/>
      </c>
      <c r="FE28" s="58">
        <f>IFERROR($BT28/$BT29-1,"")</f>
        <v/>
      </c>
      <c r="FF28" s="58">
        <f>IFERROR($BU28/$BU29-1,"")</f>
        <v/>
      </c>
      <c r="FG28" s="58">
        <f>IFERROR($BV28/$BV29-1,"")</f>
        <v/>
      </c>
      <c r="FH28" s="58">
        <f>IFERROR($BW28/$BW29-1,"")</f>
        <v/>
      </c>
      <c r="FI28" s="58">
        <f>IFERROR($BX28/$BX29-1,"")</f>
        <v/>
      </c>
      <c r="FJ28" s="59">
        <f>$BY28-$BY29</f>
        <v/>
      </c>
      <c r="FK28" s="59">
        <f>$BZ28-$BZ29</f>
        <v/>
      </c>
      <c r="FL28" s="59">
        <f>$CA28-$CA29</f>
        <v/>
      </c>
      <c r="FM28" s="59">
        <f>$CB28-$CB29</f>
        <v/>
      </c>
      <c r="FN28" s="59">
        <f>$CC28-$CC29</f>
        <v/>
      </c>
      <c r="FO28" s="59">
        <f>$CD28-$CD29</f>
        <v/>
      </c>
      <c r="FP28" s="59">
        <f>$CE28-$CE29</f>
        <v/>
      </c>
      <c r="FQ28" s="59">
        <f>$CF28-$CF29</f>
        <v/>
      </c>
      <c r="FR28" s="59">
        <f>$CG28-$CG29</f>
        <v/>
      </c>
      <c r="FS28" s="59">
        <f>$CH28-$CH29</f>
        <v/>
      </c>
      <c r="FT28" s="59">
        <f>$CI28-$CI29</f>
        <v/>
      </c>
      <c r="FU28" s="59">
        <f>$CJ28-$CJ29</f>
        <v/>
      </c>
      <c r="FV28" s="59">
        <f>$CK28-$CK29</f>
        <v/>
      </c>
      <c r="FW28" s="59">
        <f>$CL28-$CL29</f>
        <v/>
      </c>
      <c r="FX28" s="59">
        <f>$CM28-$CM29</f>
        <v/>
      </c>
      <c r="FY28" s="59">
        <f>$CN28-$CN29</f>
        <v/>
      </c>
      <c r="FZ28" s="59">
        <f>$CO28-$CO29</f>
        <v/>
      </c>
      <c r="GA28" s="59">
        <f>$CP28-$CP29</f>
        <v/>
      </c>
      <c r="GB28" s="59">
        <f>$CQ28-$CQ29</f>
        <v/>
      </c>
      <c r="GC28" s="59">
        <f>$CR28-$CR29</f>
        <v/>
      </c>
      <c r="GD28" s="59">
        <f>$CS28-$CS29</f>
        <v/>
      </c>
      <c r="GE28" s="59">
        <f>$CT28-$CT29</f>
        <v/>
      </c>
    </row>
    <row r="29">
      <c r="CU29" s="58">
        <f>IFERROR($B29/$B30-1,"")</f>
        <v/>
      </c>
      <c r="CV29" s="59">
        <f>($F29-$F30)*100</f>
        <v/>
      </c>
      <c r="CW29" s="59">
        <f>($E29-$E30)*100</f>
        <v/>
      </c>
      <c r="CX29" s="58">
        <f>IFERROR($K29/$K30-1,"")</f>
        <v/>
      </c>
      <c r="CY29" s="59">
        <f>($AH29-$AH30)*100</f>
        <v/>
      </c>
      <c r="CZ29" s="59">
        <f>($AI29-$AI30)*100</f>
        <v/>
      </c>
      <c r="DA29" s="59">
        <f>($AJ29-$AJ30)*100</f>
        <v/>
      </c>
      <c r="DB29" s="59">
        <f>($AK29-$AK30)*100</f>
        <v/>
      </c>
      <c r="DC29" s="59">
        <f>($AL29-$AL30)*100</f>
        <v/>
      </c>
      <c r="DD29" s="59">
        <f>($AM29-$AM30)*100</f>
        <v/>
      </c>
      <c r="DE29" s="59">
        <f>($AN29-$AN30)*100</f>
        <v/>
      </c>
      <c r="DF29" s="59">
        <f>($AO29-$AO30)*100</f>
        <v/>
      </c>
      <c r="DG29" s="59">
        <f>($AP29-$AP30)*100</f>
        <v/>
      </c>
      <c r="DH29" s="59">
        <f>($AQ29-$AQ30)*100</f>
        <v/>
      </c>
      <c r="DI29" s="59">
        <f>($AR29-$AR30)*100</f>
        <v/>
      </c>
      <c r="DJ29" s="59">
        <f>($AS29-$AS30)*100</f>
        <v/>
      </c>
      <c r="DK29" s="59">
        <f>($AT29-$AT30)*100</f>
        <v/>
      </c>
      <c r="DL29" s="59">
        <f>($AU29-$AU30)*100</f>
        <v/>
      </c>
      <c r="DM29" s="59">
        <f>($AV29-$AV30)*100</f>
        <v/>
      </c>
      <c r="DN29" s="59">
        <f>($AW29-$AW30)*100</f>
        <v/>
      </c>
      <c r="DO29" s="59">
        <f>($AX29-$AX30)*100</f>
        <v/>
      </c>
      <c r="DP29" s="59">
        <f>($AY29-$AY30)*100</f>
        <v/>
      </c>
      <c r="DQ29" s="59">
        <f>($AZ29-$AZ30)*100</f>
        <v/>
      </c>
      <c r="DR29" s="59">
        <f>($BA29-$BA30)*100</f>
        <v/>
      </c>
      <c r="DS29" s="58">
        <f>IFERROR($N30/$N29-1,"")</f>
        <v/>
      </c>
      <c r="DT29" s="58">
        <f>IFERROR($O30/$O29-1,"")</f>
        <v/>
      </c>
      <c r="DU29" s="58">
        <f>IFERROR($P30/$P29-1,"")</f>
        <v/>
      </c>
      <c r="DV29" s="58">
        <f>IFERROR($Q30/$Q29-1,"")</f>
        <v/>
      </c>
      <c r="DW29" s="58">
        <f>IFERROR($R30/$R29-1,"")</f>
        <v/>
      </c>
      <c r="DX29" s="58">
        <f>IFERROR($S30/$S29-1,"")</f>
        <v/>
      </c>
      <c r="DY29" s="58">
        <f>IFERROR($T30/$T29-1,"")</f>
        <v/>
      </c>
      <c r="DZ29" s="58">
        <f>IFERROR($U30/$U29-1,"")</f>
        <v/>
      </c>
      <c r="EA29" s="58">
        <f>IFERROR($V30/$V29-1,"")</f>
        <v/>
      </c>
      <c r="EB29" s="58">
        <f>IFERROR($W30/$W29-1,"")</f>
        <v/>
      </c>
      <c r="EC29" s="58">
        <f>IFERROR($X30/$X29-1,"")</f>
        <v/>
      </c>
      <c r="ED29" s="58">
        <f>IFERROR($Y30/$Y29-1,"")</f>
        <v/>
      </c>
      <c r="EE29" s="58">
        <f>IFERROR($Z30/$Z29-1,"")</f>
        <v/>
      </c>
      <c r="EF29" s="58">
        <f>IFERROR($AA30/$AA29-1,"")</f>
        <v/>
      </c>
      <c r="EG29" s="58">
        <f>IFERROR($AB30/$AB29-1,"")</f>
        <v/>
      </c>
      <c r="EH29" s="58">
        <f>IFERROR($AC30/$AC29-1,"")</f>
        <v/>
      </c>
      <c r="EI29" s="58">
        <f>IFERROR($AD30/$AD29-1,"")</f>
        <v/>
      </c>
      <c r="EJ29" s="58">
        <f>IFERROR($AE30/$AE29-1,"")</f>
        <v/>
      </c>
      <c r="EK29" s="58">
        <f>IFERROR($AF30/$AF29-1,"")</f>
        <v/>
      </c>
      <c r="EL29" s="58">
        <f>IFERROR($AG30/$AG29-1,"")</f>
        <v/>
      </c>
      <c r="EM29" s="58">
        <f>IFERROR($BB29/$BB30-1,"")</f>
        <v/>
      </c>
      <c r="EN29" s="58">
        <f>IFERROR($BC29/$BC30-1,"")</f>
        <v/>
      </c>
      <c r="EO29" s="58">
        <f>IFERROR($BD29/$BD30-1,"")</f>
        <v/>
      </c>
      <c r="EP29" s="58">
        <f>IFERROR($BE29/$BE30-1,"")</f>
        <v/>
      </c>
      <c r="EQ29" s="58">
        <f>IFERROR($BF29/$BF30-1,"")</f>
        <v/>
      </c>
      <c r="ER29" s="58">
        <f>IFERROR($BG29/$BG30-1,"")</f>
        <v/>
      </c>
      <c r="ES29" s="58">
        <f>IFERROR($BH29/$BH30-1,"")</f>
        <v/>
      </c>
      <c r="ET29" s="58">
        <f>IFERROR($BI29/$BI30-1,"")</f>
        <v/>
      </c>
      <c r="EU29" s="58">
        <f>IFERROR($BJ29/$BJ30-1,"")</f>
        <v/>
      </c>
      <c r="EV29" s="58">
        <f>IFERROR($BK29/$BK30-1,"")</f>
        <v/>
      </c>
      <c r="EW29" s="58">
        <f>IFERROR($BL29/$BL30-1,"")</f>
        <v/>
      </c>
      <c r="EX29" s="58">
        <f>IFERROR($BM29/$BM30-1,"")</f>
        <v/>
      </c>
      <c r="EY29" s="58">
        <f>IFERROR($BN29/$BN30-1,"")</f>
        <v/>
      </c>
      <c r="EZ29" s="58">
        <f>IFERROR($BO29/$BO30-1,"")</f>
        <v/>
      </c>
      <c r="FA29" s="58">
        <f>IFERROR($BP29/$BP30-1,"")</f>
        <v/>
      </c>
      <c r="FB29" s="58">
        <f>IFERROR($BQ29/$BQ30-1,"")</f>
        <v/>
      </c>
      <c r="FC29" s="58">
        <f>IFERROR($BR29/$BR30-1,"")</f>
        <v/>
      </c>
      <c r="FD29" s="58">
        <f>IFERROR($BS29/$BS30-1,"")</f>
        <v/>
      </c>
      <c r="FE29" s="58">
        <f>IFERROR($BT29/$BT30-1,"")</f>
        <v/>
      </c>
      <c r="FF29" s="58">
        <f>IFERROR($BU29/$BU30-1,"")</f>
        <v/>
      </c>
      <c r="FG29" s="58">
        <f>IFERROR($BV29/$BV30-1,"")</f>
        <v/>
      </c>
      <c r="FH29" s="58">
        <f>IFERROR($BW29/$BW30-1,"")</f>
        <v/>
      </c>
      <c r="FI29" s="58">
        <f>IFERROR($BX29/$BX30-1,"")</f>
        <v/>
      </c>
      <c r="FJ29" s="59">
        <f>$BY29-$BY30</f>
        <v/>
      </c>
      <c r="FK29" s="59">
        <f>$BZ29-$BZ30</f>
        <v/>
      </c>
      <c r="FL29" s="59">
        <f>$CA29-$CA30</f>
        <v/>
      </c>
      <c r="FM29" s="59">
        <f>$CB29-$CB30</f>
        <v/>
      </c>
      <c r="FN29" s="59">
        <f>$CC29-$CC30</f>
        <v/>
      </c>
      <c r="FO29" s="59">
        <f>$CD29-$CD30</f>
        <v/>
      </c>
      <c r="FP29" s="59">
        <f>$CE29-$CE30</f>
        <v/>
      </c>
      <c r="FQ29" s="59">
        <f>$CF29-$CF30</f>
        <v/>
      </c>
      <c r="FR29" s="59">
        <f>$CG29-$CG30</f>
        <v/>
      </c>
      <c r="FS29" s="59">
        <f>$CH29-$CH30</f>
        <v/>
      </c>
      <c r="FT29" s="59">
        <f>$CI29-$CI30</f>
        <v/>
      </c>
      <c r="FU29" s="59">
        <f>$CJ29-$CJ30</f>
        <v/>
      </c>
      <c r="FV29" s="59">
        <f>$CK29-$CK30</f>
        <v/>
      </c>
      <c r="FW29" s="59">
        <f>$CL29-$CL30</f>
        <v/>
      </c>
      <c r="FX29" s="59">
        <f>$CM29-$CM30</f>
        <v/>
      </c>
      <c r="FY29" s="59">
        <f>$CN29-$CN30</f>
        <v/>
      </c>
      <c r="FZ29" s="59">
        <f>$CO29-$CO30</f>
        <v/>
      </c>
      <c r="GA29" s="59">
        <f>$CP29-$CP30</f>
        <v/>
      </c>
      <c r="GB29" s="59">
        <f>$CQ29-$CQ30</f>
        <v/>
      </c>
      <c r="GC29" s="59">
        <f>$CR29-$CR30</f>
        <v/>
      </c>
      <c r="GD29" s="59">
        <f>$CS29-$CS30</f>
        <v/>
      </c>
      <c r="GE29" s="59">
        <f>$CT29-$CT30</f>
        <v/>
      </c>
    </row>
    <row r="30">
      <c r="CU30" s="58">
        <f>IFERROR($B30/$B31-1,"")</f>
        <v/>
      </c>
      <c r="CV30" s="59">
        <f>($F30-$F31)*100</f>
        <v/>
      </c>
      <c r="CW30" s="59">
        <f>($E30-$E31)*100</f>
        <v/>
      </c>
      <c r="CX30" s="58">
        <f>IFERROR($K30/$K31-1,"")</f>
        <v/>
      </c>
      <c r="CY30" s="59">
        <f>($AH30-$AH31)*100</f>
        <v/>
      </c>
      <c r="CZ30" s="59">
        <f>($AI30-$AI31)*100</f>
        <v/>
      </c>
      <c r="DA30" s="59">
        <f>($AJ30-$AJ31)*100</f>
        <v/>
      </c>
      <c r="DB30" s="59">
        <f>($AK30-$AK31)*100</f>
        <v/>
      </c>
      <c r="DC30" s="59">
        <f>($AL30-$AL31)*100</f>
        <v/>
      </c>
      <c r="DD30" s="59">
        <f>($AM30-$AM31)*100</f>
        <v/>
      </c>
      <c r="DE30" s="59">
        <f>($AN30-$AN31)*100</f>
        <v/>
      </c>
      <c r="DF30" s="59">
        <f>($AO30-$AO31)*100</f>
        <v/>
      </c>
      <c r="DG30" s="59">
        <f>($AP30-$AP31)*100</f>
        <v/>
      </c>
      <c r="DH30" s="59">
        <f>($AQ30-$AQ31)*100</f>
        <v/>
      </c>
      <c r="DI30" s="59">
        <f>($AR30-$AR31)*100</f>
        <v/>
      </c>
      <c r="DJ30" s="59">
        <f>($AS30-$AS31)*100</f>
        <v/>
      </c>
      <c r="DK30" s="59">
        <f>($AT30-$AT31)*100</f>
        <v/>
      </c>
      <c r="DL30" s="59">
        <f>($AU30-$AU31)*100</f>
        <v/>
      </c>
      <c r="DM30" s="59">
        <f>($AV30-$AV31)*100</f>
        <v/>
      </c>
      <c r="DN30" s="59">
        <f>($AW30-$AW31)*100</f>
        <v/>
      </c>
      <c r="DO30" s="59">
        <f>($AX30-$AX31)*100</f>
        <v/>
      </c>
      <c r="DP30" s="59">
        <f>($AY30-$AY31)*100</f>
        <v/>
      </c>
      <c r="DQ30" s="59">
        <f>($AZ30-$AZ31)*100</f>
        <v/>
      </c>
      <c r="DR30" s="59">
        <f>($BA30-$BA31)*100</f>
        <v/>
      </c>
      <c r="DS30" s="58">
        <f>IFERROR($N31/$N30-1,"")</f>
        <v/>
      </c>
      <c r="DT30" s="58">
        <f>IFERROR($O31/$O30-1,"")</f>
        <v/>
      </c>
      <c r="DU30" s="58">
        <f>IFERROR($P31/$P30-1,"")</f>
        <v/>
      </c>
      <c r="DV30" s="58">
        <f>IFERROR($Q31/$Q30-1,"")</f>
        <v/>
      </c>
      <c r="DW30" s="58">
        <f>IFERROR($R31/$R30-1,"")</f>
        <v/>
      </c>
      <c r="DX30" s="58">
        <f>IFERROR($S31/$S30-1,"")</f>
        <v/>
      </c>
      <c r="DY30" s="58">
        <f>IFERROR($T31/$T30-1,"")</f>
        <v/>
      </c>
      <c r="DZ30" s="58">
        <f>IFERROR($U31/$U30-1,"")</f>
        <v/>
      </c>
      <c r="EA30" s="58">
        <f>IFERROR($V31/$V30-1,"")</f>
        <v/>
      </c>
      <c r="EB30" s="58">
        <f>IFERROR($W31/$W30-1,"")</f>
        <v/>
      </c>
      <c r="EC30" s="58">
        <f>IFERROR($X31/$X30-1,"")</f>
        <v/>
      </c>
      <c r="ED30" s="58">
        <f>IFERROR($Y31/$Y30-1,"")</f>
        <v/>
      </c>
      <c r="EE30" s="58">
        <f>IFERROR($Z31/$Z30-1,"")</f>
        <v/>
      </c>
      <c r="EF30" s="58">
        <f>IFERROR($AA31/$AA30-1,"")</f>
        <v/>
      </c>
      <c r="EG30" s="58">
        <f>IFERROR($AB31/$AB30-1,"")</f>
        <v/>
      </c>
      <c r="EH30" s="58">
        <f>IFERROR($AC31/$AC30-1,"")</f>
        <v/>
      </c>
      <c r="EI30" s="58">
        <f>IFERROR($AD31/$AD30-1,"")</f>
        <v/>
      </c>
      <c r="EJ30" s="58">
        <f>IFERROR($AE31/$AE30-1,"")</f>
        <v/>
      </c>
      <c r="EK30" s="58">
        <f>IFERROR($AF31/$AF30-1,"")</f>
        <v/>
      </c>
      <c r="EL30" s="58">
        <f>IFERROR($AG31/$AG30-1,"")</f>
        <v/>
      </c>
      <c r="EM30" s="58">
        <f>IFERROR($BB30/$BB31-1,"")</f>
        <v/>
      </c>
      <c r="EN30" s="58">
        <f>IFERROR($BC30/$BC31-1,"")</f>
        <v/>
      </c>
      <c r="EO30" s="58">
        <f>IFERROR($BD30/$BD31-1,"")</f>
        <v/>
      </c>
      <c r="EP30" s="58">
        <f>IFERROR($BE30/$BE31-1,"")</f>
        <v/>
      </c>
      <c r="EQ30" s="58">
        <f>IFERROR($BF30/$BF31-1,"")</f>
        <v/>
      </c>
      <c r="ER30" s="58">
        <f>IFERROR($BG30/$BG31-1,"")</f>
        <v/>
      </c>
      <c r="ES30" s="58">
        <f>IFERROR($BH30/$BH31-1,"")</f>
        <v/>
      </c>
      <c r="ET30" s="58">
        <f>IFERROR($BI30/$BI31-1,"")</f>
        <v/>
      </c>
      <c r="EU30" s="58">
        <f>IFERROR($BJ30/$BJ31-1,"")</f>
        <v/>
      </c>
      <c r="EV30" s="58">
        <f>IFERROR($BK30/$BK31-1,"")</f>
        <v/>
      </c>
      <c r="EW30" s="58">
        <f>IFERROR($BL30/$BL31-1,"")</f>
        <v/>
      </c>
      <c r="EX30" s="58">
        <f>IFERROR($BM30/$BM31-1,"")</f>
        <v/>
      </c>
      <c r="EY30" s="58">
        <f>IFERROR($BN30/$BN31-1,"")</f>
        <v/>
      </c>
      <c r="EZ30" s="58">
        <f>IFERROR($BO30/$BO31-1,"")</f>
        <v/>
      </c>
      <c r="FA30" s="58">
        <f>IFERROR($BP30/$BP31-1,"")</f>
        <v/>
      </c>
      <c r="FB30" s="58">
        <f>IFERROR($BQ30/$BQ31-1,"")</f>
        <v/>
      </c>
      <c r="FC30" s="58">
        <f>IFERROR($BR30/$BR31-1,"")</f>
        <v/>
      </c>
      <c r="FD30" s="58">
        <f>IFERROR($BS30/$BS31-1,"")</f>
        <v/>
      </c>
      <c r="FE30" s="58">
        <f>IFERROR($BT30/$BT31-1,"")</f>
        <v/>
      </c>
      <c r="FF30" s="58">
        <f>IFERROR($BU30/$BU31-1,"")</f>
        <v/>
      </c>
      <c r="FG30" s="58">
        <f>IFERROR($BV30/$BV31-1,"")</f>
        <v/>
      </c>
      <c r="FH30" s="58">
        <f>IFERROR($BW30/$BW31-1,"")</f>
        <v/>
      </c>
      <c r="FI30" s="58">
        <f>IFERROR($BX30/$BX31-1,"")</f>
        <v/>
      </c>
      <c r="FJ30" s="59">
        <f>$BY30-$BY31</f>
        <v/>
      </c>
      <c r="FK30" s="59">
        <f>$BZ30-$BZ31</f>
        <v/>
      </c>
      <c r="FL30" s="59">
        <f>$CA30-$CA31</f>
        <v/>
      </c>
      <c r="FM30" s="59">
        <f>$CB30-$CB31</f>
        <v/>
      </c>
      <c r="FN30" s="59">
        <f>$CC30-$CC31</f>
        <v/>
      </c>
      <c r="FO30" s="59">
        <f>$CD30-$CD31</f>
        <v/>
      </c>
      <c r="FP30" s="59">
        <f>$CE30-$CE31</f>
        <v/>
      </c>
      <c r="FQ30" s="59">
        <f>$CF30-$CF31</f>
        <v/>
      </c>
      <c r="FR30" s="59">
        <f>$CG30-$CG31</f>
        <v/>
      </c>
      <c r="FS30" s="59">
        <f>$CH30-$CH31</f>
        <v/>
      </c>
      <c r="FT30" s="59">
        <f>$CI30-$CI31</f>
        <v/>
      </c>
      <c r="FU30" s="59">
        <f>$CJ30-$CJ31</f>
        <v/>
      </c>
      <c r="FV30" s="59">
        <f>$CK30-$CK31</f>
        <v/>
      </c>
      <c r="FW30" s="59">
        <f>$CL30-$CL31</f>
        <v/>
      </c>
      <c r="FX30" s="59">
        <f>$CM30-$CM31</f>
        <v/>
      </c>
      <c r="FY30" s="59">
        <f>$CN30-$CN31</f>
        <v/>
      </c>
      <c r="FZ30" s="59">
        <f>$CO30-$CO31</f>
        <v/>
      </c>
      <c r="GA30" s="59">
        <f>$CP30-$CP31</f>
        <v/>
      </c>
      <c r="GB30" s="59">
        <f>$CQ30-$CQ31</f>
        <v/>
      </c>
      <c r="GC30" s="59">
        <f>$CR30-$CR31</f>
        <v/>
      </c>
      <c r="GD30" s="59">
        <f>$CS30-$CS31</f>
        <v/>
      </c>
      <c r="GE30" s="59">
        <f>$CT30-$CT31</f>
        <v/>
      </c>
    </row>
    <row r="31">
      <c r="CU31" s="58">
        <f>IFERROR($B31/$B32-1,"")</f>
        <v/>
      </c>
      <c r="CV31" s="59">
        <f>($F31-$F32)*100</f>
        <v/>
      </c>
      <c r="CW31" s="59">
        <f>($E31-$E32)*100</f>
        <v/>
      </c>
      <c r="CX31" s="58">
        <f>IFERROR($K31/$K32-1,"")</f>
        <v/>
      </c>
      <c r="CY31" s="59">
        <f>($AH31-$AH32)*100</f>
        <v/>
      </c>
      <c r="CZ31" s="59">
        <f>($AI31-$AI32)*100</f>
        <v/>
      </c>
      <c r="DA31" s="59">
        <f>($AJ31-$AJ32)*100</f>
        <v/>
      </c>
      <c r="DB31" s="59">
        <f>($AK31-$AK32)*100</f>
        <v/>
      </c>
      <c r="DC31" s="59">
        <f>($AL31-$AL32)*100</f>
        <v/>
      </c>
      <c r="DD31" s="59">
        <f>($AM31-$AM32)*100</f>
        <v/>
      </c>
      <c r="DE31" s="59">
        <f>($AN31-$AN32)*100</f>
        <v/>
      </c>
      <c r="DF31" s="59">
        <f>($AO31-$AO32)*100</f>
        <v/>
      </c>
      <c r="DG31" s="59">
        <f>($AP31-$AP32)*100</f>
        <v/>
      </c>
      <c r="DH31" s="59">
        <f>($AQ31-$AQ32)*100</f>
        <v/>
      </c>
      <c r="DI31" s="59">
        <f>($AR31-$AR32)*100</f>
        <v/>
      </c>
      <c r="DJ31" s="59">
        <f>($AS31-$AS32)*100</f>
        <v/>
      </c>
      <c r="DK31" s="59">
        <f>($AT31-$AT32)*100</f>
        <v/>
      </c>
      <c r="DL31" s="59">
        <f>($AU31-$AU32)*100</f>
        <v/>
      </c>
      <c r="DM31" s="59">
        <f>($AV31-$AV32)*100</f>
        <v/>
      </c>
      <c r="DN31" s="59">
        <f>($AW31-$AW32)*100</f>
        <v/>
      </c>
      <c r="DO31" s="59">
        <f>($AX31-$AX32)*100</f>
        <v/>
      </c>
      <c r="DP31" s="59">
        <f>($AY31-$AY32)*100</f>
        <v/>
      </c>
      <c r="DQ31" s="59">
        <f>($AZ31-$AZ32)*100</f>
        <v/>
      </c>
      <c r="DR31" s="59">
        <f>($BA31-$BA32)*100</f>
        <v/>
      </c>
      <c r="DS31" s="58">
        <f>IFERROR($N32/$N31-1,"")</f>
        <v/>
      </c>
      <c r="DT31" s="58">
        <f>IFERROR($O32/$O31-1,"")</f>
        <v/>
      </c>
      <c r="DU31" s="58">
        <f>IFERROR($P32/$P31-1,"")</f>
        <v/>
      </c>
      <c r="DV31" s="58">
        <f>IFERROR($Q32/$Q31-1,"")</f>
        <v/>
      </c>
      <c r="DW31" s="58">
        <f>IFERROR($R32/$R31-1,"")</f>
        <v/>
      </c>
      <c r="DX31" s="58">
        <f>IFERROR($S32/$S31-1,"")</f>
        <v/>
      </c>
      <c r="DY31" s="58">
        <f>IFERROR($T32/$T31-1,"")</f>
        <v/>
      </c>
      <c r="DZ31" s="58">
        <f>IFERROR($U32/$U31-1,"")</f>
        <v/>
      </c>
      <c r="EA31" s="58">
        <f>IFERROR($V32/$V31-1,"")</f>
        <v/>
      </c>
      <c r="EB31" s="58">
        <f>IFERROR($W32/$W31-1,"")</f>
        <v/>
      </c>
      <c r="EC31" s="58">
        <f>IFERROR($X32/$X31-1,"")</f>
        <v/>
      </c>
      <c r="ED31" s="58">
        <f>IFERROR($Y32/$Y31-1,"")</f>
        <v/>
      </c>
      <c r="EE31" s="58">
        <f>IFERROR($Z32/$Z31-1,"")</f>
        <v/>
      </c>
      <c r="EF31" s="58">
        <f>IFERROR($AA32/$AA31-1,"")</f>
        <v/>
      </c>
      <c r="EG31" s="58">
        <f>IFERROR($AB32/$AB31-1,"")</f>
        <v/>
      </c>
      <c r="EH31" s="58">
        <f>IFERROR($AC32/$AC31-1,"")</f>
        <v/>
      </c>
      <c r="EI31" s="58">
        <f>IFERROR($AD32/$AD31-1,"")</f>
        <v/>
      </c>
      <c r="EJ31" s="58">
        <f>IFERROR($AE32/$AE31-1,"")</f>
        <v/>
      </c>
      <c r="EK31" s="58">
        <f>IFERROR($AF32/$AF31-1,"")</f>
        <v/>
      </c>
      <c r="EL31" s="58">
        <f>IFERROR($AG32/$AG31-1,"")</f>
        <v/>
      </c>
      <c r="EM31" s="58">
        <f>IFERROR($BB31/$BB32-1,"")</f>
        <v/>
      </c>
      <c r="EN31" s="58">
        <f>IFERROR($BC31/$BC32-1,"")</f>
        <v/>
      </c>
      <c r="EO31" s="58">
        <f>IFERROR($BD31/$BD32-1,"")</f>
        <v/>
      </c>
      <c r="EP31" s="58">
        <f>IFERROR($BE31/$BE32-1,"")</f>
        <v/>
      </c>
      <c r="EQ31" s="58">
        <f>IFERROR($BF31/$BF32-1,"")</f>
        <v/>
      </c>
      <c r="ER31" s="58">
        <f>IFERROR($BG31/$BG32-1,"")</f>
        <v/>
      </c>
      <c r="ES31" s="58">
        <f>IFERROR($BH31/$BH32-1,"")</f>
        <v/>
      </c>
      <c r="ET31" s="58">
        <f>IFERROR($BI31/$BI32-1,"")</f>
        <v/>
      </c>
      <c r="EU31" s="58">
        <f>IFERROR($BJ31/$BJ32-1,"")</f>
        <v/>
      </c>
      <c r="EV31" s="58">
        <f>IFERROR($BK31/$BK32-1,"")</f>
        <v/>
      </c>
      <c r="EW31" s="58">
        <f>IFERROR($BL31/$BL32-1,"")</f>
        <v/>
      </c>
      <c r="EX31" s="58">
        <f>IFERROR($BM31/$BM32-1,"")</f>
        <v/>
      </c>
      <c r="EY31" s="58">
        <f>IFERROR($BN31/$BN32-1,"")</f>
        <v/>
      </c>
      <c r="EZ31" s="58">
        <f>IFERROR($BO31/$BO32-1,"")</f>
        <v/>
      </c>
      <c r="FA31" s="58">
        <f>IFERROR($BP31/$BP32-1,"")</f>
        <v/>
      </c>
      <c r="FB31" s="58">
        <f>IFERROR($BQ31/$BQ32-1,"")</f>
        <v/>
      </c>
      <c r="FC31" s="58">
        <f>IFERROR($BR31/$BR32-1,"")</f>
        <v/>
      </c>
      <c r="FD31" s="58">
        <f>IFERROR($BS31/$BS32-1,"")</f>
        <v/>
      </c>
      <c r="FE31" s="58">
        <f>IFERROR($BT31/$BT32-1,"")</f>
        <v/>
      </c>
      <c r="FF31" s="58">
        <f>IFERROR($BU31/$BU32-1,"")</f>
        <v/>
      </c>
      <c r="FG31" s="58">
        <f>IFERROR($BV31/$BV32-1,"")</f>
        <v/>
      </c>
      <c r="FH31" s="58">
        <f>IFERROR($BW31/$BW32-1,"")</f>
        <v/>
      </c>
      <c r="FI31" s="58">
        <f>IFERROR($BX31/$BX32-1,"")</f>
        <v/>
      </c>
      <c r="FJ31" s="59">
        <f>$BY31-$BY32</f>
        <v/>
      </c>
      <c r="FK31" s="59">
        <f>$BZ31-$BZ32</f>
        <v/>
      </c>
      <c r="FL31" s="59">
        <f>$CA31-$CA32</f>
        <v/>
      </c>
      <c r="FM31" s="59">
        <f>$CB31-$CB32</f>
        <v/>
      </c>
      <c r="FN31" s="59">
        <f>$CC31-$CC32</f>
        <v/>
      </c>
      <c r="FO31" s="59">
        <f>$CD31-$CD32</f>
        <v/>
      </c>
      <c r="FP31" s="59">
        <f>$CE31-$CE32</f>
        <v/>
      </c>
      <c r="FQ31" s="59">
        <f>$CF31-$CF32</f>
        <v/>
      </c>
      <c r="FR31" s="59">
        <f>$CG31-$CG32</f>
        <v/>
      </c>
      <c r="FS31" s="59">
        <f>$CH31-$CH32</f>
        <v/>
      </c>
      <c r="FT31" s="59">
        <f>$CI31-$CI32</f>
        <v/>
      </c>
      <c r="FU31" s="59">
        <f>$CJ31-$CJ32</f>
        <v/>
      </c>
      <c r="FV31" s="59">
        <f>$CK31-$CK32</f>
        <v/>
      </c>
      <c r="FW31" s="59">
        <f>$CL31-$CL32</f>
        <v/>
      </c>
      <c r="FX31" s="59">
        <f>$CM31-$CM32</f>
        <v/>
      </c>
      <c r="FY31" s="59">
        <f>$CN31-$CN32</f>
        <v/>
      </c>
      <c r="FZ31" s="59">
        <f>$CO31-$CO32</f>
        <v/>
      </c>
      <c r="GA31" s="59">
        <f>$CP31-$CP32</f>
        <v/>
      </c>
      <c r="GB31" s="59">
        <f>$CQ31-$CQ32</f>
        <v/>
      </c>
      <c r="GC31" s="59">
        <f>$CR31-$CR32</f>
        <v/>
      </c>
      <c r="GD31" s="59">
        <f>$CS31-$CS32</f>
        <v/>
      </c>
      <c r="GE31" s="59">
        <f>$CT31-$CT32</f>
        <v/>
      </c>
    </row>
    <row r="32">
      <c r="CU32" s="58">
        <f>IFERROR($B32/$B33-1,"")</f>
        <v/>
      </c>
      <c r="CV32" s="59">
        <f>($F32-$F33)*100</f>
        <v/>
      </c>
      <c r="CW32" s="59">
        <f>($E32-$E33)*100</f>
        <v/>
      </c>
      <c r="CX32" s="58">
        <f>IFERROR($K32/$K33-1,"")</f>
        <v/>
      </c>
      <c r="CY32" s="59">
        <f>($AH32-$AH33)*100</f>
        <v/>
      </c>
      <c r="CZ32" s="59">
        <f>($AI32-$AI33)*100</f>
        <v/>
      </c>
      <c r="DA32" s="59">
        <f>($AJ32-$AJ33)*100</f>
        <v/>
      </c>
      <c r="DB32" s="59">
        <f>($AK32-$AK33)*100</f>
        <v/>
      </c>
      <c r="DC32" s="59">
        <f>($AL32-$AL33)*100</f>
        <v/>
      </c>
      <c r="DD32" s="59">
        <f>($AM32-$AM33)*100</f>
        <v/>
      </c>
      <c r="DE32" s="59">
        <f>($AN32-$AN33)*100</f>
        <v/>
      </c>
      <c r="DF32" s="59">
        <f>($AO32-$AO33)*100</f>
        <v/>
      </c>
      <c r="DG32" s="59">
        <f>($AP32-$AP33)*100</f>
        <v/>
      </c>
      <c r="DH32" s="59">
        <f>($AQ32-$AQ33)*100</f>
        <v/>
      </c>
      <c r="DI32" s="59">
        <f>($AR32-$AR33)*100</f>
        <v/>
      </c>
      <c r="DJ32" s="59">
        <f>($AS32-$AS33)*100</f>
        <v/>
      </c>
      <c r="DK32" s="59">
        <f>($AT32-$AT33)*100</f>
        <v/>
      </c>
      <c r="DL32" s="59">
        <f>($AU32-$AU33)*100</f>
        <v/>
      </c>
      <c r="DM32" s="59">
        <f>($AV32-$AV33)*100</f>
        <v/>
      </c>
      <c r="DN32" s="59">
        <f>($AW32-$AW33)*100</f>
        <v/>
      </c>
      <c r="DO32" s="59">
        <f>($AX32-$AX33)*100</f>
        <v/>
      </c>
      <c r="DP32" s="59">
        <f>($AY32-$AY33)*100</f>
        <v/>
      </c>
      <c r="DQ32" s="59">
        <f>($AZ32-$AZ33)*100</f>
        <v/>
      </c>
      <c r="DR32" s="59">
        <f>($BA32-$BA33)*100</f>
        <v/>
      </c>
      <c r="DS32" s="58">
        <f>IFERROR($N33/$N32-1,"")</f>
        <v/>
      </c>
      <c r="DT32" s="58">
        <f>IFERROR($O33/$O32-1,"")</f>
        <v/>
      </c>
      <c r="DU32" s="58">
        <f>IFERROR($P33/$P32-1,"")</f>
        <v/>
      </c>
      <c r="DV32" s="58">
        <f>IFERROR($Q33/$Q32-1,"")</f>
        <v/>
      </c>
      <c r="DW32" s="58">
        <f>IFERROR($R33/$R32-1,"")</f>
        <v/>
      </c>
      <c r="DX32" s="58">
        <f>IFERROR($S33/$S32-1,"")</f>
        <v/>
      </c>
      <c r="DY32" s="58">
        <f>IFERROR($T33/$T32-1,"")</f>
        <v/>
      </c>
      <c r="DZ32" s="58">
        <f>IFERROR($U33/$U32-1,"")</f>
        <v/>
      </c>
      <c r="EA32" s="58">
        <f>IFERROR($V33/$V32-1,"")</f>
        <v/>
      </c>
      <c r="EB32" s="58">
        <f>IFERROR($W33/$W32-1,"")</f>
        <v/>
      </c>
      <c r="EC32" s="58">
        <f>IFERROR($X33/$X32-1,"")</f>
        <v/>
      </c>
      <c r="ED32" s="58">
        <f>IFERROR($Y33/$Y32-1,"")</f>
        <v/>
      </c>
      <c r="EE32" s="58">
        <f>IFERROR($Z33/$Z32-1,"")</f>
        <v/>
      </c>
      <c r="EF32" s="58">
        <f>IFERROR($AA33/$AA32-1,"")</f>
        <v/>
      </c>
      <c r="EG32" s="58">
        <f>IFERROR($AB33/$AB32-1,"")</f>
        <v/>
      </c>
      <c r="EH32" s="58">
        <f>IFERROR($AC33/$AC32-1,"")</f>
        <v/>
      </c>
      <c r="EI32" s="58">
        <f>IFERROR($AD33/$AD32-1,"")</f>
        <v/>
      </c>
      <c r="EJ32" s="58">
        <f>IFERROR($AE33/$AE32-1,"")</f>
        <v/>
      </c>
      <c r="EK32" s="58">
        <f>IFERROR($AF33/$AF32-1,"")</f>
        <v/>
      </c>
      <c r="EL32" s="58">
        <f>IFERROR($AG33/$AG32-1,"")</f>
        <v/>
      </c>
      <c r="EM32" s="58">
        <f>IFERROR($BB32/$BB33-1,"")</f>
        <v/>
      </c>
      <c r="EN32" s="58">
        <f>IFERROR($BC32/$BC33-1,"")</f>
        <v/>
      </c>
      <c r="EO32" s="58">
        <f>IFERROR($BD32/$BD33-1,"")</f>
        <v/>
      </c>
      <c r="EP32" s="58">
        <f>IFERROR($BE32/$BE33-1,"")</f>
        <v/>
      </c>
      <c r="EQ32" s="58">
        <f>IFERROR($BF32/$BF33-1,"")</f>
        <v/>
      </c>
      <c r="ER32" s="58">
        <f>IFERROR($BG32/$BG33-1,"")</f>
        <v/>
      </c>
      <c r="ES32" s="58">
        <f>IFERROR($BH32/$BH33-1,"")</f>
        <v/>
      </c>
      <c r="ET32" s="58">
        <f>IFERROR($BI32/$BI33-1,"")</f>
        <v/>
      </c>
      <c r="EU32" s="58">
        <f>IFERROR($BJ32/$BJ33-1,"")</f>
        <v/>
      </c>
      <c r="EV32" s="58">
        <f>IFERROR($BK32/$BK33-1,"")</f>
        <v/>
      </c>
      <c r="EW32" s="58">
        <f>IFERROR($BL32/$BL33-1,"")</f>
        <v/>
      </c>
      <c r="EX32" s="58">
        <f>IFERROR($BM32/$BM33-1,"")</f>
        <v/>
      </c>
      <c r="EY32" s="58">
        <f>IFERROR($BN32/$BN33-1,"")</f>
        <v/>
      </c>
      <c r="EZ32" s="58">
        <f>IFERROR($BO32/$BO33-1,"")</f>
        <v/>
      </c>
      <c r="FA32" s="58">
        <f>IFERROR($BP32/$BP33-1,"")</f>
        <v/>
      </c>
      <c r="FB32" s="58">
        <f>IFERROR($BQ32/$BQ33-1,"")</f>
        <v/>
      </c>
      <c r="FC32" s="58">
        <f>IFERROR($BR32/$BR33-1,"")</f>
        <v/>
      </c>
      <c r="FD32" s="58">
        <f>IFERROR($BS32/$BS33-1,"")</f>
        <v/>
      </c>
      <c r="FE32" s="58">
        <f>IFERROR($BT32/$BT33-1,"")</f>
        <v/>
      </c>
      <c r="FF32" s="58">
        <f>IFERROR($BU32/$BU33-1,"")</f>
        <v/>
      </c>
      <c r="FG32" s="58">
        <f>IFERROR($BV32/$BV33-1,"")</f>
        <v/>
      </c>
      <c r="FH32" s="58">
        <f>IFERROR($BW32/$BW33-1,"")</f>
        <v/>
      </c>
      <c r="FI32" s="58">
        <f>IFERROR($BX32/$BX33-1,"")</f>
        <v/>
      </c>
      <c r="FJ32" s="59">
        <f>$BY32-$BY33</f>
        <v/>
      </c>
      <c r="FK32" s="59">
        <f>$BZ32-$BZ33</f>
        <v/>
      </c>
      <c r="FL32" s="59">
        <f>$CA32-$CA33</f>
        <v/>
      </c>
      <c r="FM32" s="59">
        <f>$CB32-$CB33</f>
        <v/>
      </c>
      <c r="FN32" s="59">
        <f>$CC32-$CC33</f>
        <v/>
      </c>
      <c r="FO32" s="59">
        <f>$CD32-$CD33</f>
        <v/>
      </c>
      <c r="FP32" s="59">
        <f>$CE32-$CE33</f>
        <v/>
      </c>
      <c r="FQ32" s="59">
        <f>$CF32-$CF33</f>
        <v/>
      </c>
      <c r="FR32" s="59">
        <f>$CG32-$CG33</f>
        <v/>
      </c>
      <c r="FS32" s="59">
        <f>$CH32-$CH33</f>
        <v/>
      </c>
      <c r="FT32" s="59">
        <f>$CI32-$CI33</f>
        <v/>
      </c>
      <c r="FU32" s="59">
        <f>$CJ32-$CJ33</f>
        <v/>
      </c>
      <c r="FV32" s="59">
        <f>$CK32-$CK33</f>
        <v/>
      </c>
      <c r="FW32" s="59">
        <f>$CL32-$CL33</f>
        <v/>
      </c>
      <c r="FX32" s="59">
        <f>$CM32-$CM33</f>
        <v/>
      </c>
      <c r="FY32" s="59">
        <f>$CN32-$CN33</f>
        <v/>
      </c>
      <c r="FZ32" s="59">
        <f>$CO32-$CO33</f>
        <v/>
      </c>
      <c r="GA32" s="59">
        <f>$CP32-$CP33</f>
        <v/>
      </c>
      <c r="GB32" s="59">
        <f>$CQ32-$CQ33</f>
        <v/>
      </c>
      <c r="GC32" s="59">
        <f>$CR32-$CR33</f>
        <v/>
      </c>
      <c r="GD32" s="59">
        <f>$CS32-$CS33</f>
        <v/>
      </c>
      <c r="GE32" s="59">
        <f>$CT32-$CT33</f>
        <v/>
      </c>
    </row>
    <row r="33">
      <c r="CU33" s="58">
        <f>IFERROR($B33/$B34-1,"")</f>
        <v/>
      </c>
      <c r="CV33" s="59">
        <f>($F33-$F34)*100</f>
        <v/>
      </c>
      <c r="CW33" s="59">
        <f>($E33-$E34)*100</f>
        <v/>
      </c>
      <c r="CX33" s="58">
        <f>IFERROR($K33/$K34-1,"")</f>
        <v/>
      </c>
      <c r="CY33" s="59">
        <f>($AH33-$AH34)*100</f>
        <v/>
      </c>
      <c r="CZ33" s="59">
        <f>($AI33-$AI34)*100</f>
        <v/>
      </c>
      <c r="DA33" s="59">
        <f>($AJ33-$AJ34)*100</f>
        <v/>
      </c>
      <c r="DB33" s="59">
        <f>($AK33-$AK34)*100</f>
        <v/>
      </c>
      <c r="DC33" s="59">
        <f>($AL33-$AL34)*100</f>
        <v/>
      </c>
      <c r="DD33" s="59">
        <f>($AM33-$AM34)*100</f>
        <v/>
      </c>
      <c r="DE33" s="59">
        <f>($AN33-$AN34)*100</f>
        <v/>
      </c>
      <c r="DF33" s="59">
        <f>($AO33-$AO34)*100</f>
        <v/>
      </c>
      <c r="DG33" s="59">
        <f>($AP33-$AP34)*100</f>
        <v/>
      </c>
      <c r="DH33" s="59">
        <f>($AQ33-$AQ34)*100</f>
        <v/>
      </c>
      <c r="DI33" s="59">
        <f>($AR33-$AR34)*100</f>
        <v/>
      </c>
      <c r="DJ33" s="59">
        <f>($AS33-$AS34)*100</f>
        <v/>
      </c>
      <c r="DK33" s="59">
        <f>($AT33-$AT34)*100</f>
        <v/>
      </c>
      <c r="DL33" s="59">
        <f>($AU33-$AU34)*100</f>
        <v/>
      </c>
      <c r="DM33" s="59">
        <f>($AV33-$AV34)*100</f>
        <v/>
      </c>
      <c r="DN33" s="59">
        <f>($AW33-$AW34)*100</f>
        <v/>
      </c>
      <c r="DO33" s="59">
        <f>($AX33-$AX34)*100</f>
        <v/>
      </c>
      <c r="DP33" s="59">
        <f>($AY33-$AY34)*100</f>
        <v/>
      </c>
      <c r="DQ33" s="59">
        <f>($AZ33-$AZ34)*100</f>
        <v/>
      </c>
      <c r="DR33" s="59">
        <f>($BA33-$BA34)*100</f>
        <v/>
      </c>
      <c r="DS33" s="58">
        <f>IFERROR($N34/$N33-1,"")</f>
        <v/>
      </c>
      <c r="DT33" s="58">
        <f>IFERROR($O34/$O33-1,"")</f>
        <v/>
      </c>
      <c r="DU33" s="58">
        <f>IFERROR($P34/$P33-1,"")</f>
        <v/>
      </c>
      <c r="DV33" s="58">
        <f>IFERROR($Q34/$Q33-1,"")</f>
        <v/>
      </c>
      <c r="DW33" s="58">
        <f>IFERROR($R34/$R33-1,"")</f>
        <v/>
      </c>
      <c r="DX33" s="58">
        <f>IFERROR($S34/$S33-1,"")</f>
        <v/>
      </c>
      <c r="DY33" s="58">
        <f>IFERROR($T34/$T33-1,"")</f>
        <v/>
      </c>
      <c r="DZ33" s="58">
        <f>IFERROR($U34/$U33-1,"")</f>
        <v/>
      </c>
      <c r="EA33" s="58">
        <f>IFERROR($V34/$V33-1,"")</f>
        <v/>
      </c>
      <c r="EB33" s="58">
        <f>IFERROR($W34/$W33-1,"")</f>
        <v/>
      </c>
      <c r="EC33" s="58">
        <f>IFERROR($X34/$X33-1,"")</f>
        <v/>
      </c>
      <c r="ED33" s="58">
        <f>IFERROR($Y34/$Y33-1,"")</f>
        <v/>
      </c>
      <c r="EE33" s="58">
        <f>IFERROR($Z34/$Z33-1,"")</f>
        <v/>
      </c>
      <c r="EF33" s="58">
        <f>IFERROR($AA34/$AA33-1,"")</f>
        <v/>
      </c>
      <c r="EG33" s="58">
        <f>IFERROR($AB34/$AB33-1,"")</f>
        <v/>
      </c>
      <c r="EH33" s="58">
        <f>IFERROR($AC34/$AC33-1,"")</f>
        <v/>
      </c>
      <c r="EI33" s="58">
        <f>IFERROR($AD34/$AD33-1,"")</f>
        <v/>
      </c>
      <c r="EJ33" s="58">
        <f>IFERROR($AE34/$AE33-1,"")</f>
        <v/>
      </c>
      <c r="EK33" s="58">
        <f>IFERROR($AF34/$AF33-1,"")</f>
        <v/>
      </c>
      <c r="EL33" s="58">
        <f>IFERROR($AG34/$AG33-1,"")</f>
        <v/>
      </c>
      <c r="EM33" s="58">
        <f>IFERROR($BB33/$BB34-1,"")</f>
        <v/>
      </c>
      <c r="EN33" s="58">
        <f>IFERROR($BC33/$BC34-1,"")</f>
        <v/>
      </c>
      <c r="EO33" s="58">
        <f>IFERROR($BD33/$BD34-1,"")</f>
        <v/>
      </c>
      <c r="EP33" s="58">
        <f>IFERROR($BE33/$BE34-1,"")</f>
        <v/>
      </c>
      <c r="EQ33" s="58">
        <f>IFERROR($BF33/$BF34-1,"")</f>
        <v/>
      </c>
      <c r="ER33" s="58">
        <f>IFERROR($BG33/$BG34-1,"")</f>
        <v/>
      </c>
      <c r="ES33" s="58">
        <f>IFERROR($BH33/$BH34-1,"")</f>
        <v/>
      </c>
      <c r="ET33" s="58">
        <f>IFERROR($BI33/$BI34-1,"")</f>
        <v/>
      </c>
      <c r="EU33" s="58">
        <f>IFERROR($BJ33/$BJ34-1,"")</f>
        <v/>
      </c>
      <c r="EV33" s="58">
        <f>IFERROR($BK33/$BK34-1,"")</f>
        <v/>
      </c>
      <c r="EW33" s="58">
        <f>IFERROR($BL33/$BL34-1,"")</f>
        <v/>
      </c>
      <c r="EX33" s="58">
        <f>IFERROR($BM33/$BM34-1,"")</f>
        <v/>
      </c>
      <c r="EY33" s="58">
        <f>IFERROR($BN33/$BN34-1,"")</f>
        <v/>
      </c>
      <c r="EZ33" s="58">
        <f>IFERROR($BO33/$BO34-1,"")</f>
        <v/>
      </c>
      <c r="FA33" s="58">
        <f>IFERROR($BP33/$BP34-1,"")</f>
        <v/>
      </c>
      <c r="FB33" s="58">
        <f>IFERROR($BQ33/$BQ34-1,"")</f>
        <v/>
      </c>
      <c r="FC33" s="58">
        <f>IFERROR($BR33/$BR34-1,"")</f>
        <v/>
      </c>
      <c r="FD33" s="58">
        <f>IFERROR($BS33/$BS34-1,"")</f>
        <v/>
      </c>
      <c r="FE33" s="58">
        <f>IFERROR($BT33/$BT34-1,"")</f>
        <v/>
      </c>
      <c r="FF33" s="58">
        <f>IFERROR($BU33/$BU34-1,"")</f>
        <v/>
      </c>
      <c r="FG33" s="58">
        <f>IFERROR($BV33/$BV34-1,"")</f>
        <v/>
      </c>
      <c r="FH33" s="58">
        <f>IFERROR($BW33/$BW34-1,"")</f>
        <v/>
      </c>
      <c r="FI33" s="58">
        <f>IFERROR($BX33/$BX34-1,"")</f>
        <v/>
      </c>
      <c r="FJ33" s="59">
        <f>$BY33-$BY34</f>
        <v/>
      </c>
      <c r="FK33" s="59">
        <f>$BZ33-$BZ34</f>
        <v/>
      </c>
      <c r="FL33" s="59">
        <f>$CA33-$CA34</f>
        <v/>
      </c>
      <c r="FM33" s="59">
        <f>$CB33-$CB34</f>
        <v/>
      </c>
      <c r="FN33" s="59">
        <f>$CC33-$CC34</f>
        <v/>
      </c>
      <c r="FO33" s="59">
        <f>$CD33-$CD34</f>
        <v/>
      </c>
      <c r="FP33" s="59">
        <f>$CE33-$CE34</f>
        <v/>
      </c>
      <c r="FQ33" s="59">
        <f>$CF33-$CF34</f>
        <v/>
      </c>
      <c r="FR33" s="59">
        <f>$CG33-$CG34</f>
        <v/>
      </c>
      <c r="FS33" s="59">
        <f>$CH33-$CH34</f>
        <v/>
      </c>
      <c r="FT33" s="59">
        <f>$CI33-$CI34</f>
        <v/>
      </c>
      <c r="FU33" s="59">
        <f>$CJ33-$CJ34</f>
        <v/>
      </c>
      <c r="FV33" s="59">
        <f>$CK33-$CK34</f>
        <v/>
      </c>
      <c r="FW33" s="59">
        <f>$CL33-$CL34</f>
        <v/>
      </c>
      <c r="FX33" s="59">
        <f>$CM33-$CM34</f>
        <v/>
      </c>
      <c r="FY33" s="59">
        <f>$CN33-$CN34</f>
        <v/>
      </c>
      <c r="FZ33" s="59">
        <f>$CO33-$CO34</f>
        <v/>
      </c>
      <c r="GA33" s="59">
        <f>$CP33-$CP34</f>
        <v/>
      </c>
      <c r="GB33" s="59">
        <f>$CQ33-$CQ34</f>
        <v/>
      </c>
      <c r="GC33" s="59">
        <f>$CR33-$CR34</f>
        <v/>
      </c>
      <c r="GD33" s="59">
        <f>$CS33-$CS34</f>
        <v/>
      </c>
      <c r="GE33" s="59">
        <f>$CT33-$CT34</f>
        <v/>
      </c>
    </row>
    <row r="34">
      <c r="CU34" s="58">
        <f>IFERROR($B34/$B35-1,"")</f>
        <v/>
      </c>
      <c r="CV34" s="59">
        <f>($F34-$F35)*100</f>
        <v/>
      </c>
      <c r="CW34" s="59">
        <f>($E34-$E35)*100</f>
        <v/>
      </c>
      <c r="CX34" s="58">
        <f>IFERROR($K34/$K35-1,"")</f>
        <v/>
      </c>
      <c r="CY34" s="59">
        <f>($AH34-$AH35)*100</f>
        <v/>
      </c>
      <c r="CZ34" s="59">
        <f>($AI34-$AI35)*100</f>
        <v/>
      </c>
      <c r="DA34" s="59">
        <f>($AJ34-$AJ35)*100</f>
        <v/>
      </c>
      <c r="DB34" s="59">
        <f>($AK34-$AK35)*100</f>
        <v/>
      </c>
      <c r="DC34" s="59">
        <f>($AL34-$AL35)*100</f>
        <v/>
      </c>
      <c r="DD34" s="59">
        <f>($AM34-$AM35)*100</f>
        <v/>
      </c>
      <c r="DE34" s="59">
        <f>($AN34-$AN35)*100</f>
        <v/>
      </c>
      <c r="DF34" s="59">
        <f>($AO34-$AO35)*100</f>
        <v/>
      </c>
      <c r="DG34" s="59">
        <f>($AP34-$AP35)*100</f>
        <v/>
      </c>
      <c r="DH34" s="59">
        <f>($AQ34-$AQ35)*100</f>
        <v/>
      </c>
      <c r="DI34" s="59">
        <f>($AR34-$AR35)*100</f>
        <v/>
      </c>
      <c r="DJ34" s="59">
        <f>($AS34-$AS35)*100</f>
        <v/>
      </c>
      <c r="DK34" s="59">
        <f>($AT34-$AT35)*100</f>
        <v/>
      </c>
      <c r="DL34" s="59">
        <f>($AU34-$AU35)*100</f>
        <v/>
      </c>
      <c r="DM34" s="59">
        <f>($AV34-$AV35)*100</f>
        <v/>
      </c>
      <c r="DN34" s="59">
        <f>($AW34-$AW35)*100</f>
        <v/>
      </c>
      <c r="DO34" s="59">
        <f>($AX34-$AX35)*100</f>
        <v/>
      </c>
      <c r="DP34" s="59">
        <f>($AY34-$AY35)*100</f>
        <v/>
      </c>
      <c r="DQ34" s="59">
        <f>($AZ34-$AZ35)*100</f>
        <v/>
      </c>
      <c r="DR34" s="59">
        <f>($BA34-$BA35)*100</f>
        <v/>
      </c>
      <c r="DS34" s="58">
        <f>IFERROR($N35/$N34-1,"")</f>
        <v/>
      </c>
      <c r="DT34" s="58">
        <f>IFERROR($O35/$O34-1,"")</f>
        <v/>
      </c>
      <c r="DU34" s="58">
        <f>IFERROR($P35/$P34-1,"")</f>
        <v/>
      </c>
      <c r="DV34" s="58">
        <f>IFERROR($Q35/$Q34-1,"")</f>
        <v/>
      </c>
      <c r="DW34" s="58">
        <f>IFERROR($R35/$R34-1,"")</f>
        <v/>
      </c>
      <c r="DX34" s="58">
        <f>IFERROR($S35/$S34-1,"")</f>
        <v/>
      </c>
      <c r="DY34" s="58">
        <f>IFERROR($T35/$T34-1,"")</f>
        <v/>
      </c>
      <c r="DZ34" s="58">
        <f>IFERROR($U35/$U34-1,"")</f>
        <v/>
      </c>
      <c r="EA34" s="58">
        <f>IFERROR($V35/$V34-1,"")</f>
        <v/>
      </c>
      <c r="EB34" s="58">
        <f>IFERROR($W35/$W34-1,"")</f>
        <v/>
      </c>
      <c r="EC34" s="58">
        <f>IFERROR($X35/$X34-1,"")</f>
        <v/>
      </c>
      <c r="ED34" s="58">
        <f>IFERROR($Y35/$Y34-1,"")</f>
        <v/>
      </c>
      <c r="EE34" s="58">
        <f>IFERROR($Z35/$Z34-1,"")</f>
        <v/>
      </c>
      <c r="EF34" s="58">
        <f>IFERROR($AA35/$AA34-1,"")</f>
        <v/>
      </c>
      <c r="EG34" s="58">
        <f>IFERROR($AB35/$AB34-1,"")</f>
        <v/>
      </c>
      <c r="EH34" s="58">
        <f>IFERROR($AC35/$AC34-1,"")</f>
        <v/>
      </c>
      <c r="EI34" s="58">
        <f>IFERROR($AD35/$AD34-1,"")</f>
        <v/>
      </c>
      <c r="EJ34" s="58">
        <f>IFERROR($AE35/$AE34-1,"")</f>
        <v/>
      </c>
      <c r="EK34" s="58">
        <f>IFERROR($AF35/$AF34-1,"")</f>
        <v/>
      </c>
      <c r="EL34" s="58">
        <f>IFERROR($AG35/$AG34-1,"")</f>
        <v/>
      </c>
      <c r="EM34" s="58">
        <f>IFERROR($BB34/$BB35-1,"")</f>
        <v/>
      </c>
      <c r="EN34" s="58">
        <f>IFERROR($BC34/$BC35-1,"")</f>
        <v/>
      </c>
      <c r="EO34" s="58">
        <f>IFERROR($BD34/$BD35-1,"")</f>
        <v/>
      </c>
      <c r="EP34" s="58">
        <f>IFERROR($BE34/$BE35-1,"")</f>
        <v/>
      </c>
      <c r="EQ34" s="58">
        <f>IFERROR($BF34/$BF35-1,"")</f>
        <v/>
      </c>
      <c r="ER34" s="58">
        <f>IFERROR($BG34/$BG35-1,"")</f>
        <v/>
      </c>
      <c r="ES34" s="58">
        <f>IFERROR($BH34/$BH35-1,"")</f>
        <v/>
      </c>
      <c r="ET34" s="58">
        <f>IFERROR($BI34/$BI35-1,"")</f>
        <v/>
      </c>
      <c r="EU34" s="58">
        <f>IFERROR($BJ34/$BJ35-1,"")</f>
        <v/>
      </c>
      <c r="EV34" s="58">
        <f>IFERROR($BK34/$BK35-1,"")</f>
        <v/>
      </c>
      <c r="EW34" s="58">
        <f>IFERROR($BL34/$BL35-1,"")</f>
        <v/>
      </c>
      <c r="EX34" s="58">
        <f>IFERROR($BM34/$BM35-1,"")</f>
        <v/>
      </c>
      <c r="EY34" s="58">
        <f>IFERROR($BN34/$BN35-1,"")</f>
        <v/>
      </c>
      <c r="EZ34" s="58">
        <f>IFERROR($BO34/$BO35-1,"")</f>
        <v/>
      </c>
      <c r="FA34" s="58">
        <f>IFERROR($BP34/$BP35-1,"")</f>
        <v/>
      </c>
      <c r="FB34" s="58">
        <f>IFERROR($BQ34/$BQ35-1,"")</f>
        <v/>
      </c>
      <c r="FC34" s="58">
        <f>IFERROR($BR34/$BR35-1,"")</f>
        <v/>
      </c>
      <c r="FD34" s="58">
        <f>IFERROR($BS34/$BS35-1,"")</f>
        <v/>
      </c>
      <c r="FE34" s="58">
        <f>IFERROR($BT34/$BT35-1,"")</f>
        <v/>
      </c>
      <c r="FF34" s="58">
        <f>IFERROR($BU34/$BU35-1,"")</f>
        <v/>
      </c>
      <c r="FG34" s="58">
        <f>IFERROR($BV34/$BV35-1,"")</f>
        <v/>
      </c>
      <c r="FH34" s="58">
        <f>IFERROR($BW34/$BW35-1,"")</f>
        <v/>
      </c>
      <c r="FI34" s="58">
        <f>IFERROR($BX34/$BX35-1,"")</f>
        <v/>
      </c>
      <c r="FJ34" s="59">
        <f>$BY34-$BY35</f>
        <v/>
      </c>
      <c r="FK34" s="59">
        <f>$BZ34-$BZ35</f>
        <v/>
      </c>
      <c r="FL34" s="59">
        <f>$CA34-$CA35</f>
        <v/>
      </c>
      <c r="FM34" s="59">
        <f>$CB34-$CB35</f>
        <v/>
      </c>
      <c r="FN34" s="59">
        <f>$CC34-$CC35</f>
        <v/>
      </c>
      <c r="FO34" s="59">
        <f>$CD34-$CD35</f>
        <v/>
      </c>
      <c r="FP34" s="59">
        <f>$CE34-$CE35</f>
        <v/>
      </c>
      <c r="FQ34" s="59">
        <f>$CF34-$CF35</f>
        <v/>
      </c>
      <c r="FR34" s="59">
        <f>$CG34-$CG35</f>
        <v/>
      </c>
      <c r="FS34" s="59">
        <f>$CH34-$CH35</f>
        <v/>
      </c>
      <c r="FT34" s="59">
        <f>$CI34-$CI35</f>
        <v/>
      </c>
      <c r="FU34" s="59">
        <f>$CJ34-$CJ35</f>
        <v/>
      </c>
      <c r="FV34" s="59">
        <f>$CK34-$CK35</f>
        <v/>
      </c>
      <c r="FW34" s="59">
        <f>$CL34-$CL35</f>
        <v/>
      </c>
      <c r="FX34" s="59">
        <f>$CM34-$CM35</f>
        <v/>
      </c>
      <c r="FY34" s="59">
        <f>$CN34-$CN35</f>
        <v/>
      </c>
      <c r="FZ34" s="59">
        <f>$CO34-$CO35</f>
        <v/>
      </c>
      <c r="GA34" s="59">
        <f>$CP34-$CP35</f>
        <v/>
      </c>
      <c r="GB34" s="59">
        <f>$CQ34-$CQ35</f>
        <v/>
      </c>
      <c r="GC34" s="59">
        <f>$CR34-$CR35</f>
        <v/>
      </c>
      <c r="GD34" s="59">
        <f>$CS34-$CS35</f>
        <v/>
      </c>
      <c r="GE34" s="59">
        <f>$CT34-$CT35</f>
        <v/>
      </c>
    </row>
    <row r="35">
      <c r="CU35" s="58">
        <f>IFERROR($B35/$B36-1,"")</f>
        <v/>
      </c>
      <c r="CV35" s="59">
        <f>($F35-$F36)*100</f>
        <v/>
      </c>
      <c r="CW35" s="59">
        <f>($E35-$E36)*100</f>
        <v/>
      </c>
      <c r="CX35" s="58">
        <f>IFERROR($K35/$K36-1,"")</f>
        <v/>
      </c>
      <c r="CY35" s="59">
        <f>($AH35-$AH36)*100</f>
        <v/>
      </c>
      <c r="CZ35" s="59">
        <f>($AI35-$AI36)*100</f>
        <v/>
      </c>
      <c r="DA35" s="59">
        <f>($AJ35-$AJ36)*100</f>
        <v/>
      </c>
      <c r="DB35" s="59">
        <f>($AK35-$AK36)*100</f>
        <v/>
      </c>
      <c r="DC35" s="59">
        <f>($AL35-$AL36)*100</f>
        <v/>
      </c>
      <c r="DD35" s="59">
        <f>($AM35-$AM36)*100</f>
        <v/>
      </c>
      <c r="DE35" s="59">
        <f>($AN35-$AN36)*100</f>
        <v/>
      </c>
      <c r="DF35" s="59">
        <f>($AO35-$AO36)*100</f>
        <v/>
      </c>
      <c r="DG35" s="59">
        <f>($AP35-$AP36)*100</f>
        <v/>
      </c>
      <c r="DH35" s="59">
        <f>($AQ35-$AQ36)*100</f>
        <v/>
      </c>
      <c r="DI35" s="59">
        <f>($AR35-$AR36)*100</f>
        <v/>
      </c>
      <c r="DJ35" s="59">
        <f>($AS35-$AS36)*100</f>
        <v/>
      </c>
      <c r="DK35" s="59">
        <f>($AT35-$AT36)*100</f>
        <v/>
      </c>
      <c r="DL35" s="59">
        <f>($AU35-$AU36)*100</f>
        <v/>
      </c>
      <c r="DM35" s="59">
        <f>($AV35-$AV36)*100</f>
        <v/>
      </c>
      <c r="DN35" s="59">
        <f>($AW35-$AW36)*100</f>
        <v/>
      </c>
      <c r="DO35" s="59">
        <f>($AX35-$AX36)*100</f>
        <v/>
      </c>
      <c r="DP35" s="59">
        <f>($AY35-$AY36)*100</f>
        <v/>
      </c>
      <c r="DQ35" s="59">
        <f>($AZ35-$AZ36)*100</f>
        <v/>
      </c>
      <c r="DR35" s="59">
        <f>($BA35-$BA36)*100</f>
        <v/>
      </c>
      <c r="DS35" s="58">
        <f>IFERROR($N36/$N35-1,"")</f>
        <v/>
      </c>
      <c r="DT35" s="58">
        <f>IFERROR($O36/$O35-1,"")</f>
        <v/>
      </c>
      <c r="DU35" s="58">
        <f>IFERROR($P36/$P35-1,"")</f>
        <v/>
      </c>
      <c r="DV35" s="58">
        <f>IFERROR($Q36/$Q35-1,"")</f>
        <v/>
      </c>
      <c r="DW35" s="58">
        <f>IFERROR($R36/$R35-1,"")</f>
        <v/>
      </c>
      <c r="DX35" s="58">
        <f>IFERROR($S36/$S35-1,"")</f>
        <v/>
      </c>
      <c r="DY35" s="58">
        <f>IFERROR($T36/$T35-1,"")</f>
        <v/>
      </c>
      <c r="DZ35" s="58">
        <f>IFERROR($U36/$U35-1,"")</f>
        <v/>
      </c>
      <c r="EA35" s="58">
        <f>IFERROR($V36/$V35-1,"")</f>
        <v/>
      </c>
      <c r="EB35" s="58">
        <f>IFERROR($W36/$W35-1,"")</f>
        <v/>
      </c>
      <c r="EC35" s="58">
        <f>IFERROR($X36/$X35-1,"")</f>
        <v/>
      </c>
      <c r="ED35" s="58">
        <f>IFERROR($Y36/$Y35-1,"")</f>
        <v/>
      </c>
      <c r="EE35" s="58">
        <f>IFERROR($Z36/$Z35-1,"")</f>
        <v/>
      </c>
      <c r="EF35" s="58">
        <f>IFERROR($AA36/$AA35-1,"")</f>
        <v/>
      </c>
      <c r="EG35" s="58">
        <f>IFERROR($AB36/$AB35-1,"")</f>
        <v/>
      </c>
      <c r="EH35" s="58">
        <f>IFERROR($AC36/$AC35-1,"")</f>
        <v/>
      </c>
      <c r="EI35" s="58">
        <f>IFERROR($AD36/$AD35-1,"")</f>
        <v/>
      </c>
      <c r="EJ35" s="58">
        <f>IFERROR($AE36/$AE35-1,"")</f>
        <v/>
      </c>
      <c r="EK35" s="58">
        <f>IFERROR($AF36/$AF35-1,"")</f>
        <v/>
      </c>
      <c r="EL35" s="58">
        <f>IFERROR($AG36/$AG35-1,"")</f>
        <v/>
      </c>
      <c r="EM35" s="58">
        <f>IFERROR($BB35/$BB36-1,"")</f>
        <v/>
      </c>
      <c r="EN35" s="58">
        <f>IFERROR($BC35/$BC36-1,"")</f>
        <v/>
      </c>
      <c r="EO35" s="58">
        <f>IFERROR($BD35/$BD36-1,"")</f>
        <v/>
      </c>
      <c r="EP35" s="58">
        <f>IFERROR($BE35/$BE36-1,"")</f>
        <v/>
      </c>
      <c r="EQ35" s="58">
        <f>IFERROR($BF35/$BF36-1,"")</f>
        <v/>
      </c>
      <c r="ER35" s="58">
        <f>IFERROR($BG35/$BG36-1,"")</f>
        <v/>
      </c>
      <c r="ES35" s="58">
        <f>IFERROR($BH35/$BH36-1,"")</f>
        <v/>
      </c>
      <c r="ET35" s="58">
        <f>IFERROR($BI35/$BI36-1,"")</f>
        <v/>
      </c>
      <c r="EU35" s="58">
        <f>IFERROR($BJ35/$BJ36-1,"")</f>
        <v/>
      </c>
      <c r="EV35" s="58">
        <f>IFERROR($BK35/$BK36-1,"")</f>
        <v/>
      </c>
      <c r="EW35" s="58">
        <f>IFERROR($BL35/$BL36-1,"")</f>
        <v/>
      </c>
      <c r="EX35" s="58">
        <f>IFERROR($BM35/$BM36-1,"")</f>
        <v/>
      </c>
      <c r="EY35" s="58">
        <f>IFERROR($BN35/$BN36-1,"")</f>
        <v/>
      </c>
      <c r="EZ35" s="58">
        <f>IFERROR($BO35/$BO36-1,"")</f>
        <v/>
      </c>
      <c r="FA35" s="58">
        <f>IFERROR($BP35/$BP36-1,"")</f>
        <v/>
      </c>
      <c r="FB35" s="58">
        <f>IFERROR($BQ35/$BQ36-1,"")</f>
        <v/>
      </c>
      <c r="FC35" s="58">
        <f>IFERROR($BR35/$BR36-1,"")</f>
        <v/>
      </c>
      <c r="FD35" s="58">
        <f>IFERROR($BS35/$BS36-1,"")</f>
        <v/>
      </c>
      <c r="FE35" s="58">
        <f>IFERROR($BT35/$BT36-1,"")</f>
        <v/>
      </c>
      <c r="FF35" s="58">
        <f>IFERROR($BU35/$BU36-1,"")</f>
        <v/>
      </c>
      <c r="FG35" s="58">
        <f>IFERROR($BV35/$BV36-1,"")</f>
        <v/>
      </c>
      <c r="FH35" s="58">
        <f>IFERROR($BW35/$BW36-1,"")</f>
        <v/>
      </c>
      <c r="FI35" s="58">
        <f>IFERROR($BX35/$BX36-1,"")</f>
        <v/>
      </c>
      <c r="FJ35" s="59">
        <f>$BY35-$BY36</f>
        <v/>
      </c>
      <c r="FK35" s="59">
        <f>$BZ35-$BZ36</f>
        <v/>
      </c>
      <c r="FL35" s="59">
        <f>$CA35-$CA36</f>
        <v/>
      </c>
      <c r="FM35" s="59">
        <f>$CB35-$CB36</f>
        <v/>
      </c>
      <c r="FN35" s="59">
        <f>$CC35-$CC36</f>
        <v/>
      </c>
      <c r="FO35" s="59">
        <f>$CD35-$CD36</f>
        <v/>
      </c>
      <c r="FP35" s="59">
        <f>$CE35-$CE36</f>
        <v/>
      </c>
      <c r="FQ35" s="59">
        <f>$CF35-$CF36</f>
        <v/>
      </c>
      <c r="FR35" s="59">
        <f>$CG35-$CG36</f>
        <v/>
      </c>
      <c r="FS35" s="59">
        <f>$CH35-$CH36</f>
        <v/>
      </c>
      <c r="FT35" s="59">
        <f>$CI35-$CI36</f>
        <v/>
      </c>
      <c r="FU35" s="59">
        <f>$CJ35-$CJ36</f>
        <v/>
      </c>
      <c r="FV35" s="59">
        <f>$CK35-$CK36</f>
        <v/>
      </c>
      <c r="FW35" s="59">
        <f>$CL35-$CL36</f>
        <v/>
      </c>
      <c r="FX35" s="59">
        <f>$CM35-$CM36</f>
        <v/>
      </c>
      <c r="FY35" s="59">
        <f>$CN35-$CN36</f>
        <v/>
      </c>
      <c r="FZ35" s="59">
        <f>$CO35-$CO36</f>
        <v/>
      </c>
      <c r="GA35" s="59">
        <f>$CP35-$CP36</f>
        <v/>
      </c>
      <c r="GB35" s="59">
        <f>$CQ35-$CQ36</f>
        <v/>
      </c>
      <c r="GC35" s="59">
        <f>$CR35-$CR36</f>
        <v/>
      </c>
      <c r="GD35" s="59">
        <f>$CS35-$CS36</f>
        <v/>
      </c>
      <c r="GE35" s="59">
        <f>$CT35-$CT36</f>
        <v/>
      </c>
    </row>
    <row r="36">
      <c r="CU36" s="58">
        <f>IFERROR($B36/$B37-1,"")</f>
        <v/>
      </c>
      <c r="CV36" s="59">
        <f>($F36-$F37)*100</f>
        <v/>
      </c>
      <c r="CW36" s="59">
        <f>($E36-$E37)*100</f>
        <v/>
      </c>
      <c r="CX36" s="58">
        <f>IFERROR($K36/$K37-1,"")</f>
        <v/>
      </c>
      <c r="CY36" s="59">
        <f>($AH36-$AH37)*100</f>
        <v/>
      </c>
      <c r="CZ36" s="59">
        <f>($AI36-$AI37)*100</f>
        <v/>
      </c>
      <c r="DA36" s="59">
        <f>($AJ36-$AJ37)*100</f>
        <v/>
      </c>
      <c r="DB36" s="59">
        <f>($AK36-$AK37)*100</f>
        <v/>
      </c>
      <c r="DC36" s="59">
        <f>($AL36-$AL37)*100</f>
        <v/>
      </c>
      <c r="DD36" s="59">
        <f>($AM36-$AM37)*100</f>
        <v/>
      </c>
      <c r="DE36" s="59">
        <f>($AN36-$AN37)*100</f>
        <v/>
      </c>
      <c r="DF36" s="59">
        <f>($AO36-$AO37)*100</f>
        <v/>
      </c>
      <c r="DG36" s="59">
        <f>($AP36-$AP37)*100</f>
        <v/>
      </c>
      <c r="DH36" s="59">
        <f>($AQ36-$AQ37)*100</f>
        <v/>
      </c>
      <c r="DI36" s="59">
        <f>($AR36-$AR37)*100</f>
        <v/>
      </c>
      <c r="DJ36" s="59">
        <f>($AS36-$AS37)*100</f>
        <v/>
      </c>
      <c r="DK36" s="59">
        <f>($AT36-$AT37)*100</f>
        <v/>
      </c>
      <c r="DL36" s="59">
        <f>($AU36-$AU37)*100</f>
        <v/>
      </c>
      <c r="DM36" s="59">
        <f>($AV36-$AV37)*100</f>
        <v/>
      </c>
      <c r="DN36" s="59">
        <f>($AW36-$AW37)*100</f>
        <v/>
      </c>
      <c r="DO36" s="59">
        <f>($AX36-$AX37)*100</f>
        <v/>
      </c>
      <c r="DP36" s="59">
        <f>($AY36-$AY37)*100</f>
        <v/>
      </c>
      <c r="DQ36" s="59">
        <f>($AZ36-$AZ37)*100</f>
        <v/>
      </c>
      <c r="DR36" s="59">
        <f>($BA36-$BA37)*100</f>
        <v/>
      </c>
      <c r="DS36" s="58">
        <f>IFERROR($N37/$N36-1,"")</f>
        <v/>
      </c>
      <c r="DT36" s="58">
        <f>IFERROR($O37/$O36-1,"")</f>
        <v/>
      </c>
      <c r="DU36" s="58">
        <f>IFERROR($P37/$P36-1,"")</f>
        <v/>
      </c>
      <c r="DV36" s="58">
        <f>IFERROR($Q37/$Q36-1,"")</f>
        <v/>
      </c>
      <c r="DW36" s="58">
        <f>IFERROR($R37/$R36-1,"")</f>
        <v/>
      </c>
      <c r="DX36" s="58">
        <f>IFERROR($S37/$S36-1,"")</f>
        <v/>
      </c>
      <c r="DY36" s="58">
        <f>IFERROR($T37/$T36-1,"")</f>
        <v/>
      </c>
      <c r="DZ36" s="58">
        <f>IFERROR($U37/$U36-1,"")</f>
        <v/>
      </c>
      <c r="EA36" s="58">
        <f>IFERROR($V37/$V36-1,"")</f>
        <v/>
      </c>
      <c r="EB36" s="58">
        <f>IFERROR($W37/$W36-1,"")</f>
        <v/>
      </c>
      <c r="EC36" s="58">
        <f>IFERROR($X37/$X36-1,"")</f>
        <v/>
      </c>
      <c r="ED36" s="58">
        <f>IFERROR($Y37/$Y36-1,"")</f>
        <v/>
      </c>
      <c r="EE36" s="58">
        <f>IFERROR($Z37/$Z36-1,"")</f>
        <v/>
      </c>
      <c r="EF36" s="58">
        <f>IFERROR($AA37/$AA36-1,"")</f>
        <v/>
      </c>
      <c r="EG36" s="58">
        <f>IFERROR($AB37/$AB36-1,"")</f>
        <v/>
      </c>
      <c r="EH36" s="58">
        <f>IFERROR($AC37/$AC36-1,"")</f>
        <v/>
      </c>
      <c r="EI36" s="58">
        <f>IFERROR($AD37/$AD36-1,"")</f>
        <v/>
      </c>
      <c r="EJ36" s="58">
        <f>IFERROR($AE37/$AE36-1,"")</f>
        <v/>
      </c>
      <c r="EK36" s="58">
        <f>IFERROR($AF37/$AF36-1,"")</f>
        <v/>
      </c>
      <c r="EL36" s="58">
        <f>IFERROR($AG37/$AG36-1,"")</f>
        <v/>
      </c>
      <c r="EM36" s="58">
        <f>IFERROR($BB36/$BB37-1,"")</f>
        <v/>
      </c>
      <c r="EN36" s="58">
        <f>IFERROR($BC36/$BC37-1,"")</f>
        <v/>
      </c>
      <c r="EO36" s="58">
        <f>IFERROR($BD36/$BD37-1,"")</f>
        <v/>
      </c>
      <c r="EP36" s="58">
        <f>IFERROR($BE36/$BE37-1,"")</f>
        <v/>
      </c>
      <c r="EQ36" s="58">
        <f>IFERROR($BF36/$BF37-1,"")</f>
        <v/>
      </c>
      <c r="ER36" s="58">
        <f>IFERROR($BG36/$BG37-1,"")</f>
        <v/>
      </c>
      <c r="ES36" s="58">
        <f>IFERROR($BH36/$BH37-1,"")</f>
        <v/>
      </c>
      <c r="ET36" s="58">
        <f>IFERROR($BI36/$BI37-1,"")</f>
        <v/>
      </c>
      <c r="EU36" s="58">
        <f>IFERROR($BJ36/$BJ37-1,"")</f>
        <v/>
      </c>
      <c r="EV36" s="58">
        <f>IFERROR($BK36/$BK37-1,"")</f>
        <v/>
      </c>
      <c r="EW36" s="58">
        <f>IFERROR($BL36/$BL37-1,"")</f>
        <v/>
      </c>
      <c r="EX36" s="58">
        <f>IFERROR($BM36/$BM37-1,"")</f>
        <v/>
      </c>
      <c r="EY36" s="58">
        <f>IFERROR($BN36/$BN37-1,"")</f>
        <v/>
      </c>
      <c r="EZ36" s="58">
        <f>IFERROR($BO36/$BO37-1,"")</f>
        <v/>
      </c>
      <c r="FA36" s="58">
        <f>IFERROR($BP36/$BP37-1,"")</f>
        <v/>
      </c>
      <c r="FB36" s="58">
        <f>IFERROR($BQ36/$BQ37-1,"")</f>
        <v/>
      </c>
      <c r="FC36" s="58">
        <f>IFERROR($BR36/$BR37-1,"")</f>
        <v/>
      </c>
      <c r="FD36" s="58">
        <f>IFERROR($BS36/$BS37-1,"")</f>
        <v/>
      </c>
      <c r="FE36" s="58">
        <f>IFERROR($BT36/$BT37-1,"")</f>
        <v/>
      </c>
      <c r="FF36" s="58">
        <f>IFERROR($BU36/$BU37-1,"")</f>
        <v/>
      </c>
      <c r="FG36" s="58">
        <f>IFERROR($BV36/$BV37-1,"")</f>
        <v/>
      </c>
      <c r="FH36" s="58">
        <f>IFERROR($BW36/$BW37-1,"")</f>
        <v/>
      </c>
      <c r="FI36" s="58">
        <f>IFERROR($BX36/$BX37-1,"")</f>
        <v/>
      </c>
      <c r="FJ36" s="59">
        <f>$BY36-$BY37</f>
        <v/>
      </c>
      <c r="FK36" s="59">
        <f>$BZ36-$BZ37</f>
        <v/>
      </c>
      <c r="FL36" s="59">
        <f>$CA36-$CA37</f>
        <v/>
      </c>
      <c r="FM36" s="59">
        <f>$CB36-$CB37</f>
        <v/>
      </c>
      <c r="FN36" s="59">
        <f>$CC36-$CC37</f>
        <v/>
      </c>
      <c r="FO36" s="59">
        <f>$CD36-$CD37</f>
        <v/>
      </c>
      <c r="FP36" s="59">
        <f>$CE36-$CE37</f>
        <v/>
      </c>
      <c r="FQ36" s="59">
        <f>$CF36-$CF37</f>
        <v/>
      </c>
      <c r="FR36" s="59">
        <f>$CG36-$CG37</f>
        <v/>
      </c>
      <c r="FS36" s="59">
        <f>$CH36-$CH37</f>
        <v/>
      </c>
      <c r="FT36" s="59">
        <f>$CI36-$CI37</f>
        <v/>
      </c>
      <c r="FU36" s="59">
        <f>$CJ36-$CJ37</f>
        <v/>
      </c>
      <c r="FV36" s="59">
        <f>$CK36-$CK37</f>
        <v/>
      </c>
      <c r="FW36" s="59">
        <f>$CL36-$CL37</f>
        <v/>
      </c>
      <c r="FX36" s="59">
        <f>$CM36-$CM37</f>
        <v/>
      </c>
      <c r="FY36" s="59">
        <f>$CN36-$CN37</f>
        <v/>
      </c>
      <c r="FZ36" s="59">
        <f>$CO36-$CO37</f>
        <v/>
      </c>
      <c r="GA36" s="59">
        <f>$CP36-$CP37</f>
        <v/>
      </c>
      <c r="GB36" s="59">
        <f>$CQ36-$CQ37</f>
        <v/>
      </c>
      <c r="GC36" s="59">
        <f>$CR36-$CR37</f>
        <v/>
      </c>
      <c r="GD36" s="59">
        <f>$CS36-$CS37</f>
        <v/>
      </c>
      <c r="GE36" s="59">
        <f>$CT36-$CT37</f>
        <v/>
      </c>
    </row>
    <row r="37">
      <c r="CU37" s="58">
        <f>IFERROR($B37/$B38-1,"")</f>
        <v/>
      </c>
      <c r="CV37" s="59">
        <f>($F37-$F38)*100</f>
        <v/>
      </c>
      <c r="CW37" s="59">
        <f>($E37-$E38)*100</f>
        <v/>
      </c>
      <c r="CX37" s="58">
        <f>IFERROR($K37/$K38-1,"")</f>
        <v/>
      </c>
      <c r="CY37" s="59">
        <f>($AH37-$AH38)*100</f>
        <v/>
      </c>
      <c r="CZ37" s="59">
        <f>($AI37-$AI38)*100</f>
        <v/>
      </c>
      <c r="DA37" s="59">
        <f>($AJ37-$AJ38)*100</f>
        <v/>
      </c>
      <c r="DB37" s="59">
        <f>($AK37-$AK38)*100</f>
        <v/>
      </c>
      <c r="DC37" s="59">
        <f>($AL37-$AL38)*100</f>
        <v/>
      </c>
      <c r="DD37" s="59">
        <f>($AM37-$AM38)*100</f>
        <v/>
      </c>
      <c r="DE37" s="59">
        <f>($AN37-$AN38)*100</f>
        <v/>
      </c>
      <c r="DF37" s="59">
        <f>($AO37-$AO38)*100</f>
        <v/>
      </c>
      <c r="DG37" s="59">
        <f>($AP37-$AP38)*100</f>
        <v/>
      </c>
      <c r="DH37" s="59">
        <f>($AQ37-$AQ38)*100</f>
        <v/>
      </c>
      <c r="DI37" s="59">
        <f>($AR37-$AR38)*100</f>
        <v/>
      </c>
      <c r="DJ37" s="59">
        <f>($AS37-$AS38)*100</f>
        <v/>
      </c>
      <c r="DK37" s="59">
        <f>($AT37-$AT38)*100</f>
        <v/>
      </c>
      <c r="DL37" s="59">
        <f>($AU37-$AU38)*100</f>
        <v/>
      </c>
      <c r="DM37" s="59">
        <f>($AV37-$AV38)*100</f>
        <v/>
      </c>
      <c r="DN37" s="59">
        <f>($AW37-$AW38)*100</f>
        <v/>
      </c>
      <c r="DO37" s="59">
        <f>($AX37-$AX38)*100</f>
        <v/>
      </c>
      <c r="DP37" s="59">
        <f>($AY37-$AY38)*100</f>
        <v/>
      </c>
      <c r="DQ37" s="59">
        <f>($AZ37-$AZ38)*100</f>
        <v/>
      </c>
      <c r="DR37" s="59">
        <f>($BA37-$BA38)*100</f>
        <v/>
      </c>
      <c r="DS37" s="58">
        <f>IFERROR($N38/$N37-1,"")</f>
        <v/>
      </c>
      <c r="DT37" s="58">
        <f>IFERROR($O38/$O37-1,"")</f>
        <v/>
      </c>
      <c r="DU37" s="58">
        <f>IFERROR($P38/$P37-1,"")</f>
        <v/>
      </c>
      <c r="DV37" s="58">
        <f>IFERROR($Q38/$Q37-1,"")</f>
        <v/>
      </c>
      <c r="DW37" s="58">
        <f>IFERROR($R38/$R37-1,"")</f>
        <v/>
      </c>
      <c r="DX37" s="58">
        <f>IFERROR($S38/$S37-1,"")</f>
        <v/>
      </c>
      <c r="DY37" s="58">
        <f>IFERROR($T38/$T37-1,"")</f>
        <v/>
      </c>
      <c r="DZ37" s="58">
        <f>IFERROR($U38/$U37-1,"")</f>
        <v/>
      </c>
      <c r="EA37" s="58">
        <f>IFERROR($V38/$V37-1,"")</f>
        <v/>
      </c>
      <c r="EB37" s="58">
        <f>IFERROR($W38/$W37-1,"")</f>
        <v/>
      </c>
      <c r="EC37" s="58">
        <f>IFERROR($X38/$X37-1,"")</f>
        <v/>
      </c>
      <c r="ED37" s="58">
        <f>IFERROR($Y38/$Y37-1,"")</f>
        <v/>
      </c>
      <c r="EE37" s="58">
        <f>IFERROR($Z38/$Z37-1,"")</f>
        <v/>
      </c>
      <c r="EF37" s="58">
        <f>IFERROR($AA38/$AA37-1,"")</f>
        <v/>
      </c>
      <c r="EG37" s="58">
        <f>IFERROR($AB38/$AB37-1,"")</f>
        <v/>
      </c>
      <c r="EH37" s="58">
        <f>IFERROR($AC38/$AC37-1,"")</f>
        <v/>
      </c>
      <c r="EI37" s="58">
        <f>IFERROR($AD38/$AD37-1,"")</f>
        <v/>
      </c>
      <c r="EJ37" s="58">
        <f>IFERROR($AE38/$AE37-1,"")</f>
        <v/>
      </c>
      <c r="EK37" s="58">
        <f>IFERROR($AF38/$AF37-1,"")</f>
        <v/>
      </c>
      <c r="EL37" s="58">
        <f>IFERROR($AG38/$AG37-1,"")</f>
        <v/>
      </c>
      <c r="EM37" s="58">
        <f>IFERROR($BB37/$BB38-1,"")</f>
        <v/>
      </c>
      <c r="EN37" s="58">
        <f>IFERROR($BC37/$BC38-1,"")</f>
        <v/>
      </c>
      <c r="EO37" s="58">
        <f>IFERROR($BD37/$BD38-1,"")</f>
        <v/>
      </c>
      <c r="EP37" s="58">
        <f>IFERROR($BE37/$BE38-1,"")</f>
        <v/>
      </c>
      <c r="EQ37" s="58">
        <f>IFERROR($BF37/$BF38-1,"")</f>
        <v/>
      </c>
      <c r="ER37" s="58">
        <f>IFERROR($BG37/$BG38-1,"")</f>
        <v/>
      </c>
      <c r="ES37" s="58">
        <f>IFERROR($BH37/$BH38-1,"")</f>
        <v/>
      </c>
      <c r="ET37" s="58">
        <f>IFERROR($BI37/$BI38-1,"")</f>
        <v/>
      </c>
      <c r="EU37" s="58">
        <f>IFERROR($BJ37/$BJ38-1,"")</f>
        <v/>
      </c>
      <c r="EV37" s="58">
        <f>IFERROR($BK37/$BK38-1,"")</f>
        <v/>
      </c>
      <c r="EW37" s="58">
        <f>IFERROR($BL37/$BL38-1,"")</f>
        <v/>
      </c>
      <c r="EX37" s="58">
        <f>IFERROR($BM37/$BM38-1,"")</f>
        <v/>
      </c>
      <c r="EY37" s="58">
        <f>IFERROR($BN37/$BN38-1,"")</f>
        <v/>
      </c>
      <c r="EZ37" s="58">
        <f>IFERROR($BO37/$BO38-1,"")</f>
        <v/>
      </c>
      <c r="FA37" s="58">
        <f>IFERROR($BP37/$BP38-1,"")</f>
        <v/>
      </c>
      <c r="FB37" s="58">
        <f>IFERROR($BQ37/$BQ38-1,"")</f>
        <v/>
      </c>
      <c r="FC37" s="58">
        <f>IFERROR($BR37/$BR38-1,"")</f>
        <v/>
      </c>
      <c r="FD37" s="58">
        <f>IFERROR($BS37/$BS38-1,"")</f>
        <v/>
      </c>
      <c r="FE37" s="58">
        <f>IFERROR($BT37/$BT38-1,"")</f>
        <v/>
      </c>
      <c r="FF37" s="58">
        <f>IFERROR($BU37/$BU38-1,"")</f>
        <v/>
      </c>
      <c r="FG37" s="58">
        <f>IFERROR($BV37/$BV38-1,"")</f>
        <v/>
      </c>
      <c r="FH37" s="58">
        <f>IFERROR($BW37/$BW38-1,"")</f>
        <v/>
      </c>
      <c r="FI37" s="58">
        <f>IFERROR($BX37/$BX38-1,"")</f>
        <v/>
      </c>
      <c r="FJ37" s="59">
        <f>$BY37-$BY38</f>
        <v/>
      </c>
      <c r="FK37" s="59">
        <f>$BZ37-$BZ38</f>
        <v/>
      </c>
      <c r="FL37" s="59">
        <f>$CA37-$CA38</f>
        <v/>
      </c>
      <c r="FM37" s="59">
        <f>$CB37-$CB38</f>
        <v/>
      </c>
      <c r="FN37" s="59">
        <f>$CC37-$CC38</f>
        <v/>
      </c>
      <c r="FO37" s="59">
        <f>$CD37-$CD38</f>
        <v/>
      </c>
      <c r="FP37" s="59">
        <f>$CE37-$CE38</f>
        <v/>
      </c>
      <c r="FQ37" s="59">
        <f>$CF37-$CF38</f>
        <v/>
      </c>
      <c r="FR37" s="59">
        <f>$CG37-$CG38</f>
        <v/>
      </c>
      <c r="FS37" s="59">
        <f>$CH37-$CH38</f>
        <v/>
      </c>
      <c r="FT37" s="59">
        <f>$CI37-$CI38</f>
        <v/>
      </c>
      <c r="FU37" s="59">
        <f>$CJ37-$CJ38</f>
        <v/>
      </c>
      <c r="FV37" s="59">
        <f>$CK37-$CK38</f>
        <v/>
      </c>
      <c r="FW37" s="59">
        <f>$CL37-$CL38</f>
        <v/>
      </c>
      <c r="FX37" s="59">
        <f>$CM37-$CM38</f>
        <v/>
      </c>
      <c r="FY37" s="59">
        <f>$CN37-$CN38</f>
        <v/>
      </c>
      <c r="FZ37" s="59">
        <f>$CO37-$CO38</f>
        <v/>
      </c>
      <c r="GA37" s="59">
        <f>$CP37-$CP38</f>
        <v/>
      </c>
      <c r="GB37" s="59">
        <f>$CQ37-$CQ38</f>
        <v/>
      </c>
      <c r="GC37" s="59">
        <f>$CR37-$CR38</f>
        <v/>
      </c>
      <c r="GD37" s="59">
        <f>$CS37-$CS38</f>
        <v/>
      </c>
      <c r="GE37" s="59">
        <f>$CT37-$CT38</f>
        <v/>
      </c>
    </row>
    <row r="38">
      <c r="CU38" s="58">
        <f>IFERROR($B38/$B39-1,"")</f>
        <v/>
      </c>
      <c r="CV38" s="59">
        <f>($F38-$F39)*100</f>
        <v/>
      </c>
      <c r="CW38" s="59">
        <f>($E38-$E39)*100</f>
        <v/>
      </c>
      <c r="CX38" s="58">
        <f>IFERROR($K38/$K39-1,"")</f>
        <v/>
      </c>
      <c r="CY38" s="59">
        <f>($AH38-$AH39)*100</f>
        <v/>
      </c>
      <c r="CZ38" s="59">
        <f>($AI38-$AI39)*100</f>
        <v/>
      </c>
      <c r="DA38" s="59">
        <f>($AJ38-$AJ39)*100</f>
        <v/>
      </c>
      <c r="DB38" s="59">
        <f>($AK38-$AK39)*100</f>
        <v/>
      </c>
      <c r="DC38" s="59">
        <f>($AL38-$AL39)*100</f>
        <v/>
      </c>
      <c r="DD38" s="59">
        <f>($AM38-$AM39)*100</f>
        <v/>
      </c>
      <c r="DE38" s="59">
        <f>($AN38-$AN39)*100</f>
        <v/>
      </c>
      <c r="DF38" s="59">
        <f>($AO38-$AO39)*100</f>
        <v/>
      </c>
      <c r="DG38" s="59">
        <f>($AP38-$AP39)*100</f>
        <v/>
      </c>
      <c r="DH38" s="59">
        <f>($AQ38-$AQ39)*100</f>
        <v/>
      </c>
      <c r="DI38" s="59">
        <f>($AR38-$AR39)*100</f>
        <v/>
      </c>
      <c r="DJ38" s="59">
        <f>($AS38-$AS39)*100</f>
        <v/>
      </c>
      <c r="DK38" s="59">
        <f>($AT38-$AT39)*100</f>
        <v/>
      </c>
      <c r="DL38" s="59">
        <f>($AU38-$AU39)*100</f>
        <v/>
      </c>
      <c r="DM38" s="59">
        <f>($AV38-$AV39)*100</f>
        <v/>
      </c>
      <c r="DN38" s="59">
        <f>($AW38-$AW39)*100</f>
        <v/>
      </c>
      <c r="DO38" s="59">
        <f>($AX38-$AX39)*100</f>
        <v/>
      </c>
      <c r="DP38" s="59">
        <f>($AY38-$AY39)*100</f>
        <v/>
      </c>
      <c r="DQ38" s="59">
        <f>($AZ38-$AZ39)*100</f>
        <v/>
      </c>
      <c r="DR38" s="59">
        <f>($BA38-$BA39)*100</f>
        <v/>
      </c>
      <c r="DS38" s="58">
        <f>IFERROR($N39/$N38-1,"")</f>
        <v/>
      </c>
      <c r="DT38" s="58">
        <f>IFERROR($O39/$O38-1,"")</f>
        <v/>
      </c>
      <c r="DU38" s="58">
        <f>IFERROR($P39/$P38-1,"")</f>
        <v/>
      </c>
      <c r="DV38" s="58">
        <f>IFERROR($Q39/$Q38-1,"")</f>
        <v/>
      </c>
      <c r="DW38" s="58">
        <f>IFERROR($R39/$R38-1,"")</f>
        <v/>
      </c>
      <c r="DX38" s="58">
        <f>IFERROR($S39/$S38-1,"")</f>
        <v/>
      </c>
      <c r="DY38" s="58">
        <f>IFERROR($T39/$T38-1,"")</f>
        <v/>
      </c>
      <c r="DZ38" s="58">
        <f>IFERROR($U39/$U38-1,"")</f>
        <v/>
      </c>
      <c r="EA38" s="58">
        <f>IFERROR($V39/$V38-1,"")</f>
        <v/>
      </c>
      <c r="EB38" s="58">
        <f>IFERROR($W39/$W38-1,"")</f>
        <v/>
      </c>
      <c r="EC38" s="58">
        <f>IFERROR($X39/$X38-1,"")</f>
        <v/>
      </c>
      <c r="ED38" s="58">
        <f>IFERROR($Y39/$Y38-1,"")</f>
        <v/>
      </c>
      <c r="EE38" s="58">
        <f>IFERROR($Z39/$Z38-1,"")</f>
        <v/>
      </c>
      <c r="EF38" s="58">
        <f>IFERROR($AA39/$AA38-1,"")</f>
        <v/>
      </c>
      <c r="EG38" s="58">
        <f>IFERROR($AB39/$AB38-1,"")</f>
        <v/>
      </c>
      <c r="EH38" s="58">
        <f>IFERROR($AC39/$AC38-1,"")</f>
        <v/>
      </c>
      <c r="EI38" s="58">
        <f>IFERROR($AD39/$AD38-1,"")</f>
        <v/>
      </c>
      <c r="EJ38" s="58">
        <f>IFERROR($AE39/$AE38-1,"")</f>
        <v/>
      </c>
      <c r="EK38" s="58">
        <f>IFERROR($AF39/$AF38-1,"")</f>
        <v/>
      </c>
      <c r="EL38" s="58">
        <f>IFERROR($AG39/$AG38-1,"")</f>
        <v/>
      </c>
      <c r="EM38" s="58">
        <f>IFERROR($BB38/$BB39-1,"")</f>
        <v/>
      </c>
      <c r="EN38" s="58">
        <f>IFERROR($BC38/$BC39-1,"")</f>
        <v/>
      </c>
      <c r="EO38" s="58">
        <f>IFERROR($BD38/$BD39-1,"")</f>
        <v/>
      </c>
      <c r="EP38" s="58">
        <f>IFERROR($BE38/$BE39-1,"")</f>
        <v/>
      </c>
      <c r="EQ38" s="58">
        <f>IFERROR($BF38/$BF39-1,"")</f>
        <v/>
      </c>
      <c r="ER38" s="58">
        <f>IFERROR($BG38/$BG39-1,"")</f>
        <v/>
      </c>
      <c r="ES38" s="58">
        <f>IFERROR($BH38/$BH39-1,"")</f>
        <v/>
      </c>
      <c r="ET38" s="58">
        <f>IFERROR($BI38/$BI39-1,"")</f>
        <v/>
      </c>
      <c r="EU38" s="58">
        <f>IFERROR($BJ38/$BJ39-1,"")</f>
        <v/>
      </c>
      <c r="EV38" s="58">
        <f>IFERROR($BK38/$BK39-1,"")</f>
        <v/>
      </c>
      <c r="EW38" s="58">
        <f>IFERROR($BL38/$BL39-1,"")</f>
        <v/>
      </c>
      <c r="EX38" s="58">
        <f>IFERROR($BM38/$BM39-1,"")</f>
        <v/>
      </c>
      <c r="EY38" s="58">
        <f>IFERROR($BN38/$BN39-1,"")</f>
        <v/>
      </c>
      <c r="EZ38" s="58">
        <f>IFERROR($BO38/$BO39-1,"")</f>
        <v/>
      </c>
      <c r="FA38" s="58">
        <f>IFERROR($BP38/$BP39-1,"")</f>
        <v/>
      </c>
      <c r="FB38" s="58">
        <f>IFERROR($BQ38/$BQ39-1,"")</f>
        <v/>
      </c>
      <c r="FC38" s="58">
        <f>IFERROR($BR38/$BR39-1,"")</f>
        <v/>
      </c>
      <c r="FD38" s="58">
        <f>IFERROR($BS38/$BS39-1,"")</f>
        <v/>
      </c>
      <c r="FE38" s="58">
        <f>IFERROR($BT38/$BT39-1,"")</f>
        <v/>
      </c>
      <c r="FF38" s="58">
        <f>IFERROR($BU38/$BU39-1,"")</f>
        <v/>
      </c>
      <c r="FG38" s="58">
        <f>IFERROR($BV38/$BV39-1,"")</f>
        <v/>
      </c>
      <c r="FH38" s="58">
        <f>IFERROR($BW38/$BW39-1,"")</f>
        <v/>
      </c>
      <c r="FI38" s="58">
        <f>IFERROR($BX38/$BX39-1,"")</f>
        <v/>
      </c>
      <c r="FJ38" s="59">
        <f>$BY38-$BY39</f>
        <v/>
      </c>
      <c r="FK38" s="59">
        <f>$BZ38-$BZ39</f>
        <v/>
      </c>
      <c r="FL38" s="59">
        <f>$CA38-$CA39</f>
        <v/>
      </c>
      <c r="FM38" s="59">
        <f>$CB38-$CB39</f>
        <v/>
      </c>
      <c r="FN38" s="59">
        <f>$CC38-$CC39</f>
        <v/>
      </c>
      <c r="FO38" s="59">
        <f>$CD38-$CD39</f>
        <v/>
      </c>
      <c r="FP38" s="59">
        <f>$CE38-$CE39</f>
        <v/>
      </c>
      <c r="FQ38" s="59">
        <f>$CF38-$CF39</f>
        <v/>
      </c>
      <c r="FR38" s="59">
        <f>$CG38-$CG39</f>
        <v/>
      </c>
      <c r="FS38" s="59">
        <f>$CH38-$CH39</f>
        <v/>
      </c>
      <c r="FT38" s="59">
        <f>$CI38-$CI39</f>
        <v/>
      </c>
      <c r="FU38" s="59">
        <f>$CJ38-$CJ39</f>
        <v/>
      </c>
      <c r="FV38" s="59">
        <f>$CK38-$CK39</f>
        <v/>
      </c>
      <c r="FW38" s="59">
        <f>$CL38-$CL39</f>
        <v/>
      </c>
      <c r="FX38" s="59">
        <f>$CM38-$CM39</f>
        <v/>
      </c>
      <c r="FY38" s="59">
        <f>$CN38-$CN39</f>
        <v/>
      </c>
      <c r="FZ38" s="59">
        <f>$CO38-$CO39</f>
        <v/>
      </c>
      <c r="GA38" s="59">
        <f>$CP38-$CP39</f>
        <v/>
      </c>
      <c r="GB38" s="59">
        <f>$CQ38-$CQ39</f>
        <v/>
      </c>
      <c r="GC38" s="59">
        <f>$CR38-$CR39</f>
        <v/>
      </c>
      <c r="GD38" s="59">
        <f>$CS38-$CS39</f>
        <v/>
      </c>
      <c r="GE38" s="59">
        <f>$CT38-$CT39</f>
        <v/>
      </c>
    </row>
    <row r="39">
      <c r="CU39" s="58">
        <f>IFERROR($B39/$B40-1,"")</f>
        <v/>
      </c>
      <c r="CV39" s="59">
        <f>($F39-$F40)*100</f>
        <v/>
      </c>
      <c r="CW39" s="59">
        <f>($E39-$E40)*100</f>
        <v/>
      </c>
      <c r="CX39" s="58">
        <f>IFERROR($K39/$K40-1,"")</f>
        <v/>
      </c>
      <c r="CY39" s="59">
        <f>($AH39-$AH40)*100</f>
        <v/>
      </c>
      <c r="CZ39" s="59">
        <f>($AI39-$AI40)*100</f>
        <v/>
      </c>
      <c r="DA39" s="59">
        <f>($AJ39-$AJ40)*100</f>
        <v/>
      </c>
      <c r="DB39" s="59">
        <f>($AK39-$AK40)*100</f>
        <v/>
      </c>
      <c r="DC39" s="59">
        <f>($AL39-$AL40)*100</f>
        <v/>
      </c>
      <c r="DD39" s="59">
        <f>($AM39-$AM40)*100</f>
        <v/>
      </c>
      <c r="DE39" s="59">
        <f>($AN39-$AN40)*100</f>
        <v/>
      </c>
      <c r="DF39" s="59">
        <f>($AO39-$AO40)*100</f>
        <v/>
      </c>
      <c r="DG39" s="59">
        <f>($AP39-$AP40)*100</f>
        <v/>
      </c>
      <c r="DH39" s="59">
        <f>($AQ39-$AQ40)*100</f>
        <v/>
      </c>
      <c r="DI39" s="59">
        <f>($AR39-$AR40)*100</f>
        <v/>
      </c>
      <c r="DJ39" s="59">
        <f>($AS39-$AS40)*100</f>
        <v/>
      </c>
      <c r="DK39" s="59">
        <f>($AT39-$AT40)*100</f>
        <v/>
      </c>
      <c r="DL39" s="59">
        <f>($AU39-$AU40)*100</f>
        <v/>
      </c>
      <c r="DM39" s="59">
        <f>($AV39-$AV40)*100</f>
        <v/>
      </c>
      <c r="DN39" s="59">
        <f>($AW39-$AW40)*100</f>
        <v/>
      </c>
      <c r="DO39" s="59">
        <f>($AX39-$AX40)*100</f>
        <v/>
      </c>
      <c r="DP39" s="59">
        <f>($AY39-$AY40)*100</f>
        <v/>
      </c>
      <c r="DQ39" s="59">
        <f>($AZ39-$AZ40)*100</f>
        <v/>
      </c>
      <c r="DR39" s="59">
        <f>($BA39-$BA40)*100</f>
        <v/>
      </c>
      <c r="DS39" s="58">
        <f>IFERROR($N40/$N39-1,"")</f>
        <v/>
      </c>
      <c r="DT39" s="58">
        <f>IFERROR($O40/$O39-1,"")</f>
        <v/>
      </c>
      <c r="DU39" s="58">
        <f>IFERROR($P40/$P39-1,"")</f>
        <v/>
      </c>
      <c r="DV39" s="58">
        <f>IFERROR($Q40/$Q39-1,"")</f>
        <v/>
      </c>
      <c r="DW39" s="58">
        <f>IFERROR($R40/$R39-1,"")</f>
        <v/>
      </c>
      <c r="DX39" s="58">
        <f>IFERROR($S40/$S39-1,"")</f>
        <v/>
      </c>
      <c r="DY39" s="58">
        <f>IFERROR($T40/$T39-1,"")</f>
        <v/>
      </c>
      <c r="DZ39" s="58">
        <f>IFERROR($U40/$U39-1,"")</f>
        <v/>
      </c>
      <c r="EA39" s="58">
        <f>IFERROR($V40/$V39-1,"")</f>
        <v/>
      </c>
      <c r="EB39" s="58">
        <f>IFERROR($W40/$W39-1,"")</f>
        <v/>
      </c>
      <c r="EC39" s="58">
        <f>IFERROR($X40/$X39-1,"")</f>
        <v/>
      </c>
      <c r="ED39" s="58">
        <f>IFERROR($Y40/$Y39-1,"")</f>
        <v/>
      </c>
      <c r="EE39" s="58">
        <f>IFERROR($Z40/$Z39-1,"")</f>
        <v/>
      </c>
      <c r="EF39" s="58">
        <f>IFERROR($AA40/$AA39-1,"")</f>
        <v/>
      </c>
      <c r="EG39" s="58">
        <f>IFERROR($AB40/$AB39-1,"")</f>
        <v/>
      </c>
      <c r="EH39" s="58">
        <f>IFERROR($AC40/$AC39-1,"")</f>
        <v/>
      </c>
      <c r="EI39" s="58">
        <f>IFERROR($AD40/$AD39-1,"")</f>
        <v/>
      </c>
      <c r="EJ39" s="58">
        <f>IFERROR($AE40/$AE39-1,"")</f>
        <v/>
      </c>
      <c r="EK39" s="58">
        <f>IFERROR($AF40/$AF39-1,"")</f>
        <v/>
      </c>
      <c r="EL39" s="58">
        <f>IFERROR($AG40/$AG39-1,"")</f>
        <v/>
      </c>
      <c r="EM39" s="58">
        <f>IFERROR($BB39/$BB40-1,"")</f>
        <v/>
      </c>
      <c r="EN39" s="58">
        <f>IFERROR($BC39/$BC40-1,"")</f>
        <v/>
      </c>
      <c r="EO39" s="58">
        <f>IFERROR($BD39/$BD40-1,"")</f>
        <v/>
      </c>
      <c r="EP39" s="58">
        <f>IFERROR($BE39/$BE40-1,"")</f>
        <v/>
      </c>
      <c r="EQ39" s="58">
        <f>IFERROR($BF39/$BF40-1,"")</f>
        <v/>
      </c>
      <c r="ER39" s="58">
        <f>IFERROR($BG39/$BG40-1,"")</f>
        <v/>
      </c>
      <c r="ES39" s="58">
        <f>IFERROR($BH39/$BH40-1,"")</f>
        <v/>
      </c>
      <c r="ET39" s="58">
        <f>IFERROR($BI39/$BI40-1,"")</f>
        <v/>
      </c>
      <c r="EU39" s="58">
        <f>IFERROR($BJ39/$BJ40-1,"")</f>
        <v/>
      </c>
      <c r="EV39" s="58">
        <f>IFERROR($BK39/$BK40-1,"")</f>
        <v/>
      </c>
      <c r="EW39" s="58">
        <f>IFERROR($BL39/$BL40-1,"")</f>
        <v/>
      </c>
      <c r="EX39" s="58">
        <f>IFERROR($BM39/$BM40-1,"")</f>
        <v/>
      </c>
      <c r="EY39" s="58">
        <f>IFERROR($BN39/$BN40-1,"")</f>
        <v/>
      </c>
      <c r="EZ39" s="58">
        <f>IFERROR($BO39/$BO40-1,"")</f>
        <v/>
      </c>
      <c r="FA39" s="58">
        <f>IFERROR($BP39/$BP40-1,"")</f>
        <v/>
      </c>
      <c r="FB39" s="58">
        <f>IFERROR($BQ39/$BQ40-1,"")</f>
        <v/>
      </c>
      <c r="FC39" s="58">
        <f>IFERROR($BR39/$BR40-1,"")</f>
        <v/>
      </c>
      <c r="FD39" s="58">
        <f>IFERROR($BS39/$BS40-1,"")</f>
        <v/>
      </c>
      <c r="FE39" s="58">
        <f>IFERROR($BT39/$BT40-1,"")</f>
        <v/>
      </c>
      <c r="FF39" s="58">
        <f>IFERROR($BU39/$BU40-1,"")</f>
        <v/>
      </c>
      <c r="FG39" s="58">
        <f>IFERROR($BV39/$BV40-1,"")</f>
        <v/>
      </c>
      <c r="FH39" s="58">
        <f>IFERROR($BW39/$BW40-1,"")</f>
        <v/>
      </c>
      <c r="FI39" s="58">
        <f>IFERROR($BX39/$BX40-1,"")</f>
        <v/>
      </c>
      <c r="FJ39" s="59">
        <f>$BY39-$BY40</f>
        <v/>
      </c>
      <c r="FK39" s="59">
        <f>$BZ39-$BZ40</f>
        <v/>
      </c>
      <c r="FL39" s="59">
        <f>$CA39-$CA40</f>
        <v/>
      </c>
      <c r="FM39" s="59">
        <f>$CB39-$CB40</f>
        <v/>
      </c>
      <c r="FN39" s="59">
        <f>$CC39-$CC40</f>
        <v/>
      </c>
      <c r="FO39" s="59">
        <f>$CD39-$CD40</f>
        <v/>
      </c>
      <c r="FP39" s="59">
        <f>$CE39-$CE40</f>
        <v/>
      </c>
      <c r="FQ39" s="59">
        <f>$CF39-$CF40</f>
        <v/>
      </c>
      <c r="FR39" s="59">
        <f>$CG39-$CG40</f>
        <v/>
      </c>
      <c r="FS39" s="59">
        <f>$CH39-$CH40</f>
        <v/>
      </c>
      <c r="FT39" s="59">
        <f>$CI39-$CI40</f>
        <v/>
      </c>
      <c r="FU39" s="59">
        <f>$CJ39-$CJ40</f>
        <v/>
      </c>
      <c r="FV39" s="59">
        <f>$CK39-$CK40</f>
        <v/>
      </c>
      <c r="FW39" s="59">
        <f>$CL39-$CL40</f>
        <v/>
      </c>
      <c r="FX39" s="59">
        <f>$CM39-$CM40</f>
        <v/>
      </c>
      <c r="FY39" s="59">
        <f>$CN39-$CN40</f>
        <v/>
      </c>
      <c r="FZ39" s="59">
        <f>$CO39-$CO40</f>
        <v/>
      </c>
      <c r="GA39" s="59">
        <f>$CP39-$CP40</f>
        <v/>
      </c>
      <c r="GB39" s="59">
        <f>$CQ39-$CQ40</f>
        <v/>
      </c>
      <c r="GC39" s="59">
        <f>$CR39-$CR40</f>
        <v/>
      </c>
      <c r="GD39" s="59">
        <f>$CS39-$CS40</f>
        <v/>
      </c>
      <c r="GE39" s="59">
        <f>$CT39-$CT40</f>
        <v/>
      </c>
    </row>
    <row r="40">
      <c r="CU40" s="58">
        <f>IFERROR($B40/$B41-1,"")</f>
        <v/>
      </c>
      <c r="CV40" s="59">
        <f>($F40-$F41)*100</f>
        <v/>
      </c>
      <c r="CW40" s="59">
        <f>($E40-$E41)*100</f>
        <v/>
      </c>
      <c r="CX40" s="58">
        <f>IFERROR($K40/$K41-1,"")</f>
        <v/>
      </c>
      <c r="CY40" s="59">
        <f>($AH40-$AH41)*100</f>
        <v/>
      </c>
      <c r="CZ40" s="59">
        <f>($AI40-$AI41)*100</f>
        <v/>
      </c>
      <c r="DA40" s="59">
        <f>($AJ40-$AJ41)*100</f>
        <v/>
      </c>
      <c r="DB40" s="59">
        <f>($AK40-$AK41)*100</f>
        <v/>
      </c>
      <c r="DC40" s="59">
        <f>($AL40-$AL41)*100</f>
        <v/>
      </c>
      <c r="DD40" s="59">
        <f>($AM40-$AM41)*100</f>
        <v/>
      </c>
      <c r="DE40" s="59">
        <f>($AN40-$AN41)*100</f>
        <v/>
      </c>
      <c r="DF40" s="59">
        <f>($AO40-$AO41)*100</f>
        <v/>
      </c>
      <c r="DG40" s="59">
        <f>($AP40-$AP41)*100</f>
        <v/>
      </c>
      <c r="DH40" s="59">
        <f>($AQ40-$AQ41)*100</f>
        <v/>
      </c>
      <c r="DI40" s="59">
        <f>($AR40-$AR41)*100</f>
        <v/>
      </c>
      <c r="DJ40" s="59">
        <f>($AS40-$AS41)*100</f>
        <v/>
      </c>
      <c r="DK40" s="59">
        <f>($AT40-$AT41)*100</f>
        <v/>
      </c>
      <c r="DL40" s="59">
        <f>($AU40-$AU41)*100</f>
        <v/>
      </c>
      <c r="DM40" s="59">
        <f>($AV40-$AV41)*100</f>
        <v/>
      </c>
      <c r="DN40" s="59">
        <f>($AW40-$AW41)*100</f>
        <v/>
      </c>
      <c r="DO40" s="59">
        <f>($AX40-$AX41)*100</f>
        <v/>
      </c>
      <c r="DP40" s="59">
        <f>($AY40-$AY41)*100</f>
        <v/>
      </c>
      <c r="DQ40" s="59">
        <f>($AZ40-$AZ41)*100</f>
        <v/>
      </c>
      <c r="DR40" s="59">
        <f>($BA40-$BA41)*100</f>
        <v/>
      </c>
      <c r="DS40" s="58">
        <f>IFERROR($N41/$N40-1,"")</f>
        <v/>
      </c>
      <c r="DT40" s="58">
        <f>IFERROR($O41/$O40-1,"")</f>
        <v/>
      </c>
      <c r="DU40" s="58">
        <f>IFERROR($P41/$P40-1,"")</f>
        <v/>
      </c>
      <c r="DV40" s="58">
        <f>IFERROR($Q41/$Q40-1,"")</f>
        <v/>
      </c>
      <c r="DW40" s="58">
        <f>IFERROR($R41/$R40-1,"")</f>
        <v/>
      </c>
      <c r="DX40" s="58">
        <f>IFERROR($S41/$S40-1,"")</f>
        <v/>
      </c>
      <c r="DY40" s="58">
        <f>IFERROR($T41/$T40-1,"")</f>
        <v/>
      </c>
      <c r="DZ40" s="58">
        <f>IFERROR($U41/$U40-1,"")</f>
        <v/>
      </c>
      <c r="EA40" s="58">
        <f>IFERROR($V41/$V40-1,"")</f>
        <v/>
      </c>
      <c r="EB40" s="58">
        <f>IFERROR($W41/$W40-1,"")</f>
        <v/>
      </c>
      <c r="EC40" s="58">
        <f>IFERROR($X41/$X40-1,"")</f>
        <v/>
      </c>
      <c r="ED40" s="58">
        <f>IFERROR($Y41/$Y40-1,"")</f>
        <v/>
      </c>
      <c r="EE40" s="58">
        <f>IFERROR($Z41/$Z40-1,"")</f>
        <v/>
      </c>
      <c r="EF40" s="58">
        <f>IFERROR($AA41/$AA40-1,"")</f>
        <v/>
      </c>
      <c r="EG40" s="58">
        <f>IFERROR($AB41/$AB40-1,"")</f>
        <v/>
      </c>
      <c r="EH40" s="58">
        <f>IFERROR($AC41/$AC40-1,"")</f>
        <v/>
      </c>
      <c r="EI40" s="58">
        <f>IFERROR($AD41/$AD40-1,"")</f>
        <v/>
      </c>
      <c r="EJ40" s="58">
        <f>IFERROR($AE41/$AE40-1,"")</f>
        <v/>
      </c>
      <c r="EK40" s="58">
        <f>IFERROR($AF41/$AF40-1,"")</f>
        <v/>
      </c>
      <c r="EL40" s="58">
        <f>IFERROR($AG41/$AG40-1,"")</f>
        <v/>
      </c>
      <c r="EM40" s="58">
        <f>IFERROR($BB40/$BB41-1,"")</f>
        <v/>
      </c>
      <c r="EN40" s="58">
        <f>IFERROR($BC40/$BC41-1,"")</f>
        <v/>
      </c>
      <c r="EO40" s="58">
        <f>IFERROR($BD40/$BD41-1,"")</f>
        <v/>
      </c>
      <c r="EP40" s="58">
        <f>IFERROR($BE40/$BE41-1,"")</f>
        <v/>
      </c>
      <c r="EQ40" s="58">
        <f>IFERROR($BF40/$BF41-1,"")</f>
        <v/>
      </c>
      <c r="ER40" s="58">
        <f>IFERROR($BG40/$BG41-1,"")</f>
        <v/>
      </c>
      <c r="ES40" s="58">
        <f>IFERROR($BH40/$BH41-1,"")</f>
        <v/>
      </c>
      <c r="ET40" s="58">
        <f>IFERROR($BI40/$BI41-1,"")</f>
        <v/>
      </c>
      <c r="EU40" s="58">
        <f>IFERROR($BJ40/$BJ41-1,"")</f>
        <v/>
      </c>
      <c r="EV40" s="58">
        <f>IFERROR($BK40/$BK41-1,"")</f>
        <v/>
      </c>
      <c r="EW40" s="58">
        <f>IFERROR($BL40/$BL41-1,"")</f>
        <v/>
      </c>
      <c r="EX40" s="58">
        <f>IFERROR($BM40/$BM41-1,"")</f>
        <v/>
      </c>
      <c r="EY40" s="58">
        <f>IFERROR($BN40/$BN41-1,"")</f>
        <v/>
      </c>
      <c r="EZ40" s="58">
        <f>IFERROR($BO40/$BO41-1,"")</f>
        <v/>
      </c>
      <c r="FA40" s="58">
        <f>IFERROR($BP40/$BP41-1,"")</f>
        <v/>
      </c>
      <c r="FB40" s="58">
        <f>IFERROR($BQ40/$BQ41-1,"")</f>
        <v/>
      </c>
      <c r="FC40" s="58">
        <f>IFERROR($BR40/$BR41-1,"")</f>
        <v/>
      </c>
      <c r="FD40" s="58">
        <f>IFERROR($BS40/$BS41-1,"")</f>
        <v/>
      </c>
      <c r="FE40" s="58">
        <f>IFERROR($BT40/$BT41-1,"")</f>
        <v/>
      </c>
      <c r="FF40" s="58">
        <f>IFERROR($BU40/$BU41-1,"")</f>
        <v/>
      </c>
      <c r="FG40" s="58">
        <f>IFERROR($BV40/$BV41-1,"")</f>
        <v/>
      </c>
      <c r="FH40" s="58">
        <f>IFERROR($BW40/$BW41-1,"")</f>
        <v/>
      </c>
      <c r="FI40" s="58">
        <f>IFERROR($BX40/$BX41-1,"")</f>
        <v/>
      </c>
      <c r="FJ40" s="59">
        <f>$BY40-$BY41</f>
        <v/>
      </c>
      <c r="FK40" s="59">
        <f>$BZ40-$BZ41</f>
        <v/>
      </c>
      <c r="FL40" s="59">
        <f>$CA40-$CA41</f>
        <v/>
      </c>
      <c r="FM40" s="59">
        <f>$CB40-$CB41</f>
        <v/>
      </c>
      <c r="FN40" s="59">
        <f>$CC40-$CC41</f>
        <v/>
      </c>
      <c r="FO40" s="59">
        <f>$CD40-$CD41</f>
        <v/>
      </c>
      <c r="FP40" s="59">
        <f>$CE40-$CE41</f>
        <v/>
      </c>
      <c r="FQ40" s="59">
        <f>$CF40-$CF41</f>
        <v/>
      </c>
      <c r="FR40" s="59">
        <f>$CG40-$CG41</f>
        <v/>
      </c>
      <c r="FS40" s="59">
        <f>$CH40-$CH41</f>
        <v/>
      </c>
      <c r="FT40" s="59">
        <f>$CI40-$CI41</f>
        <v/>
      </c>
      <c r="FU40" s="59">
        <f>$CJ40-$CJ41</f>
        <v/>
      </c>
      <c r="FV40" s="59">
        <f>$CK40-$CK41</f>
        <v/>
      </c>
      <c r="FW40" s="59">
        <f>$CL40-$CL41</f>
        <v/>
      </c>
      <c r="FX40" s="59">
        <f>$CM40-$CM41</f>
        <v/>
      </c>
      <c r="FY40" s="59">
        <f>$CN40-$CN41</f>
        <v/>
      </c>
      <c r="FZ40" s="59">
        <f>$CO40-$CO41</f>
        <v/>
      </c>
      <c r="GA40" s="59">
        <f>$CP40-$CP41</f>
        <v/>
      </c>
      <c r="GB40" s="59">
        <f>$CQ40-$CQ41</f>
        <v/>
      </c>
      <c r="GC40" s="59">
        <f>$CR40-$CR41</f>
        <v/>
      </c>
      <c r="GD40" s="59">
        <f>$CS40-$CS41</f>
        <v/>
      </c>
      <c r="GE40" s="59">
        <f>$CT40-$CT41</f>
        <v/>
      </c>
    </row>
    <row r="41">
      <c r="CU41" s="58">
        <f>IFERROR($B41/$B42-1,"")</f>
        <v/>
      </c>
      <c r="CV41" s="59">
        <f>($F41-$F42)*100</f>
        <v/>
      </c>
      <c r="CW41" s="59">
        <f>($E41-$E42)*100</f>
        <v/>
      </c>
      <c r="CX41" s="58">
        <f>IFERROR($K41/$K42-1,"")</f>
        <v/>
      </c>
      <c r="CY41" s="59">
        <f>($AH41-$AH42)*100</f>
        <v/>
      </c>
      <c r="CZ41" s="59">
        <f>($AI41-$AI42)*100</f>
        <v/>
      </c>
      <c r="DA41" s="59">
        <f>($AJ41-$AJ42)*100</f>
        <v/>
      </c>
      <c r="DB41" s="59">
        <f>($AK41-$AK42)*100</f>
        <v/>
      </c>
      <c r="DC41" s="59">
        <f>($AL41-$AL42)*100</f>
        <v/>
      </c>
      <c r="DD41" s="59">
        <f>($AM41-$AM42)*100</f>
        <v/>
      </c>
      <c r="DE41" s="59">
        <f>($AN41-$AN42)*100</f>
        <v/>
      </c>
      <c r="DF41" s="59">
        <f>($AO41-$AO42)*100</f>
        <v/>
      </c>
      <c r="DG41" s="59">
        <f>($AP41-$AP42)*100</f>
        <v/>
      </c>
      <c r="DH41" s="59">
        <f>($AQ41-$AQ42)*100</f>
        <v/>
      </c>
      <c r="DI41" s="59">
        <f>($AR41-$AR42)*100</f>
        <v/>
      </c>
      <c r="DJ41" s="59">
        <f>($AS41-$AS42)*100</f>
        <v/>
      </c>
      <c r="DK41" s="59">
        <f>($AT41-$AT42)*100</f>
        <v/>
      </c>
      <c r="DL41" s="59">
        <f>($AU41-$AU42)*100</f>
        <v/>
      </c>
      <c r="DM41" s="59">
        <f>($AV41-$AV42)*100</f>
        <v/>
      </c>
      <c r="DN41" s="59">
        <f>($AW41-$AW42)*100</f>
        <v/>
      </c>
      <c r="DO41" s="59">
        <f>($AX41-$AX42)*100</f>
        <v/>
      </c>
      <c r="DP41" s="59">
        <f>($AY41-$AY42)*100</f>
        <v/>
      </c>
      <c r="DQ41" s="59">
        <f>($AZ41-$AZ42)*100</f>
        <v/>
      </c>
      <c r="DR41" s="59">
        <f>($BA41-$BA42)*100</f>
        <v/>
      </c>
      <c r="DS41" s="58">
        <f>IFERROR($N42/$N41-1,"")</f>
        <v/>
      </c>
      <c r="DT41" s="58">
        <f>IFERROR($O42/$O41-1,"")</f>
        <v/>
      </c>
      <c r="DU41" s="58">
        <f>IFERROR($P42/$P41-1,"")</f>
        <v/>
      </c>
      <c r="DV41" s="58">
        <f>IFERROR($Q42/$Q41-1,"")</f>
        <v/>
      </c>
      <c r="DW41" s="58">
        <f>IFERROR($R42/$R41-1,"")</f>
        <v/>
      </c>
      <c r="DX41" s="58">
        <f>IFERROR($S42/$S41-1,"")</f>
        <v/>
      </c>
      <c r="DY41" s="58">
        <f>IFERROR($T42/$T41-1,"")</f>
        <v/>
      </c>
      <c r="DZ41" s="58">
        <f>IFERROR($U42/$U41-1,"")</f>
        <v/>
      </c>
      <c r="EA41" s="58">
        <f>IFERROR($V42/$V41-1,"")</f>
        <v/>
      </c>
      <c r="EB41" s="58">
        <f>IFERROR($W42/$W41-1,"")</f>
        <v/>
      </c>
      <c r="EC41" s="58">
        <f>IFERROR($X42/$X41-1,"")</f>
        <v/>
      </c>
      <c r="ED41" s="58">
        <f>IFERROR($Y42/$Y41-1,"")</f>
        <v/>
      </c>
      <c r="EE41" s="58">
        <f>IFERROR($Z42/$Z41-1,"")</f>
        <v/>
      </c>
      <c r="EF41" s="58">
        <f>IFERROR($AA42/$AA41-1,"")</f>
        <v/>
      </c>
      <c r="EG41" s="58">
        <f>IFERROR($AB42/$AB41-1,"")</f>
        <v/>
      </c>
      <c r="EH41" s="58">
        <f>IFERROR($AC42/$AC41-1,"")</f>
        <v/>
      </c>
      <c r="EI41" s="58">
        <f>IFERROR($AD42/$AD41-1,"")</f>
        <v/>
      </c>
      <c r="EJ41" s="58">
        <f>IFERROR($AE42/$AE41-1,"")</f>
        <v/>
      </c>
      <c r="EK41" s="58">
        <f>IFERROR($AF42/$AF41-1,"")</f>
        <v/>
      </c>
      <c r="EL41" s="58">
        <f>IFERROR($AG42/$AG41-1,"")</f>
        <v/>
      </c>
      <c r="EM41" s="58">
        <f>IFERROR($BB41/$BB42-1,"")</f>
        <v/>
      </c>
      <c r="EN41" s="58">
        <f>IFERROR($BC41/$BC42-1,"")</f>
        <v/>
      </c>
      <c r="EO41" s="58">
        <f>IFERROR($BD41/$BD42-1,"")</f>
        <v/>
      </c>
      <c r="EP41" s="58">
        <f>IFERROR($BE41/$BE42-1,"")</f>
        <v/>
      </c>
      <c r="EQ41" s="58">
        <f>IFERROR($BF41/$BF42-1,"")</f>
        <v/>
      </c>
      <c r="ER41" s="58">
        <f>IFERROR($BG41/$BG42-1,"")</f>
        <v/>
      </c>
      <c r="ES41" s="58">
        <f>IFERROR($BH41/$BH42-1,"")</f>
        <v/>
      </c>
      <c r="ET41" s="58">
        <f>IFERROR($BI41/$BI42-1,"")</f>
        <v/>
      </c>
      <c r="EU41" s="58">
        <f>IFERROR($BJ41/$BJ42-1,"")</f>
        <v/>
      </c>
      <c r="EV41" s="58">
        <f>IFERROR($BK41/$BK42-1,"")</f>
        <v/>
      </c>
      <c r="EW41" s="58">
        <f>IFERROR($BL41/$BL42-1,"")</f>
        <v/>
      </c>
      <c r="EX41" s="58">
        <f>IFERROR($BM41/$BM42-1,"")</f>
        <v/>
      </c>
      <c r="EY41" s="58">
        <f>IFERROR($BN41/$BN42-1,"")</f>
        <v/>
      </c>
      <c r="EZ41" s="58">
        <f>IFERROR($BO41/$BO42-1,"")</f>
        <v/>
      </c>
      <c r="FA41" s="58">
        <f>IFERROR($BP41/$BP42-1,"")</f>
        <v/>
      </c>
      <c r="FB41" s="58">
        <f>IFERROR($BQ41/$BQ42-1,"")</f>
        <v/>
      </c>
      <c r="FC41" s="58">
        <f>IFERROR($BR41/$BR42-1,"")</f>
        <v/>
      </c>
      <c r="FD41" s="58">
        <f>IFERROR($BS41/$BS42-1,"")</f>
        <v/>
      </c>
      <c r="FE41" s="58">
        <f>IFERROR($BT41/$BT42-1,"")</f>
        <v/>
      </c>
      <c r="FF41" s="58">
        <f>IFERROR($BU41/$BU42-1,"")</f>
        <v/>
      </c>
      <c r="FG41" s="58">
        <f>IFERROR($BV41/$BV42-1,"")</f>
        <v/>
      </c>
      <c r="FH41" s="58">
        <f>IFERROR($BW41/$BW42-1,"")</f>
        <v/>
      </c>
      <c r="FI41" s="58">
        <f>IFERROR($BX41/$BX42-1,"")</f>
        <v/>
      </c>
      <c r="FJ41" s="59">
        <f>$BY41-$BY42</f>
        <v/>
      </c>
      <c r="FK41" s="59">
        <f>$BZ41-$BZ42</f>
        <v/>
      </c>
      <c r="FL41" s="59">
        <f>$CA41-$CA42</f>
        <v/>
      </c>
      <c r="FM41" s="59">
        <f>$CB41-$CB42</f>
        <v/>
      </c>
      <c r="FN41" s="59">
        <f>$CC41-$CC42</f>
        <v/>
      </c>
      <c r="FO41" s="59">
        <f>$CD41-$CD42</f>
        <v/>
      </c>
      <c r="FP41" s="59">
        <f>$CE41-$CE42</f>
        <v/>
      </c>
      <c r="FQ41" s="59">
        <f>$CF41-$CF42</f>
        <v/>
      </c>
      <c r="FR41" s="59">
        <f>$CG41-$CG42</f>
        <v/>
      </c>
      <c r="FS41" s="59">
        <f>$CH41-$CH42</f>
        <v/>
      </c>
      <c r="FT41" s="59">
        <f>$CI41-$CI42</f>
        <v/>
      </c>
      <c r="FU41" s="59">
        <f>$CJ41-$CJ42</f>
        <v/>
      </c>
      <c r="FV41" s="59">
        <f>$CK41-$CK42</f>
        <v/>
      </c>
      <c r="FW41" s="59">
        <f>$CL41-$CL42</f>
        <v/>
      </c>
      <c r="FX41" s="59">
        <f>$CM41-$CM42</f>
        <v/>
      </c>
      <c r="FY41" s="59">
        <f>$CN41-$CN42</f>
        <v/>
      </c>
      <c r="FZ41" s="59">
        <f>$CO41-$CO42</f>
        <v/>
      </c>
      <c r="GA41" s="59">
        <f>$CP41-$CP42</f>
        <v/>
      </c>
      <c r="GB41" s="59">
        <f>$CQ41-$CQ42</f>
        <v/>
      </c>
      <c r="GC41" s="59">
        <f>$CR41-$CR42</f>
        <v/>
      </c>
      <c r="GD41" s="59">
        <f>$CS41-$CS42</f>
        <v/>
      </c>
      <c r="GE41" s="59">
        <f>$CT41-$CT42</f>
        <v/>
      </c>
    </row>
    <row r="42">
      <c r="CU42" s="58">
        <f>IFERROR($B42/$B43-1,"")</f>
        <v/>
      </c>
      <c r="CV42" s="59">
        <f>($F42-$F43)*100</f>
        <v/>
      </c>
      <c r="CW42" s="59">
        <f>($E42-$E43)*100</f>
        <v/>
      </c>
      <c r="CX42" s="58">
        <f>IFERROR($K42/$K43-1,"")</f>
        <v/>
      </c>
      <c r="CY42" s="59">
        <f>($AH42-$AH43)*100</f>
        <v/>
      </c>
      <c r="CZ42" s="59">
        <f>($AI42-$AI43)*100</f>
        <v/>
      </c>
      <c r="DA42" s="59">
        <f>($AJ42-$AJ43)*100</f>
        <v/>
      </c>
      <c r="DB42" s="59">
        <f>($AK42-$AK43)*100</f>
        <v/>
      </c>
      <c r="DC42" s="59">
        <f>($AL42-$AL43)*100</f>
        <v/>
      </c>
      <c r="DD42" s="59">
        <f>($AM42-$AM43)*100</f>
        <v/>
      </c>
      <c r="DE42" s="59">
        <f>($AN42-$AN43)*100</f>
        <v/>
      </c>
      <c r="DF42" s="59">
        <f>($AO42-$AO43)*100</f>
        <v/>
      </c>
      <c r="DG42" s="59">
        <f>($AP42-$AP43)*100</f>
        <v/>
      </c>
      <c r="DH42" s="59">
        <f>($AQ42-$AQ43)*100</f>
        <v/>
      </c>
      <c r="DI42" s="59">
        <f>($AR42-$AR43)*100</f>
        <v/>
      </c>
      <c r="DJ42" s="59">
        <f>($AS42-$AS43)*100</f>
        <v/>
      </c>
      <c r="DK42" s="59">
        <f>($AT42-$AT43)*100</f>
        <v/>
      </c>
      <c r="DL42" s="59">
        <f>($AU42-$AU43)*100</f>
        <v/>
      </c>
      <c r="DM42" s="59">
        <f>($AV42-$AV43)*100</f>
        <v/>
      </c>
      <c r="DN42" s="59">
        <f>($AW42-$AW43)*100</f>
        <v/>
      </c>
      <c r="DO42" s="59">
        <f>($AX42-$AX43)*100</f>
        <v/>
      </c>
      <c r="DP42" s="59">
        <f>($AY42-$AY43)*100</f>
        <v/>
      </c>
      <c r="DQ42" s="59">
        <f>($AZ42-$AZ43)*100</f>
        <v/>
      </c>
      <c r="DR42" s="59">
        <f>($BA42-$BA43)*100</f>
        <v/>
      </c>
      <c r="DS42" s="58">
        <f>IFERROR($N43/$N42-1,"")</f>
        <v/>
      </c>
      <c r="DT42" s="58">
        <f>IFERROR($O43/$O42-1,"")</f>
        <v/>
      </c>
      <c r="DU42" s="58">
        <f>IFERROR($P43/$P42-1,"")</f>
        <v/>
      </c>
      <c r="DV42" s="58">
        <f>IFERROR($Q43/$Q42-1,"")</f>
        <v/>
      </c>
      <c r="DW42" s="58">
        <f>IFERROR($R43/$R42-1,"")</f>
        <v/>
      </c>
      <c r="DX42" s="58">
        <f>IFERROR($S43/$S42-1,"")</f>
        <v/>
      </c>
      <c r="DY42" s="58">
        <f>IFERROR($T43/$T42-1,"")</f>
        <v/>
      </c>
      <c r="DZ42" s="58">
        <f>IFERROR($U43/$U42-1,"")</f>
        <v/>
      </c>
      <c r="EA42" s="58">
        <f>IFERROR($V43/$V42-1,"")</f>
        <v/>
      </c>
      <c r="EB42" s="58">
        <f>IFERROR($W43/$W42-1,"")</f>
        <v/>
      </c>
      <c r="EC42" s="58">
        <f>IFERROR($X43/$X42-1,"")</f>
        <v/>
      </c>
      <c r="ED42" s="58">
        <f>IFERROR($Y43/$Y42-1,"")</f>
        <v/>
      </c>
      <c r="EE42" s="58">
        <f>IFERROR($Z43/$Z42-1,"")</f>
        <v/>
      </c>
      <c r="EF42" s="58">
        <f>IFERROR($AA43/$AA42-1,"")</f>
        <v/>
      </c>
      <c r="EG42" s="58">
        <f>IFERROR($AB43/$AB42-1,"")</f>
        <v/>
      </c>
      <c r="EH42" s="58">
        <f>IFERROR($AC43/$AC42-1,"")</f>
        <v/>
      </c>
      <c r="EI42" s="58">
        <f>IFERROR($AD43/$AD42-1,"")</f>
        <v/>
      </c>
      <c r="EJ42" s="58">
        <f>IFERROR($AE43/$AE42-1,"")</f>
        <v/>
      </c>
      <c r="EK42" s="58">
        <f>IFERROR($AF43/$AF42-1,"")</f>
        <v/>
      </c>
      <c r="EL42" s="58">
        <f>IFERROR($AG43/$AG42-1,"")</f>
        <v/>
      </c>
      <c r="EM42" s="58">
        <f>IFERROR($BB42/$BB43-1,"")</f>
        <v/>
      </c>
      <c r="EN42" s="58">
        <f>IFERROR($BC42/$BC43-1,"")</f>
        <v/>
      </c>
      <c r="EO42" s="58">
        <f>IFERROR($BD42/$BD43-1,"")</f>
        <v/>
      </c>
      <c r="EP42" s="58">
        <f>IFERROR($BE42/$BE43-1,"")</f>
        <v/>
      </c>
      <c r="EQ42" s="58">
        <f>IFERROR($BF42/$BF43-1,"")</f>
        <v/>
      </c>
      <c r="ER42" s="58">
        <f>IFERROR($BG42/$BG43-1,"")</f>
        <v/>
      </c>
      <c r="ES42" s="58">
        <f>IFERROR($BH42/$BH43-1,"")</f>
        <v/>
      </c>
      <c r="ET42" s="58">
        <f>IFERROR($BI42/$BI43-1,"")</f>
        <v/>
      </c>
      <c r="EU42" s="58">
        <f>IFERROR($BJ42/$BJ43-1,"")</f>
        <v/>
      </c>
      <c r="EV42" s="58">
        <f>IFERROR($BK42/$BK43-1,"")</f>
        <v/>
      </c>
      <c r="EW42" s="58">
        <f>IFERROR($BL42/$BL43-1,"")</f>
        <v/>
      </c>
      <c r="EX42" s="58">
        <f>IFERROR($BM42/$BM43-1,"")</f>
        <v/>
      </c>
      <c r="EY42" s="58">
        <f>IFERROR($BN42/$BN43-1,"")</f>
        <v/>
      </c>
      <c r="EZ42" s="58">
        <f>IFERROR($BO42/$BO43-1,"")</f>
        <v/>
      </c>
      <c r="FA42" s="58">
        <f>IFERROR($BP42/$BP43-1,"")</f>
        <v/>
      </c>
      <c r="FB42" s="58">
        <f>IFERROR($BQ42/$BQ43-1,"")</f>
        <v/>
      </c>
      <c r="FC42" s="58">
        <f>IFERROR($BR42/$BR43-1,"")</f>
        <v/>
      </c>
      <c r="FD42" s="58">
        <f>IFERROR($BS42/$BS43-1,"")</f>
        <v/>
      </c>
      <c r="FE42" s="58">
        <f>IFERROR($BT42/$BT43-1,"")</f>
        <v/>
      </c>
      <c r="FF42" s="58">
        <f>IFERROR($BU42/$BU43-1,"")</f>
        <v/>
      </c>
      <c r="FG42" s="58">
        <f>IFERROR($BV42/$BV43-1,"")</f>
        <v/>
      </c>
      <c r="FH42" s="58">
        <f>IFERROR($BW42/$BW43-1,"")</f>
        <v/>
      </c>
      <c r="FI42" s="58">
        <f>IFERROR($BX42/$BX43-1,"")</f>
        <v/>
      </c>
      <c r="FJ42" s="59">
        <f>$BY42-$BY43</f>
        <v/>
      </c>
      <c r="FK42" s="59">
        <f>$BZ42-$BZ43</f>
        <v/>
      </c>
      <c r="FL42" s="59">
        <f>$CA42-$CA43</f>
        <v/>
      </c>
      <c r="FM42" s="59">
        <f>$CB42-$CB43</f>
        <v/>
      </c>
      <c r="FN42" s="59">
        <f>$CC42-$CC43</f>
        <v/>
      </c>
      <c r="FO42" s="59">
        <f>$CD42-$CD43</f>
        <v/>
      </c>
      <c r="FP42" s="59">
        <f>$CE42-$CE43</f>
        <v/>
      </c>
      <c r="FQ42" s="59">
        <f>$CF42-$CF43</f>
        <v/>
      </c>
      <c r="FR42" s="59">
        <f>$CG42-$CG43</f>
        <v/>
      </c>
      <c r="FS42" s="59">
        <f>$CH42-$CH43</f>
        <v/>
      </c>
      <c r="FT42" s="59">
        <f>$CI42-$CI43</f>
        <v/>
      </c>
      <c r="FU42" s="59">
        <f>$CJ42-$CJ43</f>
        <v/>
      </c>
      <c r="FV42" s="59">
        <f>$CK42-$CK43</f>
        <v/>
      </c>
      <c r="FW42" s="59">
        <f>$CL42-$CL43</f>
        <v/>
      </c>
      <c r="FX42" s="59">
        <f>$CM42-$CM43</f>
        <v/>
      </c>
      <c r="FY42" s="59">
        <f>$CN42-$CN43</f>
        <v/>
      </c>
      <c r="FZ42" s="59">
        <f>$CO42-$CO43</f>
        <v/>
      </c>
      <c r="GA42" s="59">
        <f>$CP42-$CP43</f>
        <v/>
      </c>
      <c r="GB42" s="59">
        <f>$CQ42-$CQ43</f>
        <v/>
      </c>
      <c r="GC42" s="59">
        <f>$CR42-$CR43</f>
        <v/>
      </c>
      <c r="GD42" s="59">
        <f>$CS42-$CS43</f>
        <v/>
      </c>
      <c r="GE42" s="59">
        <f>$CT42-$CT43</f>
        <v/>
      </c>
    </row>
    <row r="43">
      <c r="CU43" s="58">
        <f>IFERROR($B43/$B44-1,"")</f>
        <v/>
      </c>
      <c r="CV43" s="59">
        <f>($F43-$F44)*100</f>
        <v/>
      </c>
      <c r="CW43" s="59">
        <f>($E43-$E44)*100</f>
        <v/>
      </c>
      <c r="CX43" s="58">
        <f>IFERROR($K43/$K44-1,"")</f>
        <v/>
      </c>
      <c r="CY43" s="59">
        <f>($AH43-$AH44)*100</f>
        <v/>
      </c>
      <c r="CZ43" s="59">
        <f>($AI43-$AI44)*100</f>
        <v/>
      </c>
      <c r="DA43" s="59">
        <f>($AJ43-$AJ44)*100</f>
        <v/>
      </c>
      <c r="DB43" s="59">
        <f>($AK43-$AK44)*100</f>
        <v/>
      </c>
      <c r="DC43" s="59">
        <f>($AL43-$AL44)*100</f>
        <v/>
      </c>
      <c r="DD43" s="59">
        <f>($AM43-$AM44)*100</f>
        <v/>
      </c>
      <c r="DE43" s="59">
        <f>($AN43-$AN44)*100</f>
        <v/>
      </c>
      <c r="DF43" s="59">
        <f>($AO43-$AO44)*100</f>
        <v/>
      </c>
      <c r="DG43" s="59">
        <f>($AP43-$AP44)*100</f>
        <v/>
      </c>
      <c r="DH43" s="59">
        <f>($AQ43-$AQ44)*100</f>
        <v/>
      </c>
      <c r="DI43" s="59">
        <f>($AR43-$AR44)*100</f>
        <v/>
      </c>
      <c r="DJ43" s="59">
        <f>($AS43-$AS44)*100</f>
        <v/>
      </c>
      <c r="DK43" s="59">
        <f>($AT43-$AT44)*100</f>
        <v/>
      </c>
      <c r="DL43" s="59">
        <f>($AU43-$AU44)*100</f>
        <v/>
      </c>
      <c r="DM43" s="59">
        <f>($AV43-$AV44)*100</f>
        <v/>
      </c>
      <c r="DN43" s="59">
        <f>($AW43-$AW44)*100</f>
        <v/>
      </c>
      <c r="DO43" s="59">
        <f>($AX43-$AX44)*100</f>
        <v/>
      </c>
      <c r="DP43" s="59">
        <f>($AY43-$AY44)*100</f>
        <v/>
      </c>
      <c r="DQ43" s="59">
        <f>($AZ43-$AZ44)*100</f>
        <v/>
      </c>
      <c r="DR43" s="59">
        <f>($BA43-$BA44)*100</f>
        <v/>
      </c>
      <c r="DS43" s="58">
        <f>IFERROR($N44/$N43-1,"")</f>
        <v/>
      </c>
      <c r="DT43" s="58">
        <f>IFERROR($O44/$O43-1,"")</f>
        <v/>
      </c>
      <c r="DU43" s="58">
        <f>IFERROR($P44/$P43-1,"")</f>
        <v/>
      </c>
      <c r="DV43" s="58">
        <f>IFERROR($Q44/$Q43-1,"")</f>
        <v/>
      </c>
      <c r="DW43" s="58">
        <f>IFERROR($R44/$R43-1,"")</f>
        <v/>
      </c>
      <c r="DX43" s="58">
        <f>IFERROR($S44/$S43-1,"")</f>
        <v/>
      </c>
      <c r="DY43" s="58">
        <f>IFERROR($T44/$T43-1,"")</f>
        <v/>
      </c>
      <c r="DZ43" s="58">
        <f>IFERROR($U44/$U43-1,"")</f>
        <v/>
      </c>
      <c r="EA43" s="58">
        <f>IFERROR($V44/$V43-1,"")</f>
        <v/>
      </c>
      <c r="EB43" s="58">
        <f>IFERROR($W44/$W43-1,"")</f>
        <v/>
      </c>
      <c r="EC43" s="58">
        <f>IFERROR($X44/$X43-1,"")</f>
        <v/>
      </c>
      <c r="ED43" s="58">
        <f>IFERROR($Y44/$Y43-1,"")</f>
        <v/>
      </c>
      <c r="EE43" s="58">
        <f>IFERROR($Z44/$Z43-1,"")</f>
        <v/>
      </c>
      <c r="EF43" s="58">
        <f>IFERROR($AA44/$AA43-1,"")</f>
        <v/>
      </c>
      <c r="EG43" s="58">
        <f>IFERROR($AB44/$AB43-1,"")</f>
        <v/>
      </c>
      <c r="EH43" s="58">
        <f>IFERROR($AC44/$AC43-1,"")</f>
        <v/>
      </c>
      <c r="EI43" s="58">
        <f>IFERROR($AD44/$AD43-1,"")</f>
        <v/>
      </c>
      <c r="EJ43" s="58">
        <f>IFERROR($AE44/$AE43-1,"")</f>
        <v/>
      </c>
      <c r="EK43" s="58">
        <f>IFERROR($AF44/$AF43-1,"")</f>
        <v/>
      </c>
      <c r="EL43" s="58">
        <f>IFERROR($AG44/$AG43-1,"")</f>
        <v/>
      </c>
      <c r="EM43" s="58">
        <f>IFERROR($BB43/$BB44-1,"")</f>
        <v/>
      </c>
      <c r="EN43" s="58">
        <f>IFERROR($BC43/$BC44-1,"")</f>
        <v/>
      </c>
      <c r="EO43" s="58">
        <f>IFERROR($BD43/$BD44-1,"")</f>
        <v/>
      </c>
      <c r="EP43" s="58">
        <f>IFERROR($BE43/$BE44-1,"")</f>
        <v/>
      </c>
      <c r="EQ43" s="58">
        <f>IFERROR($BF43/$BF44-1,"")</f>
        <v/>
      </c>
      <c r="ER43" s="58">
        <f>IFERROR($BG43/$BG44-1,"")</f>
        <v/>
      </c>
      <c r="ES43" s="58">
        <f>IFERROR($BH43/$BH44-1,"")</f>
        <v/>
      </c>
      <c r="ET43" s="58">
        <f>IFERROR($BI43/$BI44-1,"")</f>
        <v/>
      </c>
      <c r="EU43" s="58">
        <f>IFERROR($BJ43/$BJ44-1,"")</f>
        <v/>
      </c>
      <c r="EV43" s="58">
        <f>IFERROR($BK43/$BK44-1,"")</f>
        <v/>
      </c>
      <c r="EW43" s="58">
        <f>IFERROR($BL43/$BL44-1,"")</f>
        <v/>
      </c>
      <c r="EX43" s="58">
        <f>IFERROR($BM43/$BM44-1,"")</f>
        <v/>
      </c>
      <c r="EY43" s="58">
        <f>IFERROR($BN43/$BN44-1,"")</f>
        <v/>
      </c>
      <c r="EZ43" s="58">
        <f>IFERROR($BO43/$BO44-1,"")</f>
        <v/>
      </c>
      <c r="FA43" s="58">
        <f>IFERROR($BP43/$BP44-1,"")</f>
        <v/>
      </c>
      <c r="FB43" s="58">
        <f>IFERROR($BQ43/$BQ44-1,"")</f>
        <v/>
      </c>
      <c r="FC43" s="58">
        <f>IFERROR($BR43/$BR44-1,"")</f>
        <v/>
      </c>
      <c r="FD43" s="58">
        <f>IFERROR($BS43/$BS44-1,"")</f>
        <v/>
      </c>
      <c r="FE43" s="58">
        <f>IFERROR($BT43/$BT44-1,"")</f>
        <v/>
      </c>
      <c r="FF43" s="58">
        <f>IFERROR($BU43/$BU44-1,"")</f>
        <v/>
      </c>
      <c r="FG43" s="58">
        <f>IFERROR($BV43/$BV44-1,"")</f>
        <v/>
      </c>
      <c r="FH43" s="58">
        <f>IFERROR($BW43/$BW44-1,"")</f>
        <v/>
      </c>
      <c r="FI43" s="58">
        <f>IFERROR($BX43/$BX44-1,"")</f>
        <v/>
      </c>
      <c r="FJ43" s="59">
        <f>$BY43-$BY44</f>
        <v/>
      </c>
      <c r="FK43" s="59">
        <f>$BZ43-$BZ44</f>
        <v/>
      </c>
      <c r="FL43" s="59">
        <f>$CA43-$CA44</f>
        <v/>
      </c>
      <c r="FM43" s="59">
        <f>$CB43-$CB44</f>
        <v/>
      </c>
      <c r="FN43" s="59">
        <f>$CC43-$CC44</f>
        <v/>
      </c>
      <c r="FO43" s="59">
        <f>$CD43-$CD44</f>
        <v/>
      </c>
      <c r="FP43" s="59">
        <f>$CE43-$CE44</f>
        <v/>
      </c>
      <c r="FQ43" s="59">
        <f>$CF43-$CF44</f>
        <v/>
      </c>
      <c r="FR43" s="59">
        <f>$CG43-$CG44</f>
        <v/>
      </c>
      <c r="FS43" s="59">
        <f>$CH43-$CH44</f>
        <v/>
      </c>
      <c r="FT43" s="59">
        <f>$CI43-$CI44</f>
        <v/>
      </c>
      <c r="FU43" s="59">
        <f>$CJ43-$CJ44</f>
        <v/>
      </c>
      <c r="FV43" s="59">
        <f>$CK43-$CK44</f>
        <v/>
      </c>
      <c r="FW43" s="59">
        <f>$CL43-$CL44</f>
        <v/>
      </c>
      <c r="FX43" s="59">
        <f>$CM43-$CM44</f>
        <v/>
      </c>
      <c r="FY43" s="59">
        <f>$CN43-$CN44</f>
        <v/>
      </c>
      <c r="FZ43" s="59">
        <f>$CO43-$CO44</f>
        <v/>
      </c>
      <c r="GA43" s="59">
        <f>$CP43-$CP44</f>
        <v/>
      </c>
      <c r="GB43" s="59">
        <f>$CQ43-$CQ44</f>
        <v/>
      </c>
      <c r="GC43" s="59">
        <f>$CR43-$CR44</f>
        <v/>
      </c>
      <c r="GD43" s="59">
        <f>$CS43-$CS44</f>
        <v/>
      </c>
      <c r="GE43" s="59">
        <f>$CT43-$CT44</f>
        <v/>
      </c>
    </row>
    <row r="44">
      <c r="CU44" s="58">
        <f>IFERROR($B44/$B45-1,"")</f>
        <v/>
      </c>
      <c r="CV44" s="59">
        <f>($F44-$F45)*100</f>
        <v/>
      </c>
      <c r="CW44" s="59">
        <f>($E44-$E45)*100</f>
        <v/>
      </c>
      <c r="CX44" s="58">
        <f>IFERROR($K44/$K45-1,"")</f>
        <v/>
      </c>
      <c r="CY44" s="59">
        <f>($AH44-$AH45)*100</f>
        <v/>
      </c>
      <c r="CZ44" s="59">
        <f>($AI44-$AI45)*100</f>
        <v/>
      </c>
      <c r="DA44" s="59">
        <f>($AJ44-$AJ45)*100</f>
        <v/>
      </c>
      <c r="DB44" s="59">
        <f>($AK44-$AK45)*100</f>
        <v/>
      </c>
      <c r="DC44" s="59">
        <f>($AL44-$AL45)*100</f>
        <v/>
      </c>
      <c r="DD44" s="59">
        <f>($AM44-$AM45)*100</f>
        <v/>
      </c>
      <c r="DE44" s="59">
        <f>($AN44-$AN45)*100</f>
        <v/>
      </c>
      <c r="DF44" s="59">
        <f>($AO44-$AO45)*100</f>
        <v/>
      </c>
      <c r="DG44" s="59">
        <f>($AP44-$AP45)*100</f>
        <v/>
      </c>
      <c r="DH44" s="59">
        <f>($AQ44-$AQ45)*100</f>
        <v/>
      </c>
      <c r="DI44" s="59">
        <f>($AR44-$AR45)*100</f>
        <v/>
      </c>
      <c r="DJ44" s="59">
        <f>($AS44-$AS45)*100</f>
        <v/>
      </c>
      <c r="DK44" s="59">
        <f>($AT44-$AT45)*100</f>
        <v/>
      </c>
      <c r="DL44" s="59">
        <f>($AU44-$AU45)*100</f>
        <v/>
      </c>
      <c r="DM44" s="59">
        <f>($AV44-$AV45)*100</f>
        <v/>
      </c>
      <c r="DN44" s="59">
        <f>($AW44-$AW45)*100</f>
        <v/>
      </c>
      <c r="DO44" s="59">
        <f>($AX44-$AX45)*100</f>
        <v/>
      </c>
      <c r="DP44" s="59">
        <f>($AY44-$AY45)*100</f>
        <v/>
      </c>
      <c r="DQ44" s="59">
        <f>($AZ44-$AZ45)*100</f>
        <v/>
      </c>
      <c r="DR44" s="59">
        <f>($BA44-$BA45)*100</f>
        <v/>
      </c>
      <c r="DS44" s="58">
        <f>IFERROR($N45/$N44-1,"")</f>
        <v/>
      </c>
      <c r="DT44" s="58">
        <f>IFERROR($O45/$O44-1,"")</f>
        <v/>
      </c>
      <c r="DU44" s="58">
        <f>IFERROR($P45/$P44-1,"")</f>
        <v/>
      </c>
      <c r="DV44" s="58">
        <f>IFERROR($Q45/$Q44-1,"")</f>
        <v/>
      </c>
      <c r="DW44" s="58">
        <f>IFERROR($R45/$R44-1,"")</f>
        <v/>
      </c>
      <c r="DX44" s="58">
        <f>IFERROR($S45/$S44-1,"")</f>
        <v/>
      </c>
      <c r="DY44" s="58">
        <f>IFERROR($T45/$T44-1,"")</f>
        <v/>
      </c>
      <c r="DZ44" s="58">
        <f>IFERROR($U45/$U44-1,"")</f>
        <v/>
      </c>
      <c r="EA44" s="58">
        <f>IFERROR($V45/$V44-1,"")</f>
        <v/>
      </c>
      <c r="EB44" s="58">
        <f>IFERROR($W45/$W44-1,"")</f>
        <v/>
      </c>
      <c r="EC44" s="58">
        <f>IFERROR($X45/$X44-1,"")</f>
        <v/>
      </c>
      <c r="ED44" s="58">
        <f>IFERROR($Y45/$Y44-1,"")</f>
        <v/>
      </c>
      <c r="EE44" s="58">
        <f>IFERROR($Z45/$Z44-1,"")</f>
        <v/>
      </c>
      <c r="EF44" s="58">
        <f>IFERROR($AA45/$AA44-1,"")</f>
        <v/>
      </c>
      <c r="EG44" s="58">
        <f>IFERROR($AB45/$AB44-1,"")</f>
        <v/>
      </c>
      <c r="EH44" s="58">
        <f>IFERROR($AC45/$AC44-1,"")</f>
        <v/>
      </c>
      <c r="EI44" s="58">
        <f>IFERROR($AD45/$AD44-1,"")</f>
        <v/>
      </c>
      <c r="EJ44" s="58">
        <f>IFERROR($AE45/$AE44-1,"")</f>
        <v/>
      </c>
      <c r="EK44" s="58">
        <f>IFERROR($AF45/$AF44-1,"")</f>
        <v/>
      </c>
      <c r="EL44" s="58">
        <f>IFERROR($AG45/$AG44-1,"")</f>
        <v/>
      </c>
      <c r="EM44" s="58">
        <f>IFERROR($BB44/$BB45-1,"")</f>
        <v/>
      </c>
      <c r="EN44" s="58">
        <f>IFERROR($BC44/$BC45-1,"")</f>
        <v/>
      </c>
      <c r="EO44" s="58">
        <f>IFERROR($BD44/$BD45-1,"")</f>
        <v/>
      </c>
      <c r="EP44" s="58">
        <f>IFERROR($BE44/$BE45-1,"")</f>
        <v/>
      </c>
      <c r="EQ44" s="58">
        <f>IFERROR($BF44/$BF45-1,"")</f>
        <v/>
      </c>
      <c r="ER44" s="58">
        <f>IFERROR($BG44/$BG45-1,"")</f>
        <v/>
      </c>
      <c r="ES44" s="58">
        <f>IFERROR($BH44/$BH45-1,"")</f>
        <v/>
      </c>
      <c r="ET44" s="58">
        <f>IFERROR($BI44/$BI45-1,"")</f>
        <v/>
      </c>
      <c r="EU44" s="58">
        <f>IFERROR($BJ44/$BJ45-1,"")</f>
        <v/>
      </c>
      <c r="EV44" s="58">
        <f>IFERROR($BK44/$BK45-1,"")</f>
        <v/>
      </c>
      <c r="EW44" s="58">
        <f>IFERROR($BL44/$BL45-1,"")</f>
        <v/>
      </c>
      <c r="EX44" s="58">
        <f>IFERROR($BM44/$BM45-1,"")</f>
        <v/>
      </c>
      <c r="EY44" s="58">
        <f>IFERROR($BN44/$BN45-1,"")</f>
        <v/>
      </c>
      <c r="EZ44" s="58">
        <f>IFERROR($BO44/$BO45-1,"")</f>
        <v/>
      </c>
      <c r="FA44" s="58">
        <f>IFERROR($BP44/$BP45-1,"")</f>
        <v/>
      </c>
      <c r="FB44" s="58">
        <f>IFERROR($BQ44/$BQ45-1,"")</f>
        <v/>
      </c>
      <c r="FC44" s="58">
        <f>IFERROR($BR44/$BR45-1,"")</f>
        <v/>
      </c>
      <c r="FD44" s="58">
        <f>IFERROR($BS44/$BS45-1,"")</f>
        <v/>
      </c>
      <c r="FE44" s="58">
        <f>IFERROR($BT44/$BT45-1,"")</f>
        <v/>
      </c>
      <c r="FF44" s="58">
        <f>IFERROR($BU44/$BU45-1,"")</f>
        <v/>
      </c>
      <c r="FG44" s="58">
        <f>IFERROR($BV44/$BV45-1,"")</f>
        <v/>
      </c>
      <c r="FH44" s="58">
        <f>IFERROR($BW44/$BW45-1,"")</f>
        <v/>
      </c>
      <c r="FI44" s="58">
        <f>IFERROR($BX44/$BX45-1,"")</f>
        <v/>
      </c>
      <c r="FJ44" s="59">
        <f>$BY44-$BY45</f>
        <v/>
      </c>
      <c r="FK44" s="59">
        <f>$BZ44-$BZ45</f>
        <v/>
      </c>
      <c r="FL44" s="59">
        <f>$CA44-$CA45</f>
        <v/>
      </c>
      <c r="FM44" s="59">
        <f>$CB44-$CB45</f>
        <v/>
      </c>
      <c r="FN44" s="59">
        <f>$CC44-$CC45</f>
        <v/>
      </c>
      <c r="FO44" s="59">
        <f>$CD44-$CD45</f>
        <v/>
      </c>
      <c r="FP44" s="59">
        <f>$CE44-$CE45</f>
        <v/>
      </c>
      <c r="FQ44" s="59">
        <f>$CF44-$CF45</f>
        <v/>
      </c>
      <c r="FR44" s="59">
        <f>$CG44-$CG45</f>
        <v/>
      </c>
      <c r="FS44" s="59">
        <f>$CH44-$CH45</f>
        <v/>
      </c>
      <c r="FT44" s="59">
        <f>$CI44-$CI45</f>
        <v/>
      </c>
      <c r="FU44" s="59">
        <f>$CJ44-$CJ45</f>
        <v/>
      </c>
      <c r="FV44" s="59">
        <f>$CK44-$CK45</f>
        <v/>
      </c>
      <c r="FW44" s="59">
        <f>$CL44-$CL45</f>
        <v/>
      </c>
      <c r="FX44" s="59">
        <f>$CM44-$CM45</f>
        <v/>
      </c>
      <c r="FY44" s="59">
        <f>$CN44-$CN45</f>
        <v/>
      </c>
      <c r="FZ44" s="59">
        <f>$CO44-$CO45</f>
        <v/>
      </c>
      <c r="GA44" s="59">
        <f>$CP44-$CP45</f>
        <v/>
      </c>
      <c r="GB44" s="59">
        <f>$CQ44-$CQ45</f>
        <v/>
      </c>
      <c r="GC44" s="59">
        <f>$CR44-$CR45</f>
        <v/>
      </c>
      <c r="GD44" s="59">
        <f>$CS44-$CS45</f>
        <v/>
      </c>
      <c r="GE44" s="59">
        <f>$CT44-$CT45</f>
        <v/>
      </c>
    </row>
    <row r="45">
      <c r="CU45" s="58">
        <f>IFERROR($B45/$B46-1,"")</f>
        <v/>
      </c>
      <c r="CV45" s="59">
        <f>($F45-$F46)*100</f>
        <v/>
      </c>
      <c r="CW45" s="59">
        <f>($E45-$E46)*100</f>
        <v/>
      </c>
      <c r="CX45" s="58">
        <f>IFERROR($K45/$K46-1,"")</f>
        <v/>
      </c>
      <c r="CY45" s="59">
        <f>($AH45-$AH46)*100</f>
        <v/>
      </c>
      <c r="CZ45" s="59">
        <f>($AI45-$AI46)*100</f>
        <v/>
      </c>
      <c r="DA45" s="59">
        <f>($AJ45-$AJ46)*100</f>
        <v/>
      </c>
      <c r="DB45" s="59">
        <f>($AK45-$AK46)*100</f>
        <v/>
      </c>
      <c r="DC45" s="59">
        <f>($AL45-$AL46)*100</f>
        <v/>
      </c>
      <c r="DD45" s="59">
        <f>($AM45-$AM46)*100</f>
        <v/>
      </c>
      <c r="DE45" s="59">
        <f>($AN45-$AN46)*100</f>
        <v/>
      </c>
      <c r="DF45" s="59">
        <f>($AO45-$AO46)*100</f>
        <v/>
      </c>
      <c r="DG45" s="59">
        <f>($AP45-$AP46)*100</f>
        <v/>
      </c>
      <c r="DH45" s="59">
        <f>($AQ45-$AQ46)*100</f>
        <v/>
      </c>
      <c r="DI45" s="59">
        <f>($AR45-$AR46)*100</f>
        <v/>
      </c>
      <c r="DJ45" s="59">
        <f>($AS45-$AS46)*100</f>
        <v/>
      </c>
      <c r="DK45" s="59">
        <f>($AT45-$AT46)*100</f>
        <v/>
      </c>
      <c r="DL45" s="59">
        <f>($AU45-$AU46)*100</f>
        <v/>
      </c>
      <c r="DM45" s="59">
        <f>($AV45-$AV46)*100</f>
        <v/>
      </c>
      <c r="DN45" s="59">
        <f>($AW45-$AW46)*100</f>
        <v/>
      </c>
      <c r="DO45" s="59">
        <f>($AX45-$AX46)*100</f>
        <v/>
      </c>
      <c r="DP45" s="59">
        <f>($AY45-$AY46)*100</f>
        <v/>
      </c>
      <c r="DQ45" s="59">
        <f>($AZ45-$AZ46)*100</f>
        <v/>
      </c>
      <c r="DR45" s="59">
        <f>($BA45-$BA46)*100</f>
        <v/>
      </c>
      <c r="DS45" s="58">
        <f>IFERROR($N46/$N45-1,"")</f>
        <v/>
      </c>
      <c r="DT45" s="58">
        <f>IFERROR($O46/$O45-1,"")</f>
        <v/>
      </c>
      <c r="DU45" s="58">
        <f>IFERROR($P46/$P45-1,"")</f>
        <v/>
      </c>
      <c r="DV45" s="58">
        <f>IFERROR($Q46/$Q45-1,"")</f>
        <v/>
      </c>
      <c r="DW45" s="58">
        <f>IFERROR($R46/$R45-1,"")</f>
        <v/>
      </c>
      <c r="DX45" s="58">
        <f>IFERROR($S46/$S45-1,"")</f>
        <v/>
      </c>
      <c r="DY45" s="58">
        <f>IFERROR($T46/$T45-1,"")</f>
        <v/>
      </c>
      <c r="DZ45" s="58">
        <f>IFERROR($U46/$U45-1,"")</f>
        <v/>
      </c>
      <c r="EA45" s="58">
        <f>IFERROR($V46/$V45-1,"")</f>
        <v/>
      </c>
      <c r="EB45" s="58">
        <f>IFERROR($W46/$W45-1,"")</f>
        <v/>
      </c>
      <c r="EC45" s="58">
        <f>IFERROR($X46/$X45-1,"")</f>
        <v/>
      </c>
      <c r="ED45" s="58">
        <f>IFERROR($Y46/$Y45-1,"")</f>
        <v/>
      </c>
      <c r="EE45" s="58">
        <f>IFERROR($Z46/$Z45-1,"")</f>
        <v/>
      </c>
      <c r="EF45" s="58">
        <f>IFERROR($AA46/$AA45-1,"")</f>
        <v/>
      </c>
      <c r="EG45" s="58">
        <f>IFERROR($AB46/$AB45-1,"")</f>
        <v/>
      </c>
      <c r="EH45" s="58">
        <f>IFERROR($AC46/$AC45-1,"")</f>
        <v/>
      </c>
      <c r="EI45" s="58">
        <f>IFERROR($AD46/$AD45-1,"")</f>
        <v/>
      </c>
      <c r="EJ45" s="58">
        <f>IFERROR($AE46/$AE45-1,"")</f>
        <v/>
      </c>
      <c r="EK45" s="58">
        <f>IFERROR($AF46/$AF45-1,"")</f>
        <v/>
      </c>
      <c r="EL45" s="58">
        <f>IFERROR($AG46/$AG45-1,"")</f>
        <v/>
      </c>
      <c r="EM45" s="58">
        <f>IFERROR($BB45/$BB46-1,"")</f>
        <v/>
      </c>
      <c r="EN45" s="58">
        <f>IFERROR($BC45/$BC46-1,"")</f>
        <v/>
      </c>
      <c r="EO45" s="58">
        <f>IFERROR($BD45/$BD46-1,"")</f>
        <v/>
      </c>
      <c r="EP45" s="58">
        <f>IFERROR($BE45/$BE46-1,"")</f>
        <v/>
      </c>
      <c r="EQ45" s="58">
        <f>IFERROR($BF45/$BF46-1,"")</f>
        <v/>
      </c>
      <c r="ER45" s="58">
        <f>IFERROR($BG45/$BG46-1,"")</f>
        <v/>
      </c>
      <c r="ES45" s="58">
        <f>IFERROR($BH45/$BH46-1,"")</f>
        <v/>
      </c>
      <c r="ET45" s="58">
        <f>IFERROR($BI45/$BI46-1,"")</f>
        <v/>
      </c>
      <c r="EU45" s="58">
        <f>IFERROR($BJ45/$BJ46-1,"")</f>
        <v/>
      </c>
      <c r="EV45" s="58">
        <f>IFERROR($BK45/$BK46-1,"")</f>
        <v/>
      </c>
      <c r="EW45" s="58">
        <f>IFERROR($BL45/$BL46-1,"")</f>
        <v/>
      </c>
      <c r="EX45" s="58">
        <f>IFERROR($BM45/$BM46-1,"")</f>
        <v/>
      </c>
      <c r="EY45" s="58">
        <f>IFERROR($BN45/$BN46-1,"")</f>
        <v/>
      </c>
      <c r="EZ45" s="58">
        <f>IFERROR($BO45/$BO46-1,"")</f>
        <v/>
      </c>
      <c r="FA45" s="58">
        <f>IFERROR($BP45/$BP46-1,"")</f>
        <v/>
      </c>
      <c r="FB45" s="58">
        <f>IFERROR($BQ45/$BQ46-1,"")</f>
        <v/>
      </c>
      <c r="FC45" s="58">
        <f>IFERROR($BR45/$BR46-1,"")</f>
        <v/>
      </c>
      <c r="FD45" s="58">
        <f>IFERROR($BS45/$BS46-1,"")</f>
        <v/>
      </c>
      <c r="FE45" s="58">
        <f>IFERROR($BT45/$BT46-1,"")</f>
        <v/>
      </c>
      <c r="FF45" s="58">
        <f>IFERROR($BU45/$BU46-1,"")</f>
        <v/>
      </c>
      <c r="FG45" s="58">
        <f>IFERROR($BV45/$BV46-1,"")</f>
        <v/>
      </c>
      <c r="FH45" s="58">
        <f>IFERROR($BW45/$BW46-1,"")</f>
        <v/>
      </c>
      <c r="FI45" s="58">
        <f>IFERROR($BX45/$BX46-1,"")</f>
        <v/>
      </c>
      <c r="FJ45" s="59">
        <f>$BY45-$BY46</f>
        <v/>
      </c>
      <c r="FK45" s="59">
        <f>$BZ45-$BZ46</f>
        <v/>
      </c>
      <c r="FL45" s="59">
        <f>$CA45-$CA46</f>
        <v/>
      </c>
      <c r="FM45" s="59">
        <f>$CB45-$CB46</f>
        <v/>
      </c>
      <c r="FN45" s="59">
        <f>$CC45-$CC46</f>
        <v/>
      </c>
      <c r="FO45" s="59">
        <f>$CD45-$CD46</f>
        <v/>
      </c>
      <c r="FP45" s="59">
        <f>$CE45-$CE46</f>
        <v/>
      </c>
      <c r="FQ45" s="59">
        <f>$CF45-$CF46</f>
        <v/>
      </c>
      <c r="FR45" s="59">
        <f>$CG45-$CG46</f>
        <v/>
      </c>
      <c r="FS45" s="59">
        <f>$CH45-$CH46</f>
        <v/>
      </c>
      <c r="FT45" s="59">
        <f>$CI45-$CI46</f>
        <v/>
      </c>
      <c r="FU45" s="59">
        <f>$CJ45-$CJ46</f>
        <v/>
      </c>
      <c r="FV45" s="59">
        <f>$CK45-$CK46</f>
        <v/>
      </c>
      <c r="FW45" s="59">
        <f>$CL45-$CL46</f>
        <v/>
      </c>
      <c r="FX45" s="59">
        <f>$CM45-$CM46</f>
        <v/>
      </c>
      <c r="FY45" s="59">
        <f>$CN45-$CN46</f>
        <v/>
      </c>
      <c r="FZ45" s="59">
        <f>$CO45-$CO46</f>
        <v/>
      </c>
      <c r="GA45" s="59">
        <f>$CP45-$CP46</f>
        <v/>
      </c>
      <c r="GB45" s="59">
        <f>$CQ45-$CQ46</f>
        <v/>
      </c>
      <c r="GC45" s="59">
        <f>$CR45-$CR46</f>
        <v/>
      </c>
      <c r="GD45" s="59">
        <f>$CS45-$CS46</f>
        <v/>
      </c>
      <c r="GE45" s="59">
        <f>$CT45-$CT46</f>
        <v/>
      </c>
    </row>
    <row r="46">
      <c r="CU46" s="58">
        <f>IFERROR($B46/$B47-1,"")</f>
        <v/>
      </c>
      <c r="CV46" s="59">
        <f>($F46-$F47)*100</f>
        <v/>
      </c>
      <c r="CW46" s="59">
        <f>($E46-$E47)*100</f>
        <v/>
      </c>
      <c r="CX46" s="58">
        <f>IFERROR($K46/$K47-1,"")</f>
        <v/>
      </c>
      <c r="CY46" s="59">
        <f>($AH46-$AH47)*100</f>
        <v/>
      </c>
      <c r="CZ46" s="59">
        <f>($AI46-$AI47)*100</f>
        <v/>
      </c>
      <c r="DA46" s="59">
        <f>($AJ46-$AJ47)*100</f>
        <v/>
      </c>
      <c r="DB46" s="59">
        <f>($AK46-$AK47)*100</f>
        <v/>
      </c>
      <c r="DC46" s="59">
        <f>($AL46-$AL47)*100</f>
        <v/>
      </c>
      <c r="DD46" s="59">
        <f>($AM46-$AM47)*100</f>
        <v/>
      </c>
      <c r="DE46" s="59">
        <f>($AN46-$AN47)*100</f>
        <v/>
      </c>
      <c r="DF46" s="59">
        <f>($AO46-$AO47)*100</f>
        <v/>
      </c>
      <c r="DG46" s="59">
        <f>($AP46-$AP47)*100</f>
        <v/>
      </c>
      <c r="DH46" s="59">
        <f>($AQ46-$AQ47)*100</f>
        <v/>
      </c>
      <c r="DI46" s="59">
        <f>($AR46-$AR47)*100</f>
        <v/>
      </c>
      <c r="DJ46" s="59">
        <f>($AS46-$AS47)*100</f>
        <v/>
      </c>
      <c r="DK46" s="59">
        <f>($AT46-$AT47)*100</f>
        <v/>
      </c>
      <c r="DL46" s="59">
        <f>($AU46-$AU47)*100</f>
        <v/>
      </c>
      <c r="DM46" s="59">
        <f>($AV46-$AV47)*100</f>
        <v/>
      </c>
      <c r="DN46" s="59">
        <f>($AW46-$AW47)*100</f>
        <v/>
      </c>
      <c r="DO46" s="59">
        <f>($AX46-$AX47)*100</f>
        <v/>
      </c>
      <c r="DP46" s="59">
        <f>($AY46-$AY47)*100</f>
        <v/>
      </c>
      <c r="DQ46" s="59">
        <f>($AZ46-$AZ47)*100</f>
        <v/>
      </c>
      <c r="DR46" s="59">
        <f>($BA46-$BA47)*100</f>
        <v/>
      </c>
      <c r="DS46" s="58">
        <f>IFERROR($N47/$N46-1,"")</f>
        <v/>
      </c>
      <c r="DT46" s="58">
        <f>IFERROR($O47/$O46-1,"")</f>
        <v/>
      </c>
      <c r="DU46" s="58">
        <f>IFERROR($P47/$P46-1,"")</f>
        <v/>
      </c>
      <c r="DV46" s="58">
        <f>IFERROR($Q47/$Q46-1,"")</f>
        <v/>
      </c>
      <c r="DW46" s="58">
        <f>IFERROR($R47/$R46-1,"")</f>
        <v/>
      </c>
      <c r="DX46" s="58">
        <f>IFERROR($S47/$S46-1,"")</f>
        <v/>
      </c>
      <c r="DY46" s="58">
        <f>IFERROR($T47/$T46-1,"")</f>
        <v/>
      </c>
      <c r="DZ46" s="58">
        <f>IFERROR($U47/$U46-1,"")</f>
        <v/>
      </c>
      <c r="EA46" s="58">
        <f>IFERROR($V47/$V46-1,"")</f>
        <v/>
      </c>
      <c r="EB46" s="58">
        <f>IFERROR($W47/$W46-1,"")</f>
        <v/>
      </c>
      <c r="EC46" s="58">
        <f>IFERROR($X47/$X46-1,"")</f>
        <v/>
      </c>
      <c r="ED46" s="58">
        <f>IFERROR($Y47/$Y46-1,"")</f>
        <v/>
      </c>
      <c r="EE46" s="58">
        <f>IFERROR($Z47/$Z46-1,"")</f>
        <v/>
      </c>
      <c r="EF46" s="58">
        <f>IFERROR($AA47/$AA46-1,"")</f>
        <v/>
      </c>
      <c r="EG46" s="58">
        <f>IFERROR($AB47/$AB46-1,"")</f>
        <v/>
      </c>
      <c r="EH46" s="58">
        <f>IFERROR($AC47/$AC46-1,"")</f>
        <v/>
      </c>
      <c r="EI46" s="58">
        <f>IFERROR($AD47/$AD46-1,"")</f>
        <v/>
      </c>
      <c r="EJ46" s="58">
        <f>IFERROR($AE47/$AE46-1,"")</f>
        <v/>
      </c>
      <c r="EK46" s="58">
        <f>IFERROR($AF47/$AF46-1,"")</f>
        <v/>
      </c>
      <c r="EL46" s="58">
        <f>IFERROR($AG47/$AG46-1,"")</f>
        <v/>
      </c>
      <c r="EM46" s="58">
        <f>IFERROR($BB46/$BB47-1,"")</f>
        <v/>
      </c>
      <c r="EN46" s="58">
        <f>IFERROR($BC46/$BC47-1,"")</f>
        <v/>
      </c>
      <c r="EO46" s="58">
        <f>IFERROR($BD46/$BD47-1,"")</f>
        <v/>
      </c>
      <c r="EP46" s="58">
        <f>IFERROR($BE46/$BE47-1,"")</f>
        <v/>
      </c>
      <c r="EQ46" s="58">
        <f>IFERROR($BF46/$BF47-1,"")</f>
        <v/>
      </c>
      <c r="ER46" s="58">
        <f>IFERROR($BG46/$BG47-1,"")</f>
        <v/>
      </c>
      <c r="ES46" s="58">
        <f>IFERROR($BH46/$BH47-1,"")</f>
        <v/>
      </c>
      <c r="ET46" s="58">
        <f>IFERROR($BI46/$BI47-1,"")</f>
        <v/>
      </c>
      <c r="EU46" s="58">
        <f>IFERROR($BJ46/$BJ47-1,"")</f>
        <v/>
      </c>
      <c r="EV46" s="58">
        <f>IFERROR($BK46/$BK47-1,"")</f>
        <v/>
      </c>
      <c r="EW46" s="58">
        <f>IFERROR($BL46/$BL47-1,"")</f>
        <v/>
      </c>
      <c r="EX46" s="58">
        <f>IFERROR($BM46/$BM47-1,"")</f>
        <v/>
      </c>
      <c r="EY46" s="58">
        <f>IFERROR($BN46/$BN47-1,"")</f>
        <v/>
      </c>
      <c r="EZ46" s="58">
        <f>IFERROR($BO46/$BO47-1,"")</f>
        <v/>
      </c>
      <c r="FA46" s="58">
        <f>IFERROR($BP46/$BP47-1,"")</f>
        <v/>
      </c>
      <c r="FB46" s="58">
        <f>IFERROR($BQ46/$BQ47-1,"")</f>
        <v/>
      </c>
      <c r="FC46" s="58">
        <f>IFERROR($BR46/$BR47-1,"")</f>
        <v/>
      </c>
      <c r="FD46" s="58">
        <f>IFERROR($BS46/$BS47-1,"")</f>
        <v/>
      </c>
      <c r="FE46" s="58">
        <f>IFERROR($BT46/$BT47-1,"")</f>
        <v/>
      </c>
      <c r="FF46" s="58">
        <f>IFERROR($BU46/$BU47-1,"")</f>
        <v/>
      </c>
      <c r="FG46" s="58">
        <f>IFERROR($BV46/$BV47-1,"")</f>
        <v/>
      </c>
      <c r="FH46" s="58">
        <f>IFERROR($BW46/$BW47-1,"")</f>
        <v/>
      </c>
      <c r="FI46" s="58">
        <f>IFERROR($BX46/$BX47-1,"")</f>
        <v/>
      </c>
      <c r="FJ46" s="59">
        <f>$BY46-$BY47</f>
        <v/>
      </c>
      <c r="FK46" s="59">
        <f>$BZ46-$BZ47</f>
        <v/>
      </c>
      <c r="FL46" s="59">
        <f>$CA46-$CA47</f>
        <v/>
      </c>
      <c r="FM46" s="59">
        <f>$CB46-$CB47</f>
        <v/>
      </c>
      <c r="FN46" s="59">
        <f>$CC46-$CC47</f>
        <v/>
      </c>
      <c r="FO46" s="59">
        <f>$CD46-$CD47</f>
        <v/>
      </c>
      <c r="FP46" s="59">
        <f>$CE46-$CE47</f>
        <v/>
      </c>
      <c r="FQ46" s="59">
        <f>$CF46-$CF47</f>
        <v/>
      </c>
      <c r="FR46" s="59">
        <f>$CG46-$CG47</f>
        <v/>
      </c>
      <c r="FS46" s="59">
        <f>$CH46-$CH47</f>
        <v/>
      </c>
      <c r="FT46" s="59">
        <f>$CI46-$CI47</f>
        <v/>
      </c>
      <c r="FU46" s="59">
        <f>$CJ46-$CJ47</f>
        <v/>
      </c>
      <c r="FV46" s="59">
        <f>$CK46-$CK47</f>
        <v/>
      </c>
      <c r="FW46" s="59">
        <f>$CL46-$CL47</f>
        <v/>
      </c>
      <c r="FX46" s="59">
        <f>$CM46-$CM47</f>
        <v/>
      </c>
      <c r="FY46" s="59">
        <f>$CN46-$CN47</f>
        <v/>
      </c>
      <c r="FZ46" s="59">
        <f>$CO46-$CO47</f>
        <v/>
      </c>
      <c r="GA46" s="59">
        <f>$CP46-$CP47</f>
        <v/>
      </c>
      <c r="GB46" s="59">
        <f>$CQ46-$CQ47</f>
        <v/>
      </c>
      <c r="GC46" s="59">
        <f>$CR46-$CR47</f>
        <v/>
      </c>
      <c r="GD46" s="59">
        <f>$CS46-$CS47</f>
        <v/>
      </c>
      <c r="GE46" s="59">
        <f>$CT46-$CT47</f>
        <v/>
      </c>
    </row>
    <row r="47">
      <c r="CU47" s="58">
        <f>IFERROR($B47/$B48-1,"")</f>
        <v/>
      </c>
      <c r="CV47" s="59">
        <f>($F47-$F48)*100</f>
        <v/>
      </c>
      <c r="CW47" s="59">
        <f>($E47-$E48)*100</f>
        <v/>
      </c>
      <c r="CX47" s="58">
        <f>IFERROR($K47/$K48-1,"")</f>
        <v/>
      </c>
      <c r="CY47" s="59">
        <f>($AH47-$AH48)*100</f>
        <v/>
      </c>
      <c r="CZ47" s="59">
        <f>($AI47-$AI48)*100</f>
        <v/>
      </c>
      <c r="DA47" s="59">
        <f>($AJ47-$AJ48)*100</f>
        <v/>
      </c>
      <c r="DB47" s="59">
        <f>($AK47-$AK48)*100</f>
        <v/>
      </c>
      <c r="DC47" s="59">
        <f>($AL47-$AL48)*100</f>
        <v/>
      </c>
      <c r="DD47" s="59">
        <f>($AM47-$AM48)*100</f>
        <v/>
      </c>
      <c r="DE47" s="59">
        <f>($AN47-$AN48)*100</f>
        <v/>
      </c>
      <c r="DF47" s="59">
        <f>($AO47-$AO48)*100</f>
        <v/>
      </c>
      <c r="DG47" s="59">
        <f>($AP47-$AP48)*100</f>
        <v/>
      </c>
      <c r="DH47" s="59">
        <f>($AQ47-$AQ48)*100</f>
        <v/>
      </c>
      <c r="DI47" s="59">
        <f>($AR47-$AR48)*100</f>
        <v/>
      </c>
      <c r="DJ47" s="59">
        <f>($AS47-$AS48)*100</f>
        <v/>
      </c>
      <c r="DK47" s="59">
        <f>($AT47-$AT48)*100</f>
        <v/>
      </c>
      <c r="DL47" s="59">
        <f>($AU47-$AU48)*100</f>
        <v/>
      </c>
      <c r="DM47" s="59">
        <f>($AV47-$AV48)*100</f>
        <v/>
      </c>
      <c r="DN47" s="59">
        <f>($AW47-$AW48)*100</f>
        <v/>
      </c>
      <c r="DO47" s="59">
        <f>($AX47-$AX48)*100</f>
        <v/>
      </c>
      <c r="DP47" s="59">
        <f>($AY47-$AY48)*100</f>
        <v/>
      </c>
      <c r="DQ47" s="59">
        <f>($AZ47-$AZ48)*100</f>
        <v/>
      </c>
      <c r="DR47" s="59">
        <f>($BA47-$BA48)*100</f>
        <v/>
      </c>
      <c r="DS47" s="58">
        <f>IFERROR($N48/$N47-1,"")</f>
        <v/>
      </c>
      <c r="DT47" s="58">
        <f>IFERROR($O48/$O47-1,"")</f>
        <v/>
      </c>
      <c r="DU47" s="58">
        <f>IFERROR($P48/$P47-1,"")</f>
        <v/>
      </c>
      <c r="DV47" s="58">
        <f>IFERROR($Q48/$Q47-1,"")</f>
        <v/>
      </c>
      <c r="DW47" s="58">
        <f>IFERROR($R48/$R47-1,"")</f>
        <v/>
      </c>
      <c r="DX47" s="58">
        <f>IFERROR($S48/$S47-1,"")</f>
        <v/>
      </c>
      <c r="DY47" s="58">
        <f>IFERROR($T48/$T47-1,"")</f>
        <v/>
      </c>
      <c r="DZ47" s="58">
        <f>IFERROR($U48/$U47-1,"")</f>
        <v/>
      </c>
      <c r="EA47" s="58">
        <f>IFERROR($V48/$V47-1,"")</f>
        <v/>
      </c>
      <c r="EB47" s="58">
        <f>IFERROR($W48/$W47-1,"")</f>
        <v/>
      </c>
      <c r="EC47" s="58">
        <f>IFERROR($X48/$X47-1,"")</f>
        <v/>
      </c>
      <c r="ED47" s="58">
        <f>IFERROR($Y48/$Y47-1,"")</f>
        <v/>
      </c>
      <c r="EE47" s="58">
        <f>IFERROR($Z48/$Z47-1,"")</f>
        <v/>
      </c>
      <c r="EF47" s="58">
        <f>IFERROR($AA48/$AA47-1,"")</f>
        <v/>
      </c>
      <c r="EG47" s="58">
        <f>IFERROR($AB48/$AB47-1,"")</f>
        <v/>
      </c>
      <c r="EH47" s="58">
        <f>IFERROR($AC48/$AC47-1,"")</f>
        <v/>
      </c>
      <c r="EI47" s="58">
        <f>IFERROR($AD48/$AD47-1,"")</f>
        <v/>
      </c>
      <c r="EJ47" s="58">
        <f>IFERROR($AE48/$AE47-1,"")</f>
        <v/>
      </c>
      <c r="EK47" s="58">
        <f>IFERROR($AF48/$AF47-1,"")</f>
        <v/>
      </c>
      <c r="EL47" s="58">
        <f>IFERROR($AG48/$AG47-1,"")</f>
        <v/>
      </c>
      <c r="EM47" s="58">
        <f>IFERROR($BB47/$BB48-1,"")</f>
        <v/>
      </c>
      <c r="EN47" s="58">
        <f>IFERROR($BC47/$BC48-1,"")</f>
        <v/>
      </c>
      <c r="EO47" s="58">
        <f>IFERROR($BD47/$BD48-1,"")</f>
        <v/>
      </c>
      <c r="EP47" s="58">
        <f>IFERROR($BE47/$BE48-1,"")</f>
        <v/>
      </c>
      <c r="EQ47" s="58">
        <f>IFERROR($BF47/$BF48-1,"")</f>
        <v/>
      </c>
      <c r="ER47" s="58">
        <f>IFERROR($BG47/$BG48-1,"")</f>
        <v/>
      </c>
      <c r="ES47" s="58">
        <f>IFERROR($BH47/$BH48-1,"")</f>
        <v/>
      </c>
      <c r="ET47" s="58">
        <f>IFERROR($BI47/$BI48-1,"")</f>
        <v/>
      </c>
      <c r="EU47" s="58">
        <f>IFERROR($BJ47/$BJ48-1,"")</f>
        <v/>
      </c>
      <c r="EV47" s="58">
        <f>IFERROR($BK47/$BK48-1,"")</f>
        <v/>
      </c>
      <c r="EW47" s="58">
        <f>IFERROR($BL47/$BL48-1,"")</f>
        <v/>
      </c>
      <c r="EX47" s="58">
        <f>IFERROR($BM47/$BM48-1,"")</f>
        <v/>
      </c>
      <c r="EY47" s="58">
        <f>IFERROR($BN47/$BN48-1,"")</f>
        <v/>
      </c>
      <c r="EZ47" s="58">
        <f>IFERROR($BO47/$BO48-1,"")</f>
        <v/>
      </c>
      <c r="FA47" s="58">
        <f>IFERROR($BP47/$BP48-1,"")</f>
        <v/>
      </c>
      <c r="FB47" s="58">
        <f>IFERROR($BQ47/$BQ48-1,"")</f>
        <v/>
      </c>
      <c r="FC47" s="58">
        <f>IFERROR($BR47/$BR48-1,"")</f>
        <v/>
      </c>
      <c r="FD47" s="58">
        <f>IFERROR($BS47/$BS48-1,"")</f>
        <v/>
      </c>
      <c r="FE47" s="58">
        <f>IFERROR($BT47/$BT48-1,"")</f>
        <v/>
      </c>
      <c r="FF47" s="58">
        <f>IFERROR($BU47/$BU48-1,"")</f>
        <v/>
      </c>
      <c r="FG47" s="58">
        <f>IFERROR($BV47/$BV48-1,"")</f>
        <v/>
      </c>
      <c r="FH47" s="58">
        <f>IFERROR($BW47/$BW48-1,"")</f>
        <v/>
      </c>
      <c r="FI47" s="58">
        <f>IFERROR($BX47/$BX48-1,"")</f>
        <v/>
      </c>
      <c r="FJ47" s="59">
        <f>$BY47-$BY48</f>
        <v/>
      </c>
      <c r="FK47" s="59">
        <f>$BZ47-$BZ48</f>
        <v/>
      </c>
      <c r="FL47" s="59">
        <f>$CA47-$CA48</f>
        <v/>
      </c>
      <c r="FM47" s="59">
        <f>$CB47-$CB48</f>
        <v/>
      </c>
      <c r="FN47" s="59">
        <f>$CC47-$CC48</f>
        <v/>
      </c>
      <c r="FO47" s="59">
        <f>$CD47-$CD48</f>
        <v/>
      </c>
      <c r="FP47" s="59">
        <f>$CE47-$CE48</f>
        <v/>
      </c>
      <c r="FQ47" s="59">
        <f>$CF47-$CF48</f>
        <v/>
      </c>
      <c r="FR47" s="59">
        <f>$CG47-$CG48</f>
        <v/>
      </c>
      <c r="FS47" s="59">
        <f>$CH47-$CH48</f>
        <v/>
      </c>
      <c r="FT47" s="59">
        <f>$CI47-$CI48</f>
        <v/>
      </c>
      <c r="FU47" s="59">
        <f>$CJ47-$CJ48</f>
        <v/>
      </c>
      <c r="FV47" s="59">
        <f>$CK47-$CK48</f>
        <v/>
      </c>
      <c r="FW47" s="59">
        <f>$CL47-$CL48</f>
        <v/>
      </c>
      <c r="FX47" s="59">
        <f>$CM47-$CM48</f>
        <v/>
      </c>
      <c r="FY47" s="59">
        <f>$CN47-$CN48</f>
        <v/>
      </c>
      <c r="FZ47" s="59">
        <f>$CO47-$CO48</f>
        <v/>
      </c>
      <c r="GA47" s="59">
        <f>$CP47-$CP48</f>
        <v/>
      </c>
      <c r="GB47" s="59">
        <f>$CQ47-$CQ48</f>
        <v/>
      </c>
      <c r="GC47" s="59">
        <f>$CR47-$CR48</f>
        <v/>
      </c>
      <c r="GD47" s="59">
        <f>$CS47-$CS48</f>
        <v/>
      </c>
      <c r="GE47" s="59">
        <f>$CT47-$CT48</f>
        <v/>
      </c>
    </row>
    <row r="48">
      <c r="CU48" s="58">
        <f>IFERROR($B48/$B49-1,"")</f>
        <v/>
      </c>
      <c r="CV48" s="59">
        <f>($F48-$F49)*100</f>
        <v/>
      </c>
      <c r="CW48" s="59">
        <f>($E48-$E49)*100</f>
        <v/>
      </c>
      <c r="CX48" s="58">
        <f>IFERROR($K48/$K49-1,"")</f>
        <v/>
      </c>
      <c r="CY48" s="59">
        <f>($AH48-$AH49)*100</f>
        <v/>
      </c>
      <c r="CZ48" s="59">
        <f>($AI48-$AI49)*100</f>
        <v/>
      </c>
      <c r="DA48" s="59">
        <f>($AJ48-$AJ49)*100</f>
        <v/>
      </c>
      <c r="DB48" s="59">
        <f>($AK48-$AK49)*100</f>
        <v/>
      </c>
      <c r="DC48" s="59">
        <f>($AL48-$AL49)*100</f>
        <v/>
      </c>
      <c r="DD48" s="59">
        <f>($AM48-$AM49)*100</f>
        <v/>
      </c>
      <c r="DE48" s="59">
        <f>($AN48-$AN49)*100</f>
        <v/>
      </c>
      <c r="DF48" s="59">
        <f>($AO48-$AO49)*100</f>
        <v/>
      </c>
      <c r="DG48" s="59">
        <f>($AP48-$AP49)*100</f>
        <v/>
      </c>
      <c r="DH48" s="59">
        <f>($AQ48-$AQ49)*100</f>
        <v/>
      </c>
      <c r="DI48" s="59">
        <f>($AR48-$AR49)*100</f>
        <v/>
      </c>
      <c r="DJ48" s="59">
        <f>($AS48-$AS49)*100</f>
        <v/>
      </c>
      <c r="DK48" s="59">
        <f>($AT48-$AT49)*100</f>
        <v/>
      </c>
      <c r="DL48" s="59">
        <f>($AU48-$AU49)*100</f>
        <v/>
      </c>
      <c r="DM48" s="59">
        <f>($AV48-$AV49)*100</f>
        <v/>
      </c>
      <c r="DN48" s="59">
        <f>($AW48-$AW49)*100</f>
        <v/>
      </c>
      <c r="DO48" s="59">
        <f>($AX48-$AX49)*100</f>
        <v/>
      </c>
      <c r="DP48" s="59">
        <f>($AY48-$AY49)*100</f>
        <v/>
      </c>
      <c r="DQ48" s="59">
        <f>($AZ48-$AZ49)*100</f>
        <v/>
      </c>
      <c r="DR48" s="59">
        <f>($BA48-$BA49)*100</f>
        <v/>
      </c>
      <c r="DS48" s="58">
        <f>IFERROR($N49/$N48-1,"")</f>
        <v/>
      </c>
      <c r="DT48" s="58">
        <f>IFERROR($O49/$O48-1,"")</f>
        <v/>
      </c>
      <c r="DU48" s="58">
        <f>IFERROR($P49/$P48-1,"")</f>
        <v/>
      </c>
      <c r="DV48" s="58">
        <f>IFERROR($Q49/$Q48-1,"")</f>
        <v/>
      </c>
      <c r="DW48" s="58">
        <f>IFERROR($R49/$R48-1,"")</f>
        <v/>
      </c>
      <c r="DX48" s="58">
        <f>IFERROR($S49/$S48-1,"")</f>
        <v/>
      </c>
      <c r="DY48" s="58">
        <f>IFERROR($T49/$T48-1,"")</f>
        <v/>
      </c>
      <c r="DZ48" s="58">
        <f>IFERROR($U49/$U48-1,"")</f>
        <v/>
      </c>
      <c r="EA48" s="58">
        <f>IFERROR($V49/$V48-1,"")</f>
        <v/>
      </c>
      <c r="EB48" s="58">
        <f>IFERROR($W49/$W48-1,"")</f>
        <v/>
      </c>
      <c r="EC48" s="58">
        <f>IFERROR($X49/$X48-1,"")</f>
        <v/>
      </c>
      <c r="ED48" s="58">
        <f>IFERROR($Y49/$Y48-1,"")</f>
        <v/>
      </c>
      <c r="EE48" s="58">
        <f>IFERROR($Z49/$Z48-1,"")</f>
        <v/>
      </c>
      <c r="EF48" s="58">
        <f>IFERROR($AA49/$AA48-1,"")</f>
        <v/>
      </c>
      <c r="EG48" s="58">
        <f>IFERROR($AB49/$AB48-1,"")</f>
        <v/>
      </c>
      <c r="EH48" s="58">
        <f>IFERROR($AC49/$AC48-1,"")</f>
        <v/>
      </c>
      <c r="EI48" s="58">
        <f>IFERROR($AD49/$AD48-1,"")</f>
        <v/>
      </c>
      <c r="EJ48" s="58">
        <f>IFERROR($AE49/$AE48-1,"")</f>
        <v/>
      </c>
      <c r="EK48" s="58">
        <f>IFERROR($AF49/$AF48-1,"")</f>
        <v/>
      </c>
      <c r="EL48" s="58">
        <f>IFERROR($AG49/$AG48-1,"")</f>
        <v/>
      </c>
      <c r="EM48" s="58">
        <f>IFERROR($BB48/$BB49-1,"")</f>
        <v/>
      </c>
      <c r="EN48" s="58">
        <f>IFERROR($BC48/$BC49-1,"")</f>
        <v/>
      </c>
      <c r="EO48" s="58">
        <f>IFERROR($BD48/$BD49-1,"")</f>
        <v/>
      </c>
      <c r="EP48" s="58">
        <f>IFERROR($BE48/$BE49-1,"")</f>
        <v/>
      </c>
      <c r="EQ48" s="58">
        <f>IFERROR($BF48/$BF49-1,"")</f>
        <v/>
      </c>
      <c r="ER48" s="58">
        <f>IFERROR($BG48/$BG49-1,"")</f>
        <v/>
      </c>
      <c r="ES48" s="58">
        <f>IFERROR($BH48/$BH49-1,"")</f>
        <v/>
      </c>
      <c r="ET48" s="58">
        <f>IFERROR($BI48/$BI49-1,"")</f>
        <v/>
      </c>
      <c r="EU48" s="58">
        <f>IFERROR($BJ48/$BJ49-1,"")</f>
        <v/>
      </c>
      <c r="EV48" s="58">
        <f>IFERROR($BK48/$BK49-1,"")</f>
        <v/>
      </c>
      <c r="EW48" s="58">
        <f>IFERROR($BL48/$BL49-1,"")</f>
        <v/>
      </c>
      <c r="EX48" s="58">
        <f>IFERROR($BM48/$BM49-1,"")</f>
        <v/>
      </c>
      <c r="EY48" s="58">
        <f>IFERROR($BN48/$BN49-1,"")</f>
        <v/>
      </c>
      <c r="EZ48" s="58">
        <f>IFERROR($BO48/$BO49-1,"")</f>
        <v/>
      </c>
      <c r="FA48" s="58">
        <f>IFERROR($BP48/$BP49-1,"")</f>
        <v/>
      </c>
      <c r="FB48" s="58">
        <f>IFERROR($BQ48/$BQ49-1,"")</f>
        <v/>
      </c>
      <c r="FC48" s="58">
        <f>IFERROR($BR48/$BR49-1,"")</f>
        <v/>
      </c>
      <c r="FD48" s="58">
        <f>IFERROR($BS48/$BS49-1,"")</f>
        <v/>
      </c>
      <c r="FE48" s="58">
        <f>IFERROR($BT48/$BT49-1,"")</f>
        <v/>
      </c>
      <c r="FF48" s="58">
        <f>IFERROR($BU48/$BU49-1,"")</f>
        <v/>
      </c>
      <c r="FG48" s="58">
        <f>IFERROR($BV48/$BV49-1,"")</f>
        <v/>
      </c>
      <c r="FH48" s="58">
        <f>IFERROR($BW48/$BW49-1,"")</f>
        <v/>
      </c>
      <c r="FI48" s="58">
        <f>IFERROR($BX48/$BX49-1,"")</f>
        <v/>
      </c>
      <c r="FJ48" s="59">
        <f>$BY48-$BY49</f>
        <v/>
      </c>
      <c r="FK48" s="59">
        <f>$BZ48-$BZ49</f>
        <v/>
      </c>
      <c r="FL48" s="59">
        <f>$CA48-$CA49</f>
        <v/>
      </c>
      <c r="FM48" s="59">
        <f>$CB48-$CB49</f>
        <v/>
      </c>
      <c r="FN48" s="59">
        <f>$CC48-$CC49</f>
        <v/>
      </c>
      <c r="FO48" s="59">
        <f>$CD48-$CD49</f>
        <v/>
      </c>
      <c r="FP48" s="59">
        <f>$CE48-$CE49</f>
        <v/>
      </c>
      <c r="FQ48" s="59">
        <f>$CF48-$CF49</f>
        <v/>
      </c>
      <c r="FR48" s="59">
        <f>$CG48-$CG49</f>
        <v/>
      </c>
      <c r="FS48" s="59">
        <f>$CH48-$CH49</f>
        <v/>
      </c>
      <c r="FT48" s="59">
        <f>$CI48-$CI49</f>
        <v/>
      </c>
      <c r="FU48" s="59">
        <f>$CJ48-$CJ49</f>
        <v/>
      </c>
      <c r="FV48" s="59">
        <f>$CK48-$CK49</f>
        <v/>
      </c>
      <c r="FW48" s="59">
        <f>$CL48-$CL49</f>
        <v/>
      </c>
      <c r="FX48" s="59">
        <f>$CM48-$CM49</f>
        <v/>
      </c>
      <c r="FY48" s="59">
        <f>$CN48-$CN49</f>
        <v/>
      </c>
      <c r="FZ48" s="59">
        <f>$CO48-$CO49</f>
        <v/>
      </c>
      <c r="GA48" s="59">
        <f>$CP48-$CP49</f>
        <v/>
      </c>
      <c r="GB48" s="59">
        <f>$CQ48-$CQ49</f>
        <v/>
      </c>
      <c r="GC48" s="59">
        <f>$CR48-$CR49</f>
        <v/>
      </c>
      <c r="GD48" s="59">
        <f>$CS48-$CS49</f>
        <v/>
      </c>
      <c r="GE48" s="59">
        <f>$CT48-$CT49</f>
        <v/>
      </c>
    </row>
    <row r="49">
      <c r="CU49" s="58">
        <f>IFERROR($B49/$B50-1,"")</f>
        <v/>
      </c>
      <c r="CV49" s="59">
        <f>($F49-$F50)*100</f>
        <v/>
      </c>
      <c r="CW49" s="59">
        <f>($E49-$E50)*100</f>
        <v/>
      </c>
      <c r="CX49" s="58">
        <f>IFERROR($K49/$K50-1,"")</f>
        <v/>
      </c>
      <c r="CY49" s="59">
        <f>($AH49-$AH50)*100</f>
        <v/>
      </c>
      <c r="CZ49" s="59">
        <f>($AI49-$AI50)*100</f>
        <v/>
      </c>
      <c r="DA49" s="59">
        <f>($AJ49-$AJ50)*100</f>
        <v/>
      </c>
      <c r="DB49" s="59">
        <f>($AK49-$AK50)*100</f>
        <v/>
      </c>
      <c r="DC49" s="59">
        <f>($AL49-$AL50)*100</f>
        <v/>
      </c>
      <c r="DD49" s="59">
        <f>($AM49-$AM50)*100</f>
        <v/>
      </c>
      <c r="DE49" s="59">
        <f>($AN49-$AN50)*100</f>
        <v/>
      </c>
      <c r="DF49" s="59">
        <f>($AO49-$AO50)*100</f>
        <v/>
      </c>
      <c r="DG49" s="59">
        <f>($AP49-$AP50)*100</f>
        <v/>
      </c>
      <c r="DH49" s="59">
        <f>($AQ49-$AQ50)*100</f>
        <v/>
      </c>
      <c r="DI49" s="59">
        <f>($AR49-$AR50)*100</f>
        <v/>
      </c>
      <c r="DJ49" s="59">
        <f>($AS49-$AS50)*100</f>
        <v/>
      </c>
      <c r="DK49" s="59">
        <f>($AT49-$AT50)*100</f>
        <v/>
      </c>
      <c r="DL49" s="59">
        <f>($AU49-$AU50)*100</f>
        <v/>
      </c>
      <c r="DM49" s="59">
        <f>($AV49-$AV50)*100</f>
        <v/>
      </c>
      <c r="DN49" s="59">
        <f>($AW49-$AW50)*100</f>
        <v/>
      </c>
      <c r="DO49" s="59">
        <f>($AX49-$AX50)*100</f>
        <v/>
      </c>
      <c r="DP49" s="59">
        <f>($AY49-$AY50)*100</f>
        <v/>
      </c>
      <c r="DQ49" s="59">
        <f>($AZ49-$AZ50)*100</f>
        <v/>
      </c>
      <c r="DR49" s="59">
        <f>($BA49-$BA50)*100</f>
        <v/>
      </c>
      <c r="DS49" s="58">
        <f>IFERROR($N50/$N49-1,"")</f>
        <v/>
      </c>
      <c r="DT49" s="58">
        <f>IFERROR($O50/$O49-1,"")</f>
        <v/>
      </c>
      <c r="DU49" s="58">
        <f>IFERROR($P50/$P49-1,"")</f>
        <v/>
      </c>
      <c r="DV49" s="58">
        <f>IFERROR($Q50/$Q49-1,"")</f>
        <v/>
      </c>
      <c r="DW49" s="58">
        <f>IFERROR($R50/$R49-1,"")</f>
        <v/>
      </c>
      <c r="DX49" s="58">
        <f>IFERROR($S50/$S49-1,"")</f>
        <v/>
      </c>
      <c r="DY49" s="58">
        <f>IFERROR($T50/$T49-1,"")</f>
        <v/>
      </c>
      <c r="DZ49" s="58">
        <f>IFERROR($U50/$U49-1,"")</f>
        <v/>
      </c>
      <c r="EA49" s="58">
        <f>IFERROR($V50/$V49-1,"")</f>
        <v/>
      </c>
      <c r="EB49" s="58">
        <f>IFERROR($W50/$W49-1,"")</f>
        <v/>
      </c>
      <c r="EC49" s="58">
        <f>IFERROR($X50/$X49-1,"")</f>
        <v/>
      </c>
      <c r="ED49" s="58">
        <f>IFERROR($Y50/$Y49-1,"")</f>
        <v/>
      </c>
      <c r="EE49" s="58">
        <f>IFERROR($Z50/$Z49-1,"")</f>
        <v/>
      </c>
      <c r="EF49" s="58">
        <f>IFERROR($AA50/$AA49-1,"")</f>
        <v/>
      </c>
      <c r="EG49" s="58">
        <f>IFERROR($AB50/$AB49-1,"")</f>
        <v/>
      </c>
      <c r="EH49" s="58">
        <f>IFERROR($AC50/$AC49-1,"")</f>
        <v/>
      </c>
      <c r="EI49" s="58">
        <f>IFERROR($AD50/$AD49-1,"")</f>
        <v/>
      </c>
      <c r="EJ49" s="58">
        <f>IFERROR($AE50/$AE49-1,"")</f>
        <v/>
      </c>
      <c r="EK49" s="58">
        <f>IFERROR($AF50/$AF49-1,"")</f>
        <v/>
      </c>
      <c r="EL49" s="58">
        <f>IFERROR($AG50/$AG49-1,"")</f>
        <v/>
      </c>
      <c r="EM49" s="58">
        <f>IFERROR($BB49/$BB50-1,"")</f>
        <v/>
      </c>
      <c r="EN49" s="58">
        <f>IFERROR($BC49/$BC50-1,"")</f>
        <v/>
      </c>
      <c r="EO49" s="58">
        <f>IFERROR($BD49/$BD50-1,"")</f>
        <v/>
      </c>
      <c r="EP49" s="58">
        <f>IFERROR($BE49/$BE50-1,"")</f>
        <v/>
      </c>
      <c r="EQ49" s="58">
        <f>IFERROR($BF49/$BF50-1,"")</f>
        <v/>
      </c>
      <c r="ER49" s="58">
        <f>IFERROR($BG49/$BG50-1,"")</f>
        <v/>
      </c>
      <c r="ES49" s="58">
        <f>IFERROR($BH49/$BH50-1,"")</f>
        <v/>
      </c>
      <c r="ET49" s="58">
        <f>IFERROR($BI49/$BI50-1,"")</f>
        <v/>
      </c>
      <c r="EU49" s="58">
        <f>IFERROR($BJ49/$BJ50-1,"")</f>
        <v/>
      </c>
      <c r="EV49" s="58">
        <f>IFERROR($BK49/$BK50-1,"")</f>
        <v/>
      </c>
      <c r="EW49" s="58">
        <f>IFERROR($BL49/$BL50-1,"")</f>
        <v/>
      </c>
      <c r="EX49" s="58">
        <f>IFERROR($BM49/$BM50-1,"")</f>
        <v/>
      </c>
      <c r="EY49" s="58">
        <f>IFERROR($BN49/$BN50-1,"")</f>
        <v/>
      </c>
      <c r="EZ49" s="58">
        <f>IFERROR($BO49/$BO50-1,"")</f>
        <v/>
      </c>
      <c r="FA49" s="58">
        <f>IFERROR($BP49/$BP50-1,"")</f>
        <v/>
      </c>
      <c r="FB49" s="58">
        <f>IFERROR($BQ49/$BQ50-1,"")</f>
        <v/>
      </c>
      <c r="FC49" s="58">
        <f>IFERROR($BR49/$BR50-1,"")</f>
        <v/>
      </c>
      <c r="FD49" s="58">
        <f>IFERROR($BS49/$BS50-1,"")</f>
        <v/>
      </c>
      <c r="FE49" s="58">
        <f>IFERROR($BT49/$BT50-1,"")</f>
        <v/>
      </c>
      <c r="FF49" s="58">
        <f>IFERROR($BU49/$BU50-1,"")</f>
        <v/>
      </c>
      <c r="FG49" s="58">
        <f>IFERROR($BV49/$BV50-1,"")</f>
        <v/>
      </c>
      <c r="FH49" s="58">
        <f>IFERROR($BW49/$BW50-1,"")</f>
        <v/>
      </c>
      <c r="FI49" s="58">
        <f>IFERROR($BX49/$BX50-1,"")</f>
        <v/>
      </c>
      <c r="FJ49" s="59">
        <f>$BY49-$BY50</f>
        <v/>
      </c>
      <c r="FK49" s="59">
        <f>$BZ49-$BZ50</f>
        <v/>
      </c>
      <c r="FL49" s="59">
        <f>$CA49-$CA50</f>
        <v/>
      </c>
      <c r="FM49" s="59">
        <f>$CB49-$CB50</f>
        <v/>
      </c>
      <c r="FN49" s="59">
        <f>$CC49-$CC50</f>
        <v/>
      </c>
      <c r="FO49" s="59">
        <f>$CD49-$CD50</f>
        <v/>
      </c>
      <c r="FP49" s="59">
        <f>$CE49-$CE50</f>
        <v/>
      </c>
      <c r="FQ49" s="59">
        <f>$CF49-$CF50</f>
        <v/>
      </c>
      <c r="FR49" s="59">
        <f>$CG49-$CG50</f>
        <v/>
      </c>
      <c r="FS49" s="59">
        <f>$CH49-$CH50</f>
        <v/>
      </c>
      <c r="FT49" s="59">
        <f>$CI49-$CI50</f>
        <v/>
      </c>
      <c r="FU49" s="59">
        <f>$CJ49-$CJ50</f>
        <v/>
      </c>
      <c r="FV49" s="59">
        <f>$CK49-$CK50</f>
        <v/>
      </c>
      <c r="FW49" s="59">
        <f>$CL49-$CL50</f>
        <v/>
      </c>
      <c r="FX49" s="59">
        <f>$CM49-$CM50</f>
        <v/>
      </c>
      <c r="FY49" s="59">
        <f>$CN49-$CN50</f>
        <v/>
      </c>
      <c r="FZ49" s="59">
        <f>$CO49-$CO50</f>
        <v/>
      </c>
      <c r="GA49" s="59">
        <f>$CP49-$CP50</f>
        <v/>
      </c>
      <c r="GB49" s="59">
        <f>$CQ49-$CQ50</f>
        <v/>
      </c>
      <c r="GC49" s="59">
        <f>$CR49-$CR50</f>
        <v/>
      </c>
      <c r="GD49" s="59">
        <f>$CS49-$CS50</f>
        <v/>
      </c>
      <c r="GE49" s="59">
        <f>$CT49-$CT50</f>
        <v/>
      </c>
    </row>
    <row r="50">
      <c r="CU50" s="58">
        <f>IFERROR($B50/$B51-1,"")</f>
        <v/>
      </c>
      <c r="CV50" s="59">
        <f>($F50-$F51)*100</f>
        <v/>
      </c>
      <c r="CW50" s="59">
        <f>($E50-$E51)*100</f>
        <v/>
      </c>
      <c r="CX50" s="58">
        <f>IFERROR($K50/$K51-1,"")</f>
        <v/>
      </c>
      <c r="CY50" s="59">
        <f>($AH50-$AH51)*100</f>
        <v/>
      </c>
      <c r="CZ50" s="59">
        <f>($AI50-$AI51)*100</f>
        <v/>
      </c>
      <c r="DA50" s="59">
        <f>($AJ50-$AJ51)*100</f>
        <v/>
      </c>
      <c r="DB50" s="59">
        <f>($AK50-$AK51)*100</f>
        <v/>
      </c>
      <c r="DC50" s="59">
        <f>($AL50-$AL51)*100</f>
        <v/>
      </c>
      <c r="DD50" s="59">
        <f>($AM50-$AM51)*100</f>
        <v/>
      </c>
      <c r="DE50" s="59">
        <f>($AN50-$AN51)*100</f>
        <v/>
      </c>
      <c r="DF50" s="59">
        <f>($AO50-$AO51)*100</f>
        <v/>
      </c>
      <c r="DG50" s="59">
        <f>($AP50-$AP51)*100</f>
        <v/>
      </c>
      <c r="DH50" s="59">
        <f>($AQ50-$AQ51)*100</f>
        <v/>
      </c>
      <c r="DI50" s="59">
        <f>($AR50-$AR51)*100</f>
        <v/>
      </c>
      <c r="DJ50" s="59">
        <f>($AS50-$AS51)*100</f>
        <v/>
      </c>
      <c r="DK50" s="59">
        <f>($AT50-$AT51)*100</f>
        <v/>
      </c>
      <c r="DL50" s="59">
        <f>($AU50-$AU51)*100</f>
        <v/>
      </c>
      <c r="DM50" s="59">
        <f>($AV50-$AV51)*100</f>
        <v/>
      </c>
      <c r="DN50" s="59">
        <f>($AW50-$AW51)*100</f>
        <v/>
      </c>
      <c r="DO50" s="59">
        <f>($AX50-$AX51)*100</f>
        <v/>
      </c>
      <c r="DP50" s="59">
        <f>($AY50-$AY51)*100</f>
        <v/>
      </c>
      <c r="DQ50" s="59">
        <f>($AZ50-$AZ51)*100</f>
        <v/>
      </c>
      <c r="DR50" s="59">
        <f>($BA50-$BA51)*100</f>
        <v/>
      </c>
      <c r="DS50" s="58">
        <f>IFERROR($N51/$N50-1,"")</f>
        <v/>
      </c>
      <c r="DT50" s="58">
        <f>IFERROR($O51/$O50-1,"")</f>
        <v/>
      </c>
      <c r="DU50" s="58">
        <f>IFERROR($P51/$P50-1,"")</f>
        <v/>
      </c>
      <c r="DV50" s="58">
        <f>IFERROR($Q51/$Q50-1,"")</f>
        <v/>
      </c>
      <c r="DW50" s="58">
        <f>IFERROR($R51/$R50-1,"")</f>
        <v/>
      </c>
      <c r="DX50" s="58">
        <f>IFERROR($S51/$S50-1,"")</f>
        <v/>
      </c>
      <c r="DY50" s="58">
        <f>IFERROR($T51/$T50-1,"")</f>
        <v/>
      </c>
      <c r="DZ50" s="58">
        <f>IFERROR($U51/$U50-1,"")</f>
        <v/>
      </c>
      <c r="EA50" s="58">
        <f>IFERROR($V51/$V50-1,"")</f>
        <v/>
      </c>
      <c r="EB50" s="58">
        <f>IFERROR($W51/$W50-1,"")</f>
        <v/>
      </c>
      <c r="EC50" s="58">
        <f>IFERROR($X51/$X50-1,"")</f>
        <v/>
      </c>
      <c r="ED50" s="58">
        <f>IFERROR($Y51/$Y50-1,"")</f>
        <v/>
      </c>
      <c r="EE50" s="58">
        <f>IFERROR($Z51/$Z50-1,"")</f>
        <v/>
      </c>
      <c r="EF50" s="58">
        <f>IFERROR($AA51/$AA50-1,"")</f>
        <v/>
      </c>
      <c r="EG50" s="58">
        <f>IFERROR($AB51/$AB50-1,"")</f>
        <v/>
      </c>
      <c r="EH50" s="58">
        <f>IFERROR($AC51/$AC50-1,"")</f>
        <v/>
      </c>
      <c r="EI50" s="58">
        <f>IFERROR($AD51/$AD50-1,"")</f>
        <v/>
      </c>
      <c r="EJ50" s="58">
        <f>IFERROR($AE51/$AE50-1,"")</f>
        <v/>
      </c>
      <c r="EK50" s="58">
        <f>IFERROR($AF51/$AF50-1,"")</f>
        <v/>
      </c>
      <c r="EL50" s="58">
        <f>IFERROR($AG51/$AG50-1,"")</f>
        <v/>
      </c>
      <c r="EM50" s="58">
        <f>IFERROR($BB50/$BB51-1,"")</f>
        <v/>
      </c>
      <c r="EN50" s="58">
        <f>IFERROR($BC50/$BC51-1,"")</f>
        <v/>
      </c>
      <c r="EO50" s="58">
        <f>IFERROR($BD50/$BD51-1,"")</f>
        <v/>
      </c>
      <c r="EP50" s="58">
        <f>IFERROR($BE50/$BE51-1,"")</f>
        <v/>
      </c>
      <c r="EQ50" s="58">
        <f>IFERROR($BF50/$BF51-1,"")</f>
        <v/>
      </c>
      <c r="ER50" s="58">
        <f>IFERROR($BG50/$BG51-1,"")</f>
        <v/>
      </c>
      <c r="ES50" s="58">
        <f>IFERROR($BH50/$BH51-1,"")</f>
        <v/>
      </c>
      <c r="ET50" s="58">
        <f>IFERROR($BI50/$BI51-1,"")</f>
        <v/>
      </c>
      <c r="EU50" s="58">
        <f>IFERROR($BJ50/$BJ51-1,"")</f>
        <v/>
      </c>
      <c r="EV50" s="58">
        <f>IFERROR($BK50/$BK51-1,"")</f>
        <v/>
      </c>
      <c r="EW50" s="58">
        <f>IFERROR($BL50/$BL51-1,"")</f>
        <v/>
      </c>
      <c r="EX50" s="58">
        <f>IFERROR($BM50/$BM51-1,"")</f>
        <v/>
      </c>
      <c r="EY50" s="58">
        <f>IFERROR($BN50/$BN51-1,"")</f>
        <v/>
      </c>
      <c r="EZ50" s="58">
        <f>IFERROR($BO50/$BO51-1,"")</f>
        <v/>
      </c>
      <c r="FA50" s="58">
        <f>IFERROR($BP50/$BP51-1,"")</f>
        <v/>
      </c>
      <c r="FB50" s="58">
        <f>IFERROR($BQ50/$BQ51-1,"")</f>
        <v/>
      </c>
      <c r="FC50" s="58">
        <f>IFERROR($BR50/$BR51-1,"")</f>
        <v/>
      </c>
      <c r="FD50" s="58">
        <f>IFERROR($BS50/$BS51-1,"")</f>
        <v/>
      </c>
      <c r="FE50" s="58">
        <f>IFERROR($BT50/$BT51-1,"")</f>
        <v/>
      </c>
      <c r="FF50" s="58">
        <f>IFERROR($BU50/$BU51-1,"")</f>
        <v/>
      </c>
      <c r="FG50" s="58">
        <f>IFERROR($BV50/$BV51-1,"")</f>
        <v/>
      </c>
      <c r="FH50" s="58">
        <f>IFERROR($BW50/$BW51-1,"")</f>
        <v/>
      </c>
      <c r="FI50" s="58">
        <f>IFERROR($BX50/$BX51-1,"")</f>
        <v/>
      </c>
      <c r="FJ50" s="59">
        <f>$BY50-$BY51</f>
        <v/>
      </c>
      <c r="FK50" s="59">
        <f>$BZ50-$BZ51</f>
        <v/>
      </c>
      <c r="FL50" s="59">
        <f>$CA50-$CA51</f>
        <v/>
      </c>
      <c r="FM50" s="59">
        <f>$CB50-$CB51</f>
        <v/>
      </c>
      <c r="FN50" s="59">
        <f>$CC50-$CC51</f>
        <v/>
      </c>
      <c r="FO50" s="59">
        <f>$CD50-$CD51</f>
        <v/>
      </c>
      <c r="FP50" s="59">
        <f>$CE50-$CE51</f>
        <v/>
      </c>
      <c r="FQ50" s="59">
        <f>$CF50-$CF51</f>
        <v/>
      </c>
      <c r="FR50" s="59">
        <f>$CG50-$CG51</f>
        <v/>
      </c>
      <c r="FS50" s="59">
        <f>$CH50-$CH51</f>
        <v/>
      </c>
      <c r="FT50" s="59">
        <f>$CI50-$CI51</f>
        <v/>
      </c>
      <c r="FU50" s="59">
        <f>$CJ50-$CJ51</f>
        <v/>
      </c>
      <c r="FV50" s="59">
        <f>$CK50-$CK51</f>
        <v/>
      </c>
      <c r="FW50" s="59">
        <f>$CL50-$CL51</f>
        <v/>
      </c>
      <c r="FX50" s="59">
        <f>$CM50-$CM51</f>
        <v/>
      </c>
      <c r="FY50" s="59">
        <f>$CN50-$CN51</f>
        <v/>
      </c>
      <c r="FZ50" s="59">
        <f>$CO50-$CO51</f>
        <v/>
      </c>
      <c r="GA50" s="59">
        <f>$CP50-$CP51</f>
        <v/>
      </c>
      <c r="GB50" s="59">
        <f>$CQ50-$CQ51</f>
        <v/>
      </c>
      <c r="GC50" s="59">
        <f>$CR50-$CR51</f>
        <v/>
      </c>
      <c r="GD50" s="59">
        <f>$CS50-$CS51</f>
        <v/>
      </c>
      <c r="GE50" s="59">
        <f>$CT50-$CT51</f>
        <v/>
      </c>
    </row>
    <row r="51">
      <c r="CU51" s="58">
        <f>IFERROR($B51/$B52-1,"")</f>
        <v/>
      </c>
      <c r="CV51" s="59">
        <f>($F51-$F52)*100</f>
        <v/>
      </c>
      <c r="CW51" s="59">
        <f>($E51-$E52)*100</f>
        <v/>
      </c>
      <c r="CX51" s="58">
        <f>IFERROR($K51/$K52-1,"")</f>
        <v/>
      </c>
      <c r="CY51" s="59">
        <f>($AH51-$AH52)*100</f>
        <v/>
      </c>
      <c r="CZ51" s="59">
        <f>($AI51-$AI52)*100</f>
        <v/>
      </c>
      <c r="DA51" s="59">
        <f>($AJ51-$AJ52)*100</f>
        <v/>
      </c>
      <c r="DB51" s="59">
        <f>($AK51-$AK52)*100</f>
        <v/>
      </c>
      <c r="DC51" s="59">
        <f>($AL51-$AL52)*100</f>
        <v/>
      </c>
      <c r="DD51" s="59">
        <f>($AM51-$AM52)*100</f>
        <v/>
      </c>
      <c r="DE51" s="59">
        <f>($AN51-$AN52)*100</f>
        <v/>
      </c>
      <c r="DF51" s="59">
        <f>($AO51-$AO52)*100</f>
        <v/>
      </c>
      <c r="DG51" s="59">
        <f>($AP51-$AP52)*100</f>
        <v/>
      </c>
      <c r="DH51" s="59">
        <f>($AQ51-$AQ52)*100</f>
        <v/>
      </c>
      <c r="DI51" s="59">
        <f>($AR51-$AR52)*100</f>
        <v/>
      </c>
      <c r="DJ51" s="59">
        <f>($AS51-$AS52)*100</f>
        <v/>
      </c>
      <c r="DK51" s="59">
        <f>($AT51-$AT52)*100</f>
        <v/>
      </c>
      <c r="DL51" s="59">
        <f>($AU51-$AU52)*100</f>
        <v/>
      </c>
      <c r="DM51" s="59">
        <f>($AV51-$AV52)*100</f>
        <v/>
      </c>
      <c r="DN51" s="59">
        <f>($AW51-$AW52)*100</f>
        <v/>
      </c>
      <c r="DO51" s="59">
        <f>($AX51-$AX52)*100</f>
        <v/>
      </c>
      <c r="DP51" s="59">
        <f>($AY51-$AY52)*100</f>
        <v/>
      </c>
      <c r="DQ51" s="59">
        <f>($AZ51-$AZ52)*100</f>
        <v/>
      </c>
      <c r="DR51" s="59">
        <f>($BA51-$BA52)*100</f>
        <v/>
      </c>
      <c r="DS51" s="58">
        <f>IFERROR($N52/$N51-1,"")</f>
        <v/>
      </c>
      <c r="DT51" s="58">
        <f>IFERROR($O52/$O51-1,"")</f>
        <v/>
      </c>
      <c r="DU51" s="58">
        <f>IFERROR($P52/$P51-1,"")</f>
        <v/>
      </c>
      <c r="DV51" s="58">
        <f>IFERROR($Q52/$Q51-1,"")</f>
        <v/>
      </c>
      <c r="DW51" s="58">
        <f>IFERROR($R52/$R51-1,"")</f>
        <v/>
      </c>
      <c r="DX51" s="58">
        <f>IFERROR($S52/$S51-1,"")</f>
        <v/>
      </c>
      <c r="DY51" s="58">
        <f>IFERROR($T52/$T51-1,"")</f>
        <v/>
      </c>
      <c r="DZ51" s="58">
        <f>IFERROR($U52/$U51-1,"")</f>
        <v/>
      </c>
      <c r="EA51" s="58">
        <f>IFERROR($V52/$V51-1,"")</f>
        <v/>
      </c>
      <c r="EB51" s="58">
        <f>IFERROR($W52/$W51-1,"")</f>
        <v/>
      </c>
      <c r="EC51" s="58">
        <f>IFERROR($X52/$X51-1,"")</f>
        <v/>
      </c>
      <c r="ED51" s="58">
        <f>IFERROR($Y52/$Y51-1,"")</f>
        <v/>
      </c>
      <c r="EE51" s="58">
        <f>IFERROR($Z52/$Z51-1,"")</f>
        <v/>
      </c>
      <c r="EF51" s="58">
        <f>IFERROR($AA52/$AA51-1,"")</f>
        <v/>
      </c>
      <c r="EG51" s="58">
        <f>IFERROR($AB52/$AB51-1,"")</f>
        <v/>
      </c>
      <c r="EH51" s="58">
        <f>IFERROR($AC52/$AC51-1,"")</f>
        <v/>
      </c>
      <c r="EI51" s="58">
        <f>IFERROR($AD52/$AD51-1,"")</f>
        <v/>
      </c>
      <c r="EJ51" s="58">
        <f>IFERROR($AE52/$AE51-1,"")</f>
        <v/>
      </c>
      <c r="EK51" s="58">
        <f>IFERROR($AF52/$AF51-1,"")</f>
        <v/>
      </c>
      <c r="EL51" s="58">
        <f>IFERROR($AG52/$AG51-1,"")</f>
        <v/>
      </c>
      <c r="EM51" s="58">
        <f>IFERROR($BB51/$BB52-1,"")</f>
        <v/>
      </c>
      <c r="EN51" s="58">
        <f>IFERROR($BC51/$BC52-1,"")</f>
        <v/>
      </c>
      <c r="EO51" s="58">
        <f>IFERROR($BD51/$BD52-1,"")</f>
        <v/>
      </c>
      <c r="EP51" s="58">
        <f>IFERROR($BE51/$BE52-1,"")</f>
        <v/>
      </c>
      <c r="EQ51" s="58">
        <f>IFERROR($BF51/$BF52-1,"")</f>
        <v/>
      </c>
      <c r="ER51" s="58">
        <f>IFERROR($BG51/$BG52-1,"")</f>
        <v/>
      </c>
      <c r="ES51" s="58">
        <f>IFERROR($BH51/$BH52-1,"")</f>
        <v/>
      </c>
      <c r="ET51" s="58">
        <f>IFERROR($BI51/$BI52-1,"")</f>
        <v/>
      </c>
      <c r="EU51" s="58">
        <f>IFERROR($BJ51/$BJ52-1,"")</f>
        <v/>
      </c>
      <c r="EV51" s="58">
        <f>IFERROR($BK51/$BK52-1,"")</f>
        <v/>
      </c>
      <c r="EW51" s="58">
        <f>IFERROR($BL51/$BL52-1,"")</f>
        <v/>
      </c>
      <c r="EX51" s="58">
        <f>IFERROR($BM51/$BM52-1,"")</f>
        <v/>
      </c>
      <c r="EY51" s="58">
        <f>IFERROR($BN51/$BN52-1,"")</f>
        <v/>
      </c>
      <c r="EZ51" s="58">
        <f>IFERROR($BO51/$BO52-1,"")</f>
        <v/>
      </c>
      <c r="FA51" s="58">
        <f>IFERROR($BP51/$BP52-1,"")</f>
        <v/>
      </c>
      <c r="FB51" s="58">
        <f>IFERROR($BQ51/$BQ52-1,"")</f>
        <v/>
      </c>
      <c r="FC51" s="58">
        <f>IFERROR($BR51/$BR52-1,"")</f>
        <v/>
      </c>
      <c r="FD51" s="58">
        <f>IFERROR($BS51/$BS52-1,"")</f>
        <v/>
      </c>
      <c r="FE51" s="58">
        <f>IFERROR($BT51/$BT52-1,"")</f>
        <v/>
      </c>
      <c r="FF51" s="58">
        <f>IFERROR($BU51/$BU52-1,"")</f>
        <v/>
      </c>
      <c r="FG51" s="58">
        <f>IFERROR($BV51/$BV52-1,"")</f>
        <v/>
      </c>
      <c r="FH51" s="58">
        <f>IFERROR($BW51/$BW52-1,"")</f>
        <v/>
      </c>
      <c r="FI51" s="58">
        <f>IFERROR($BX51/$BX52-1,"")</f>
        <v/>
      </c>
      <c r="FJ51" s="59">
        <f>$BY51-$BY52</f>
        <v/>
      </c>
      <c r="FK51" s="59">
        <f>$BZ51-$BZ52</f>
        <v/>
      </c>
      <c r="FL51" s="59">
        <f>$CA51-$CA52</f>
        <v/>
      </c>
      <c r="FM51" s="59">
        <f>$CB51-$CB52</f>
        <v/>
      </c>
      <c r="FN51" s="59">
        <f>$CC51-$CC52</f>
        <v/>
      </c>
      <c r="FO51" s="59">
        <f>$CD51-$CD52</f>
        <v/>
      </c>
      <c r="FP51" s="59">
        <f>$CE51-$CE52</f>
        <v/>
      </c>
      <c r="FQ51" s="59">
        <f>$CF51-$CF52</f>
        <v/>
      </c>
      <c r="FR51" s="59">
        <f>$CG51-$CG52</f>
        <v/>
      </c>
      <c r="FS51" s="59">
        <f>$CH51-$CH52</f>
        <v/>
      </c>
      <c r="FT51" s="59">
        <f>$CI51-$CI52</f>
        <v/>
      </c>
      <c r="FU51" s="59">
        <f>$CJ51-$CJ52</f>
        <v/>
      </c>
      <c r="FV51" s="59">
        <f>$CK51-$CK52</f>
        <v/>
      </c>
      <c r="FW51" s="59">
        <f>$CL51-$CL52</f>
        <v/>
      </c>
      <c r="FX51" s="59">
        <f>$CM51-$CM52</f>
        <v/>
      </c>
      <c r="FY51" s="59">
        <f>$CN51-$CN52</f>
        <v/>
      </c>
      <c r="FZ51" s="59">
        <f>$CO51-$CO52</f>
        <v/>
      </c>
      <c r="GA51" s="59">
        <f>$CP51-$CP52</f>
        <v/>
      </c>
      <c r="GB51" s="59">
        <f>$CQ51-$CQ52</f>
        <v/>
      </c>
      <c r="GC51" s="59">
        <f>$CR51-$CR52</f>
        <v/>
      </c>
      <c r="GD51" s="59">
        <f>$CS51-$CS52</f>
        <v/>
      </c>
      <c r="GE51" s="59">
        <f>$CT51-$CT52</f>
        <v/>
      </c>
    </row>
    <row r="52">
      <c r="CU52" s="58">
        <f>IFERROR($B52/$B53-1,"")</f>
        <v/>
      </c>
      <c r="CV52" s="59">
        <f>($F52-$F53)*100</f>
        <v/>
      </c>
      <c r="CW52" s="59">
        <f>($E52-$E53)*100</f>
        <v/>
      </c>
      <c r="CX52" s="58">
        <f>IFERROR($K52/$K53-1,"")</f>
        <v/>
      </c>
      <c r="CY52" s="59">
        <f>($AH52-$AH53)*100</f>
        <v/>
      </c>
      <c r="CZ52" s="59">
        <f>($AI52-$AI53)*100</f>
        <v/>
      </c>
      <c r="DA52" s="59">
        <f>($AJ52-$AJ53)*100</f>
        <v/>
      </c>
      <c r="DB52" s="59">
        <f>($AK52-$AK53)*100</f>
        <v/>
      </c>
      <c r="DC52" s="59">
        <f>($AL52-$AL53)*100</f>
        <v/>
      </c>
      <c r="DD52" s="59">
        <f>($AM52-$AM53)*100</f>
        <v/>
      </c>
      <c r="DE52" s="59">
        <f>($AN52-$AN53)*100</f>
        <v/>
      </c>
      <c r="DF52" s="59">
        <f>($AO52-$AO53)*100</f>
        <v/>
      </c>
      <c r="DG52" s="59">
        <f>($AP52-$AP53)*100</f>
        <v/>
      </c>
      <c r="DH52" s="59">
        <f>($AQ52-$AQ53)*100</f>
        <v/>
      </c>
      <c r="DI52" s="59">
        <f>($AR52-$AR53)*100</f>
        <v/>
      </c>
      <c r="DJ52" s="59">
        <f>($AS52-$AS53)*100</f>
        <v/>
      </c>
      <c r="DK52" s="59">
        <f>($AT52-$AT53)*100</f>
        <v/>
      </c>
      <c r="DL52" s="59">
        <f>($AU52-$AU53)*100</f>
        <v/>
      </c>
      <c r="DM52" s="59">
        <f>($AV52-$AV53)*100</f>
        <v/>
      </c>
      <c r="DN52" s="59">
        <f>($AW52-$AW53)*100</f>
        <v/>
      </c>
      <c r="DO52" s="59">
        <f>($AX52-$AX53)*100</f>
        <v/>
      </c>
      <c r="DP52" s="59">
        <f>($AY52-$AY53)*100</f>
        <v/>
      </c>
      <c r="DQ52" s="59">
        <f>($AZ52-$AZ53)*100</f>
        <v/>
      </c>
      <c r="DR52" s="59">
        <f>($BA52-$BA53)*100</f>
        <v/>
      </c>
      <c r="DS52" s="58">
        <f>IFERROR($N53/$N52-1,"")</f>
        <v/>
      </c>
      <c r="DT52" s="58">
        <f>IFERROR($O53/$O52-1,"")</f>
        <v/>
      </c>
      <c r="DU52" s="58">
        <f>IFERROR($P53/$P52-1,"")</f>
        <v/>
      </c>
      <c r="DV52" s="58">
        <f>IFERROR($Q53/$Q52-1,"")</f>
        <v/>
      </c>
      <c r="DW52" s="58">
        <f>IFERROR($R53/$R52-1,"")</f>
        <v/>
      </c>
      <c r="DX52" s="58">
        <f>IFERROR($S53/$S52-1,"")</f>
        <v/>
      </c>
      <c r="DY52" s="58">
        <f>IFERROR($T53/$T52-1,"")</f>
        <v/>
      </c>
      <c r="DZ52" s="58">
        <f>IFERROR($U53/$U52-1,"")</f>
        <v/>
      </c>
      <c r="EA52" s="58">
        <f>IFERROR($V53/$V52-1,"")</f>
        <v/>
      </c>
      <c r="EB52" s="58">
        <f>IFERROR($W53/$W52-1,"")</f>
        <v/>
      </c>
      <c r="EC52" s="58">
        <f>IFERROR($X53/$X52-1,"")</f>
        <v/>
      </c>
      <c r="ED52" s="58">
        <f>IFERROR($Y53/$Y52-1,"")</f>
        <v/>
      </c>
      <c r="EE52" s="58">
        <f>IFERROR($Z53/$Z52-1,"")</f>
        <v/>
      </c>
      <c r="EF52" s="58">
        <f>IFERROR($AA53/$AA52-1,"")</f>
        <v/>
      </c>
      <c r="EG52" s="58">
        <f>IFERROR($AB53/$AB52-1,"")</f>
        <v/>
      </c>
      <c r="EH52" s="58">
        <f>IFERROR($AC53/$AC52-1,"")</f>
        <v/>
      </c>
      <c r="EI52" s="58">
        <f>IFERROR($AD53/$AD52-1,"")</f>
        <v/>
      </c>
      <c r="EJ52" s="58">
        <f>IFERROR($AE53/$AE52-1,"")</f>
        <v/>
      </c>
      <c r="EK52" s="58">
        <f>IFERROR($AF53/$AF52-1,"")</f>
        <v/>
      </c>
      <c r="EL52" s="58">
        <f>IFERROR($AG53/$AG52-1,"")</f>
        <v/>
      </c>
      <c r="EM52" s="58">
        <f>IFERROR($BB52/$BB53-1,"")</f>
        <v/>
      </c>
      <c r="EN52" s="58">
        <f>IFERROR($BC52/$BC53-1,"")</f>
        <v/>
      </c>
      <c r="EO52" s="58">
        <f>IFERROR($BD52/$BD53-1,"")</f>
        <v/>
      </c>
      <c r="EP52" s="58">
        <f>IFERROR($BE52/$BE53-1,"")</f>
        <v/>
      </c>
      <c r="EQ52" s="58">
        <f>IFERROR($BF52/$BF53-1,"")</f>
        <v/>
      </c>
      <c r="ER52" s="58">
        <f>IFERROR($BG52/$BG53-1,"")</f>
        <v/>
      </c>
      <c r="ES52" s="58">
        <f>IFERROR($BH52/$BH53-1,"")</f>
        <v/>
      </c>
      <c r="ET52" s="58">
        <f>IFERROR($BI52/$BI53-1,"")</f>
        <v/>
      </c>
      <c r="EU52" s="58">
        <f>IFERROR($BJ52/$BJ53-1,"")</f>
        <v/>
      </c>
      <c r="EV52" s="58">
        <f>IFERROR($BK52/$BK53-1,"")</f>
        <v/>
      </c>
      <c r="EW52" s="58">
        <f>IFERROR($BL52/$BL53-1,"")</f>
        <v/>
      </c>
      <c r="EX52" s="58">
        <f>IFERROR($BM52/$BM53-1,"")</f>
        <v/>
      </c>
      <c r="EY52" s="58">
        <f>IFERROR($BN52/$BN53-1,"")</f>
        <v/>
      </c>
      <c r="EZ52" s="58">
        <f>IFERROR($BO52/$BO53-1,"")</f>
        <v/>
      </c>
      <c r="FA52" s="58">
        <f>IFERROR($BP52/$BP53-1,"")</f>
        <v/>
      </c>
      <c r="FB52" s="58">
        <f>IFERROR($BQ52/$BQ53-1,"")</f>
        <v/>
      </c>
      <c r="FC52" s="58">
        <f>IFERROR($BR52/$BR53-1,"")</f>
        <v/>
      </c>
      <c r="FD52" s="58">
        <f>IFERROR($BS52/$BS53-1,"")</f>
        <v/>
      </c>
      <c r="FE52" s="58">
        <f>IFERROR($BT52/$BT53-1,"")</f>
        <v/>
      </c>
      <c r="FF52" s="58">
        <f>IFERROR($BU52/$BU53-1,"")</f>
        <v/>
      </c>
      <c r="FG52" s="58">
        <f>IFERROR($BV52/$BV53-1,"")</f>
        <v/>
      </c>
      <c r="FH52" s="58">
        <f>IFERROR($BW52/$BW53-1,"")</f>
        <v/>
      </c>
      <c r="FI52" s="58">
        <f>IFERROR($BX52/$BX53-1,"")</f>
        <v/>
      </c>
      <c r="FJ52" s="59">
        <f>$BY52-$BY53</f>
        <v/>
      </c>
      <c r="FK52" s="59">
        <f>$BZ52-$BZ53</f>
        <v/>
      </c>
      <c r="FL52" s="59">
        <f>$CA52-$CA53</f>
        <v/>
      </c>
      <c r="FM52" s="59">
        <f>$CB52-$CB53</f>
        <v/>
      </c>
      <c r="FN52" s="59">
        <f>$CC52-$CC53</f>
        <v/>
      </c>
      <c r="FO52" s="59">
        <f>$CD52-$CD53</f>
        <v/>
      </c>
      <c r="FP52" s="59">
        <f>$CE52-$CE53</f>
        <v/>
      </c>
      <c r="FQ52" s="59">
        <f>$CF52-$CF53</f>
        <v/>
      </c>
      <c r="FR52" s="59">
        <f>$CG52-$CG53</f>
        <v/>
      </c>
      <c r="FS52" s="59">
        <f>$CH52-$CH53</f>
        <v/>
      </c>
      <c r="FT52" s="59">
        <f>$CI52-$CI53</f>
        <v/>
      </c>
      <c r="FU52" s="59">
        <f>$CJ52-$CJ53</f>
        <v/>
      </c>
      <c r="FV52" s="59">
        <f>$CK52-$CK53</f>
        <v/>
      </c>
      <c r="FW52" s="59">
        <f>$CL52-$CL53</f>
        <v/>
      </c>
      <c r="FX52" s="59">
        <f>$CM52-$CM53</f>
        <v/>
      </c>
      <c r="FY52" s="59">
        <f>$CN52-$CN53</f>
        <v/>
      </c>
      <c r="FZ52" s="59">
        <f>$CO52-$CO53</f>
        <v/>
      </c>
      <c r="GA52" s="59">
        <f>$CP52-$CP53</f>
        <v/>
      </c>
      <c r="GB52" s="59">
        <f>$CQ52-$CQ53</f>
        <v/>
      </c>
      <c r="GC52" s="59">
        <f>$CR52-$CR53</f>
        <v/>
      </c>
      <c r="GD52" s="59">
        <f>$CS52-$CS53</f>
        <v/>
      </c>
      <c r="GE52" s="59">
        <f>$CT52-$CT53</f>
        <v/>
      </c>
    </row>
    <row r="53">
      <c r="CU53" s="58">
        <f>IFERROR($B53/$B54-1,"")</f>
        <v/>
      </c>
      <c r="CV53" s="59">
        <f>($F53-$F54)*100</f>
        <v/>
      </c>
      <c r="CW53" s="59">
        <f>($E53-$E54)*100</f>
        <v/>
      </c>
      <c r="CX53" s="58">
        <f>IFERROR($K53/$K54-1,"")</f>
        <v/>
      </c>
      <c r="CY53" s="59">
        <f>($AH53-$AH54)*100</f>
        <v/>
      </c>
      <c r="CZ53" s="59">
        <f>($AI53-$AI54)*100</f>
        <v/>
      </c>
      <c r="DA53" s="59">
        <f>($AJ53-$AJ54)*100</f>
        <v/>
      </c>
      <c r="DB53" s="59">
        <f>($AK53-$AK54)*100</f>
        <v/>
      </c>
      <c r="DC53" s="59">
        <f>($AL53-$AL54)*100</f>
        <v/>
      </c>
      <c r="DD53" s="59">
        <f>($AM53-$AM54)*100</f>
        <v/>
      </c>
      <c r="DE53" s="59">
        <f>($AN53-$AN54)*100</f>
        <v/>
      </c>
      <c r="DF53" s="59">
        <f>($AO53-$AO54)*100</f>
        <v/>
      </c>
      <c r="DG53" s="59">
        <f>($AP53-$AP54)*100</f>
        <v/>
      </c>
      <c r="DH53" s="59">
        <f>($AQ53-$AQ54)*100</f>
        <v/>
      </c>
      <c r="DI53" s="59">
        <f>($AR53-$AR54)*100</f>
        <v/>
      </c>
      <c r="DJ53" s="59">
        <f>($AS53-$AS54)*100</f>
        <v/>
      </c>
      <c r="DK53" s="59">
        <f>($AT53-$AT54)*100</f>
        <v/>
      </c>
      <c r="DL53" s="59">
        <f>($AU53-$AU54)*100</f>
        <v/>
      </c>
      <c r="DM53" s="59">
        <f>($AV53-$AV54)*100</f>
        <v/>
      </c>
      <c r="DN53" s="59">
        <f>($AW53-$AW54)*100</f>
        <v/>
      </c>
      <c r="DO53" s="59">
        <f>($AX53-$AX54)*100</f>
        <v/>
      </c>
      <c r="DP53" s="59">
        <f>($AY53-$AY54)*100</f>
        <v/>
      </c>
      <c r="DQ53" s="59">
        <f>($AZ53-$AZ54)*100</f>
        <v/>
      </c>
      <c r="DR53" s="59">
        <f>($BA53-$BA54)*100</f>
        <v/>
      </c>
      <c r="DS53" s="58">
        <f>IFERROR($N54/$N53-1,"")</f>
        <v/>
      </c>
      <c r="DT53" s="58">
        <f>IFERROR($O54/$O53-1,"")</f>
        <v/>
      </c>
      <c r="DU53" s="58">
        <f>IFERROR($P54/$P53-1,"")</f>
        <v/>
      </c>
      <c r="DV53" s="58">
        <f>IFERROR($Q54/$Q53-1,"")</f>
        <v/>
      </c>
      <c r="DW53" s="58">
        <f>IFERROR($R54/$R53-1,"")</f>
        <v/>
      </c>
      <c r="DX53" s="58">
        <f>IFERROR($S54/$S53-1,"")</f>
        <v/>
      </c>
      <c r="DY53" s="58">
        <f>IFERROR($T54/$T53-1,"")</f>
        <v/>
      </c>
      <c r="DZ53" s="58">
        <f>IFERROR($U54/$U53-1,"")</f>
        <v/>
      </c>
      <c r="EA53" s="58">
        <f>IFERROR($V54/$V53-1,"")</f>
        <v/>
      </c>
      <c r="EB53" s="58">
        <f>IFERROR($W54/$W53-1,"")</f>
        <v/>
      </c>
      <c r="EC53" s="58">
        <f>IFERROR($X54/$X53-1,"")</f>
        <v/>
      </c>
      <c r="ED53" s="58">
        <f>IFERROR($Y54/$Y53-1,"")</f>
        <v/>
      </c>
      <c r="EE53" s="58">
        <f>IFERROR($Z54/$Z53-1,"")</f>
        <v/>
      </c>
      <c r="EF53" s="58">
        <f>IFERROR($AA54/$AA53-1,"")</f>
        <v/>
      </c>
      <c r="EG53" s="58">
        <f>IFERROR($AB54/$AB53-1,"")</f>
        <v/>
      </c>
      <c r="EH53" s="58">
        <f>IFERROR($AC54/$AC53-1,"")</f>
        <v/>
      </c>
      <c r="EI53" s="58">
        <f>IFERROR($AD54/$AD53-1,"")</f>
        <v/>
      </c>
      <c r="EJ53" s="58">
        <f>IFERROR($AE54/$AE53-1,"")</f>
        <v/>
      </c>
      <c r="EK53" s="58">
        <f>IFERROR($AF54/$AF53-1,"")</f>
        <v/>
      </c>
      <c r="EL53" s="58">
        <f>IFERROR($AG54/$AG53-1,"")</f>
        <v/>
      </c>
      <c r="EM53" s="58">
        <f>IFERROR($BB53/$BB54-1,"")</f>
        <v/>
      </c>
      <c r="EN53" s="58">
        <f>IFERROR($BC53/$BC54-1,"")</f>
        <v/>
      </c>
      <c r="EO53" s="58">
        <f>IFERROR($BD53/$BD54-1,"")</f>
        <v/>
      </c>
      <c r="EP53" s="58">
        <f>IFERROR($BE53/$BE54-1,"")</f>
        <v/>
      </c>
      <c r="EQ53" s="58">
        <f>IFERROR($BF53/$BF54-1,"")</f>
        <v/>
      </c>
      <c r="ER53" s="58">
        <f>IFERROR($BG53/$BG54-1,"")</f>
        <v/>
      </c>
      <c r="ES53" s="58">
        <f>IFERROR($BH53/$BH54-1,"")</f>
        <v/>
      </c>
      <c r="ET53" s="58">
        <f>IFERROR($BI53/$BI54-1,"")</f>
        <v/>
      </c>
      <c r="EU53" s="58">
        <f>IFERROR($BJ53/$BJ54-1,"")</f>
        <v/>
      </c>
      <c r="EV53" s="58">
        <f>IFERROR($BK53/$BK54-1,"")</f>
        <v/>
      </c>
      <c r="EW53" s="58">
        <f>IFERROR($BL53/$BL54-1,"")</f>
        <v/>
      </c>
      <c r="EX53" s="58">
        <f>IFERROR($BM53/$BM54-1,"")</f>
        <v/>
      </c>
      <c r="EY53" s="58">
        <f>IFERROR($BN53/$BN54-1,"")</f>
        <v/>
      </c>
      <c r="EZ53" s="58">
        <f>IFERROR($BO53/$BO54-1,"")</f>
        <v/>
      </c>
      <c r="FA53" s="58">
        <f>IFERROR($BP53/$BP54-1,"")</f>
        <v/>
      </c>
      <c r="FB53" s="58">
        <f>IFERROR($BQ53/$BQ54-1,"")</f>
        <v/>
      </c>
      <c r="FC53" s="58">
        <f>IFERROR($BR53/$BR54-1,"")</f>
        <v/>
      </c>
      <c r="FD53" s="58">
        <f>IFERROR($BS53/$BS54-1,"")</f>
        <v/>
      </c>
      <c r="FE53" s="58">
        <f>IFERROR($BT53/$BT54-1,"")</f>
        <v/>
      </c>
      <c r="FF53" s="58">
        <f>IFERROR($BU53/$BU54-1,"")</f>
        <v/>
      </c>
      <c r="FG53" s="58">
        <f>IFERROR($BV53/$BV54-1,"")</f>
        <v/>
      </c>
      <c r="FH53" s="58">
        <f>IFERROR($BW53/$BW54-1,"")</f>
        <v/>
      </c>
      <c r="FI53" s="58">
        <f>IFERROR($BX53/$BX54-1,"")</f>
        <v/>
      </c>
      <c r="FJ53" s="59">
        <f>$BY53-$BY54</f>
        <v/>
      </c>
      <c r="FK53" s="59">
        <f>$BZ53-$BZ54</f>
        <v/>
      </c>
      <c r="FL53" s="59">
        <f>$CA53-$CA54</f>
        <v/>
      </c>
      <c r="FM53" s="59">
        <f>$CB53-$CB54</f>
        <v/>
      </c>
      <c r="FN53" s="59">
        <f>$CC53-$CC54</f>
        <v/>
      </c>
      <c r="FO53" s="59">
        <f>$CD53-$CD54</f>
        <v/>
      </c>
      <c r="FP53" s="59">
        <f>$CE53-$CE54</f>
        <v/>
      </c>
      <c r="FQ53" s="59">
        <f>$CF53-$CF54</f>
        <v/>
      </c>
      <c r="FR53" s="59">
        <f>$CG53-$CG54</f>
        <v/>
      </c>
      <c r="FS53" s="59">
        <f>$CH53-$CH54</f>
        <v/>
      </c>
      <c r="FT53" s="59">
        <f>$CI53-$CI54</f>
        <v/>
      </c>
      <c r="FU53" s="59">
        <f>$CJ53-$CJ54</f>
        <v/>
      </c>
      <c r="FV53" s="59">
        <f>$CK53-$CK54</f>
        <v/>
      </c>
      <c r="FW53" s="59">
        <f>$CL53-$CL54</f>
        <v/>
      </c>
      <c r="FX53" s="59">
        <f>$CM53-$CM54</f>
        <v/>
      </c>
      <c r="FY53" s="59">
        <f>$CN53-$CN54</f>
        <v/>
      </c>
      <c r="FZ53" s="59">
        <f>$CO53-$CO54</f>
        <v/>
      </c>
      <c r="GA53" s="59">
        <f>$CP53-$CP54</f>
        <v/>
      </c>
      <c r="GB53" s="59">
        <f>$CQ53-$CQ54</f>
        <v/>
      </c>
      <c r="GC53" s="59">
        <f>$CR53-$CR54</f>
        <v/>
      </c>
      <c r="GD53" s="59">
        <f>$CS53-$CS54</f>
        <v/>
      </c>
      <c r="GE53" s="59">
        <f>$CT53-$CT54</f>
        <v/>
      </c>
    </row>
    <row r="54">
      <c r="CU54" s="58">
        <f>IFERROR($B54/$B55-1,"")</f>
        <v/>
      </c>
      <c r="CV54" s="59">
        <f>($F54-$F55)*100</f>
        <v/>
      </c>
      <c r="CW54" s="59">
        <f>($E54-$E55)*100</f>
        <v/>
      </c>
      <c r="CX54" s="58">
        <f>IFERROR($K54/$K55-1,"")</f>
        <v/>
      </c>
      <c r="CY54" s="59">
        <f>($AH54-$AH55)*100</f>
        <v/>
      </c>
      <c r="CZ54" s="59">
        <f>($AI54-$AI55)*100</f>
        <v/>
      </c>
      <c r="DA54" s="59">
        <f>($AJ54-$AJ55)*100</f>
        <v/>
      </c>
      <c r="DB54" s="59">
        <f>($AK54-$AK55)*100</f>
        <v/>
      </c>
      <c r="DC54" s="59">
        <f>($AL54-$AL55)*100</f>
        <v/>
      </c>
      <c r="DD54" s="59">
        <f>($AM54-$AM55)*100</f>
        <v/>
      </c>
      <c r="DE54" s="59">
        <f>($AN54-$AN55)*100</f>
        <v/>
      </c>
      <c r="DF54" s="59">
        <f>($AO54-$AO55)*100</f>
        <v/>
      </c>
      <c r="DG54" s="59">
        <f>($AP54-$AP55)*100</f>
        <v/>
      </c>
      <c r="DH54" s="59">
        <f>($AQ54-$AQ55)*100</f>
        <v/>
      </c>
      <c r="DI54" s="59">
        <f>($AR54-$AR55)*100</f>
        <v/>
      </c>
      <c r="DJ54" s="59">
        <f>($AS54-$AS55)*100</f>
        <v/>
      </c>
      <c r="DK54" s="59">
        <f>($AT54-$AT55)*100</f>
        <v/>
      </c>
      <c r="DL54" s="59">
        <f>($AU54-$AU55)*100</f>
        <v/>
      </c>
      <c r="DM54" s="59">
        <f>($AV54-$AV55)*100</f>
        <v/>
      </c>
      <c r="DN54" s="59">
        <f>($AW54-$AW55)*100</f>
        <v/>
      </c>
      <c r="DO54" s="59">
        <f>($AX54-$AX55)*100</f>
        <v/>
      </c>
      <c r="DP54" s="59">
        <f>($AY54-$AY55)*100</f>
        <v/>
      </c>
      <c r="DQ54" s="59">
        <f>($AZ54-$AZ55)*100</f>
        <v/>
      </c>
      <c r="DR54" s="59">
        <f>($BA54-$BA55)*100</f>
        <v/>
      </c>
      <c r="DS54" s="58">
        <f>IFERROR($N55/$N54-1,"")</f>
        <v/>
      </c>
      <c r="DT54" s="58">
        <f>IFERROR($O55/$O54-1,"")</f>
        <v/>
      </c>
      <c r="DU54" s="58">
        <f>IFERROR($P55/$P54-1,"")</f>
        <v/>
      </c>
      <c r="DV54" s="58">
        <f>IFERROR($Q55/$Q54-1,"")</f>
        <v/>
      </c>
      <c r="DW54" s="58">
        <f>IFERROR($R55/$R54-1,"")</f>
        <v/>
      </c>
      <c r="DX54" s="58">
        <f>IFERROR($S55/$S54-1,"")</f>
        <v/>
      </c>
      <c r="DY54" s="58">
        <f>IFERROR($T55/$T54-1,"")</f>
        <v/>
      </c>
      <c r="DZ54" s="58">
        <f>IFERROR($U55/$U54-1,"")</f>
        <v/>
      </c>
      <c r="EA54" s="58">
        <f>IFERROR($V55/$V54-1,"")</f>
        <v/>
      </c>
      <c r="EB54" s="58">
        <f>IFERROR($W55/$W54-1,"")</f>
        <v/>
      </c>
      <c r="EC54" s="58">
        <f>IFERROR($X55/$X54-1,"")</f>
        <v/>
      </c>
      <c r="ED54" s="58">
        <f>IFERROR($Y55/$Y54-1,"")</f>
        <v/>
      </c>
      <c r="EE54" s="58">
        <f>IFERROR($Z55/$Z54-1,"")</f>
        <v/>
      </c>
      <c r="EF54" s="58">
        <f>IFERROR($AA55/$AA54-1,"")</f>
        <v/>
      </c>
      <c r="EG54" s="58">
        <f>IFERROR($AB55/$AB54-1,"")</f>
        <v/>
      </c>
      <c r="EH54" s="58">
        <f>IFERROR($AC55/$AC54-1,"")</f>
        <v/>
      </c>
      <c r="EI54" s="58">
        <f>IFERROR($AD55/$AD54-1,"")</f>
        <v/>
      </c>
      <c r="EJ54" s="58">
        <f>IFERROR($AE55/$AE54-1,"")</f>
        <v/>
      </c>
      <c r="EK54" s="58">
        <f>IFERROR($AF55/$AF54-1,"")</f>
        <v/>
      </c>
      <c r="EL54" s="58">
        <f>IFERROR($AG55/$AG54-1,"")</f>
        <v/>
      </c>
      <c r="EM54" s="58">
        <f>IFERROR($BB54/$BB55-1,"")</f>
        <v/>
      </c>
      <c r="EN54" s="58">
        <f>IFERROR($BC54/$BC55-1,"")</f>
        <v/>
      </c>
      <c r="EO54" s="58">
        <f>IFERROR($BD54/$BD55-1,"")</f>
        <v/>
      </c>
      <c r="EP54" s="58">
        <f>IFERROR($BE54/$BE55-1,"")</f>
        <v/>
      </c>
      <c r="EQ54" s="58">
        <f>IFERROR($BF54/$BF55-1,"")</f>
        <v/>
      </c>
      <c r="ER54" s="58">
        <f>IFERROR($BG54/$BG55-1,"")</f>
        <v/>
      </c>
      <c r="ES54" s="58">
        <f>IFERROR($BH54/$BH55-1,"")</f>
        <v/>
      </c>
      <c r="ET54" s="58">
        <f>IFERROR($BI54/$BI55-1,"")</f>
        <v/>
      </c>
      <c r="EU54" s="58">
        <f>IFERROR($BJ54/$BJ55-1,"")</f>
        <v/>
      </c>
      <c r="EV54" s="58">
        <f>IFERROR($BK54/$BK55-1,"")</f>
        <v/>
      </c>
      <c r="EW54" s="58">
        <f>IFERROR($BL54/$BL55-1,"")</f>
        <v/>
      </c>
      <c r="EX54" s="58">
        <f>IFERROR($BM54/$BM55-1,"")</f>
        <v/>
      </c>
      <c r="EY54" s="58">
        <f>IFERROR($BN54/$BN55-1,"")</f>
        <v/>
      </c>
      <c r="EZ54" s="58">
        <f>IFERROR($BO54/$BO55-1,"")</f>
        <v/>
      </c>
      <c r="FA54" s="58">
        <f>IFERROR($BP54/$BP55-1,"")</f>
        <v/>
      </c>
      <c r="FB54" s="58">
        <f>IFERROR($BQ54/$BQ55-1,"")</f>
        <v/>
      </c>
      <c r="FC54" s="58">
        <f>IFERROR($BR54/$BR55-1,"")</f>
        <v/>
      </c>
      <c r="FD54" s="58">
        <f>IFERROR($BS54/$BS55-1,"")</f>
        <v/>
      </c>
      <c r="FE54" s="58">
        <f>IFERROR($BT54/$BT55-1,"")</f>
        <v/>
      </c>
      <c r="FF54" s="58">
        <f>IFERROR($BU54/$BU55-1,"")</f>
        <v/>
      </c>
      <c r="FG54" s="58">
        <f>IFERROR($BV54/$BV55-1,"")</f>
        <v/>
      </c>
      <c r="FH54" s="58">
        <f>IFERROR($BW54/$BW55-1,"")</f>
        <v/>
      </c>
      <c r="FI54" s="58">
        <f>IFERROR($BX54/$BX55-1,"")</f>
        <v/>
      </c>
      <c r="FJ54" s="59">
        <f>$BY54-$BY55</f>
        <v/>
      </c>
      <c r="FK54" s="59">
        <f>$BZ54-$BZ55</f>
        <v/>
      </c>
      <c r="FL54" s="59">
        <f>$CA54-$CA55</f>
        <v/>
      </c>
      <c r="FM54" s="59">
        <f>$CB54-$CB55</f>
        <v/>
      </c>
      <c r="FN54" s="59">
        <f>$CC54-$CC55</f>
        <v/>
      </c>
      <c r="FO54" s="59">
        <f>$CD54-$CD55</f>
        <v/>
      </c>
      <c r="FP54" s="59">
        <f>$CE54-$CE55</f>
        <v/>
      </c>
      <c r="FQ54" s="59">
        <f>$CF54-$CF55</f>
        <v/>
      </c>
      <c r="FR54" s="59">
        <f>$CG54-$CG55</f>
        <v/>
      </c>
      <c r="FS54" s="59">
        <f>$CH54-$CH55</f>
        <v/>
      </c>
      <c r="FT54" s="59">
        <f>$CI54-$CI55</f>
        <v/>
      </c>
      <c r="FU54" s="59">
        <f>$CJ54-$CJ55</f>
        <v/>
      </c>
      <c r="FV54" s="59">
        <f>$CK54-$CK55</f>
        <v/>
      </c>
      <c r="FW54" s="59">
        <f>$CL54-$CL55</f>
        <v/>
      </c>
      <c r="FX54" s="59">
        <f>$CM54-$CM55</f>
        <v/>
      </c>
      <c r="FY54" s="59">
        <f>$CN54-$CN55</f>
        <v/>
      </c>
      <c r="FZ54" s="59">
        <f>$CO54-$CO55</f>
        <v/>
      </c>
      <c r="GA54" s="59">
        <f>$CP54-$CP55</f>
        <v/>
      </c>
      <c r="GB54" s="59">
        <f>$CQ54-$CQ55</f>
        <v/>
      </c>
      <c r="GC54" s="59">
        <f>$CR54-$CR55</f>
        <v/>
      </c>
      <c r="GD54" s="59">
        <f>$CS54-$CS55</f>
        <v/>
      </c>
      <c r="GE54" s="59">
        <f>$CT54-$CT55</f>
        <v/>
      </c>
    </row>
    <row r="55">
      <c r="CU55" s="58">
        <f>IFERROR($B55/$B56-1,"")</f>
        <v/>
      </c>
      <c r="CV55" s="59">
        <f>($F55-$F56)*100</f>
        <v/>
      </c>
      <c r="CW55" s="59">
        <f>($E55-$E56)*100</f>
        <v/>
      </c>
      <c r="CX55" s="58">
        <f>IFERROR($K55/$K56-1,"")</f>
        <v/>
      </c>
      <c r="CY55" s="59">
        <f>($AH55-$AH56)*100</f>
        <v/>
      </c>
      <c r="CZ55" s="59">
        <f>($AI55-$AI56)*100</f>
        <v/>
      </c>
      <c r="DA55" s="59">
        <f>($AJ55-$AJ56)*100</f>
        <v/>
      </c>
      <c r="DB55" s="59">
        <f>($AK55-$AK56)*100</f>
        <v/>
      </c>
      <c r="DC55" s="59">
        <f>($AL55-$AL56)*100</f>
        <v/>
      </c>
      <c r="DD55" s="59">
        <f>($AM55-$AM56)*100</f>
        <v/>
      </c>
      <c r="DE55" s="59">
        <f>($AN55-$AN56)*100</f>
        <v/>
      </c>
      <c r="DF55" s="59">
        <f>($AO55-$AO56)*100</f>
        <v/>
      </c>
      <c r="DG55" s="59">
        <f>($AP55-$AP56)*100</f>
        <v/>
      </c>
      <c r="DH55" s="59">
        <f>($AQ55-$AQ56)*100</f>
        <v/>
      </c>
      <c r="DI55" s="59">
        <f>($AR55-$AR56)*100</f>
        <v/>
      </c>
      <c r="DJ55" s="59">
        <f>($AS55-$AS56)*100</f>
        <v/>
      </c>
      <c r="DK55" s="59">
        <f>($AT55-$AT56)*100</f>
        <v/>
      </c>
      <c r="DL55" s="59">
        <f>($AU55-$AU56)*100</f>
        <v/>
      </c>
      <c r="DM55" s="59">
        <f>($AV55-$AV56)*100</f>
        <v/>
      </c>
      <c r="DN55" s="59">
        <f>($AW55-$AW56)*100</f>
        <v/>
      </c>
      <c r="DO55" s="59">
        <f>($AX55-$AX56)*100</f>
        <v/>
      </c>
      <c r="DP55" s="59">
        <f>($AY55-$AY56)*100</f>
        <v/>
      </c>
      <c r="DQ55" s="59">
        <f>($AZ55-$AZ56)*100</f>
        <v/>
      </c>
      <c r="DR55" s="59">
        <f>($BA55-$BA56)*100</f>
        <v/>
      </c>
      <c r="DS55" s="58">
        <f>IFERROR($N56/$N55-1,"")</f>
        <v/>
      </c>
      <c r="DT55" s="58">
        <f>IFERROR($O56/$O55-1,"")</f>
        <v/>
      </c>
      <c r="DU55" s="58">
        <f>IFERROR($P56/$P55-1,"")</f>
        <v/>
      </c>
      <c r="DV55" s="58">
        <f>IFERROR($Q56/$Q55-1,"")</f>
        <v/>
      </c>
      <c r="DW55" s="58">
        <f>IFERROR($R56/$R55-1,"")</f>
        <v/>
      </c>
      <c r="DX55" s="58">
        <f>IFERROR($S56/$S55-1,"")</f>
        <v/>
      </c>
      <c r="DY55" s="58">
        <f>IFERROR($T56/$T55-1,"")</f>
        <v/>
      </c>
      <c r="DZ55" s="58">
        <f>IFERROR($U56/$U55-1,"")</f>
        <v/>
      </c>
      <c r="EA55" s="58">
        <f>IFERROR($V56/$V55-1,"")</f>
        <v/>
      </c>
      <c r="EB55" s="58">
        <f>IFERROR($W56/$W55-1,"")</f>
        <v/>
      </c>
      <c r="EC55" s="58">
        <f>IFERROR($X56/$X55-1,"")</f>
        <v/>
      </c>
      <c r="ED55" s="58">
        <f>IFERROR($Y56/$Y55-1,"")</f>
        <v/>
      </c>
      <c r="EE55" s="58">
        <f>IFERROR($Z56/$Z55-1,"")</f>
        <v/>
      </c>
      <c r="EF55" s="58">
        <f>IFERROR($AA56/$AA55-1,"")</f>
        <v/>
      </c>
      <c r="EG55" s="58">
        <f>IFERROR($AB56/$AB55-1,"")</f>
        <v/>
      </c>
      <c r="EH55" s="58">
        <f>IFERROR($AC56/$AC55-1,"")</f>
        <v/>
      </c>
      <c r="EI55" s="58">
        <f>IFERROR($AD56/$AD55-1,"")</f>
        <v/>
      </c>
      <c r="EJ55" s="58">
        <f>IFERROR($AE56/$AE55-1,"")</f>
        <v/>
      </c>
      <c r="EK55" s="58">
        <f>IFERROR($AF56/$AF55-1,"")</f>
        <v/>
      </c>
      <c r="EL55" s="58">
        <f>IFERROR($AG56/$AG55-1,"")</f>
        <v/>
      </c>
      <c r="EM55" s="58">
        <f>IFERROR($BB55/$BB56-1,"")</f>
        <v/>
      </c>
      <c r="EN55" s="58">
        <f>IFERROR($BC55/$BC56-1,"")</f>
        <v/>
      </c>
      <c r="EO55" s="58">
        <f>IFERROR($BD55/$BD56-1,"")</f>
        <v/>
      </c>
      <c r="EP55" s="58">
        <f>IFERROR($BE55/$BE56-1,"")</f>
        <v/>
      </c>
      <c r="EQ55" s="58">
        <f>IFERROR($BF55/$BF56-1,"")</f>
        <v/>
      </c>
      <c r="ER55" s="58">
        <f>IFERROR($BG55/$BG56-1,"")</f>
        <v/>
      </c>
      <c r="ES55" s="58">
        <f>IFERROR($BH55/$BH56-1,"")</f>
        <v/>
      </c>
      <c r="ET55" s="58">
        <f>IFERROR($BI55/$BI56-1,"")</f>
        <v/>
      </c>
      <c r="EU55" s="58">
        <f>IFERROR($BJ55/$BJ56-1,"")</f>
        <v/>
      </c>
      <c r="EV55" s="58">
        <f>IFERROR($BK55/$BK56-1,"")</f>
        <v/>
      </c>
      <c r="EW55" s="58">
        <f>IFERROR($BL55/$BL56-1,"")</f>
        <v/>
      </c>
      <c r="EX55" s="58">
        <f>IFERROR($BM55/$BM56-1,"")</f>
        <v/>
      </c>
      <c r="EY55" s="58">
        <f>IFERROR($BN55/$BN56-1,"")</f>
        <v/>
      </c>
      <c r="EZ55" s="58">
        <f>IFERROR($BO55/$BO56-1,"")</f>
        <v/>
      </c>
      <c r="FA55" s="58">
        <f>IFERROR($BP55/$BP56-1,"")</f>
        <v/>
      </c>
      <c r="FB55" s="58">
        <f>IFERROR($BQ55/$BQ56-1,"")</f>
        <v/>
      </c>
      <c r="FC55" s="58">
        <f>IFERROR($BR55/$BR56-1,"")</f>
        <v/>
      </c>
      <c r="FD55" s="58">
        <f>IFERROR($BS55/$BS56-1,"")</f>
        <v/>
      </c>
      <c r="FE55" s="58">
        <f>IFERROR($BT55/$BT56-1,"")</f>
        <v/>
      </c>
      <c r="FF55" s="58">
        <f>IFERROR($BU55/$BU56-1,"")</f>
        <v/>
      </c>
      <c r="FG55" s="58">
        <f>IFERROR($BV55/$BV56-1,"")</f>
        <v/>
      </c>
      <c r="FH55" s="58">
        <f>IFERROR($BW55/$BW56-1,"")</f>
        <v/>
      </c>
      <c r="FI55" s="58">
        <f>IFERROR($BX55/$BX56-1,"")</f>
        <v/>
      </c>
      <c r="FJ55" s="59">
        <f>$BY55-$BY56</f>
        <v/>
      </c>
      <c r="FK55" s="59">
        <f>$BZ55-$BZ56</f>
        <v/>
      </c>
      <c r="FL55" s="59">
        <f>$CA55-$CA56</f>
        <v/>
      </c>
      <c r="FM55" s="59">
        <f>$CB55-$CB56</f>
        <v/>
      </c>
      <c r="FN55" s="59">
        <f>$CC55-$CC56</f>
        <v/>
      </c>
      <c r="FO55" s="59">
        <f>$CD55-$CD56</f>
        <v/>
      </c>
      <c r="FP55" s="59">
        <f>$CE55-$CE56</f>
        <v/>
      </c>
      <c r="FQ55" s="59">
        <f>$CF55-$CF56</f>
        <v/>
      </c>
      <c r="FR55" s="59">
        <f>$CG55-$CG56</f>
        <v/>
      </c>
      <c r="FS55" s="59">
        <f>$CH55-$CH56</f>
        <v/>
      </c>
      <c r="FT55" s="59">
        <f>$CI55-$CI56</f>
        <v/>
      </c>
      <c r="FU55" s="59">
        <f>$CJ55-$CJ56</f>
        <v/>
      </c>
      <c r="FV55" s="59">
        <f>$CK55-$CK56</f>
        <v/>
      </c>
      <c r="FW55" s="59">
        <f>$CL55-$CL56</f>
        <v/>
      </c>
      <c r="FX55" s="59">
        <f>$CM55-$CM56</f>
        <v/>
      </c>
      <c r="FY55" s="59">
        <f>$CN55-$CN56</f>
        <v/>
      </c>
      <c r="FZ55" s="59">
        <f>$CO55-$CO56</f>
        <v/>
      </c>
      <c r="GA55" s="59">
        <f>$CP55-$CP56</f>
        <v/>
      </c>
      <c r="GB55" s="59">
        <f>$CQ55-$CQ56</f>
        <v/>
      </c>
      <c r="GC55" s="59">
        <f>$CR55-$CR56</f>
        <v/>
      </c>
      <c r="GD55" s="59">
        <f>$CS55-$CS56</f>
        <v/>
      </c>
      <c r="GE55" s="59">
        <f>$CT55-$CT56</f>
        <v/>
      </c>
    </row>
    <row r="56">
      <c r="CU56" s="58">
        <f>IFERROR($B56/$B57-1,"")</f>
        <v/>
      </c>
      <c r="CV56" s="59">
        <f>($F56-$F57)*100</f>
        <v/>
      </c>
      <c r="CW56" s="59">
        <f>($E56-$E57)*100</f>
        <v/>
      </c>
      <c r="CX56" s="58">
        <f>IFERROR($K56/$K57-1,"")</f>
        <v/>
      </c>
      <c r="CY56" s="59">
        <f>($AH56-$AH57)*100</f>
        <v/>
      </c>
      <c r="CZ56" s="59">
        <f>($AI56-$AI57)*100</f>
        <v/>
      </c>
      <c r="DA56" s="59">
        <f>($AJ56-$AJ57)*100</f>
        <v/>
      </c>
      <c r="DB56" s="59">
        <f>($AK56-$AK57)*100</f>
        <v/>
      </c>
      <c r="DC56" s="59">
        <f>($AL56-$AL57)*100</f>
        <v/>
      </c>
      <c r="DD56" s="59">
        <f>($AM56-$AM57)*100</f>
        <v/>
      </c>
      <c r="DE56" s="59">
        <f>($AN56-$AN57)*100</f>
        <v/>
      </c>
      <c r="DF56" s="59">
        <f>($AO56-$AO57)*100</f>
        <v/>
      </c>
      <c r="DG56" s="59">
        <f>($AP56-$AP57)*100</f>
        <v/>
      </c>
      <c r="DH56" s="59">
        <f>($AQ56-$AQ57)*100</f>
        <v/>
      </c>
      <c r="DI56" s="59">
        <f>($AR56-$AR57)*100</f>
        <v/>
      </c>
      <c r="DJ56" s="59">
        <f>($AS56-$AS57)*100</f>
        <v/>
      </c>
      <c r="DK56" s="59">
        <f>($AT56-$AT57)*100</f>
        <v/>
      </c>
      <c r="DL56" s="59">
        <f>($AU56-$AU57)*100</f>
        <v/>
      </c>
      <c r="DM56" s="59">
        <f>($AV56-$AV57)*100</f>
        <v/>
      </c>
      <c r="DN56" s="59">
        <f>($AW56-$AW57)*100</f>
        <v/>
      </c>
      <c r="DO56" s="59">
        <f>($AX56-$AX57)*100</f>
        <v/>
      </c>
      <c r="DP56" s="59">
        <f>($AY56-$AY57)*100</f>
        <v/>
      </c>
      <c r="DQ56" s="59">
        <f>($AZ56-$AZ57)*100</f>
        <v/>
      </c>
      <c r="DR56" s="59">
        <f>($BA56-$BA57)*100</f>
        <v/>
      </c>
      <c r="DS56" s="58">
        <f>IFERROR($N57/$N56-1,"")</f>
        <v/>
      </c>
      <c r="DT56" s="58">
        <f>IFERROR($O57/$O56-1,"")</f>
        <v/>
      </c>
      <c r="DU56" s="58">
        <f>IFERROR($P57/$P56-1,"")</f>
        <v/>
      </c>
      <c r="DV56" s="58">
        <f>IFERROR($Q57/$Q56-1,"")</f>
        <v/>
      </c>
      <c r="DW56" s="58">
        <f>IFERROR($R57/$R56-1,"")</f>
        <v/>
      </c>
      <c r="DX56" s="58">
        <f>IFERROR($S57/$S56-1,"")</f>
        <v/>
      </c>
      <c r="DY56" s="58">
        <f>IFERROR($T57/$T56-1,"")</f>
        <v/>
      </c>
      <c r="DZ56" s="58">
        <f>IFERROR($U57/$U56-1,"")</f>
        <v/>
      </c>
      <c r="EA56" s="58">
        <f>IFERROR($V57/$V56-1,"")</f>
        <v/>
      </c>
      <c r="EB56" s="58">
        <f>IFERROR($W57/$W56-1,"")</f>
        <v/>
      </c>
      <c r="EC56" s="58">
        <f>IFERROR($X57/$X56-1,"")</f>
        <v/>
      </c>
      <c r="ED56" s="58">
        <f>IFERROR($Y57/$Y56-1,"")</f>
        <v/>
      </c>
      <c r="EE56" s="58">
        <f>IFERROR($Z57/$Z56-1,"")</f>
        <v/>
      </c>
      <c r="EF56" s="58">
        <f>IFERROR($AA57/$AA56-1,"")</f>
        <v/>
      </c>
      <c r="EG56" s="58">
        <f>IFERROR($AB57/$AB56-1,"")</f>
        <v/>
      </c>
      <c r="EH56" s="58">
        <f>IFERROR($AC57/$AC56-1,"")</f>
        <v/>
      </c>
      <c r="EI56" s="58">
        <f>IFERROR($AD57/$AD56-1,"")</f>
        <v/>
      </c>
      <c r="EJ56" s="58">
        <f>IFERROR($AE57/$AE56-1,"")</f>
        <v/>
      </c>
      <c r="EK56" s="58">
        <f>IFERROR($AF57/$AF56-1,"")</f>
        <v/>
      </c>
      <c r="EL56" s="58">
        <f>IFERROR($AG57/$AG56-1,"")</f>
        <v/>
      </c>
      <c r="EM56" s="58">
        <f>IFERROR($BB56/$BB57-1,"")</f>
        <v/>
      </c>
      <c r="EN56" s="58">
        <f>IFERROR($BC56/$BC57-1,"")</f>
        <v/>
      </c>
      <c r="EO56" s="58">
        <f>IFERROR($BD56/$BD57-1,"")</f>
        <v/>
      </c>
      <c r="EP56" s="58">
        <f>IFERROR($BE56/$BE57-1,"")</f>
        <v/>
      </c>
      <c r="EQ56" s="58">
        <f>IFERROR($BF56/$BF57-1,"")</f>
        <v/>
      </c>
      <c r="ER56" s="58">
        <f>IFERROR($BG56/$BG57-1,"")</f>
        <v/>
      </c>
      <c r="ES56" s="58">
        <f>IFERROR($BH56/$BH57-1,"")</f>
        <v/>
      </c>
      <c r="ET56" s="58">
        <f>IFERROR($BI56/$BI57-1,"")</f>
        <v/>
      </c>
      <c r="EU56" s="58">
        <f>IFERROR($BJ56/$BJ57-1,"")</f>
        <v/>
      </c>
      <c r="EV56" s="58">
        <f>IFERROR($BK56/$BK57-1,"")</f>
        <v/>
      </c>
      <c r="EW56" s="58">
        <f>IFERROR($BL56/$BL57-1,"")</f>
        <v/>
      </c>
      <c r="EX56" s="58">
        <f>IFERROR($BM56/$BM57-1,"")</f>
        <v/>
      </c>
      <c r="EY56" s="58">
        <f>IFERROR($BN56/$BN57-1,"")</f>
        <v/>
      </c>
      <c r="EZ56" s="58">
        <f>IFERROR($BO56/$BO57-1,"")</f>
        <v/>
      </c>
      <c r="FA56" s="58">
        <f>IFERROR($BP56/$BP57-1,"")</f>
        <v/>
      </c>
      <c r="FB56" s="58">
        <f>IFERROR($BQ56/$BQ57-1,"")</f>
        <v/>
      </c>
      <c r="FC56" s="58">
        <f>IFERROR($BR56/$BR57-1,"")</f>
        <v/>
      </c>
      <c r="FD56" s="58">
        <f>IFERROR($BS56/$BS57-1,"")</f>
        <v/>
      </c>
      <c r="FE56" s="58">
        <f>IFERROR($BT56/$BT57-1,"")</f>
        <v/>
      </c>
      <c r="FF56" s="58">
        <f>IFERROR($BU56/$BU57-1,"")</f>
        <v/>
      </c>
      <c r="FG56" s="58">
        <f>IFERROR($BV56/$BV57-1,"")</f>
        <v/>
      </c>
      <c r="FH56" s="58">
        <f>IFERROR($BW56/$BW57-1,"")</f>
        <v/>
      </c>
      <c r="FI56" s="58">
        <f>IFERROR($BX56/$BX57-1,"")</f>
        <v/>
      </c>
      <c r="FJ56" s="59">
        <f>$BY56-$BY57</f>
        <v/>
      </c>
      <c r="FK56" s="59">
        <f>$BZ56-$BZ57</f>
        <v/>
      </c>
      <c r="FL56" s="59">
        <f>$CA56-$CA57</f>
        <v/>
      </c>
      <c r="FM56" s="59">
        <f>$CB56-$CB57</f>
        <v/>
      </c>
      <c r="FN56" s="59">
        <f>$CC56-$CC57</f>
        <v/>
      </c>
      <c r="FO56" s="59">
        <f>$CD56-$CD57</f>
        <v/>
      </c>
      <c r="FP56" s="59">
        <f>$CE56-$CE57</f>
        <v/>
      </c>
      <c r="FQ56" s="59">
        <f>$CF56-$CF57</f>
        <v/>
      </c>
      <c r="FR56" s="59">
        <f>$CG56-$CG57</f>
        <v/>
      </c>
      <c r="FS56" s="59">
        <f>$CH56-$CH57</f>
        <v/>
      </c>
      <c r="FT56" s="59">
        <f>$CI56-$CI57</f>
        <v/>
      </c>
      <c r="FU56" s="59">
        <f>$CJ56-$CJ57</f>
        <v/>
      </c>
      <c r="FV56" s="59">
        <f>$CK56-$CK57</f>
        <v/>
      </c>
      <c r="FW56" s="59">
        <f>$CL56-$CL57</f>
        <v/>
      </c>
      <c r="FX56" s="59">
        <f>$CM56-$CM57</f>
        <v/>
      </c>
      <c r="FY56" s="59">
        <f>$CN56-$CN57</f>
        <v/>
      </c>
      <c r="FZ56" s="59">
        <f>$CO56-$CO57</f>
        <v/>
      </c>
      <c r="GA56" s="59">
        <f>$CP56-$CP57</f>
        <v/>
      </c>
      <c r="GB56" s="59">
        <f>$CQ56-$CQ57</f>
        <v/>
      </c>
      <c r="GC56" s="59">
        <f>$CR56-$CR57</f>
        <v/>
      </c>
      <c r="GD56" s="59">
        <f>$CS56-$CS57</f>
        <v/>
      </c>
      <c r="GE56" s="59">
        <f>$CT56-$CT57</f>
        <v/>
      </c>
    </row>
    <row r="57">
      <c r="CU57" s="58">
        <f>IFERROR($B57/$B58-1,"")</f>
        <v/>
      </c>
      <c r="CV57" s="59">
        <f>($F57-$F58)*100</f>
        <v/>
      </c>
      <c r="CW57" s="59">
        <f>($E57-$E58)*100</f>
        <v/>
      </c>
      <c r="CX57" s="58">
        <f>IFERROR($K57/$K58-1,"")</f>
        <v/>
      </c>
      <c r="CY57" s="59">
        <f>($AH57-$AH58)*100</f>
        <v/>
      </c>
      <c r="CZ57" s="59">
        <f>($AI57-$AI58)*100</f>
        <v/>
      </c>
      <c r="DA57" s="59">
        <f>($AJ57-$AJ58)*100</f>
        <v/>
      </c>
      <c r="DB57" s="59">
        <f>($AK57-$AK58)*100</f>
        <v/>
      </c>
      <c r="DC57" s="59">
        <f>($AL57-$AL58)*100</f>
        <v/>
      </c>
      <c r="DD57" s="59">
        <f>($AM57-$AM58)*100</f>
        <v/>
      </c>
      <c r="DE57" s="59">
        <f>($AN57-$AN58)*100</f>
        <v/>
      </c>
      <c r="DF57" s="59">
        <f>($AO57-$AO58)*100</f>
        <v/>
      </c>
      <c r="DG57" s="59">
        <f>($AP57-$AP58)*100</f>
        <v/>
      </c>
      <c r="DH57" s="59">
        <f>($AQ57-$AQ58)*100</f>
        <v/>
      </c>
      <c r="DI57" s="59">
        <f>($AR57-$AR58)*100</f>
        <v/>
      </c>
      <c r="DJ57" s="59">
        <f>($AS57-$AS58)*100</f>
        <v/>
      </c>
      <c r="DK57" s="59">
        <f>($AT57-$AT58)*100</f>
        <v/>
      </c>
      <c r="DL57" s="59">
        <f>($AU57-$AU58)*100</f>
        <v/>
      </c>
      <c r="DM57" s="59">
        <f>($AV57-$AV58)*100</f>
        <v/>
      </c>
      <c r="DN57" s="59">
        <f>($AW57-$AW58)*100</f>
        <v/>
      </c>
      <c r="DO57" s="59">
        <f>($AX57-$AX58)*100</f>
        <v/>
      </c>
      <c r="DP57" s="59">
        <f>($AY57-$AY58)*100</f>
        <v/>
      </c>
      <c r="DQ57" s="59">
        <f>($AZ57-$AZ58)*100</f>
        <v/>
      </c>
      <c r="DR57" s="59">
        <f>($BA57-$BA58)*100</f>
        <v/>
      </c>
      <c r="DS57" s="58">
        <f>IFERROR($N58/$N57-1,"")</f>
        <v/>
      </c>
      <c r="DT57" s="58">
        <f>IFERROR($O58/$O57-1,"")</f>
        <v/>
      </c>
      <c r="DU57" s="58">
        <f>IFERROR($P58/$P57-1,"")</f>
        <v/>
      </c>
      <c r="DV57" s="58">
        <f>IFERROR($Q58/$Q57-1,"")</f>
        <v/>
      </c>
      <c r="DW57" s="58">
        <f>IFERROR($R58/$R57-1,"")</f>
        <v/>
      </c>
      <c r="DX57" s="58">
        <f>IFERROR($S58/$S57-1,"")</f>
        <v/>
      </c>
      <c r="DY57" s="58">
        <f>IFERROR($T58/$T57-1,"")</f>
        <v/>
      </c>
      <c r="DZ57" s="58">
        <f>IFERROR($U58/$U57-1,"")</f>
        <v/>
      </c>
      <c r="EA57" s="58">
        <f>IFERROR($V58/$V57-1,"")</f>
        <v/>
      </c>
      <c r="EB57" s="58">
        <f>IFERROR($W58/$W57-1,"")</f>
        <v/>
      </c>
      <c r="EC57" s="58">
        <f>IFERROR($X58/$X57-1,"")</f>
        <v/>
      </c>
      <c r="ED57" s="58">
        <f>IFERROR($Y58/$Y57-1,"")</f>
        <v/>
      </c>
      <c r="EE57" s="58">
        <f>IFERROR($Z58/$Z57-1,"")</f>
        <v/>
      </c>
      <c r="EF57" s="58">
        <f>IFERROR($AA58/$AA57-1,"")</f>
        <v/>
      </c>
      <c r="EG57" s="58">
        <f>IFERROR($AB58/$AB57-1,"")</f>
        <v/>
      </c>
      <c r="EH57" s="58">
        <f>IFERROR($AC58/$AC57-1,"")</f>
        <v/>
      </c>
      <c r="EI57" s="58">
        <f>IFERROR($AD58/$AD57-1,"")</f>
        <v/>
      </c>
      <c r="EJ57" s="58">
        <f>IFERROR($AE58/$AE57-1,"")</f>
        <v/>
      </c>
      <c r="EK57" s="58">
        <f>IFERROR($AF58/$AF57-1,"")</f>
        <v/>
      </c>
      <c r="EL57" s="58">
        <f>IFERROR($AG58/$AG57-1,"")</f>
        <v/>
      </c>
      <c r="EM57" s="58">
        <f>IFERROR($BB57/$BB58-1,"")</f>
        <v/>
      </c>
      <c r="EN57" s="58">
        <f>IFERROR($BC57/$BC58-1,"")</f>
        <v/>
      </c>
      <c r="EO57" s="58">
        <f>IFERROR($BD57/$BD58-1,"")</f>
        <v/>
      </c>
      <c r="EP57" s="58">
        <f>IFERROR($BE57/$BE58-1,"")</f>
        <v/>
      </c>
      <c r="EQ57" s="58">
        <f>IFERROR($BF57/$BF58-1,"")</f>
        <v/>
      </c>
      <c r="ER57" s="58">
        <f>IFERROR($BG57/$BG58-1,"")</f>
        <v/>
      </c>
      <c r="ES57" s="58">
        <f>IFERROR($BH57/$BH58-1,"")</f>
        <v/>
      </c>
      <c r="ET57" s="58">
        <f>IFERROR($BI57/$BI58-1,"")</f>
        <v/>
      </c>
      <c r="EU57" s="58">
        <f>IFERROR($BJ57/$BJ58-1,"")</f>
        <v/>
      </c>
      <c r="EV57" s="58">
        <f>IFERROR($BK57/$BK58-1,"")</f>
        <v/>
      </c>
      <c r="EW57" s="58">
        <f>IFERROR($BL57/$BL58-1,"")</f>
        <v/>
      </c>
      <c r="EX57" s="58">
        <f>IFERROR($BM57/$BM58-1,"")</f>
        <v/>
      </c>
      <c r="EY57" s="58">
        <f>IFERROR($BN57/$BN58-1,"")</f>
        <v/>
      </c>
      <c r="EZ57" s="58">
        <f>IFERROR($BO57/$BO58-1,"")</f>
        <v/>
      </c>
      <c r="FA57" s="58">
        <f>IFERROR($BP57/$BP58-1,"")</f>
        <v/>
      </c>
      <c r="FB57" s="58">
        <f>IFERROR($BQ57/$BQ58-1,"")</f>
        <v/>
      </c>
      <c r="FC57" s="58">
        <f>IFERROR($BR57/$BR58-1,"")</f>
        <v/>
      </c>
      <c r="FD57" s="58">
        <f>IFERROR($BS57/$BS58-1,"")</f>
        <v/>
      </c>
      <c r="FE57" s="58">
        <f>IFERROR($BT57/$BT58-1,"")</f>
        <v/>
      </c>
      <c r="FF57" s="58">
        <f>IFERROR($BU57/$BU58-1,"")</f>
        <v/>
      </c>
      <c r="FG57" s="58">
        <f>IFERROR($BV57/$BV58-1,"")</f>
        <v/>
      </c>
      <c r="FH57" s="58">
        <f>IFERROR($BW57/$BW58-1,"")</f>
        <v/>
      </c>
      <c r="FI57" s="58">
        <f>IFERROR($BX57/$BX58-1,"")</f>
        <v/>
      </c>
      <c r="FJ57" s="59">
        <f>$BY57-$BY58</f>
        <v/>
      </c>
      <c r="FK57" s="59">
        <f>$BZ57-$BZ58</f>
        <v/>
      </c>
      <c r="FL57" s="59">
        <f>$CA57-$CA58</f>
        <v/>
      </c>
      <c r="FM57" s="59">
        <f>$CB57-$CB58</f>
        <v/>
      </c>
      <c r="FN57" s="59">
        <f>$CC57-$CC58</f>
        <v/>
      </c>
      <c r="FO57" s="59">
        <f>$CD57-$CD58</f>
        <v/>
      </c>
      <c r="FP57" s="59">
        <f>$CE57-$CE58</f>
        <v/>
      </c>
      <c r="FQ57" s="59">
        <f>$CF57-$CF58</f>
        <v/>
      </c>
      <c r="FR57" s="59">
        <f>$CG57-$CG58</f>
        <v/>
      </c>
      <c r="FS57" s="59">
        <f>$CH57-$CH58</f>
        <v/>
      </c>
      <c r="FT57" s="59">
        <f>$CI57-$CI58</f>
        <v/>
      </c>
      <c r="FU57" s="59">
        <f>$CJ57-$CJ58</f>
        <v/>
      </c>
      <c r="FV57" s="59">
        <f>$CK57-$CK58</f>
        <v/>
      </c>
      <c r="FW57" s="59">
        <f>$CL57-$CL58</f>
        <v/>
      </c>
      <c r="FX57" s="59">
        <f>$CM57-$CM58</f>
        <v/>
      </c>
      <c r="FY57" s="59">
        <f>$CN57-$CN58</f>
        <v/>
      </c>
      <c r="FZ57" s="59">
        <f>$CO57-$CO58</f>
        <v/>
      </c>
      <c r="GA57" s="59">
        <f>$CP57-$CP58</f>
        <v/>
      </c>
      <c r="GB57" s="59">
        <f>$CQ57-$CQ58</f>
        <v/>
      </c>
      <c r="GC57" s="59">
        <f>$CR57-$CR58</f>
        <v/>
      </c>
      <c r="GD57" s="59">
        <f>$CS57-$CS58</f>
        <v/>
      </c>
      <c r="GE57" s="59">
        <f>$CT57-$CT58</f>
        <v/>
      </c>
    </row>
    <row r="58">
      <c r="CU58" s="58">
        <f>IFERROR($B58/$B59-1,"")</f>
        <v/>
      </c>
      <c r="CV58" s="59">
        <f>($F58-$F59)*100</f>
        <v/>
      </c>
      <c r="CW58" s="59">
        <f>($E58-$E59)*100</f>
        <v/>
      </c>
      <c r="CX58" s="58">
        <f>IFERROR($K58/$K59-1,"")</f>
        <v/>
      </c>
      <c r="CY58" s="59">
        <f>($AH58-$AH59)*100</f>
        <v/>
      </c>
      <c r="CZ58" s="59">
        <f>($AI58-$AI59)*100</f>
        <v/>
      </c>
      <c r="DA58" s="59">
        <f>($AJ58-$AJ59)*100</f>
        <v/>
      </c>
      <c r="DB58" s="59">
        <f>($AK58-$AK59)*100</f>
        <v/>
      </c>
      <c r="DC58" s="59">
        <f>($AL58-$AL59)*100</f>
        <v/>
      </c>
      <c r="DD58" s="59">
        <f>($AM58-$AM59)*100</f>
        <v/>
      </c>
      <c r="DE58" s="59">
        <f>($AN58-$AN59)*100</f>
        <v/>
      </c>
      <c r="DF58" s="59">
        <f>($AO58-$AO59)*100</f>
        <v/>
      </c>
      <c r="DG58" s="59">
        <f>($AP58-$AP59)*100</f>
        <v/>
      </c>
      <c r="DH58" s="59">
        <f>($AQ58-$AQ59)*100</f>
        <v/>
      </c>
      <c r="DI58" s="59">
        <f>($AR58-$AR59)*100</f>
        <v/>
      </c>
      <c r="DJ58" s="59">
        <f>($AS58-$AS59)*100</f>
        <v/>
      </c>
      <c r="DK58" s="59">
        <f>($AT58-$AT59)*100</f>
        <v/>
      </c>
      <c r="DL58" s="59">
        <f>($AU58-$AU59)*100</f>
        <v/>
      </c>
      <c r="DM58" s="59">
        <f>($AV58-$AV59)*100</f>
        <v/>
      </c>
      <c r="DN58" s="59">
        <f>($AW58-$AW59)*100</f>
        <v/>
      </c>
      <c r="DO58" s="59">
        <f>($AX58-$AX59)*100</f>
        <v/>
      </c>
      <c r="DP58" s="59">
        <f>($AY58-$AY59)*100</f>
        <v/>
      </c>
      <c r="DQ58" s="59">
        <f>($AZ58-$AZ59)*100</f>
        <v/>
      </c>
      <c r="DR58" s="59">
        <f>($BA58-$BA59)*100</f>
        <v/>
      </c>
      <c r="DS58" s="58">
        <f>IFERROR($N59/$N58-1,"")</f>
        <v/>
      </c>
      <c r="DT58" s="58">
        <f>IFERROR($O59/$O58-1,"")</f>
        <v/>
      </c>
      <c r="DU58" s="58">
        <f>IFERROR($P59/$P58-1,"")</f>
        <v/>
      </c>
      <c r="DV58" s="58">
        <f>IFERROR($Q59/$Q58-1,"")</f>
        <v/>
      </c>
      <c r="DW58" s="58">
        <f>IFERROR($R59/$R58-1,"")</f>
        <v/>
      </c>
      <c r="DX58" s="58">
        <f>IFERROR($S59/$S58-1,"")</f>
        <v/>
      </c>
      <c r="DY58" s="58">
        <f>IFERROR($T59/$T58-1,"")</f>
        <v/>
      </c>
      <c r="DZ58" s="58">
        <f>IFERROR($U59/$U58-1,"")</f>
        <v/>
      </c>
      <c r="EA58" s="58">
        <f>IFERROR($V59/$V58-1,"")</f>
        <v/>
      </c>
      <c r="EB58" s="58">
        <f>IFERROR($W59/$W58-1,"")</f>
        <v/>
      </c>
      <c r="EC58" s="58">
        <f>IFERROR($X59/$X58-1,"")</f>
        <v/>
      </c>
      <c r="ED58" s="58">
        <f>IFERROR($Y59/$Y58-1,"")</f>
        <v/>
      </c>
      <c r="EE58" s="58">
        <f>IFERROR($Z59/$Z58-1,"")</f>
        <v/>
      </c>
      <c r="EF58" s="58">
        <f>IFERROR($AA59/$AA58-1,"")</f>
        <v/>
      </c>
      <c r="EG58" s="58">
        <f>IFERROR($AB59/$AB58-1,"")</f>
        <v/>
      </c>
      <c r="EH58" s="58">
        <f>IFERROR($AC59/$AC58-1,"")</f>
        <v/>
      </c>
      <c r="EI58" s="58">
        <f>IFERROR($AD59/$AD58-1,"")</f>
        <v/>
      </c>
      <c r="EJ58" s="58">
        <f>IFERROR($AE59/$AE58-1,"")</f>
        <v/>
      </c>
      <c r="EK58" s="58">
        <f>IFERROR($AF59/$AF58-1,"")</f>
        <v/>
      </c>
      <c r="EL58" s="58">
        <f>IFERROR($AG59/$AG58-1,"")</f>
        <v/>
      </c>
      <c r="EM58" s="58">
        <f>IFERROR($BB58/$BB59-1,"")</f>
        <v/>
      </c>
      <c r="EN58" s="58">
        <f>IFERROR($BC58/$BC59-1,"")</f>
        <v/>
      </c>
      <c r="EO58" s="58">
        <f>IFERROR($BD58/$BD59-1,"")</f>
        <v/>
      </c>
      <c r="EP58" s="58">
        <f>IFERROR($BE58/$BE59-1,"")</f>
        <v/>
      </c>
      <c r="EQ58" s="58">
        <f>IFERROR($BF58/$BF59-1,"")</f>
        <v/>
      </c>
      <c r="ER58" s="58">
        <f>IFERROR($BG58/$BG59-1,"")</f>
        <v/>
      </c>
      <c r="ES58" s="58">
        <f>IFERROR($BH58/$BH59-1,"")</f>
        <v/>
      </c>
      <c r="ET58" s="58">
        <f>IFERROR($BI58/$BI59-1,"")</f>
        <v/>
      </c>
      <c r="EU58" s="58">
        <f>IFERROR($BJ58/$BJ59-1,"")</f>
        <v/>
      </c>
      <c r="EV58" s="58">
        <f>IFERROR($BK58/$BK59-1,"")</f>
        <v/>
      </c>
      <c r="EW58" s="58">
        <f>IFERROR($BL58/$BL59-1,"")</f>
        <v/>
      </c>
      <c r="EX58" s="58">
        <f>IFERROR($BM58/$BM59-1,"")</f>
        <v/>
      </c>
      <c r="EY58" s="58">
        <f>IFERROR($BN58/$BN59-1,"")</f>
        <v/>
      </c>
      <c r="EZ58" s="58">
        <f>IFERROR($BO58/$BO59-1,"")</f>
        <v/>
      </c>
      <c r="FA58" s="58">
        <f>IFERROR($BP58/$BP59-1,"")</f>
        <v/>
      </c>
      <c r="FB58" s="58">
        <f>IFERROR($BQ58/$BQ59-1,"")</f>
        <v/>
      </c>
      <c r="FC58" s="58">
        <f>IFERROR($BR58/$BR59-1,"")</f>
        <v/>
      </c>
      <c r="FD58" s="58">
        <f>IFERROR($BS58/$BS59-1,"")</f>
        <v/>
      </c>
      <c r="FE58" s="58">
        <f>IFERROR($BT58/$BT59-1,"")</f>
        <v/>
      </c>
      <c r="FF58" s="58">
        <f>IFERROR($BU58/$BU59-1,"")</f>
        <v/>
      </c>
      <c r="FG58" s="58">
        <f>IFERROR($BV58/$BV59-1,"")</f>
        <v/>
      </c>
      <c r="FH58" s="58">
        <f>IFERROR($BW58/$BW59-1,"")</f>
        <v/>
      </c>
      <c r="FI58" s="58">
        <f>IFERROR($BX58/$BX59-1,"")</f>
        <v/>
      </c>
      <c r="FJ58" s="59">
        <f>$BY58-$BY59</f>
        <v/>
      </c>
      <c r="FK58" s="59">
        <f>$BZ58-$BZ59</f>
        <v/>
      </c>
      <c r="FL58" s="59">
        <f>$CA58-$CA59</f>
        <v/>
      </c>
      <c r="FM58" s="59">
        <f>$CB58-$CB59</f>
        <v/>
      </c>
      <c r="FN58" s="59">
        <f>$CC58-$CC59</f>
        <v/>
      </c>
      <c r="FO58" s="59">
        <f>$CD58-$CD59</f>
        <v/>
      </c>
      <c r="FP58" s="59">
        <f>$CE58-$CE59</f>
        <v/>
      </c>
      <c r="FQ58" s="59">
        <f>$CF58-$CF59</f>
        <v/>
      </c>
      <c r="FR58" s="59">
        <f>$CG58-$CG59</f>
        <v/>
      </c>
      <c r="FS58" s="59">
        <f>$CH58-$CH59</f>
        <v/>
      </c>
      <c r="FT58" s="59">
        <f>$CI58-$CI59</f>
        <v/>
      </c>
      <c r="FU58" s="59">
        <f>$CJ58-$CJ59</f>
        <v/>
      </c>
      <c r="FV58" s="59">
        <f>$CK58-$CK59</f>
        <v/>
      </c>
      <c r="FW58" s="59">
        <f>$CL58-$CL59</f>
        <v/>
      </c>
      <c r="FX58" s="59">
        <f>$CM58-$CM59</f>
        <v/>
      </c>
      <c r="FY58" s="59">
        <f>$CN58-$CN59</f>
        <v/>
      </c>
      <c r="FZ58" s="59">
        <f>$CO58-$CO59</f>
        <v/>
      </c>
      <c r="GA58" s="59">
        <f>$CP58-$CP59</f>
        <v/>
      </c>
      <c r="GB58" s="59">
        <f>$CQ58-$CQ59</f>
        <v/>
      </c>
      <c r="GC58" s="59">
        <f>$CR58-$CR59</f>
        <v/>
      </c>
      <c r="GD58" s="59">
        <f>$CS58-$CS59</f>
        <v/>
      </c>
      <c r="GE58" s="59">
        <f>$CT58-$CT59</f>
        <v/>
      </c>
    </row>
    <row r="59">
      <c r="CU59" s="58">
        <f>IFERROR($B59/$B60-1,"")</f>
        <v/>
      </c>
      <c r="CV59" s="59">
        <f>($F59-$F60)*100</f>
        <v/>
      </c>
      <c r="CW59" s="59">
        <f>($E59-$E60)*100</f>
        <v/>
      </c>
      <c r="CX59" s="58">
        <f>IFERROR($K59/$K60-1,"")</f>
        <v/>
      </c>
      <c r="CY59" s="59">
        <f>($AH59-$AH60)*100</f>
        <v/>
      </c>
      <c r="CZ59" s="59">
        <f>($AI59-$AI60)*100</f>
        <v/>
      </c>
      <c r="DA59" s="59">
        <f>($AJ59-$AJ60)*100</f>
        <v/>
      </c>
      <c r="DB59" s="59">
        <f>($AK59-$AK60)*100</f>
        <v/>
      </c>
      <c r="DC59" s="59">
        <f>($AL59-$AL60)*100</f>
        <v/>
      </c>
      <c r="DD59" s="59">
        <f>($AM59-$AM60)*100</f>
        <v/>
      </c>
      <c r="DE59" s="59">
        <f>($AN59-$AN60)*100</f>
        <v/>
      </c>
      <c r="DF59" s="59">
        <f>($AO59-$AO60)*100</f>
        <v/>
      </c>
      <c r="DG59" s="59">
        <f>($AP59-$AP60)*100</f>
        <v/>
      </c>
      <c r="DH59" s="59">
        <f>($AQ59-$AQ60)*100</f>
        <v/>
      </c>
      <c r="DI59" s="59">
        <f>($AR59-$AR60)*100</f>
        <v/>
      </c>
      <c r="DJ59" s="59">
        <f>($AS59-$AS60)*100</f>
        <v/>
      </c>
      <c r="DK59" s="59">
        <f>($AT59-$AT60)*100</f>
        <v/>
      </c>
      <c r="DL59" s="59">
        <f>($AU59-$AU60)*100</f>
        <v/>
      </c>
      <c r="DM59" s="59">
        <f>($AV59-$AV60)*100</f>
        <v/>
      </c>
      <c r="DN59" s="59">
        <f>($AW59-$AW60)*100</f>
        <v/>
      </c>
      <c r="DO59" s="59">
        <f>($AX59-$AX60)*100</f>
        <v/>
      </c>
      <c r="DP59" s="59">
        <f>($AY59-$AY60)*100</f>
        <v/>
      </c>
      <c r="DQ59" s="59">
        <f>($AZ59-$AZ60)*100</f>
        <v/>
      </c>
      <c r="DR59" s="59">
        <f>($BA59-$BA60)*100</f>
        <v/>
      </c>
      <c r="DS59" s="58">
        <f>IFERROR($N60/$N59-1,"")</f>
        <v/>
      </c>
      <c r="DT59" s="58">
        <f>IFERROR($O60/$O59-1,"")</f>
        <v/>
      </c>
      <c r="DU59" s="58">
        <f>IFERROR($P60/$P59-1,"")</f>
        <v/>
      </c>
      <c r="DV59" s="58">
        <f>IFERROR($Q60/$Q59-1,"")</f>
        <v/>
      </c>
      <c r="DW59" s="58">
        <f>IFERROR($R60/$R59-1,"")</f>
        <v/>
      </c>
      <c r="DX59" s="58">
        <f>IFERROR($S60/$S59-1,"")</f>
        <v/>
      </c>
      <c r="DY59" s="58">
        <f>IFERROR($T60/$T59-1,"")</f>
        <v/>
      </c>
      <c r="DZ59" s="58">
        <f>IFERROR($U60/$U59-1,"")</f>
        <v/>
      </c>
      <c r="EA59" s="58">
        <f>IFERROR($V60/$V59-1,"")</f>
        <v/>
      </c>
      <c r="EB59" s="58">
        <f>IFERROR($W60/$W59-1,"")</f>
        <v/>
      </c>
      <c r="EC59" s="58">
        <f>IFERROR($X60/$X59-1,"")</f>
        <v/>
      </c>
      <c r="ED59" s="58">
        <f>IFERROR($Y60/$Y59-1,"")</f>
        <v/>
      </c>
      <c r="EE59" s="58">
        <f>IFERROR($Z60/$Z59-1,"")</f>
        <v/>
      </c>
      <c r="EF59" s="58">
        <f>IFERROR($AA60/$AA59-1,"")</f>
        <v/>
      </c>
      <c r="EG59" s="58">
        <f>IFERROR($AB60/$AB59-1,"")</f>
        <v/>
      </c>
      <c r="EH59" s="58">
        <f>IFERROR($AC60/$AC59-1,"")</f>
        <v/>
      </c>
      <c r="EI59" s="58">
        <f>IFERROR($AD60/$AD59-1,"")</f>
        <v/>
      </c>
      <c r="EJ59" s="58">
        <f>IFERROR($AE60/$AE59-1,"")</f>
        <v/>
      </c>
      <c r="EK59" s="58">
        <f>IFERROR($AF60/$AF59-1,"")</f>
        <v/>
      </c>
      <c r="EL59" s="58">
        <f>IFERROR($AG60/$AG59-1,"")</f>
        <v/>
      </c>
      <c r="EM59" s="58">
        <f>IFERROR($BB59/$BB60-1,"")</f>
        <v/>
      </c>
      <c r="EN59" s="58">
        <f>IFERROR($BC59/$BC60-1,"")</f>
        <v/>
      </c>
      <c r="EO59" s="58">
        <f>IFERROR($BD59/$BD60-1,"")</f>
        <v/>
      </c>
      <c r="EP59" s="58">
        <f>IFERROR($BE59/$BE60-1,"")</f>
        <v/>
      </c>
      <c r="EQ59" s="58">
        <f>IFERROR($BF59/$BF60-1,"")</f>
        <v/>
      </c>
      <c r="ER59" s="58">
        <f>IFERROR($BG59/$BG60-1,"")</f>
        <v/>
      </c>
      <c r="ES59" s="58">
        <f>IFERROR($BH59/$BH60-1,"")</f>
        <v/>
      </c>
      <c r="ET59" s="58">
        <f>IFERROR($BI59/$BI60-1,"")</f>
        <v/>
      </c>
      <c r="EU59" s="58">
        <f>IFERROR($BJ59/$BJ60-1,"")</f>
        <v/>
      </c>
      <c r="EV59" s="58">
        <f>IFERROR($BK59/$BK60-1,"")</f>
        <v/>
      </c>
      <c r="EW59" s="58">
        <f>IFERROR($BL59/$BL60-1,"")</f>
        <v/>
      </c>
      <c r="EX59" s="58">
        <f>IFERROR($BM59/$BM60-1,"")</f>
        <v/>
      </c>
      <c r="EY59" s="58">
        <f>IFERROR($BN59/$BN60-1,"")</f>
        <v/>
      </c>
      <c r="EZ59" s="58">
        <f>IFERROR($BO59/$BO60-1,"")</f>
        <v/>
      </c>
      <c r="FA59" s="58">
        <f>IFERROR($BP59/$BP60-1,"")</f>
        <v/>
      </c>
      <c r="FB59" s="58">
        <f>IFERROR($BQ59/$BQ60-1,"")</f>
        <v/>
      </c>
      <c r="FC59" s="58">
        <f>IFERROR($BR59/$BR60-1,"")</f>
        <v/>
      </c>
      <c r="FD59" s="58">
        <f>IFERROR($BS59/$BS60-1,"")</f>
        <v/>
      </c>
      <c r="FE59" s="58">
        <f>IFERROR($BT59/$BT60-1,"")</f>
        <v/>
      </c>
      <c r="FF59" s="58">
        <f>IFERROR($BU59/$BU60-1,"")</f>
        <v/>
      </c>
      <c r="FG59" s="58">
        <f>IFERROR($BV59/$BV60-1,"")</f>
        <v/>
      </c>
      <c r="FH59" s="58">
        <f>IFERROR($BW59/$BW60-1,"")</f>
        <v/>
      </c>
      <c r="FI59" s="58">
        <f>IFERROR($BX59/$BX60-1,"")</f>
        <v/>
      </c>
      <c r="FJ59" s="59">
        <f>$BY59-$BY60</f>
        <v/>
      </c>
      <c r="FK59" s="59">
        <f>$BZ59-$BZ60</f>
        <v/>
      </c>
      <c r="FL59" s="59">
        <f>$CA59-$CA60</f>
        <v/>
      </c>
      <c r="FM59" s="59">
        <f>$CB59-$CB60</f>
        <v/>
      </c>
      <c r="FN59" s="59">
        <f>$CC59-$CC60</f>
        <v/>
      </c>
      <c r="FO59" s="59">
        <f>$CD59-$CD60</f>
        <v/>
      </c>
      <c r="FP59" s="59">
        <f>$CE59-$CE60</f>
        <v/>
      </c>
      <c r="FQ59" s="59">
        <f>$CF59-$CF60</f>
        <v/>
      </c>
      <c r="FR59" s="59">
        <f>$CG59-$CG60</f>
        <v/>
      </c>
      <c r="FS59" s="59">
        <f>$CH59-$CH60</f>
        <v/>
      </c>
      <c r="FT59" s="59">
        <f>$CI59-$CI60</f>
        <v/>
      </c>
      <c r="FU59" s="59">
        <f>$CJ59-$CJ60</f>
        <v/>
      </c>
      <c r="FV59" s="59">
        <f>$CK59-$CK60</f>
        <v/>
      </c>
      <c r="FW59" s="59">
        <f>$CL59-$CL60</f>
        <v/>
      </c>
      <c r="FX59" s="59">
        <f>$CM59-$CM60</f>
        <v/>
      </c>
      <c r="FY59" s="59">
        <f>$CN59-$CN60</f>
        <v/>
      </c>
      <c r="FZ59" s="59">
        <f>$CO59-$CO60</f>
        <v/>
      </c>
      <c r="GA59" s="59">
        <f>$CP59-$CP60</f>
        <v/>
      </c>
      <c r="GB59" s="59">
        <f>$CQ59-$CQ60</f>
        <v/>
      </c>
      <c r="GC59" s="59">
        <f>$CR59-$CR60</f>
        <v/>
      </c>
      <c r="GD59" s="59">
        <f>$CS59-$CS60</f>
        <v/>
      </c>
      <c r="GE59" s="59">
        <f>$CT59-$CT60</f>
        <v/>
      </c>
    </row>
    <row r="60">
      <c r="CU60" s="58">
        <f>IFERROR($B60/$B61-1,"")</f>
        <v/>
      </c>
      <c r="CV60" s="59">
        <f>($F60-$F61)*100</f>
        <v/>
      </c>
      <c r="CW60" s="59">
        <f>($E60-$E61)*100</f>
        <v/>
      </c>
      <c r="CX60" s="58">
        <f>IFERROR($K60/$K61-1,"")</f>
        <v/>
      </c>
      <c r="CY60" s="59">
        <f>($AH60-$AH61)*100</f>
        <v/>
      </c>
      <c r="CZ60" s="59">
        <f>($AI60-$AI61)*100</f>
        <v/>
      </c>
      <c r="DA60" s="59">
        <f>($AJ60-$AJ61)*100</f>
        <v/>
      </c>
      <c r="DB60" s="59">
        <f>($AK60-$AK61)*100</f>
        <v/>
      </c>
      <c r="DC60" s="59">
        <f>($AL60-$AL61)*100</f>
        <v/>
      </c>
      <c r="DD60" s="59">
        <f>($AM60-$AM61)*100</f>
        <v/>
      </c>
      <c r="DE60" s="59">
        <f>($AN60-$AN61)*100</f>
        <v/>
      </c>
      <c r="DF60" s="59">
        <f>($AO60-$AO61)*100</f>
        <v/>
      </c>
      <c r="DG60" s="59">
        <f>($AP60-$AP61)*100</f>
        <v/>
      </c>
      <c r="DH60" s="59">
        <f>($AQ60-$AQ61)*100</f>
        <v/>
      </c>
      <c r="DI60" s="59">
        <f>($AR60-$AR61)*100</f>
        <v/>
      </c>
      <c r="DJ60" s="59">
        <f>($AS60-$AS61)*100</f>
        <v/>
      </c>
      <c r="DK60" s="59">
        <f>($AT60-$AT61)*100</f>
        <v/>
      </c>
      <c r="DL60" s="59">
        <f>($AU60-$AU61)*100</f>
        <v/>
      </c>
      <c r="DM60" s="59">
        <f>($AV60-$AV61)*100</f>
        <v/>
      </c>
      <c r="DN60" s="59">
        <f>($AW60-$AW61)*100</f>
        <v/>
      </c>
      <c r="DO60" s="59">
        <f>($AX60-$AX61)*100</f>
        <v/>
      </c>
      <c r="DP60" s="59">
        <f>($AY60-$AY61)*100</f>
        <v/>
      </c>
      <c r="DQ60" s="59">
        <f>($AZ60-$AZ61)*100</f>
        <v/>
      </c>
      <c r="DR60" s="59">
        <f>($BA60-$BA61)*100</f>
        <v/>
      </c>
      <c r="DS60" s="58">
        <f>IFERROR($N61/$N60-1,"")</f>
        <v/>
      </c>
      <c r="DT60" s="58">
        <f>IFERROR($O61/$O60-1,"")</f>
        <v/>
      </c>
      <c r="DU60" s="58">
        <f>IFERROR($P61/$P60-1,"")</f>
        <v/>
      </c>
      <c r="DV60" s="58">
        <f>IFERROR($Q61/$Q60-1,"")</f>
        <v/>
      </c>
      <c r="DW60" s="58">
        <f>IFERROR($R61/$R60-1,"")</f>
        <v/>
      </c>
      <c r="DX60" s="58">
        <f>IFERROR($S61/$S60-1,"")</f>
        <v/>
      </c>
      <c r="DY60" s="58">
        <f>IFERROR($T61/$T60-1,"")</f>
        <v/>
      </c>
      <c r="DZ60" s="58">
        <f>IFERROR($U61/$U60-1,"")</f>
        <v/>
      </c>
      <c r="EA60" s="58">
        <f>IFERROR($V61/$V60-1,"")</f>
        <v/>
      </c>
      <c r="EB60" s="58">
        <f>IFERROR($W61/$W60-1,"")</f>
        <v/>
      </c>
      <c r="EC60" s="58">
        <f>IFERROR($X61/$X60-1,"")</f>
        <v/>
      </c>
      <c r="ED60" s="58">
        <f>IFERROR($Y61/$Y60-1,"")</f>
        <v/>
      </c>
      <c r="EE60" s="58">
        <f>IFERROR($Z61/$Z60-1,"")</f>
        <v/>
      </c>
      <c r="EF60" s="58">
        <f>IFERROR($AA61/$AA60-1,"")</f>
        <v/>
      </c>
      <c r="EG60" s="58">
        <f>IFERROR($AB61/$AB60-1,"")</f>
        <v/>
      </c>
      <c r="EH60" s="58">
        <f>IFERROR($AC61/$AC60-1,"")</f>
        <v/>
      </c>
      <c r="EI60" s="58">
        <f>IFERROR($AD61/$AD60-1,"")</f>
        <v/>
      </c>
      <c r="EJ60" s="58">
        <f>IFERROR($AE61/$AE60-1,"")</f>
        <v/>
      </c>
      <c r="EK60" s="58">
        <f>IFERROR($AF61/$AF60-1,"")</f>
        <v/>
      </c>
      <c r="EL60" s="58">
        <f>IFERROR($AG61/$AG60-1,"")</f>
        <v/>
      </c>
      <c r="EM60" s="58">
        <f>IFERROR($BB60/$BB61-1,"")</f>
        <v/>
      </c>
      <c r="EN60" s="58">
        <f>IFERROR($BC60/$BC61-1,"")</f>
        <v/>
      </c>
      <c r="EO60" s="58">
        <f>IFERROR($BD60/$BD61-1,"")</f>
        <v/>
      </c>
      <c r="EP60" s="58">
        <f>IFERROR($BE60/$BE61-1,"")</f>
        <v/>
      </c>
      <c r="EQ60" s="58">
        <f>IFERROR($BF60/$BF61-1,"")</f>
        <v/>
      </c>
      <c r="ER60" s="58">
        <f>IFERROR($BG60/$BG61-1,"")</f>
        <v/>
      </c>
      <c r="ES60" s="58">
        <f>IFERROR($BH60/$BH61-1,"")</f>
        <v/>
      </c>
      <c r="ET60" s="58">
        <f>IFERROR($BI60/$BI61-1,"")</f>
        <v/>
      </c>
      <c r="EU60" s="58">
        <f>IFERROR($BJ60/$BJ61-1,"")</f>
        <v/>
      </c>
      <c r="EV60" s="58">
        <f>IFERROR($BK60/$BK61-1,"")</f>
        <v/>
      </c>
      <c r="EW60" s="58">
        <f>IFERROR($BL60/$BL61-1,"")</f>
        <v/>
      </c>
      <c r="EX60" s="58">
        <f>IFERROR($BM60/$BM61-1,"")</f>
        <v/>
      </c>
      <c r="EY60" s="58">
        <f>IFERROR($BN60/$BN61-1,"")</f>
        <v/>
      </c>
      <c r="EZ60" s="58">
        <f>IFERROR($BO60/$BO61-1,"")</f>
        <v/>
      </c>
      <c r="FA60" s="58">
        <f>IFERROR($BP60/$BP61-1,"")</f>
        <v/>
      </c>
      <c r="FB60" s="58">
        <f>IFERROR($BQ60/$BQ61-1,"")</f>
        <v/>
      </c>
      <c r="FC60" s="58">
        <f>IFERROR($BR60/$BR61-1,"")</f>
        <v/>
      </c>
      <c r="FD60" s="58">
        <f>IFERROR($BS60/$BS61-1,"")</f>
        <v/>
      </c>
      <c r="FE60" s="58">
        <f>IFERROR($BT60/$BT61-1,"")</f>
        <v/>
      </c>
      <c r="FF60" s="58">
        <f>IFERROR($BU60/$BU61-1,"")</f>
        <v/>
      </c>
      <c r="FG60" s="58">
        <f>IFERROR($BV60/$BV61-1,"")</f>
        <v/>
      </c>
      <c r="FH60" s="58">
        <f>IFERROR($BW60/$BW61-1,"")</f>
        <v/>
      </c>
      <c r="FI60" s="58">
        <f>IFERROR($BX60/$BX61-1,"")</f>
        <v/>
      </c>
      <c r="FJ60" s="59">
        <f>$BY60-$BY61</f>
        <v/>
      </c>
      <c r="FK60" s="59">
        <f>$BZ60-$BZ61</f>
        <v/>
      </c>
      <c r="FL60" s="59">
        <f>$CA60-$CA61</f>
        <v/>
      </c>
      <c r="FM60" s="59">
        <f>$CB60-$CB61</f>
        <v/>
      </c>
      <c r="FN60" s="59">
        <f>$CC60-$CC61</f>
        <v/>
      </c>
      <c r="FO60" s="59">
        <f>$CD60-$CD61</f>
        <v/>
      </c>
      <c r="FP60" s="59">
        <f>$CE60-$CE61</f>
        <v/>
      </c>
      <c r="FQ60" s="59">
        <f>$CF60-$CF61</f>
        <v/>
      </c>
      <c r="FR60" s="59">
        <f>$CG60-$CG61</f>
        <v/>
      </c>
      <c r="FS60" s="59">
        <f>$CH60-$CH61</f>
        <v/>
      </c>
      <c r="FT60" s="59">
        <f>$CI60-$CI61</f>
        <v/>
      </c>
      <c r="FU60" s="59">
        <f>$CJ60-$CJ61</f>
        <v/>
      </c>
      <c r="FV60" s="59">
        <f>$CK60-$CK61</f>
        <v/>
      </c>
      <c r="FW60" s="59">
        <f>$CL60-$CL61</f>
        <v/>
      </c>
      <c r="FX60" s="59">
        <f>$CM60-$CM61</f>
        <v/>
      </c>
      <c r="FY60" s="59">
        <f>$CN60-$CN61</f>
        <v/>
      </c>
      <c r="FZ60" s="59">
        <f>$CO60-$CO61</f>
        <v/>
      </c>
      <c r="GA60" s="59">
        <f>$CP60-$CP61</f>
        <v/>
      </c>
      <c r="GB60" s="59">
        <f>$CQ60-$CQ61</f>
        <v/>
      </c>
      <c r="GC60" s="59">
        <f>$CR60-$CR61</f>
        <v/>
      </c>
      <c r="GD60" s="59">
        <f>$CS60-$CS61</f>
        <v/>
      </c>
      <c r="GE60" s="59">
        <f>$CT60-$CT61</f>
        <v/>
      </c>
    </row>
    <row r="61">
      <c r="CU61" s="58">
        <f>IFERROR($B61/$B62-1,"")</f>
        <v/>
      </c>
      <c r="CV61" s="59">
        <f>($F61-$F62)*100</f>
        <v/>
      </c>
      <c r="CW61" s="59">
        <f>($E61-$E62)*100</f>
        <v/>
      </c>
      <c r="CX61" s="58">
        <f>IFERROR($K61/$K62-1,"")</f>
        <v/>
      </c>
      <c r="CY61" s="59">
        <f>($AH61-$AH62)*100</f>
        <v/>
      </c>
      <c r="CZ61" s="59">
        <f>($AI61-$AI62)*100</f>
        <v/>
      </c>
      <c r="DA61" s="59">
        <f>($AJ61-$AJ62)*100</f>
        <v/>
      </c>
      <c r="DB61" s="59">
        <f>($AK61-$AK62)*100</f>
        <v/>
      </c>
      <c r="DC61" s="59">
        <f>($AL61-$AL62)*100</f>
        <v/>
      </c>
      <c r="DD61" s="59">
        <f>($AM61-$AM62)*100</f>
        <v/>
      </c>
      <c r="DE61" s="59">
        <f>($AN61-$AN62)*100</f>
        <v/>
      </c>
      <c r="DF61" s="59">
        <f>($AO61-$AO62)*100</f>
        <v/>
      </c>
      <c r="DG61" s="59">
        <f>($AP61-$AP62)*100</f>
        <v/>
      </c>
      <c r="DH61" s="59">
        <f>($AQ61-$AQ62)*100</f>
        <v/>
      </c>
      <c r="DI61" s="59">
        <f>($AR61-$AR62)*100</f>
        <v/>
      </c>
      <c r="DJ61" s="59">
        <f>($AS61-$AS62)*100</f>
        <v/>
      </c>
      <c r="DK61" s="59">
        <f>($AT61-$AT62)*100</f>
        <v/>
      </c>
      <c r="DL61" s="59">
        <f>($AU61-$AU62)*100</f>
        <v/>
      </c>
      <c r="DM61" s="59">
        <f>($AV61-$AV62)*100</f>
        <v/>
      </c>
      <c r="DN61" s="59">
        <f>($AW61-$AW62)*100</f>
        <v/>
      </c>
      <c r="DO61" s="59">
        <f>($AX61-$AX62)*100</f>
        <v/>
      </c>
      <c r="DP61" s="59">
        <f>($AY61-$AY62)*100</f>
        <v/>
      </c>
      <c r="DQ61" s="59">
        <f>($AZ61-$AZ62)*100</f>
        <v/>
      </c>
      <c r="DR61" s="59">
        <f>($BA61-$BA62)*100</f>
        <v/>
      </c>
      <c r="DS61" s="58">
        <f>IFERROR($N62/$N61-1,"")</f>
        <v/>
      </c>
      <c r="DT61" s="58">
        <f>IFERROR($O62/$O61-1,"")</f>
        <v/>
      </c>
      <c r="DU61" s="58">
        <f>IFERROR($P62/$P61-1,"")</f>
        <v/>
      </c>
      <c r="DV61" s="58">
        <f>IFERROR($Q62/$Q61-1,"")</f>
        <v/>
      </c>
      <c r="DW61" s="58">
        <f>IFERROR($R62/$R61-1,"")</f>
        <v/>
      </c>
      <c r="DX61" s="58">
        <f>IFERROR($S62/$S61-1,"")</f>
        <v/>
      </c>
      <c r="DY61" s="58">
        <f>IFERROR($T62/$T61-1,"")</f>
        <v/>
      </c>
      <c r="DZ61" s="58">
        <f>IFERROR($U62/$U61-1,"")</f>
        <v/>
      </c>
      <c r="EA61" s="58">
        <f>IFERROR($V62/$V61-1,"")</f>
        <v/>
      </c>
      <c r="EB61" s="58">
        <f>IFERROR($W62/$W61-1,"")</f>
        <v/>
      </c>
      <c r="EC61" s="58">
        <f>IFERROR($X62/$X61-1,"")</f>
        <v/>
      </c>
      <c r="ED61" s="58">
        <f>IFERROR($Y62/$Y61-1,"")</f>
        <v/>
      </c>
      <c r="EE61" s="58">
        <f>IFERROR($Z62/$Z61-1,"")</f>
        <v/>
      </c>
      <c r="EF61" s="58">
        <f>IFERROR($AA62/$AA61-1,"")</f>
        <v/>
      </c>
      <c r="EG61" s="58">
        <f>IFERROR($AB62/$AB61-1,"")</f>
        <v/>
      </c>
      <c r="EH61" s="58">
        <f>IFERROR($AC62/$AC61-1,"")</f>
        <v/>
      </c>
      <c r="EI61" s="58">
        <f>IFERROR($AD62/$AD61-1,"")</f>
        <v/>
      </c>
      <c r="EJ61" s="58">
        <f>IFERROR($AE62/$AE61-1,"")</f>
        <v/>
      </c>
      <c r="EK61" s="58">
        <f>IFERROR($AF62/$AF61-1,"")</f>
        <v/>
      </c>
      <c r="EL61" s="58">
        <f>IFERROR($AG62/$AG61-1,"")</f>
        <v/>
      </c>
      <c r="EM61" s="58">
        <f>IFERROR($BB61/$BB62-1,"")</f>
        <v/>
      </c>
      <c r="EN61" s="58">
        <f>IFERROR($BC61/$BC62-1,"")</f>
        <v/>
      </c>
      <c r="EO61" s="58">
        <f>IFERROR($BD61/$BD62-1,"")</f>
        <v/>
      </c>
      <c r="EP61" s="58">
        <f>IFERROR($BE61/$BE62-1,"")</f>
        <v/>
      </c>
      <c r="EQ61" s="58">
        <f>IFERROR($BF61/$BF62-1,"")</f>
        <v/>
      </c>
      <c r="ER61" s="58">
        <f>IFERROR($BG61/$BG62-1,"")</f>
        <v/>
      </c>
      <c r="ES61" s="58">
        <f>IFERROR($BH61/$BH62-1,"")</f>
        <v/>
      </c>
      <c r="ET61" s="58">
        <f>IFERROR($BI61/$BI62-1,"")</f>
        <v/>
      </c>
      <c r="EU61" s="58">
        <f>IFERROR($BJ61/$BJ62-1,"")</f>
        <v/>
      </c>
      <c r="EV61" s="58">
        <f>IFERROR($BK61/$BK62-1,"")</f>
        <v/>
      </c>
      <c r="EW61" s="58">
        <f>IFERROR($BL61/$BL62-1,"")</f>
        <v/>
      </c>
      <c r="EX61" s="58">
        <f>IFERROR($BM61/$BM62-1,"")</f>
        <v/>
      </c>
      <c r="EY61" s="58">
        <f>IFERROR($BN61/$BN62-1,"")</f>
        <v/>
      </c>
      <c r="EZ61" s="58">
        <f>IFERROR($BO61/$BO62-1,"")</f>
        <v/>
      </c>
      <c r="FA61" s="58">
        <f>IFERROR($BP61/$BP62-1,"")</f>
        <v/>
      </c>
      <c r="FB61" s="58">
        <f>IFERROR($BQ61/$BQ62-1,"")</f>
        <v/>
      </c>
      <c r="FC61" s="58">
        <f>IFERROR($BR61/$BR62-1,"")</f>
        <v/>
      </c>
      <c r="FD61" s="58">
        <f>IFERROR($BS61/$BS62-1,"")</f>
        <v/>
      </c>
      <c r="FE61" s="58">
        <f>IFERROR($BT61/$BT62-1,"")</f>
        <v/>
      </c>
      <c r="FF61" s="58">
        <f>IFERROR($BU61/$BU62-1,"")</f>
        <v/>
      </c>
      <c r="FG61" s="58">
        <f>IFERROR($BV61/$BV62-1,"")</f>
        <v/>
      </c>
      <c r="FH61" s="58">
        <f>IFERROR($BW61/$BW62-1,"")</f>
        <v/>
      </c>
      <c r="FI61" s="58">
        <f>IFERROR($BX61/$BX62-1,"")</f>
        <v/>
      </c>
      <c r="FJ61" s="59">
        <f>$BY61-$BY62</f>
        <v/>
      </c>
      <c r="FK61" s="59">
        <f>$BZ61-$BZ62</f>
        <v/>
      </c>
      <c r="FL61" s="59">
        <f>$CA61-$CA62</f>
        <v/>
      </c>
      <c r="FM61" s="59">
        <f>$CB61-$CB62</f>
        <v/>
      </c>
      <c r="FN61" s="59">
        <f>$CC61-$CC62</f>
        <v/>
      </c>
      <c r="FO61" s="59">
        <f>$CD61-$CD62</f>
        <v/>
      </c>
      <c r="FP61" s="59">
        <f>$CE61-$CE62</f>
        <v/>
      </c>
      <c r="FQ61" s="59">
        <f>$CF61-$CF62</f>
        <v/>
      </c>
      <c r="FR61" s="59">
        <f>$CG61-$CG62</f>
        <v/>
      </c>
      <c r="FS61" s="59">
        <f>$CH61-$CH62</f>
        <v/>
      </c>
      <c r="FT61" s="59">
        <f>$CI61-$CI62</f>
        <v/>
      </c>
      <c r="FU61" s="59">
        <f>$CJ61-$CJ62</f>
        <v/>
      </c>
      <c r="FV61" s="59">
        <f>$CK61-$CK62</f>
        <v/>
      </c>
      <c r="FW61" s="59">
        <f>$CL61-$CL62</f>
        <v/>
      </c>
      <c r="FX61" s="59">
        <f>$CM61-$CM62</f>
        <v/>
      </c>
      <c r="FY61" s="59">
        <f>$CN61-$CN62</f>
        <v/>
      </c>
      <c r="FZ61" s="59">
        <f>$CO61-$CO62</f>
        <v/>
      </c>
      <c r="GA61" s="59">
        <f>$CP61-$CP62</f>
        <v/>
      </c>
      <c r="GB61" s="59">
        <f>$CQ61-$CQ62</f>
        <v/>
      </c>
      <c r="GC61" s="59">
        <f>$CR61-$CR62</f>
        <v/>
      </c>
      <c r="GD61" s="59">
        <f>$CS61-$CS62</f>
        <v/>
      </c>
      <c r="GE61" s="59">
        <f>$CT61-$CT62</f>
        <v/>
      </c>
    </row>
    <row r="62">
      <c r="CU62" s="58">
        <f>IFERROR($B62/$B63-1,"")</f>
        <v/>
      </c>
      <c r="CV62" s="59">
        <f>($F62-$F63)*100</f>
        <v/>
      </c>
      <c r="CW62" s="59">
        <f>($E62-$E63)*100</f>
        <v/>
      </c>
      <c r="CX62" s="58">
        <f>IFERROR($K62/$K63-1,"")</f>
        <v/>
      </c>
      <c r="CY62" s="59">
        <f>($AH62-$AH63)*100</f>
        <v/>
      </c>
      <c r="CZ62" s="59">
        <f>($AI62-$AI63)*100</f>
        <v/>
      </c>
      <c r="DA62" s="59">
        <f>($AJ62-$AJ63)*100</f>
        <v/>
      </c>
      <c r="DB62" s="59">
        <f>($AK62-$AK63)*100</f>
        <v/>
      </c>
      <c r="DC62" s="59">
        <f>($AL62-$AL63)*100</f>
        <v/>
      </c>
      <c r="DD62" s="59">
        <f>($AM62-$AM63)*100</f>
        <v/>
      </c>
      <c r="DE62" s="59">
        <f>($AN62-$AN63)*100</f>
        <v/>
      </c>
      <c r="DF62" s="59">
        <f>($AO62-$AO63)*100</f>
        <v/>
      </c>
      <c r="DG62" s="59">
        <f>($AP62-$AP63)*100</f>
        <v/>
      </c>
      <c r="DH62" s="59">
        <f>($AQ62-$AQ63)*100</f>
        <v/>
      </c>
      <c r="DI62" s="59">
        <f>($AR62-$AR63)*100</f>
        <v/>
      </c>
      <c r="DJ62" s="59">
        <f>($AS62-$AS63)*100</f>
        <v/>
      </c>
      <c r="DK62" s="59">
        <f>($AT62-$AT63)*100</f>
        <v/>
      </c>
      <c r="DL62" s="59">
        <f>($AU62-$AU63)*100</f>
        <v/>
      </c>
      <c r="DM62" s="59">
        <f>($AV62-$AV63)*100</f>
        <v/>
      </c>
      <c r="DN62" s="59">
        <f>($AW62-$AW63)*100</f>
        <v/>
      </c>
      <c r="DO62" s="59">
        <f>($AX62-$AX63)*100</f>
        <v/>
      </c>
      <c r="DP62" s="59">
        <f>($AY62-$AY63)*100</f>
        <v/>
      </c>
      <c r="DQ62" s="59">
        <f>($AZ62-$AZ63)*100</f>
        <v/>
      </c>
      <c r="DR62" s="59">
        <f>($BA62-$BA63)*100</f>
        <v/>
      </c>
      <c r="DS62" s="58">
        <f>IFERROR($N63/$N62-1,"")</f>
        <v/>
      </c>
      <c r="DT62" s="58">
        <f>IFERROR($O63/$O62-1,"")</f>
        <v/>
      </c>
      <c r="DU62" s="58">
        <f>IFERROR($P63/$P62-1,"")</f>
        <v/>
      </c>
      <c r="DV62" s="58">
        <f>IFERROR($Q63/$Q62-1,"")</f>
        <v/>
      </c>
      <c r="DW62" s="58">
        <f>IFERROR($R63/$R62-1,"")</f>
        <v/>
      </c>
      <c r="DX62" s="58">
        <f>IFERROR($S63/$S62-1,"")</f>
        <v/>
      </c>
      <c r="DY62" s="58">
        <f>IFERROR($T63/$T62-1,"")</f>
        <v/>
      </c>
      <c r="DZ62" s="58">
        <f>IFERROR($U63/$U62-1,"")</f>
        <v/>
      </c>
      <c r="EA62" s="58">
        <f>IFERROR($V63/$V62-1,"")</f>
        <v/>
      </c>
      <c r="EB62" s="58">
        <f>IFERROR($W63/$W62-1,"")</f>
        <v/>
      </c>
      <c r="EC62" s="58">
        <f>IFERROR($X63/$X62-1,"")</f>
        <v/>
      </c>
      <c r="ED62" s="58">
        <f>IFERROR($Y63/$Y62-1,"")</f>
        <v/>
      </c>
      <c r="EE62" s="58">
        <f>IFERROR($Z63/$Z62-1,"")</f>
        <v/>
      </c>
      <c r="EF62" s="58">
        <f>IFERROR($AA63/$AA62-1,"")</f>
        <v/>
      </c>
      <c r="EG62" s="58">
        <f>IFERROR($AB63/$AB62-1,"")</f>
        <v/>
      </c>
      <c r="EH62" s="58">
        <f>IFERROR($AC63/$AC62-1,"")</f>
        <v/>
      </c>
      <c r="EI62" s="58">
        <f>IFERROR($AD63/$AD62-1,"")</f>
        <v/>
      </c>
      <c r="EJ62" s="58">
        <f>IFERROR($AE63/$AE62-1,"")</f>
        <v/>
      </c>
      <c r="EK62" s="58">
        <f>IFERROR($AF63/$AF62-1,"")</f>
        <v/>
      </c>
      <c r="EL62" s="58">
        <f>IFERROR($AG63/$AG62-1,"")</f>
        <v/>
      </c>
      <c r="EM62" s="58">
        <f>IFERROR($BB62/$BB63-1,"")</f>
        <v/>
      </c>
      <c r="EN62" s="58">
        <f>IFERROR($BC62/$BC63-1,"")</f>
        <v/>
      </c>
      <c r="EO62" s="58">
        <f>IFERROR($BD62/$BD63-1,"")</f>
        <v/>
      </c>
      <c r="EP62" s="58">
        <f>IFERROR($BE62/$BE63-1,"")</f>
        <v/>
      </c>
      <c r="EQ62" s="58">
        <f>IFERROR($BF62/$BF63-1,"")</f>
        <v/>
      </c>
      <c r="ER62" s="58">
        <f>IFERROR($BG62/$BG63-1,"")</f>
        <v/>
      </c>
      <c r="ES62" s="58">
        <f>IFERROR($BH62/$BH63-1,"")</f>
        <v/>
      </c>
      <c r="ET62" s="58">
        <f>IFERROR($BI62/$BI63-1,"")</f>
        <v/>
      </c>
      <c r="EU62" s="58">
        <f>IFERROR($BJ62/$BJ63-1,"")</f>
        <v/>
      </c>
      <c r="EV62" s="58">
        <f>IFERROR($BK62/$BK63-1,"")</f>
        <v/>
      </c>
      <c r="EW62" s="58">
        <f>IFERROR($BL62/$BL63-1,"")</f>
        <v/>
      </c>
      <c r="EX62" s="58">
        <f>IFERROR($BM62/$BM63-1,"")</f>
        <v/>
      </c>
      <c r="EY62" s="58">
        <f>IFERROR($BN62/$BN63-1,"")</f>
        <v/>
      </c>
      <c r="EZ62" s="58">
        <f>IFERROR($BO62/$BO63-1,"")</f>
        <v/>
      </c>
      <c r="FA62" s="58">
        <f>IFERROR($BP62/$BP63-1,"")</f>
        <v/>
      </c>
      <c r="FB62" s="58">
        <f>IFERROR($BQ62/$BQ63-1,"")</f>
        <v/>
      </c>
      <c r="FC62" s="58">
        <f>IFERROR($BR62/$BR63-1,"")</f>
        <v/>
      </c>
      <c r="FD62" s="58">
        <f>IFERROR($BS62/$BS63-1,"")</f>
        <v/>
      </c>
      <c r="FE62" s="58">
        <f>IFERROR($BT62/$BT63-1,"")</f>
        <v/>
      </c>
      <c r="FF62" s="58">
        <f>IFERROR($BU62/$BU63-1,"")</f>
        <v/>
      </c>
      <c r="FG62" s="58">
        <f>IFERROR($BV62/$BV63-1,"")</f>
        <v/>
      </c>
      <c r="FH62" s="58">
        <f>IFERROR($BW62/$BW63-1,"")</f>
        <v/>
      </c>
      <c r="FI62" s="58">
        <f>IFERROR($BX62/$BX63-1,"")</f>
        <v/>
      </c>
      <c r="FJ62" s="59">
        <f>$BY62-$BY63</f>
        <v/>
      </c>
      <c r="FK62" s="59">
        <f>$BZ62-$BZ63</f>
        <v/>
      </c>
      <c r="FL62" s="59">
        <f>$CA62-$CA63</f>
        <v/>
      </c>
      <c r="FM62" s="59">
        <f>$CB62-$CB63</f>
        <v/>
      </c>
      <c r="FN62" s="59">
        <f>$CC62-$CC63</f>
        <v/>
      </c>
      <c r="FO62" s="59">
        <f>$CD62-$CD63</f>
        <v/>
      </c>
      <c r="FP62" s="59">
        <f>$CE62-$CE63</f>
        <v/>
      </c>
      <c r="FQ62" s="59">
        <f>$CF62-$CF63</f>
        <v/>
      </c>
      <c r="FR62" s="59">
        <f>$CG62-$CG63</f>
        <v/>
      </c>
      <c r="FS62" s="59">
        <f>$CH62-$CH63</f>
        <v/>
      </c>
      <c r="FT62" s="59">
        <f>$CI62-$CI63</f>
        <v/>
      </c>
      <c r="FU62" s="59">
        <f>$CJ62-$CJ63</f>
        <v/>
      </c>
      <c r="FV62" s="59">
        <f>$CK62-$CK63</f>
        <v/>
      </c>
      <c r="FW62" s="59">
        <f>$CL62-$CL63</f>
        <v/>
      </c>
      <c r="FX62" s="59">
        <f>$CM62-$CM63</f>
        <v/>
      </c>
      <c r="FY62" s="59">
        <f>$CN62-$CN63</f>
        <v/>
      </c>
      <c r="FZ62" s="59">
        <f>$CO62-$CO63</f>
        <v/>
      </c>
      <c r="GA62" s="59">
        <f>$CP62-$CP63</f>
        <v/>
      </c>
      <c r="GB62" s="59">
        <f>$CQ62-$CQ63</f>
        <v/>
      </c>
      <c r="GC62" s="59">
        <f>$CR62-$CR63</f>
        <v/>
      </c>
      <c r="GD62" s="59">
        <f>$CS62-$CS63</f>
        <v/>
      </c>
      <c r="GE62" s="59">
        <f>$CT62-$CT63</f>
        <v/>
      </c>
    </row>
    <row r="63">
      <c r="CU63" s="58">
        <f>IFERROR($B63/$B64-1,"")</f>
        <v/>
      </c>
      <c r="CV63" s="59">
        <f>($F63-$F64)*100</f>
        <v/>
      </c>
      <c r="CW63" s="59">
        <f>($E63-$E64)*100</f>
        <v/>
      </c>
      <c r="CX63" s="58">
        <f>IFERROR($K63/$K64-1,"")</f>
        <v/>
      </c>
      <c r="CY63" s="59">
        <f>($AH63-$AH64)*100</f>
        <v/>
      </c>
      <c r="CZ63" s="59">
        <f>($AI63-$AI64)*100</f>
        <v/>
      </c>
      <c r="DA63" s="59">
        <f>($AJ63-$AJ64)*100</f>
        <v/>
      </c>
      <c r="DB63" s="59">
        <f>($AK63-$AK64)*100</f>
        <v/>
      </c>
      <c r="DC63" s="59">
        <f>($AL63-$AL64)*100</f>
        <v/>
      </c>
      <c r="DD63" s="59">
        <f>($AM63-$AM64)*100</f>
        <v/>
      </c>
      <c r="DE63" s="59">
        <f>($AN63-$AN64)*100</f>
        <v/>
      </c>
      <c r="DF63" s="59">
        <f>($AO63-$AO64)*100</f>
        <v/>
      </c>
      <c r="DG63" s="59">
        <f>($AP63-$AP64)*100</f>
        <v/>
      </c>
      <c r="DH63" s="59">
        <f>($AQ63-$AQ64)*100</f>
        <v/>
      </c>
      <c r="DI63" s="59">
        <f>($AR63-$AR64)*100</f>
        <v/>
      </c>
      <c r="DJ63" s="59">
        <f>($AS63-$AS64)*100</f>
        <v/>
      </c>
      <c r="DK63" s="59">
        <f>($AT63-$AT64)*100</f>
        <v/>
      </c>
      <c r="DL63" s="59">
        <f>($AU63-$AU64)*100</f>
        <v/>
      </c>
      <c r="DM63" s="59">
        <f>($AV63-$AV64)*100</f>
        <v/>
      </c>
      <c r="DN63" s="59">
        <f>($AW63-$AW64)*100</f>
        <v/>
      </c>
      <c r="DO63" s="59">
        <f>($AX63-$AX64)*100</f>
        <v/>
      </c>
      <c r="DP63" s="59">
        <f>($AY63-$AY64)*100</f>
        <v/>
      </c>
      <c r="DQ63" s="59">
        <f>($AZ63-$AZ64)*100</f>
        <v/>
      </c>
      <c r="DR63" s="59">
        <f>($BA63-$BA64)*100</f>
        <v/>
      </c>
      <c r="DS63" s="58">
        <f>IFERROR($N64/$N63-1,"")</f>
        <v/>
      </c>
      <c r="DT63" s="58">
        <f>IFERROR($O64/$O63-1,"")</f>
        <v/>
      </c>
      <c r="DU63" s="58">
        <f>IFERROR($P64/$P63-1,"")</f>
        <v/>
      </c>
      <c r="DV63" s="58">
        <f>IFERROR($Q64/$Q63-1,"")</f>
        <v/>
      </c>
      <c r="DW63" s="58">
        <f>IFERROR($R64/$R63-1,"")</f>
        <v/>
      </c>
      <c r="DX63" s="58">
        <f>IFERROR($S64/$S63-1,"")</f>
        <v/>
      </c>
      <c r="DY63" s="58">
        <f>IFERROR($T64/$T63-1,"")</f>
        <v/>
      </c>
      <c r="DZ63" s="58">
        <f>IFERROR($U64/$U63-1,"")</f>
        <v/>
      </c>
      <c r="EA63" s="58">
        <f>IFERROR($V64/$V63-1,"")</f>
        <v/>
      </c>
      <c r="EB63" s="58">
        <f>IFERROR($W64/$W63-1,"")</f>
        <v/>
      </c>
      <c r="EC63" s="58">
        <f>IFERROR($X64/$X63-1,"")</f>
        <v/>
      </c>
      <c r="ED63" s="58">
        <f>IFERROR($Y64/$Y63-1,"")</f>
        <v/>
      </c>
      <c r="EE63" s="58">
        <f>IFERROR($Z64/$Z63-1,"")</f>
        <v/>
      </c>
      <c r="EF63" s="58">
        <f>IFERROR($AA64/$AA63-1,"")</f>
        <v/>
      </c>
      <c r="EG63" s="58">
        <f>IFERROR($AB64/$AB63-1,"")</f>
        <v/>
      </c>
      <c r="EH63" s="58">
        <f>IFERROR($AC64/$AC63-1,"")</f>
        <v/>
      </c>
      <c r="EI63" s="58">
        <f>IFERROR($AD64/$AD63-1,"")</f>
        <v/>
      </c>
      <c r="EJ63" s="58">
        <f>IFERROR($AE64/$AE63-1,"")</f>
        <v/>
      </c>
      <c r="EK63" s="58">
        <f>IFERROR($AF64/$AF63-1,"")</f>
        <v/>
      </c>
      <c r="EL63" s="58">
        <f>IFERROR($AG64/$AG63-1,"")</f>
        <v/>
      </c>
      <c r="EM63" s="58">
        <f>IFERROR($BB63/$BB64-1,"")</f>
        <v/>
      </c>
      <c r="EN63" s="58">
        <f>IFERROR($BC63/$BC64-1,"")</f>
        <v/>
      </c>
      <c r="EO63" s="58">
        <f>IFERROR($BD63/$BD64-1,"")</f>
        <v/>
      </c>
      <c r="EP63" s="58">
        <f>IFERROR($BE63/$BE64-1,"")</f>
        <v/>
      </c>
      <c r="EQ63" s="58">
        <f>IFERROR($BF63/$BF64-1,"")</f>
        <v/>
      </c>
      <c r="ER63" s="58">
        <f>IFERROR($BG63/$BG64-1,"")</f>
        <v/>
      </c>
      <c r="ES63" s="58">
        <f>IFERROR($BH63/$BH64-1,"")</f>
        <v/>
      </c>
      <c r="ET63" s="58">
        <f>IFERROR($BI63/$BI64-1,"")</f>
        <v/>
      </c>
      <c r="EU63" s="58">
        <f>IFERROR($BJ63/$BJ64-1,"")</f>
        <v/>
      </c>
      <c r="EV63" s="58">
        <f>IFERROR($BK63/$BK64-1,"")</f>
        <v/>
      </c>
      <c r="EW63" s="58">
        <f>IFERROR($BL63/$BL64-1,"")</f>
        <v/>
      </c>
      <c r="EX63" s="58">
        <f>IFERROR($BM63/$BM64-1,"")</f>
        <v/>
      </c>
      <c r="EY63" s="58">
        <f>IFERROR($BN63/$BN64-1,"")</f>
        <v/>
      </c>
      <c r="EZ63" s="58">
        <f>IFERROR($BO63/$BO64-1,"")</f>
        <v/>
      </c>
      <c r="FA63" s="58">
        <f>IFERROR($BP63/$BP64-1,"")</f>
        <v/>
      </c>
      <c r="FB63" s="58">
        <f>IFERROR($BQ63/$BQ64-1,"")</f>
        <v/>
      </c>
      <c r="FC63" s="58">
        <f>IFERROR($BR63/$BR64-1,"")</f>
        <v/>
      </c>
      <c r="FD63" s="58">
        <f>IFERROR($BS63/$BS64-1,"")</f>
        <v/>
      </c>
      <c r="FE63" s="58">
        <f>IFERROR($BT63/$BT64-1,"")</f>
        <v/>
      </c>
      <c r="FF63" s="58">
        <f>IFERROR($BU63/$BU64-1,"")</f>
        <v/>
      </c>
      <c r="FG63" s="58">
        <f>IFERROR($BV63/$BV64-1,"")</f>
        <v/>
      </c>
      <c r="FH63" s="58">
        <f>IFERROR($BW63/$BW64-1,"")</f>
        <v/>
      </c>
      <c r="FI63" s="58">
        <f>IFERROR($BX63/$BX64-1,"")</f>
        <v/>
      </c>
      <c r="FJ63" s="59">
        <f>$BY63-$BY64</f>
        <v/>
      </c>
      <c r="FK63" s="59">
        <f>$BZ63-$BZ64</f>
        <v/>
      </c>
      <c r="FL63" s="59">
        <f>$CA63-$CA64</f>
        <v/>
      </c>
      <c r="FM63" s="59">
        <f>$CB63-$CB64</f>
        <v/>
      </c>
      <c r="FN63" s="59">
        <f>$CC63-$CC64</f>
        <v/>
      </c>
      <c r="FO63" s="59">
        <f>$CD63-$CD64</f>
        <v/>
      </c>
      <c r="FP63" s="59">
        <f>$CE63-$CE64</f>
        <v/>
      </c>
      <c r="FQ63" s="59">
        <f>$CF63-$CF64</f>
        <v/>
      </c>
      <c r="FR63" s="59">
        <f>$CG63-$CG64</f>
        <v/>
      </c>
      <c r="FS63" s="59">
        <f>$CH63-$CH64</f>
        <v/>
      </c>
      <c r="FT63" s="59">
        <f>$CI63-$CI64</f>
        <v/>
      </c>
      <c r="FU63" s="59">
        <f>$CJ63-$CJ64</f>
        <v/>
      </c>
      <c r="FV63" s="59">
        <f>$CK63-$CK64</f>
        <v/>
      </c>
      <c r="FW63" s="59">
        <f>$CL63-$CL64</f>
        <v/>
      </c>
      <c r="FX63" s="59">
        <f>$CM63-$CM64</f>
        <v/>
      </c>
      <c r="FY63" s="59">
        <f>$CN63-$CN64</f>
        <v/>
      </c>
      <c r="FZ63" s="59">
        <f>$CO63-$CO64</f>
        <v/>
      </c>
      <c r="GA63" s="59">
        <f>$CP63-$CP64</f>
        <v/>
      </c>
      <c r="GB63" s="59">
        <f>$CQ63-$CQ64</f>
        <v/>
      </c>
      <c r="GC63" s="59">
        <f>$CR63-$CR64</f>
        <v/>
      </c>
      <c r="GD63" s="59">
        <f>$CS63-$CS64</f>
        <v/>
      </c>
      <c r="GE63" s="59">
        <f>$CT63-$CT64</f>
        <v/>
      </c>
    </row>
    <row r="64">
      <c r="CU64" s="58">
        <f>IFERROR($B64/$B65-1,"")</f>
        <v/>
      </c>
      <c r="CV64" s="59">
        <f>($F64-$F65)*100</f>
        <v/>
      </c>
      <c r="CW64" s="59">
        <f>($E64-$E65)*100</f>
        <v/>
      </c>
      <c r="CX64" s="58">
        <f>IFERROR($K64/$K65-1,"")</f>
        <v/>
      </c>
      <c r="CY64" s="59">
        <f>($AH64-$AH65)*100</f>
        <v/>
      </c>
      <c r="CZ64" s="59">
        <f>($AI64-$AI65)*100</f>
        <v/>
      </c>
      <c r="DA64" s="59">
        <f>($AJ64-$AJ65)*100</f>
        <v/>
      </c>
      <c r="DB64" s="59">
        <f>($AK64-$AK65)*100</f>
        <v/>
      </c>
      <c r="DC64" s="59">
        <f>($AL64-$AL65)*100</f>
        <v/>
      </c>
      <c r="DD64" s="59">
        <f>($AM64-$AM65)*100</f>
        <v/>
      </c>
      <c r="DE64" s="59">
        <f>($AN64-$AN65)*100</f>
        <v/>
      </c>
      <c r="DF64" s="59">
        <f>($AO64-$AO65)*100</f>
        <v/>
      </c>
      <c r="DG64" s="59">
        <f>($AP64-$AP65)*100</f>
        <v/>
      </c>
      <c r="DH64" s="59">
        <f>($AQ64-$AQ65)*100</f>
        <v/>
      </c>
      <c r="DI64" s="59">
        <f>($AR64-$AR65)*100</f>
        <v/>
      </c>
      <c r="DJ64" s="59">
        <f>($AS64-$AS65)*100</f>
        <v/>
      </c>
      <c r="DK64" s="59">
        <f>($AT64-$AT65)*100</f>
        <v/>
      </c>
      <c r="DL64" s="59">
        <f>($AU64-$AU65)*100</f>
        <v/>
      </c>
      <c r="DM64" s="59">
        <f>($AV64-$AV65)*100</f>
        <v/>
      </c>
      <c r="DN64" s="59">
        <f>($AW64-$AW65)*100</f>
        <v/>
      </c>
      <c r="DO64" s="59">
        <f>($AX64-$AX65)*100</f>
        <v/>
      </c>
      <c r="DP64" s="59">
        <f>($AY64-$AY65)*100</f>
        <v/>
      </c>
      <c r="DQ64" s="59">
        <f>($AZ64-$AZ65)*100</f>
        <v/>
      </c>
      <c r="DR64" s="59">
        <f>($BA64-$BA65)*100</f>
        <v/>
      </c>
      <c r="DS64" s="58">
        <f>IFERROR($N65/$N64-1,"")</f>
        <v/>
      </c>
      <c r="DT64" s="58">
        <f>IFERROR($O65/$O64-1,"")</f>
        <v/>
      </c>
      <c r="DU64" s="58">
        <f>IFERROR($P65/$P64-1,"")</f>
        <v/>
      </c>
      <c r="DV64" s="58">
        <f>IFERROR($Q65/$Q64-1,"")</f>
        <v/>
      </c>
      <c r="DW64" s="58">
        <f>IFERROR($R65/$R64-1,"")</f>
        <v/>
      </c>
      <c r="DX64" s="58">
        <f>IFERROR($S65/$S64-1,"")</f>
        <v/>
      </c>
      <c r="DY64" s="58">
        <f>IFERROR($T65/$T64-1,"")</f>
        <v/>
      </c>
      <c r="DZ64" s="58">
        <f>IFERROR($U65/$U64-1,"")</f>
        <v/>
      </c>
      <c r="EA64" s="58">
        <f>IFERROR($V65/$V64-1,"")</f>
        <v/>
      </c>
      <c r="EB64" s="58">
        <f>IFERROR($W65/$W64-1,"")</f>
        <v/>
      </c>
      <c r="EC64" s="58">
        <f>IFERROR($X65/$X64-1,"")</f>
        <v/>
      </c>
      <c r="ED64" s="58">
        <f>IFERROR($Y65/$Y64-1,"")</f>
        <v/>
      </c>
      <c r="EE64" s="58">
        <f>IFERROR($Z65/$Z64-1,"")</f>
        <v/>
      </c>
      <c r="EF64" s="58">
        <f>IFERROR($AA65/$AA64-1,"")</f>
        <v/>
      </c>
      <c r="EG64" s="58">
        <f>IFERROR($AB65/$AB64-1,"")</f>
        <v/>
      </c>
      <c r="EH64" s="58">
        <f>IFERROR($AC65/$AC64-1,"")</f>
        <v/>
      </c>
      <c r="EI64" s="58">
        <f>IFERROR($AD65/$AD64-1,"")</f>
        <v/>
      </c>
      <c r="EJ64" s="58">
        <f>IFERROR($AE65/$AE64-1,"")</f>
        <v/>
      </c>
      <c r="EK64" s="58">
        <f>IFERROR($AF65/$AF64-1,"")</f>
        <v/>
      </c>
      <c r="EL64" s="58">
        <f>IFERROR($AG65/$AG64-1,"")</f>
        <v/>
      </c>
      <c r="EM64" s="58">
        <f>IFERROR($BB64/$BB65-1,"")</f>
        <v/>
      </c>
      <c r="EN64" s="58">
        <f>IFERROR($BC64/$BC65-1,"")</f>
        <v/>
      </c>
      <c r="EO64" s="58">
        <f>IFERROR($BD64/$BD65-1,"")</f>
        <v/>
      </c>
      <c r="EP64" s="58">
        <f>IFERROR($BE64/$BE65-1,"")</f>
        <v/>
      </c>
      <c r="EQ64" s="58">
        <f>IFERROR($BF64/$BF65-1,"")</f>
        <v/>
      </c>
      <c r="ER64" s="58">
        <f>IFERROR($BG64/$BG65-1,"")</f>
        <v/>
      </c>
      <c r="ES64" s="58">
        <f>IFERROR($BH64/$BH65-1,"")</f>
        <v/>
      </c>
      <c r="ET64" s="58">
        <f>IFERROR($BI64/$BI65-1,"")</f>
        <v/>
      </c>
      <c r="EU64" s="58">
        <f>IFERROR($BJ64/$BJ65-1,"")</f>
        <v/>
      </c>
      <c r="EV64" s="58">
        <f>IFERROR($BK64/$BK65-1,"")</f>
        <v/>
      </c>
      <c r="EW64" s="58">
        <f>IFERROR($BL64/$BL65-1,"")</f>
        <v/>
      </c>
      <c r="EX64" s="58">
        <f>IFERROR($BM64/$BM65-1,"")</f>
        <v/>
      </c>
      <c r="EY64" s="58">
        <f>IFERROR($BN64/$BN65-1,"")</f>
        <v/>
      </c>
      <c r="EZ64" s="58">
        <f>IFERROR($BO64/$BO65-1,"")</f>
        <v/>
      </c>
      <c r="FA64" s="58">
        <f>IFERROR($BP64/$BP65-1,"")</f>
        <v/>
      </c>
      <c r="FB64" s="58">
        <f>IFERROR($BQ64/$BQ65-1,"")</f>
        <v/>
      </c>
      <c r="FC64" s="58">
        <f>IFERROR($BR64/$BR65-1,"")</f>
        <v/>
      </c>
      <c r="FD64" s="58">
        <f>IFERROR($BS64/$BS65-1,"")</f>
        <v/>
      </c>
      <c r="FE64" s="58">
        <f>IFERROR($BT64/$BT65-1,"")</f>
        <v/>
      </c>
      <c r="FF64" s="58">
        <f>IFERROR($BU64/$BU65-1,"")</f>
        <v/>
      </c>
      <c r="FG64" s="58">
        <f>IFERROR($BV64/$BV65-1,"")</f>
        <v/>
      </c>
      <c r="FH64" s="58">
        <f>IFERROR($BW64/$BW65-1,"")</f>
        <v/>
      </c>
      <c r="FI64" s="58">
        <f>IFERROR($BX64/$BX65-1,"")</f>
        <v/>
      </c>
      <c r="FJ64" s="59">
        <f>$BY64-$BY65</f>
        <v/>
      </c>
      <c r="FK64" s="59">
        <f>$BZ64-$BZ65</f>
        <v/>
      </c>
      <c r="FL64" s="59">
        <f>$CA64-$CA65</f>
        <v/>
      </c>
      <c r="FM64" s="59">
        <f>$CB64-$CB65</f>
        <v/>
      </c>
      <c r="FN64" s="59">
        <f>$CC64-$CC65</f>
        <v/>
      </c>
      <c r="FO64" s="59">
        <f>$CD64-$CD65</f>
        <v/>
      </c>
      <c r="FP64" s="59">
        <f>$CE64-$CE65</f>
        <v/>
      </c>
      <c r="FQ64" s="59">
        <f>$CF64-$CF65</f>
        <v/>
      </c>
      <c r="FR64" s="59">
        <f>$CG64-$CG65</f>
        <v/>
      </c>
      <c r="FS64" s="59">
        <f>$CH64-$CH65</f>
        <v/>
      </c>
      <c r="FT64" s="59">
        <f>$CI64-$CI65</f>
        <v/>
      </c>
      <c r="FU64" s="59">
        <f>$CJ64-$CJ65</f>
        <v/>
      </c>
      <c r="FV64" s="59">
        <f>$CK64-$CK65</f>
        <v/>
      </c>
      <c r="FW64" s="59">
        <f>$CL64-$CL65</f>
        <v/>
      </c>
      <c r="FX64" s="59">
        <f>$CM64-$CM65</f>
        <v/>
      </c>
      <c r="FY64" s="59">
        <f>$CN64-$CN65</f>
        <v/>
      </c>
      <c r="FZ64" s="59">
        <f>$CO64-$CO65</f>
        <v/>
      </c>
      <c r="GA64" s="59">
        <f>$CP64-$CP65</f>
        <v/>
      </c>
      <c r="GB64" s="59">
        <f>$CQ64-$CQ65</f>
        <v/>
      </c>
      <c r="GC64" s="59">
        <f>$CR64-$CR65</f>
        <v/>
      </c>
      <c r="GD64" s="59">
        <f>$CS64-$CS65</f>
        <v/>
      </c>
      <c r="GE64" s="59">
        <f>$CT64-$CT65</f>
        <v/>
      </c>
    </row>
    <row r="65">
      <c r="CU65" s="58">
        <f>IFERROR($B65/$B66-1,"")</f>
        <v/>
      </c>
      <c r="CV65" s="59">
        <f>($F65-$F66)*100</f>
        <v/>
      </c>
      <c r="CW65" s="59">
        <f>($E65-$E66)*100</f>
        <v/>
      </c>
      <c r="CX65" s="58">
        <f>IFERROR($K65/$K66-1,"")</f>
        <v/>
      </c>
      <c r="CY65" s="59">
        <f>($AH65-$AH66)*100</f>
        <v/>
      </c>
      <c r="CZ65" s="59">
        <f>($AI65-$AI66)*100</f>
        <v/>
      </c>
      <c r="DA65" s="59">
        <f>($AJ65-$AJ66)*100</f>
        <v/>
      </c>
      <c r="DB65" s="59">
        <f>($AK65-$AK66)*100</f>
        <v/>
      </c>
      <c r="DC65" s="59">
        <f>($AL65-$AL66)*100</f>
        <v/>
      </c>
      <c r="DD65" s="59">
        <f>($AM65-$AM66)*100</f>
        <v/>
      </c>
      <c r="DE65" s="59">
        <f>($AN65-$AN66)*100</f>
        <v/>
      </c>
      <c r="DF65" s="59">
        <f>($AO65-$AO66)*100</f>
        <v/>
      </c>
      <c r="DG65" s="59">
        <f>($AP65-$AP66)*100</f>
        <v/>
      </c>
      <c r="DH65" s="59">
        <f>($AQ65-$AQ66)*100</f>
        <v/>
      </c>
      <c r="DI65" s="59">
        <f>($AR65-$AR66)*100</f>
        <v/>
      </c>
      <c r="DJ65" s="59">
        <f>($AS65-$AS66)*100</f>
        <v/>
      </c>
      <c r="DK65" s="59">
        <f>($AT65-$AT66)*100</f>
        <v/>
      </c>
      <c r="DL65" s="59">
        <f>($AU65-$AU66)*100</f>
        <v/>
      </c>
      <c r="DM65" s="59">
        <f>($AV65-$AV66)*100</f>
        <v/>
      </c>
      <c r="DN65" s="59">
        <f>($AW65-$AW66)*100</f>
        <v/>
      </c>
      <c r="DO65" s="59">
        <f>($AX65-$AX66)*100</f>
        <v/>
      </c>
      <c r="DP65" s="59">
        <f>($AY65-$AY66)*100</f>
        <v/>
      </c>
      <c r="DQ65" s="59">
        <f>($AZ65-$AZ66)*100</f>
        <v/>
      </c>
      <c r="DR65" s="59">
        <f>($BA65-$BA66)*100</f>
        <v/>
      </c>
      <c r="DS65" s="58">
        <f>IFERROR($N66/$N65-1,"")</f>
        <v/>
      </c>
      <c r="DT65" s="58">
        <f>IFERROR($O66/$O65-1,"")</f>
        <v/>
      </c>
      <c r="DU65" s="58">
        <f>IFERROR($P66/$P65-1,"")</f>
        <v/>
      </c>
      <c r="DV65" s="58">
        <f>IFERROR($Q66/$Q65-1,"")</f>
        <v/>
      </c>
      <c r="DW65" s="58">
        <f>IFERROR($R66/$R65-1,"")</f>
        <v/>
      </c>
      <c r="DX65" s="58">
        <f>IFERROR($S66/$S65-1,"")</f>
        <v/>
      </c>
      <c r="DY65" s="58">
        <f>IFERROR($T66/$T65-1,"")</f>
        <v/>
      </c>
      <c r="DZ65" s="58">
        <f>IFERROR($U66/$U65-1,"")</f>
        <v/>
      </c>
      <c r="EA65" s="58">
        <f>IFERROR($V66/$V65-1,"")</f>
        <v/>
      </c>
      <c r="EB65" s="58">
        <f>IFERROR($W66/$W65-1,"")</f>
        <v/>
      </c>
      <c r="EC65" s="58">
        <f>IFERROR($X66/$X65-1,"")</f>
        <v/>
      </c>
      <c r="ED65" s="58">
        <f>IFERROR($Y66/$Y65-1,"")</f>
        <v/>
      </c>
      <c r="EE65" s="58">
        <f>IFERROR($Z66/$Z65-1,"")</f>
        <v/>
      </c>
      <c r="EF65" s="58">
        <f>IFERROR($AA66/$AA65-1,"")</f>
        <v/>
      </c>
      <c r="EG65" s="58">
        <f>IFERROR($AB66/$AB65-1,"")</f>
        <v/>
      </c>
      <c r="EH65" s="58">
        <f>IFERROR($AC66/$AC65-1,"")</f>
        <v/>
      </c>
      <c r="EI65" s="58">
        <f>IFERROR($AD66/$AD65-1,"")</f>
        <v/>
      </c>
      <c r="EJ65" s="58">
        <f>IFERROR($AE66/$AE65-1,"")</f>
        <v/>
      </c>
      <c r="EK65" s="58">
        <f>IFERROR($AF66/$AF65-1,"")</f>
        <v/>
      </c>
      <c r="EL65" s="58">
        <f>IFERROR($AG66/$AG65-1,"")</f>
        <v/>
      </c>
      <c r="EM65" s="58">
        <f>IFERROR($BB65/$BB66-1,"")</f>
        <v/>
      </c>
      <c r="EN65" s="58">
        <f>IFERROR($BC65/$BC66-1,"")</f>
        <v/>
      </c>
      <c r="EO65" s="58">
        <f>IFERROR($BD65/$BD66-1,"")</f>
        <v/>
      </c>
      <c r="EP65" s="58">
        <f>IFERROR($BE65/$BE66-1,"")</f>
        <v/>
      </c>
      <c r="EQ65" s="58">
        <f>IFERROR($BF65/$BF66-1,"")</f>
        <v/>
      </c>
      <c r="ER65" s="58">
        <f>IFERROR($BG65/$BG66-1,"")</f>
        <v/>
      </c>
      <c r="ES65" s="58">
        <f>IFERROR($BH65/$BH66-1,"")</f>
        <v/>
      </c>
      <c r="ET65" s="58">
        <f>IFERROR($BI65/$BI66-1,"")</f>
        <v/>
      </c>
      <c r="EU65" s="58">
        <f>IFERROR($BJ65/$BJ66-1,"")</f>
        <v/>
      </c>
      <c r="EV65" s="58">
        <f>IFERROR($BK65/$BK66-1,"")</f>
        <v/>
      </c>
      <c r="EW65" s="58">
        <f>IFERROR($BL65/$BL66-1,"")</f>
        <v/>
      </c>
      <c r="EX65" s="58">
        <f>IFERROR($BM65/$BM66-1,"")</f>
        <v/>
      </c>
      <c r="EY65" s="58">
        <f>IFERROR($BN65/$BN66-1,"")</f>
        <v/>
      </c>
      <c r="EZ65" s="58">
        <f>IFERROR($BO65/$BO66-1,"")</f>
        <v/>
      </c>
      <c r="FA65" s="58">
        <f>IFERROR($BP65/$BP66-1,"")</f>
        <v/>
      </c>
      <c r="FB65" s="58">
        <f>IFERROR($BQ65/$BQ66-1,"")</f>
        <v/>
      </c>
      <c r="FC65" s="58">
        <f>IFERROR($BR65/$BR66-1,"")</f>
        <v/>
      </c>
      <c r="FD65" s="58">
        <f>IFERROR($BS65/$BS66-1,"")</f>
        <v/>
      </c>
      <c r="FE65" s="58">
        <f>IFERROR($BT65/$BT66-1,"")</f>
        <v/>
      </c>
      <c r="FF65" s="58">
        <f>IFERROR($BU65/$BU66-1,"")</f>
        <v/>
      </c>
      <c r="FG65" s="58">
        <f>IFERROR($BV65/$BV66-1,"")</f>
        <v/>
      </c>
      <c r="FH65" s="58">
        <f>IFERROR($BW65/$BW66-1,"")</f>
        <v/>
      </c>
      <c r="FI65" s="58">
        <f>IFERROR($BX65/$BX66-1,"")</f>
        <v/>
      </c>
      <c r="FJ65" s="59">
        <f>$BY65-$BY66</f>
        <v/>
      </c>
      <c r="FK65" s="59">
        <f>$BZ65-$BZ66</f>
        <v/>
      </c>
      <c r="FL65" s="59">
        <f>$CA65-$CA66</f>
        <v/>
      </c>
      <c r="FM65" s="59">
        <f>$CB65-$CB66</f>
        <v/>
      </c>
      <c r="FN65" s="59">
        <f>$CC65-$CC66</f>
        <v/>
      </c>
      <c r="FO65" s="59">
        <f>$CD65-$CD66</f>
        <v/>
      </c>
      <c r="FP65" s="59">
        <f>$CE65-$CE66</f>
        <v/>
      </c>
      <c r="FQ65" s="59">
        <f>$CF65-$CF66</f>
        <v/>
      </c>
      <c r="FR65" s="59">
        <f>$CG65-$CG66</f>
        <v/>
      </c>
      <c r="FS65" s="59">
        <f>$CH65-$CH66</f>
        <v/>
      </c>
      <c r="FT65" s="59">
        <f>$CI65-$CI66</f>
        <v/>
      </c>
      <c r="FU65" s="59">
        <f>$CJ65-$CJ66</f>
        <v/>
      </c>
      <c r="FV65" s="59">
        <f>$CK65-$CK66</f>
        <v/>
      </c>
      <c r="FW65" s="59">
        <f>$CL65-$CL66</f>
        <v/>
      </c>
      <c r="FX65" s="59">
        <f>$CM65-$CM66</f>
        <v/>
      </c>
      <c r="FY65" s="59">
        <f>$CN65-$CN66</f>
        <v/>
      </c>
      <c r="FZ65" s="59">
        <f>$CO65-$CO66</f>
        <v/>
      </c>
      <c r="GA65" s="59">
        <f>$CP65-$CP66</f>
        <v/>
      </c>
      <c r="GB65" s="59">
        <f>$CQ65-$CQ66</f>
        <v/>
      </c>
      <c r="GC65" s="59">
        <f>$CR65-$CR66</f>
        <v/>
      </c>
      <c r="GD65" s="59">
        <f>$CS65-$CS66</f>
        <v/>
      </c>
      <c r="GE65" s="59">
        <f>$CT65-$CT66</f>
        <v/>
      </c>
    </row>
    <row r="66">
      <c r="CU66" s="58">
        <f>IFERROR($B66/$B67-1,"")</f>
        <v/>
      </c>
      <c r="CV66" s="59">
        <f>($F66-$F67)*100</f>
        <v/>
      </c>
      <c r="CW66" s="59">
        <f>($E66-$E67)*100</f>
        <v/>
      </c>
      <c r="CX66" s="58">
        <f>IFERROR($K66/$K67-1,"")</f>
        <v/>
      </c>
      <c r="CY66" s="59">
        <f>($AH66-$AH67)*100</f>
        <v/>
      </c>
      <c r="CZ66" s="59">
        <f>($AI66-$AI67)*100</f>
        <v/>
      </c>
      <c r="DA66" s="59">
        <f>($AJ66-$AJ67)*100</f>
        <v/>
      </c>
      <c r="DB66" s="59">
        <f>($AK66-$AK67)*100</f>
        <v/>
      </c>
      <c r="DC66" s="59">
        <f>($AL66-$AL67)*100</f>
        <v/>
      </c>
      <c r="DD66" s="59">
        <f>($AM66-$AM67)*100</f>
        <v/>
      </c>
      <c r="DE66" s="59">
        <f>($AN66-$AN67)*100</f>
        <v/>
      </c>
      <c r="DF66" s="59">
        <f>($AO66-$AO67)*100</f>
        <v/>
      </c>
      <c r="DG66" s="59">
        <f>($AP66-$AP67)*100</f>
        <v/>
      </c>
      <c r="DH66" s="59">
        <f>($AQ66-$AQ67)*100</f>
        <v/>
      </c>
      <c r="DI66" s="59">
        <f>($AR66-$AR67)*100</f>
        <v/>
      </c>
      <c r="DJ66" s="59">
        <f>($AS66-$AS67)*100</f>
        <v/>
      </c>
      <c r="DK66" s="59">
        <f>($AT66-$AT67)*100</f>
        <v/>
      </c>
      <c r="DL66" s="59">
        <f>($AU66-$AU67)*100</f>
        <v/>
      </c>
      <c r="DM66" s="59">
        <f>($AV66-$AV67)*100</f>
        <v/>
      </c>
      <c r="DN66" s="59">
        <f>($AW66-$AW67)*100</f>
        <v/>
      </c>
      <c r="DO66" s="59">
        <f>($AX66-$AX67)*100</f>
        <v/>
      </c>
      <c r="DP66" s="59">
        <f>($AY66-$AY67)*100</f>
        <v/>
      </c>
      <c r="DQ66" s="59">
        <f>($AZ66-$AZ67)*100</f>
        <v/>
      </c>
      <c r="DR66" s="59">
        <f>($BA66-$BA67)*100</f>
        <v/>
      </c>
      <c r="DS66" s="58">
        <f>IFERROR($N67/$N66-1,"")</f>
        <v/>
      </c>
      <c r="DT66" s="58">
        <f>IFERROR($O67/$O66-1,"")</f>
        <v/>
      </c>
      <c r="DU66" s="58">
        <f>IFERROR($P67/$P66-1,"")</f>
        <v/>
      </c>
      <c r="DV66" s="58">
        <f>IFERROR($Q67/$Q66-1,"")</f>
        <v/>
      </c>
      <c r="DW66" s="58">
        <f>IFERROR($R67/$R66-1,"")</f>
        <v/>
      </c>
      <c r="DX66" s="58">
        <f>IFERROR($S67/$S66-1,"")</f>
        <v/>
      </c>
      <c r="DY66" s="58">
        <f>IFERROR($T67/$T66-1,"")</f>
        <v/>
      </c>
      <c r="DZ66" s="58">
        <f>IFERROR($U67/$U66-1,"")</f>
        <v/>
      </c>
      <c r="EA66" s="58">
        <f>IFERROR($V67/$V66-1,"")</f>
        <v/>
      </c>
      <c r="EB66" s="58">
        <f>IFERROR($W67/$W66-1,"")</f>
        <v/>
      </c>
      <c r="EC66" s="58">
        <f>IFERROR($X67/$X66-1,"")</f>
        <v/>
      </c>
      <c r="ED66" s="58">
        <f>IFERROR($Y67/$Y66-1,"")</f>
        <v/>
      </c>
      <c r="EE66" s="58">
        <f>IFERROR($Z67/$Z66-1,"")</f>
        <v/>
      </c>
      <c r="EF66" s="58">
        <f>IFERROR($AA67/$AA66-1,"")</f>
        <v/>
      </c>
      <c r="EG66" s="58">
        <f>IFERROR($AB67/$AB66-1,"")</f>
        <v/>
      </c>
      <c r="EH66" s="58">
        <f>IFERROR($AC67/$AC66-1,"")</f>
        <v/>
      </c>
      <c r="EI66" s="58">
        <f>IFERROR($AD67/$AD66-1,"")</f>
        <v/>
      </c>
      <c r="EJ66" s="58">
        <f>IFERROR($AE67/$AE66-1,"")</f>
        <v/>
      </c>
      <c r="EK66" s="58">
        <f>IFERROR($AF67/$AF66-1,"")</f>
        <v/>
      </c>
      <c r="EL66" s="58">
        <f>IFERROR($AG67/$AG66-1,"")</f>
        <v/>
      </c>
      <c r="EM66" s="58">
        <f>IFERROR($BB66/$BB67-1,"")</f>
        <v/>
      </c>
      <c r="EN66" s="58">
        <f>IFERROR($BC66/$BC67-1,"")</f>
        <v/>
      </c>
      <c r="EO66" s="58">
        <f>IFERROR($BD66/$BD67-1,"")</f>
        <v/>
      </c>
      <c r="EP66" s="58">
        <f>IFERROR($BE66/$BE67-1,"")</f>
        <v/>
      </c>
      <c r="EQ66" s="58">
        <f>IFERROR($BF66/$BF67-1,"")</f>
        <v/>
      </c>
      <c r="ER66" s="58">
        <f>IFERROR($BG66/$BG67-1,"")</f>
        <v/>
      </c>
      <c r="ES66" s="58">
        <f>IFERROR($BH66/$BH67-1,"")</f>
        <v/>
      </c>
      <c r="ET66" s="58">
        <f>IFERROR($BI66/$BI67-1,"")</f>
        <v/>
      </c>
      <c r="EU66" s="58">
        <f>IFERROR($BJ66/$BJ67-1,"")</f>
        <v/>
      </c>
      <c r="EV66" s="58">
        <f>IFERROR($BK66/$BK67-1,"")</f>
        <v/>
      </c>
      <c r="EW66" s="58">
        <f>IFERROR($BL66/$BL67-1,"")</f>
        <v/>
      </c>
      <c r="EX66" s="58">
        <f>IFERROR($BM66/$BM67-1,"")</f>
        <v/>
      </c>
      <c r="EY66" s="58">
        <f>IFERROR($BN66/$BN67-1,"")</f>
        <v/>
      </c>
      <c r="EZ66" s="58">
        <f>IFERROR($BO66/$BO67-1,"")</f>
        <v/>
      </c>
      <c r="FA66" s="58">
        <f>IFERROR($BP66/$BP67-1,"")</f>
        <v/>
      </c>
      <c r="FB66" s="58">
        <f>IFERROR($BQ66/$BQ67-1,"")</f>
        <v/>
      </c>
      <c r="FC66" s="58">
        <f>IFERROR($BR66/$BR67-1,"")</f>
        <v/>
      </c>
      <c r="FD66" s="58">
        <f>IFERROR($BS66/$BS67-1,"")</f>
        <v/>
      </c>
      <c r="FE66" s="58">
        <f>IFERROR($BT66/$BT67-1,"")</f>
        <v/>
      </c>
      <c r="FF66" s="58">
        <f>IFERROR($BU66/$BU67-1,"")</f>
        <v/>
      </c>
      <c r="FG66" s="58">
        <f>IFERROR($BV66/$BV67-1,"")</f>
        <v/>
      </c>
      <c r="FH66" s="58">
        <f>IFERROR($BW66/$BW67-1,"")</f>
        <v/>
      </c>
      <c r="FI66" s="58">
        <f>IFERROR($BX66/$BX67-1,"")</f>
        <v/>
      </c>
      <c r="FJ66" s="59">
        <f>$BY66-$BY67</f>
        <v/>
      </c>
      <c r="FK66" s="59">
        <f>$BZ66-$BZ67</f>
        <v/>
      </c>
      <c r="FL66" s="59">
        <f>$CA66-$CA67</f>
        <v/>
      </c>
      <c r="FM66" s="59">
        <f>$CB66-$CB67</f>
        <v/>
      </c>
      <c r="FN66" s="59">
        <f>$CC66-$CC67</f>
        <v/>
      </c>
      <c r="FO66" s="59">
        <f>$CD66-$CD67</f>
        <v/>
      </c>
      <c r="FP66" s="59">
        <f>$CE66-$CE67</f>
        <v/>
      </c>
      <c r="FQ66" s="59">
        <f>$CF66-$CF67</f>
        <v/>
      </c>
      <c r="FR66" s="59">
        <f>$CG66-$CG67</f>
        <v/>
      </c>
      <c r="FS66" s="59">
        <f>$CH66-$CH67</f>
        <v/>
      </c>
      <c r="FT66" s="59">
        <f>$CI66-$CI67</f>
        <v/>
      </c>
      <c r="FU66" s="59">
        <f>$CJ66-$CJ67</f>
        <v/>
      </c>
      <c r="FV66" s="59">
        <f>$CK66-$CK67</f>
        <v/>
      </c>
      <c r="FW66" s="59">
        <f>$CL66-$CL67</f>
        <v/>
      </c>
      <c r="FX66" s="59">
        <f>$CM66-$CM67</f>
        <v/>
      </c>
      <c r="FY66" s="59">
        <f>$CN66-$CN67</f>
        <v/>
      </c>
      <c r="FZ66" s="59">
        <f>$CO66-$CO67</f>
        <v/>
      </c>
      <c r="GA66" s="59">
        <f>$CP66-$CP67</f>
        <v/>
      </c>
      <c r="GB66" s="59">
        <f>$CQ66-$CQ67</f>
        <v/>
      </c>
      <c r="GC66" s="59">
        <f>$CR66-$CR67</f>
        <v/>
      </c>
      <c r="GD66" s="59">
        <f>$CS66-$CS67</f>
        <v/>
      </c>
      <c r="GE66" s="59">
        <f>$CT66-$CT67</f>
        <v/>
      </c>
    </row>
    <row r="67">
      <c r="CU67" s="58">
        <f>IFERROR($B67/$B68-1,"")</f>
        <v/>
      </c>
      <c r="CV67" s="59">
        <f>($F67-$F68)*100</f>
        <v/>
      </c>
      <c r="CW67" s="59">
        <f>($E67-$E68)*100</f>
        <v/>
      </c>
      <c r="CX67" s="58">
        <f>IFERROR($K67/$K68-1,"")</f>
        <v/>
      </c>
      <c r="CY67" s="59">
        <f>($AH67-$AH68)*100</f>
        <v/>
      </c>
      <c r="CZ67" s="59">
        <f>($AI67-$AI68)*100</f>
        <v/>
      </c>
      <c r="DA67" s="59">
        <f>($AJ67-$AJ68)*100</f>
        <v/>
      </c>
      <c r="DB67" s="59">
        <f>($AK67-$AK68)*100</f>
        <v/>
      </c>
      <c r="DC67" s="59">
        <f>($AL67-$AL68)*100</f>
        <v/>
      </c>
      <c r="DD67" s="59">
        <f>($AM67-$AM68)*100</f>
        <v/>
      </c>
      <c r="DE67" s="59">
        <f>($AN67-$AN68)*100</f>
        <v/>
      </c>
      <c r="DF67" s="59">
        <f>($AO67-$AO68)*100</f>
        <v/>
      </c>
      <c r="DG67" s="59">
        <f>($AP67-$AP68)*100</f>
        <v/>
      </c>
      <c r="DH67" s="59">
        <f>($AQ67-$AQ68)*100</f>
        <v/>
      </c>
      <c r="DI67" s="59">
        <f>($AR67-$AR68)*100</f>
        <v/>
      </c>
      <c r="DJ67" s="59">
        <f>($AS67-$AS68)*100</f>
        <v/>
      </c>
      <c r="DK67" s="59">
        <f>($AT67-$AT68)*100</f>
        <v/>
      </c>
      <c r="DL67" s="59">
        <f>($AU67-$AU68)*100</f>
        <v/>
      </c>
      <c r="DM67" s="59">
        <f>($AV67-$AV68)*100</f>
        <v/>
      </c>
      <c r="DN67" s="59">
        <f>($AW67-$AW68)*100</f>
        <v/>
      </c>
      <c r="DO67" s="59">
        <f>($AX67-$AX68)*100</f>
        <v/>
      </c>
      <c r="DP67" s="59">
        <f>($AY67-$AY68)*100</f>
        <v/>
      </c>
      <c r="DQ67" s="59">
        <f>($AZ67-$AZ68)*100</f>
        <v/>
      </c>
      <c r="DR67" s="59">
        <f>($BA67-$BA68)*100</f>
        <v/>
      </c>
      <c r="DS67" s="58">
        <f>IFERROR($N68/$N67-1,"")</f>
        <v/>
      </c>
      <c r="DT67" s="58">
        <f>IFERROR($O68/$O67-1,"")</f>
        <v/>
      </c>
      <c r="DU67" s="58">
        <f>IFERROR($P68/$P67-1,"")</f>
        <v/>
      </c>
      <c r="DV67" s="58">
        <f>IFERROR($Q68/$Q67-1,"")</f>
        <v/>
      </c>
      <c r="DW67" s="58">
        <f>IFERROR($R68/$R67-1,"")</f>
        <v/>
      </c>
      <c r="DX67" s="58">
        <f>IFERROR($S68/$S67-1,"")</f>
        <v/>
      </c>
      <c r="DY67" s="58">
        <f>IFERROR($T68/$T67-1,"")</f>
        <v/>
      </c>
      <c r="DZ67" s="58">
        <f>IFERROR($U68/$U67-1,"")</f>
        <v/>
      </c>
      <c r="EA67" s="58">
        <f>IFERROR($V68/$V67-1,"")</f>
        <v/>
      </c>
      <c r="EB67" s="58">
        <f>IFERROR($W68/$W67-1,"")</f>
        <v/>
      </c>
      <c r="EC67" s="58">
        <f>IFERROR($X68/$X67-1,"")</f>
        <v/>
      </c>
      <c r="ED67" s="58">
        <f>IFERROR($Y68/$Y67-1,"")</f>
        <v/>
      </c>
      <c r="EE67" s="58">
        <f>IFERROR($Z68/$Z67-1,"")</f>
        <v/>
      </c>
      <c r="EF67" s="58">
        <f>IFERROR($AA68/$AA67-1,"")</f>
        <v/>
      </c>
      <c r="EG67" s="58">
        <f>IFERROR($AB68/$AB67-1,"")</f>
        <v/>
      </c>
      <c r="EH67" s="58">
        <f>IFERROR($AC68/$AC67-1,"")</f>
        <v/>
      </c>
      <c r="EI67" s="58">
        <f>IFERROR($AD68/$AD67-1,"")</f>
        <v/>
      </c>
      <c r="EJ67" s="58">
        <f>IFERROR($AE68/$AE67-1,"")</f>
        <v/>
      </c>
      <c r="EK67" s="58">
        <f>IFERROR($AF68/$AF67-1,"")</f>
        <v/>
      </c>
      <c r="EL67" s="58">
        <f>IFERROR($AG68/$AG67-1,"")</f>
        <v/>
      </c>
      <c r="EM67" s="58">
        <f>IFERROR($BB67/$BB68-1,"")</f>
        <v/>
      </c>
      <c r="EN67" s="58">
        <f>IFERROR($BC67/$BC68-1,"")</f>
        <v/>
      </c>
      <c r="EO67" s="58">
        <f>IFERROR($BD67/$BD68-1,"")</f>
        <v/>
      </c>
      <c r="EP67" s="58">
        <f>IFERROR($BE67/$BE68-1,"")</f>
        <v/>
      </c>
      <c r="EQ67" s="58">
        <f>IFERROR($BF67/$BF68-1,"")</f>
        <v/>
      </c>
      <c r="ER67" s="58">
        <f>IFERROR($BG67/$BG68-1,"")</f>
        <v/>
      </c>
      <c r="ES67" s="58">
        <f>IFERROR($BH67/$BH68-1,"")</f>
        <v/>
      </c>
      <c r="ET67" s="58">
        <f>IFERROR($BI67/$BI68-1,"")</f>
        <v/>
      </c>
      <c r="EU67" s="58">
        <f>IFERROR($BJ67/$BJ68-1,"")</f>
        <v/>
      </c>
      <c r="EV67" s="58">
        <f>IFERROR($BK67/$BK68-1,"")</f>
        <v/>
      </c>
      <c r="EW67" s="58">
        <f>IFERROR($BL67/$BL68-1,"")</f>
        <v/>
      </c>
      <c r="EX67" s="58">
        <f>IFERROR($BM67/$BM68-1,"")</f>
        <v/>
      </c>
      <c r="EY67" s="58">
        <f>IFERROR($BN67/$BN68-1,"")</f>
        <v/>
      </c>
      <c r="EZ67" s="58">
        <f>IFERROR($BO67/$BO68-1,"")</f>
        <v/>
      </c>
      <c r="FA67" s="58">
        <f>IFERROR($BP67/$BP68-1,"")</f>
        <v/>
      </c>
      <c r="FB67" s="58">
        <f>IFERROR($BQ67/$BQ68-1,"")</f>
        <v/>
      </c>
      <c r="FC67" s="58">
        <f>IFERROR($BR67/$BR68-1,"")</f>
        <v/>
      </c>
      <c r="FD67" s="58">
        <f>IFERROR($BS67/$BS68-1,"")</f>
        <v/>
      </c>
      <c r="FE67" s="58">
        <f>IFERROR($BT67/$BT68-1,"")</f>
        <v/>
      </c>
      <c r="FF67" s="58">
        <f>IFERROR($BU67/$BU68-1,"")</f>
        <v/>
      </c>
      <c r="FG67" s="58">
        <f>IFERROR($BV67/$BV68-1,"")</f>
        <v/>
      </c>
      <c r="FH67" s="58">
        <f>IFERROR($BW67/$BW68-1,"")</f>
        <v/>
      </c>
      <c r="FI67" s="58">
        <f>IFERROR($BX67/$BX68-1,"")</f>
        <v/>
      </c>
      <c r="FJ67" s="59">
        <f>$BY67-$BY68</f>
        <v/>
      </c>
      <c r="FK67" s="59">
        <f>$BZ67-$BZ68</f>
        <v/>
      </c>
      <c r="FL67" s="59">
        <f>$CA67-$CA68</f>
        <v/>
      </c>
      <c r="FM67" s="59">
        <f>$CB67-$CB68</f>
        <v/>
      </c>
      <c r="FN67" s="59">
        <f>$CC67-$CC68</f>
        <v/>
      </c>
      <c r="FO67" s="59">
        <f>$CD67-$CD68</f>
        <v/>
      </c>
      <c r="FP67" s="59">
        <f>$CE67-$CE68</f>
        <v/>
      </c>
      <c r="FQ67" s="59">
        <f>$CF67-$CF68</f>
        <v/>
      </c>
      <c r="FR67" s="59">
        <f>$CG67-$CG68</f>
        <v/>
      </c>
      <c r="FS67" s="59">
        <f>$CH67-$CH68</f>
        <v/>
      </c>
      <c r="FT67" s="59">
        <f>$CI67-$CI68</f>
        <v/>
      </c>
      <c r="FU67" s="59">
        <f>$CJ67-$CJ68</f>
        <v/>
      </c>
      <c r="FV67" s="59">
        <f>$CK67-$CK68</f>
        <v/>
      </c>
      <c r="FW67" s="59">
        <f>$CL67-$CL68</f>
        <v/>
      </c>
      <c r="FX67" s="59">
        <f>$CM67-$CM68</f>
        <v/>
      </c>
      <c r="FY67" s="59">
        <f>$CN67-$CN68</f>
        <v/>
      </c>
      <c r="FZ67" s="59">
        <f>$CO67-$CO68</f>
        <v/>
      </c>
      <c r="GA67" s="59">
        <f>$CP67-$CP68</f>
        <v/>
      </c>
      <c r="GB67" s="59">
        <f>$CQ67-$CQ68</f>
        <v/>
      </c>
      <c r="GC67" s="59">
        <f>$CR67-$CR68</f>
        <v/>
      </c>
      <c r="GD67" s="59">
        <f>$CS67-$CS68</f>
        <v/>
      </c>
      <c r="GE67" s="59">
        <f>$CT67-$CT68</f>
        <v/>
      </c>
    </row>
    <row r="68">
      <c r="CU68" s="58">
        <f>IFERROR($B68/$B69-1,"")</f>
        <v/>
      </c>
      <c r="CV68" s="59">
        <f>($F68-$F69)*100</f>
        <v/>
      </c>
      <c r="CW68" s="59">
        <f>($E68-$E69)*100</f>
        <v/>
      </c>
      <c r="CX68" s="58">
        <f>IFERROR($K68/$K69-1,"")</f>
        <v/>
      </c>
      <c r="CY68" s="59">
        <f>($AH68-$AH69)*100</f>
        <v/>
      </c>
      <c r="CZ68" s="59">
        <f>($AI68-$AI69)*100</f>
        <v/>
      </c>
      <c r="DA68" s="59">
        <f>($AJ68-$AJ69)*100</f>
        <v/>
      </c>
      <c r="DB68" s="59">
        <f>($AK68-$AK69)*100</f>
        <v/>
      </c>
      <c r="DC68" s="59">
        <f>($AL68-$AL69)*100</f>
        <v/>
      </c>
      <c r="DD68" s="59">
        <f>($AM68-$AM69)*100</f>
        <v/>
      </c>
      <c r="DE68" s="59">
        <f>($AN68-$AN69)*100</f>
        <v/>
      </c>
      <c r="DF68" s="59">
        <f>($AO68-$AO69)*100</f>
        <v/>
      </c>
      <c r="DG68" s="59">
        <f>($AP68-$AP69)*100</f>
        <v/>
      </c>
      <c r="DH68" s="59">
        <f>($AQ68-$AQ69)*100</f>
        <v/>
      </c>
      <c r="DI68" s="59">
        <f>($AR68-$AR69)*100</f>
        <v/>
      </c>
      <c r="DJ68" s="59">
        <f>($AS68-$AS69)*100</f>
        <v/>
      </c>
      <c r="DK68" s="59">
        <f>($AT68-$AT69)*100</f>
        <v/>
      </c>
      <c r="DL68" s="59">
        <f>($AU68-$AU69)*100</f>
        <v/>
      </c>
      <c r="DM68" s="59">
        <f>($AV68-$AV69)*100</f>
        <v/>
      </c>
      <c r="DN68" s="59">
        <f>($AW68-$AW69)*100</f>
        <v/>
      </c>
      <c r="DO68" s="59">
        <f>($AX68-$AX69)*100</f>
        <v/>
      </c>
      <c r="DP68" s="59">
        <f>($AY68-$AY69)*100</f>
        <v/>
      </c>
      <c r="DQ68" s="59">
        <f>($AZ68-$AZ69)*100</f>
        <v/>
      </c>
      <c r="DR68" s="59">
        <f>($BA68-$BA69)*100</f>
        <v/>
      </c>
      <c r="DS68" s="58">
        <f>IFERROR($N69/$N68-1,"")</f>
        <v/>
      </c>
      <c r="DT68" s="58">
        <f>IFERROR($O69/$O68-1,"")</f>
        <v/>
      </c>
      <c r="DU68" s="58">
        <f>IFERROR($P69/$P68-1,"")</f>
        <v/>
      </c>
      <c r="DV68" s="58">
        <f>IFERROR($Q69/$Q68-1,"")</f>
        <v/>
      </c>
      <c r="DW68" s="58">
        <f>IFERROR($R69/$R68-1,"")</f>
        <v/>
      </c>
      <c r="DX68" s="58">
        <f>IFERROR($S69/$S68-1,"")</f>
        <v/>
      </c>
      <c r="DY68" s="58">
        <f>IFERROR($T69/$T68-1,"")</f>
        <v/>
      </c>
      <c r="DZ68" s="58">
        <f>IFERROR($U69/$U68-1,"")</f>
        <v/>
      </c>
      <c r="EA68" s="58">
        <f>IFERROR($V69/$V68-1,"")</f>
        <v/>
      </c>
      <c r="EB68" s="58">
        <f>IFERROR($W69/$W68-1,"")</f>
        <v/>
      </c>
      <c r="EC68" s="58">
        <f>IFERROR($X69/$X68-1,"")</f>
        <v/>
      </c>
      <c r="ED68" s="58">
        <f>IFERROR($Y69/$Y68-1,"")</f>
        <v/>
      </c>
      <c r="EE68" s="58">
        <f>IFERROR($Z69/$Z68-1,"")</f>
        <v/>
      </c>
      <c r="EF68" s="58">
        <f>IFERROR($AA69/$AA68-1,"")</f>
        <v/>
      </c>
      <c r="EG68" s="58">
        <f>IFERROR($AB69/$AB68-1,"")</f>
        <v/>
      </c>
      <c r="EH68" s="58">
        <f>IFERROR($AC69/$AC68-1,"")</f>
        <v/>
      </c>
      <c r="EI68" s="58">
        <f>IFERROR($AD69/$AD68-1,"")</f>
        <v/>
      </c>
      <c r="EJ68" s="58">
        <f>IFERROR($AE69/$AE68-1,"")</f>
        <v/>
      </c>
      <c r="EK68" s="58">
        <f>IFERROR($AF69/$AF68-1,"")</f>
        <v/>
      </c>
      <c r="EL68" s="58">
        <f>IFERROR($AG69/$AG68-1,"")</f>
        <v/>
      </c>
      <c r="EM68" s="58">
        <f>IFERROR($BB68/$BB69-1,"")</f>
        <v/>
      </c>
      <c r="EN68" s="58">
        <f>IFERROR($BC68/$BC69-1,"")</f>
        <v/>
      </c>
      <c r="EO68" s="58">
        <f>IFERROR($BD68/$BD69-1,"")</f>
        <v/>
      </c>
      <c r="EP68" s="58">
        <f>IFERROR($BE68/$BE69-1,"")</f>
        <v/>
      </c>
      <c r="EQ68" s="58">
        <f>IFERROR($BF68/$BF69-1,"")</f>
        <v/>
      </c>
      <c r="ER68" s="58">
        <f>IFERROR($BG68/$BG69-1,"")</f>
        <v/>
      </c>
      <c r="ES68" s="58">
        <f>IFERROR($BH68/$BH69-1,"")</f>
        <v/>
      </c>
      <c r="ET68" s="58">
        <f>IFERROR($BI68/$BI69-1,"")</f>
        <v/>
      </c>
      <c r="EU68" s="58">
        <f>IFERROR($BJ68/$BJ69-1,"")</f>
        <v/>
      </c>
      <c r="EV68" s="58">
        <f>IFERROR($BK68/$BK69-1,"")</f>
        <v/>
      </c>
      <c r="EW68" s="58">
        <f>IFERROR($BL68/$BL69-1,"")</f>
        <v/>
      </c>
      <c r="EX68" s="58">
        <f>IFERROR($BM68/$BM69-1,"")</f>
        <v/>
      </c>
      <c r="EY68" s="58">
        <f>IFERROR($BN68/$BN69-1,"")</f>
        <v/>
      </c>
      <c r="EZ68" s="58">
        <f>IFERROR($BO68/$BO69-1,"")</f>
        <v/>
      </c>
      <c r="FA68" s="58">
        <f>IFERROR($BP68/$BP69-1,"")</f>
        <v/>
      </c>
      <c r="FB68" s="58">
        <f>IFERROR($BQ68/$BQ69-1,"")</f>
        <v/>
      </c>
      <c r="FC68" s="58">
        <f>IFERROR($BR68/$BR69-1,"")</f>
        <v/>
      </c>
      <c r="FD68" s="58">
        <f>IFERROR($BS68/$BS69-1,"")</f>
        <v/>
      </c>
      <c r="FE68" s="58">
        <f>IFERROR($BT68/$BT69-1,"")</f>
        <v/>
      </c>
      <c r="FF68" s="58">
        <f>IFERROR($BU68/$BU69-1,"")</f>
        <v/>
      </c>
      <c r="FG68" s="58">
        <f>IFERROR($BV68/$BV69-1,"")</f>
        <v/>
      </c>
      <c r="FH68" s="58">
        <f>IFERROR($BW68/$BW69-1,"")</f>
        <v/>
      </c>
      <c r="FI68" s="58">
        <f>IFERROR($BX68/$BX69-1,"")</f>
        <v/>
      </c>
      <c r="FJ68" s="59">
        <f>$BY68-$BY69</f>
        <v/>
      </c>
      <c r="FK68" s="59">
        <f>$BZ68-$BZ69</f>
        <v/>
      </c>
      <c r="FL68" s="59">
        <f>$CA68-$CA69</f>
        <v/>
      </c>
      <c r="FM68" s="59">
        <f>$CB68-$CB69</f>
        <v/>
      </c>
      <c r="FN68" s="59">
        <f>$CC68-$CC69</f>
        <v/>
      </c>
      <c r="FO68" s="59">
        <f>$CD68-$CD69</f>
        <v/>
      </c>
      <c r="FP68" s="59">
        <f>$CE68-$CE69</f>
        <v/>
      </c>
      <c r="FQ68" s="59">
        <f>$CF68-$CF69</f>
        <v/>
      </c>
      <c r="FR68" s="59">
        <f>$CG68-$CG69</f>
        <v/>
      </c>
      <c r="FS68" s="59">
        <f>$CH68-$CH69</f>
        <v/>
      </c>
      <c r="FT68" s="59">
        <f>$CI68-$CI69</f>
        <v/>
      </c>
      <c r="FU68" s="59">
        <f>$CJ68-$CJ69</f>
        <v/>
      </c>
      <c r="FV68" s="59">
        <f>$CK68-$CK69</f>
        <v/>
      </c>
      <c r="FW68" s="59">
        <f>$CL68-$CL69</f>
        <v/>
      </c>
      <c r="FX68" s="59">
        <f>$CM68-$CM69</f>
        <v/>
      </c>
      <c r="FY68" s="59">
        <f>$CN68-$CN69</f>
        <v/>
      </c>
      <c r="FZ68" s="59">
        <f>$CO68-$CO69</f>
        <v/>
      </c>
      <c r="GA68" s="59">
        <f>$CP68-$CP69</f>
        <v/>
      </c>
      <c r="GB68" s="59">
        <f>$CQ68-$CQ69</f>
        <v/>
      </c>
      <c r="GC68" s="59">
        <f>$CR68-$CR69</f>
        <v/>
      </c>
      <c r="GD68" s="59">
        <f>$CS68-$CS69</f>
        <v/>
      </c>
      <c r="GE68" s="59">
        <f>$CT68-$CT69</f>
        <v/>
      </c>
    </row>
    <row r="69">
      <c r="CU69" s="58">
        <f>IFERROR($B69/$B70-1,"")</f>
        <v/>
      </c>
      <c r="CV69" s="59">
        <f>($F69-$F70)*100</f>
        <v/>
      </c>
      <c r="CW69" s="59">
        <f>($E69-$E70)*100</f>
        <v/>
      </c>
      <c r="CX69" s="58">
        <f>IFERROR($K69/$K70-1,"")</f>
        <v/>
      </c>
      <c r="CY69" s="59">
        <f>($AH69-$AH70)*100</f>
        <v/>
      </c>
      <c r="CZ69" s="59">
        <f>($AI69-$AI70)*100</f>
        <v/>
      </c>
      <c r="DA69" s="59">
        <f>($AJ69-$AJ70)*100</f>
        <v/>
      </c>
      <c r="DB69" s="59">
        <f>($AK69-$AK70)*100</f>
        <v/>
      </c>
      <c r="DC69" s="59">
        <f>($AL69-$AL70)*100</f>
        <v/>
      </c>
      <c r="DD69" s="59">
        <f>($AM69-$AM70)*100</f>
        <v/>
      </c>
      <c r="DE69" s="59">
        <f>($AN69-$AN70)*100</f>
        <v/>
      </c>
      <c r="DF69" s="59">
        <f>($AO69-$AO70)*100</f>
        <v/>
      </c>
      <c r="DG69" s="59">
        <f>($AP69-$AP70)*100</f>
        <v/>
      </c>
      <c r="DH69" s="59">
        <f>($AQ69-$AQ70)*100</f>
        <v/>
      </c>
      <c r="DI69" s="59">
        <f>($AR69-$AR70)*100</f>
        <v/>
      </c>
      <c r="DJ69" s="59">
        <f>($AS69-$AS70)*100</f>
        <v/>
      </c>
      <c r="DK69" s="59">
        <f>($AT69-$AT70)*100</f>
        <v/>
      </c>
      <c r="DL69" s="59">
        <f>($AU69-$AU70)*100</f>
        <v/>
      </c>
      <c r="DM69" s="59">
        <f>($AV69-$AV70)*100</f>
        <v/>
      </c>
      <c r="DN69" s="59">
        <f>($AW69-$AW70)*100</f>
        <v/>
      </c>
      <c r="DO69" s="59">
        <f>($AX69-$AX70)*100</f>
        <v/>
      </c>
      <c r="DP69" s="59">
        <f>($AY69-$AY70)*100</f>
        <v/>
      </c>
      <c r="DQ69" s="59">
        <f>($AZ69-$AZ70)*100</f>
        <v/>
      </c>
      <c r="DR69" s="59">
        <f>($BA69-$BA70)*100</f>
        <v/>
      </c>
      <c r="DS69" s="58">
        <f>IFERROR($N70/$N69-1,"")</f>
        <v/>
      </c>
      <c r="DT69" s="58">
        <f>IFERROR($O70/$O69-1,"")</f>
        <v/>
      </c>
      <c r="DU69" s="58">
        <f>IFERROR($P70/$P69-1,"")</f>
        <v/>
      </c>
      <c r="DV69" s="58">
        <f>IFERROR($Q70/$Q69-1,"")</f>
        <v/>
      </c>
      <c r="DW69" s="58">
        <f>IFERROR($R70/$R69-1,"")</f>
        <v/>
      </c>
      <c r="DX69" s="58">
        <f>IFERROR($S70/$S69-1,"")</f>
        <v/>
      </c>
      <c r="DY69" s="58">
        <f>IFERROR($T70/$T69-1,"")</f>
        <v/>
      </c>
      <c r="DZ69" s="58">
        <f>IFERROR($U70/$U69-1,"")</f>
        <v/>
      </c>
      <c r="EA69" s="58">
        <f>IFERROR($V70/$V69-1,"")</f>
        <v/>
      </c>
      <c r="EB69" s="58">
        <f>IFERROR($W70/$W69-1,"")</f>
        <v/>
      </c>
      <c r="EC69" s="58">
        <f>IFERROR($X70/$X69-1,"")</f>
        <v/>
      </c>
      <c r="ED69" s="58">
        <f>IFERROR($Y70/$Y69-1,"")</f>
        <v/>
      </c>
      <c r="EE69" s="58">
        <f>IFERROR($Z70/$Z69-1,"")</f>
        <v/>
      </c>
      <c r="EF69" s="58">
        <f>IFERROR($AA70/$AA69-1,"")</f>
        <v/>
      </c>
      <c r="EG69" s="58">
        <f>IFERROR($AB70/$AB69-1,"")</f>
        <v/>
      </c>
      <c r="EH69" s="58">
        <f>IFERROR($AC70/$AC69-1,"")</f>
        <v/>
      </c>
      <c r="EI69" s="58">
        <f>IFERROR($AD70/$AD69-1,"")</f>
        <v/>
      </c>
      <c r="EJ69" s="58">
        <f>IFERROR($AE70/$AE69-1,"")</f>
        <v/>
      </c>
      <c r="EK69" s="58">
        <f>IFERROR($AF70/$AF69-1,"")</f>
        <v/>
      </c>
      <c r="EL69" s="58">
        <f>IFERROR($AG70/$AG69-1,"")</f>
        <v/>
      </c>
      <c r="EM69" s="58">
        <f>IFERROR($BB69/$BB70-1,"")</f>
        <v/>
      </c>
      <c r="EN69" s="58">
        <f>IFERROR($BC69/$BC70-1,"")</f>
        <v/>
      </c>
      <c r="EO69" s="58">
        <f>IFERROR($BD69/$BD70-1,"")</f>
        <v/>
      </c>
      <c r="EP69" s="58">
        <f>IFERROR($BE69/$BE70-1,"")</f>
        <v/>
      </c>
      <c r="EQ69" s="58">
        <f>IFERROR($BF69/$BF70-1,"")</f>
        <v/>
      </c>
      <c r="ER69" s="58">
        <f>IFERROR($BG69/$BG70-1,"")</f>
        <v/>
      </c>
      <c r="ES69" s="58">
        <f>IFERROR($BH69/$BH70-1,"")</f>
        <v/>
      </c>
      <c r="ET69" s="58">
        <f>IFERROR($BI69/$BI70-1,"")</f>
        <v/>
      </c>
      <c r="EU69" s="58">
        <f>IFERROR($BJ69/$BJ70-1,"")</f>
        <v/>
      </c>
      <c r="EV69" s="58">
        <f>IFERROR($BK69/$BK70-1,"")</f>
        <v/>
      </c>
      <c r="EW69" s="58">
        <f>IFERROR($BL69/$BL70-1,"")</f>
        <v/>
      </c>
      <c r="EX69" s="58">
        <f>IFERROR($BM69/$BM70-1,"")</f>
        <v/>
      </c>
      <c r="EY69" s="58">
        <f>IFERROR($BN69/$BN70-1,"")</f>
        <v/>
      </c>
      <c r="EZ69" s="58">
        <f>IFERROR($BO69/$BO70-1,"")</f>
        <v/>
      </c>
      <c r="FA69" s="58">
        <f>IFERROR($BP69/$BP70-1,"")</f>
        <v/>
      </c>
      <c r="FB69" s="58">
        <f>IFERROR($BQ69/$BQ70-1,"")</f>
        <v/>
      </c>
      <c r="FC69" s="58">
        <f>IFERROR($BR69/$BR70-1,"")</f>
        <v/>
      </c>
      <c r="FD69" s="58">
        <f>IFERROR($BS69/$BS70-1,"")</f>
        <v/>
      </c>
      <c r="FE69" s="58">
        <f>IFERROR($BT69/$BT70-1,"")</f>
        <v/>
      </c>
      <c r="FF69" s="58">
        <f>IFERROR($BU69/$BU70-1,"")</f>
        <v/>
      </c>
      <c r="FG69" s="58">
        <f>IFERROR($BV69/$BV70-1,"")</f>
        <v/>
      </c>
      <c r="FH69" s="58">
        <f>IFERROR($BW69/$BW70-1,"")</f>
        <v/>
      </c>
      <c r="FI69" s="58">
        <f>IFERROR($BX69/$BX70-1,"")</f>
        <v/>
      </c>
      <c r="FJ69" s="59">
        <f>$BY69-$BY70</f>
        <v/>
      </c>
      <c r="FK69" s="59">
        <f>$BZ69-$BZ70</f>
        <v/>
      </c>
      <c r="FL69" s="59">
        <f>$CA69-$CA70</f>
        <v/>
      </c>
      <c r="FM69" s="59">
        <f>$CB69-$CB70</f>
        <v/>
      </c>
      <c r="FN69" s="59">
        <f>$CC69-$CC70</f>
        <v/>
      </c>
      <c r="FO69" s="59">
        <f>$CD69-$CD70</f>
        <v/>
      </c>
      <c r="FP69" s="59">
        <f>$CE69-$CE70</f>
        <v/>
      </c>
      <c r="FQ69" s="59">
        <f>$CF69-$CF70</f>
        <v/>
      </c>
      <c r="FR69" s="59">
        <f>$CG69-$CG70</f>
        <v/>
      </c>
      <c r="FS69" s="59">
        <f>$CH69-$CH70</f>
        <v/>
      </c>
      <c r="FT69" s="59">
        <f>$CI69-$CI70</f>
        <v/>
      </c>
      <c r="FU69" s="59">
        <f>$CJ69-$CJ70</f>
        <v/>
      </c>
      <c r="FV69" s="59">
        <f>$CK69-$CK70</f>
        <v/>
      </c>
      <c r="FW69" s="59">
        <f>$CL69-$CL70</f>
        <v/>
      </c>
      <c r="FX69" s="59">
        <f>$CM69-$CM70</f>
        <v/>
      </c>
      <c r="FY69" s="59">
        <f>$CN69-$CN70</f>
        <v/>
      </c>
      <c r="FZ69" s="59">
        <f>$CO69-$CO70</f>
        <v/>
      </c>
      <c r="GA69" s="59">
        <f>$CP69-$CP70</f>
        <v/>
      </c>
      <c r="GB69" s="59">
        <f>$CQ69-$CQ70</f>
        <v/>
      </c>
      <c r="GC69" s="59">
        <f>$CR69-$CR70</f>
        <v/>
      </c>
      <c r="GD69" s="59">
        <f>$CS69-$CS70</f>
        <v/>
      </c>
      <c r="GE69" s="59">
        <f>$CT69-$CT70</f>
        <v/>
      </c>
    </row>
    <row r="70">
      <c r="CU70" s="58">
        <f>IFERROR($B70/$B71-1,"")</f>
        <v/>
      </c>
      <c r="CV70" s="59">
        <f>($F70-$F71)*100</f>
        <v/>
      </c>
      <c r="CW70" s="59">
        <f>($E70-$E71)*100</f>
        <v/>
      </c>
      <c r="CX70" s="58">
        <f>IFERROR($K70/$K71-1,"")</f>
        <v/>
      </c>
      <c r="CY70" s="59">
        <f>($AH70-$AH71)*100</f>
        <v/>
      </c>
      <c r="CZ70" s="59">
        <f>($AI70-$AI71)*100</f>
        <v/>
      </c>
      <c r="DA70" s="59">
        <f>($AJ70-$AJ71)*100</f>
        <v/>
      </c>
      <c r="DB70" s="59">
        <f>($AK70-$AK71)*100</f>
        <v/>
      </c>
      <c r="DC70" s="59">
        <f>($AL70-$AL71)*100</f>
        <v/>
      </c>
      <c r="DD70" s="59">
        <f>($AM70-$AM71)*100</f>
        <v/>
      </c>
      <c r="DE70" s="59">
        <f>($AN70-$AN71)*100</f>
        <v/>
      </c>
      <c r="DF70" s="59">
        <f>($AO70-$AO71)*100</f>
        <v/>
      </c>
      <c r="DG70" s="59">
        <f>($AP70-$AP71)*100</f>
        <v/>
      </c>
      <c r="DH70" s="59">
        <f>($AQ70-$AQ71)*100</f>
        <v/>
      </c>
      <c r="DI70" s="59">
        <f>($AR70-$AR71)*100</f>
        <v/>
      </c>
      <c r="DJ70" s="59">
        <f>($AS70-$AS71)*100</f>
        <v/>
      </c>
      <c r="DK70" s="59">
        <f>($AT70-$AT71)*100</f>
        <v/>
      </c>
      <c r="DL70" s="59">
        <f>($AU70-$AU71)*100</f>
        <v/>
      </c>
      <c r="DM70" s="59">
        <f>($AV70-$AV71)*100</f>
        <v/>
      </c>
      <c r="DN70" s="59">
        <f>($AW70-$AW71)*100</f>
        <v/>
      </c>
      <c r="DO70" s="59">
        <f>($AX70-$AX71)*100</f>
        <v/>
      </c>
      <c r="DP70" s="59">
        <f>($AY70-$AY71)*100</f>
        <v/>
      </c>
      <c r="DQ70" s="59">
        <f>($AZ70-$AZ71)*100</f>
        <v/>
      </c>
      <c r="DR70" s="59">
        <f>($BA70-$BA71)*100</f>
        <v/>
      </c>
      <c r="DS70" s="58">
        <f>IFERROR($N71/$N70-1,"")</f>
        <v/>
      </c>
      <c r="DT70" s="58">
        <f>IFERROR($O71/$O70-1,"")</f>
        <v/>
      </c>
      <c r="DU70" s="58">
        <f>IFERROR($P71/$P70-1,"")</f>
        <v/>
      </c>
      <c r="DV70" s="58">
        <f>IFERROR($Q71/$Q70-1,"")</f>
        <v/>
      </c>
      <c r="DW70" s="58">
        <f>IFERROR($R71/$R70-1,"")</f>
        <v/>
      </c>
      <c r="DX70" s="58">
        <f>IFERROR($S71/$S70-1,"")</f>
        <v/>
      </c>
      <c r="DY70" s="58">
        <f>IFERROR($T71/$T70-1,"")</f>
        <v/>
      </c>
      <c r="DZ70" s="58">
        <f>IFERROR($U71/$U70-1,"")</f>
        <v/>
      </c>
      <c r="EA70" s="58">
        <f>IFERROR($V71/$V70-1,"")</f>
        <v/>
      </c>
      <c r="EB70" s="58">
        <f>IFERROR($W71/$W70-1,"")</f>
        <v/>
      </c>
      <c r="EC70" s="58">
        <f>IFERROR($X71/$X70-1,"")</f>
        <v/>
      </c>
      <c r="ED70" s="58">
        <f>IFERROR($Y71/$Y70-1,"")</f>
        <v/>
      </c>
      <c r="EE70" s="58">
        <f>IFERROR($Z71/$Z70-1,"")</f>
        <v/>
      </c>
      <c r="EF70" s="58">
        <f>IFERROR($AA71/$AA70-1,"")</f>
        <v/>
      </c>
      <c r="EG70" s="58">
        <f>IFERROR($AB71/$AB70-1,"")</f>
        <v/>
      </c>
      <c r="EH70" s="58">
        <f>IFERROR($AC71/$AC70-1,"")</f>
        <v/>
      </c>
      <c r="EI70" s="58">
        <f>IFERROR($AD71/$AD70-1,"")</f>
        <v/>
      </c>
      <c r="EJ70" s="58">
        <f>IFERROR($AE71/$AE70-1,"")</f>
        <v/>
      </c>
      <c r="EK70" s="58">
        <f>IFERROR($AF71/$AF70-1,"")</f>
        <v/>
      </c>
      <c r="EL70" s="58">
        <f>IFERROR($AG71/$AG70-1,"")</f>
        <v/>
      </c>
      <c r="EM70" s="58">
        <f>IFERROR($BB70/$BB71-1,"")</f>
        <v/>
      </c>
      <c r="EN70" s="58">
        <f>IFERROR($BC70/$BC71-1,"")</f>
        <v/>
      </c>
      <c r="EO70" s="58">
        <f>IFERROR($BD70/$BD71-1,"")</f>
        <v/>
      </c>
      <c r="EP70" s="58">
        <f>IFERROR($BE70/$BE71-1,"")</f>
        <v/>
      </c>
      <c r="EQ70" s="58">
        <f>IFERROR($BF70/$BF71-1,"")</f>
        <v/>
      </c>
      <c r="ER70" s="58">
        <f>IFERROR($BG70/$BG71-1,"")</f>
        <v/>
      </c>
      <c r="ES70" s="58">
        <f>IFERROR($BH70/$BH71-1,"")</f>
        <v/>
      </c>
      <c r="ET70" s="58">
        <f>IFERROR($BI70/$BI71-1,"")</f>
        <v/>
      </c>
      <c r="EU70" s="58">
        <f>IFERROR($BJ70/$BJ71-1,"")</f>
        <v/>
      </c>
      <c r="EV70" s="58">
        <f>IFERROR($BK70/$BK71-1,"")</f>
        <v/>
      </c>
      <c r="EW70" s="58">
        <f>IFERROR($BL70/$BL71-1,"")</f>
        <v/>
      </c>
      <c r="EX70" s="58">
        <f>IFERROR($BM70/$BM71-1,"")</f>
        <v/>
      </c>
      <c r="EY70" s="58">
        <f>IFERROR($BN70/$BN71-1,"")</f>
        <v/>
      </c>
      <c r="EZ70" s="58">
        <f>IFERROR($BO70/$BO71-1,"")</f>
        <v/>
      </c>
      <c r="FA70" s="58">
        <f>IFERROR($BP70/$BP71-1,"")</f>
        <v/>
      </c>
      <c r="FB70" s="58">
        <f>IFERROR($BQ70/$BQ71-1,"")</f>
        <v/>
      </c>
      <c r="FC70" s="58">
        <f>IFERROR($BR70/$BR71-1,"")</f>
        <v/>
      </c>
      <c r="FD70" s="58">
        <f>IFERROR($BS70/$BS71-1,"")</f>
        <v/>
      </c>
      <c r="FE70" s="58">
        <f>IFERROR($BT70/$BT71-1,"")</f>
        <v/>
      </c>
      <c r="FF70" s="58">
        <f>IFERROR($BU70/$BU71-1,"")</f>
        <v/>
      </c>
      <c r="FG70" s="58">
        <f>IFERROR($BV70/$BV71-1,"")</f>
        <v/>
      </c>
      <c r="FH70" s="58">
        <f>IFERROR($BW70/$BW71-1,"")</f>
        <v/>
      </c>
      <c r="FI70" s="58">
        <f>IFERROR($BX70/$BX71-1,"")</f>
        <v/>
      </c>
      <c r="FJ70" s="59">
        <f>$BY70-$BY71</f>
        <v/>
      </c>
      <c r="FK70" s="59">
        <f>$BZ70-$BZ71</f>
        <v/>
      </c>
      <c r="FL70" s="59">
        <f>$CA70-$CA71</f>
        <v/>
      </c>
      <c r="FM70" s="59">
        <f>$CB70-$CB71</f>
        <v/>
      </c>
      <c r="FN70" s="59">
        <f>$CC70-$CC71</f>
        <v/>
      </c>
      <c r="FO70" s="59">
        <f>$CD70-$CD71</f>
        <v/>
      </c>
      <c r="FP70" s="59">
        <f>$CE70-$CE71</f>
        <v/>
      </c>
      <c r="FQ70" s="59">
        <f>$CF70-$CF71</f>
        <v/>
      </c>
      <c r="FR70" s="59">
        <f>$CG70-$CG71</f>
        <v/>
      </c>
      <c r="FS70" s="59">
        <f>$CH70-$CH71</f>
        <v/>
      </c>
      <c r="FT70" s="59">
        <f>$CI70-$CI71</f>
        <v/>
      </c>
      <c r="FU70" s="59">
        <f>$CJ70-$CJ71</f>
        <v/>
      </c>
      <c r="FV70" s="59">
        <f>$CK70-$CK71</f>
        <v/>
      </c>
      <c r="FW70" s="59">
        <f>$CL70-$CL71</f>
        <v/>
      </c>
      <c r="FX70" s="59">
        <f>$CM70-$CM71</f>
        <v/>
      </c>
      <c r="FY70" s="59">
        <f>$CN70-$CN71</f>
        <v/>
      </c>
      <c r="FZ70" s="59">
        <f>$CO70-$CO71</f>
        <v/>
      </c>
      <c r="GA70" s="59">
        <f>$CP70-$CP71</f>
        <v/>
      </c>
      <c r="GB70" s="59">
        <f>$CQ70-$CQ71</f>
        <v/>
      </c>
      <c r="GC70" s="59">
        <f>$CR70-$CR71</f>
        <v/>
      </c>
      <c r="GD70" s="59">
        <f>$CS70-$CS71</f>
        <v/>
      </c>
      <c r="GE70" s="59">
        <f>$CT70-$CT71</f>
        <v/>
      </c>
    </row>
    <row r="71">
      <c r="CU71" s="58">
        <f>IFERROR($B71/$B72-1,"")</f>
        <v/>
      </c>
      <c r="CV71" s="59">
        <f>($F71-$F72)*100</f>
        <v/>
      </c>
      <c r="CW71" s="59">
        <f>($E71-$E72)*100</f>
        <v/>
      </c>
      <c r="CX71" s="58">
        <f>IFERROR($K71/$K72-1,"")</f>
        <v/>
      </c>
      <c r="CY71" s="59">
        <f>($AH71-$AH72)*100</f>
        <v/>
      </c>
      <c r="CZ71" s="59">
        <f>($AI71-$AI72)*100</f>
        <v/>
      </c>
      <c r="DA71" s="59">
        <f>($AJ71-$AJ72)*100</f>
        <v/>
      </c>
      <c r="DB71" s="59">
        <f>($AK71-$AK72)*100</f>
        <v/>
      </c>
      <c r="DC71" s="59">
        <f>($AL71-$AL72)*100</f>
        <v/>
      </c>
      <c r="DD71" s="59">
        <f>($AM71-$AM72)*100</f>
        <v/>
      </c>
      <c r="DE71" s="59">
        <f>($AN71-$AN72)*100</f>
        <v/>
      </c>
      <c r="DF71" s="59">
        <f>($AO71-$AO72)*100</f>
        <v/>
      </c>
      <c r="DG71" s="59">
        <f>($AP71-$AP72)*100</f>
        <v/>
      </c>
      <c r="DH71" s="59">
        <f>($AQ71-$AQ72)*100</f>
        <v/>
      </c>
      <c r="DI71" s="59">
        <f>($AR71-$AR72)*100</f>
        <v/>
      </c>
      <c r="DJ71" s="59">
        <f>($AS71-$AS72)*100</f>
        <v/>
      </c>
      <c r="DK71" s="59">
        <f>($AT71-$AT72)*100</f>
        <v/>
      </c>
      <c r="DL71" s="59">
        <f>($AU71-$AU72)*100</f>
        <v/>
      </c>
      <c r="DM71" s="59">
        <f>($AV71-$AV72)*100</f>
        <v/>
      </c>
      <c r="DN71" s="59">
        <f>($AW71-$AW72)*100</f>
        <v/>
      </c>
      <c r="DO71" s="59">
        <f>($AX71-$AX72)*100</f>
        <v/>
      </c>
      <c r="DP71" s="59">
        <f>($AY71-$AY72)*100</f>
        <v/>
      </c>
      <c r="DQ71" s="59">
        <f>($AZ71-$AZ72)*100</f>
        <v/>
      </c>
      <c r="DR71" s="59">
        <f>($BA71-$BA72)*100</f>
        <v/>
      </c>
      <c r="DS71" s="58">
        <f>IFERROR($N72/$N71-1,"")</f>
        <v/>
      </c>
      <c r="DT71" s="58">
        <f>IFERROR($O72/$O71-1,"")</f>
        <v/>
      </c>
      <c r="DU71" s="58">
        <f>IFERROR($P72/$P71-1,"")</f>
        <v/>
      </c>
      <c r="DV71" s="58">
        <f>IFERROR($Q72/$Q71-1,"")</f>
        <v/>
      </c>
      <c r="DW71" s="58">
        <f>IFERROR($R72/$R71-1,"")</f>
        <v/>
      </c>
      <c r="DX71" s="58">
        <f>IFERROR($S72/$S71-1,"")</f>
        <v/>
      </c>
      <c r="DY71" s="58">
        <f>IFERROR($T72/$T71-1,"")</f>
        <v/>
      </c>
      <c r="DZ71" s="58">
        <f>IFERROR($U72/$U71-1,"")</f>
        <v/>
      </c>
      <c r="EA71" s="58">
        <f>IFERROR($V72/$V71-1,"")</f>
        <v/>
      </c>
      <c r="EB71" s="58">
        <f>IFERROR($W72/$W71-1,"")</f>
        <v/>
      </c>
      <c r="EC71" s="58">
        <f>IFERROR($X72/$X71-1,"")</f>
        <v/>
      </c>
      <c r="ED71" s="58">
        <f>IFERROR($Y72/$Y71-1,"")</f>
        <v/>
      </c>
      <c r="EE71" s="58">
        <f>IFERROR($Z72/$Z71-1,"")</f>
        <v/>
      </c>
      <c r="EF71" s="58">
        <f>IFERROR($AA72/$AA71-1,"")</f>
        <v/>
      </c>
      <c r="EG71" s="58">
        <f>IFERROR($AB72/$AB71-1,"")</f>
        <v/>
      </c>
      <c r="EH71" s="58">
        <f>IFERROR($AC72/$AC71-1,"")</f>
        <v/>
      </c>
      <c r="EI71" s="58">
        <f>IFERROR($AD72/$AD71-1,"")</f>
        <v/>
      </c>
      <c r="EJ71" s="58">
        <f>IFERROR($AE72/$AE71-1,"")</f>
        <v/>
      </c>
      <c r="EK71" s="58">
        <f>IFERROR($AF72/$AF71-1,"")</f>
        <v/>
      </c>
      <c r="EL71" s="58">
        <f>IFERROR($AG72/$AG71-1,"")</f>
        <v/>
      </c>
      <c r="EM71" s="58">
        <f>IFERROR($BB71/$BB72-1,"")</f>
        <v/>
      </c>
      <c r="EN71" s="58">
        <f>IFERROR($BC71/$BC72-1,"")</f>
        <v/>
      </c>
      <c r="EO71" s="58">
        <f>IFERROR($BD71/$BD72-1,"")</f>
        <v/>
      </c>
      <c r="EP71" s="58">
        <f>IFERROR($BE71/$BE72-1,"")</f>
        <v/>
      </c>
      <c r="EQ71" s="58">
        <f>IFERROR($BF71/$BF72-1,"")</f>
        <v/>
      </c>
      <c r="ER71" s="58">
        <f>IFERROR($BG71/$BG72-1,"")</f>
        <v/>
      </c>
      <c r="ES71" s="58">
        <f>IFERROR($BH71/$BH72-1,"")</f>
        <v/>
      </c>
      <c r="ET71" s="58">
        <f>IFERROR($BI71/$BI72-1,"")</f>
        <v/>
      </c>
      <c r="EU71" s="58">
        <f>IFERROR($BJ71/$BJ72-1,"")</f>
        <v/>
      </c>
      <c r="EV71" s="58">
        <f>IFERROR($BK71/$BK72-1,"")</f>
        <v/>
      </c>
      <c r="EW71" s="58">
        <f>IFERROR($BL71/$BL72-1,"")</f>
        <v/>
      </c>
      <c r="EX71" s="58">
        <f>IFERROR($BM71/$BM72-1,"")</f>
        <v/>
      </c>
      <c r="EY71" s="58">
        <f>IFERROR($BN71/$BN72-1,"")</f>
        <v/>
      </c>
      <c r="EZ71" s="58">
        <f>IFERROR($BO71/$BO72-1,"")</f>
        <v/>
      </c>
      <c r="FA71" s="58">
        <f>IFERROR($BP71/$BP72-1,"")</f>
        <v/>
      </c>
      <c r="FB71" s="58">
        <f>IFERROR($BQ71/$BQ72-1,"")</f>
        <v/>
      </c>
      <c r="FC71" s="58">
        <f>IFERROR($BR71/$BR72-1,"")</f>
        <v/>
      </c>
      <c r="FD71" s="58">
        <f>IFERROR($BS71/$BS72-1,"")</f>
        <v/>
      </c>
      <c r="FE71" s="58">
        <f>IFERROR($BT71/$BT72-1,"")</f>
        <v/>
      </c>
      <c r="FF71" s="58">
        <f>IFERROR($BU71/$BU72-1,"")</f>
        <v/>
      </c>
      <c r="FG71" s="58">
        <f>IFERROR($BV71/$BV72-1,"")</f>
        <v/>
      </c>
      <c r="FH71" s="58">
        <f>IFERROR($BW71/$BW72-1,"")</f>
        <v/>
      </c>
      <c r="FI71" s="58">
        <f>IFERROR($BX71/$BX72-1,"")</f>
        <v/>
      </c>
      <c r="FJ71" s="59">
        <f>$BY71-$BY72</f>
        <v/>
      </c>
      <c r="FK71" s="59">
        <f>$BZ71-$BZ72</f>
        <v/>
      </c>
      <c r="FL71" s="59">
        <f>$CA71-$CA72</f>
        <v/>
      </c>
      <c r="FM71" s="59">
        <f>$CB71-$CB72</f>
        <v/>
      </c>
      <c r="FN71" s="59">
        <f>$CC71-$CC72</f>
        <v/>
      </c>
      <c r="FO71" s="59">
        <f>$CD71-$CD72</f>
        <v/>
      </c>
      <c r="FP71" s="59">
        <f>$CE71-$CE72</f>
        <v/>
      </c>
      <c r="FQ71" s="59">
        <f>$CF71-$CF72</f>
        <v/>
      </c>
      <c r="FR71" s="59">
        <f>$CG71-$CG72</f>
        <v/>
      </c>
      <c r="FS71" s="59">
        <f>$CH71-$CH72</f>
        <v/>
      </c>
      <c r="FT71" s="59">
        <f>$CI71-$CI72</f>
        <v/>
      </c>
      <c r="FU71" s="59">
        <f>$CJ71-$CJ72</f>
        <v/>
      </c>
      <c r="FV71" s="59">
        <f>$CK71-$CK72</f>
        <v/>
      </c>
      <c r="FW71" s="59">
        <f>$CL71-$CL72</f>
        <v/>
      </c>
      <c r="FX71" s="59">
        <f>$CM71-$CM72</f>
        <v/>
      </c>
      <c r="FY71" s="59">
        <f>$CN71-$CN72</f>
        <v/>
      </c>
      <c r="FZ71" s="59">
        <f>$CO71-$CO72</f>
        <v/>
      </c>
      <c r="GA71" s="59">
        <f>$CP71-$CP72</f>
        <v/>
      </c>
      <c r="GB71" s="59">
        <f>$CQ71-$CQ72</f>
        <v/>
      </c>
      <c r="GC71" s="59">
        <f>$CR71-$CR72</f>
        <v/>
      </c>
      <c r="GD71" s="59">
        <f>$CS71-$CS72</f>
        <v/>
      </c>
      <c r="GE71" s="59">
        <f>$CT71-$CT72</f>
        <v/>
      </c>
    </row>
    <row r="72">
      <c r="CU72" s="58">
        <f>IFERROR($B72/$B73-1,"")</f>
        <v/>
      </c>
      <c r="CV72" s="59">
        <f>($F72-$F73)*100</f>
        <v/>
      </c>
      <c r="CW72" s="59">
        <f>($E72-$E73)*100</f>
        <v/>
      </c>
      <c r="CX72" s="58">
        <f>IFERROR($K72/$K73-1,"")</f>
        <v/>
      </c>
      <c r="CY72" s="59">
        <f>($AH72-$AH73)*100</f>
        <v/>
      </c>
      <c r="CZ72" s="59">
        <f>($AI72-$AI73)*100</f>
        <v/>
      </c>
      <c r="DA72" s="59">
        <f>($AJ72-$AJ73)*100</f>
        <v/>
      </c>
      <c r="DB72" s="59">
        <f>($AK72-$AK73)*100</f>
        <v/>
      </c>
      <c r="DC72" s="59">
        <f>($AL72-$AL73)*100</f>
        <v/>
      </c>
      <c r="DD72" s="59">
        <f>($AM72-$AM73)*100</f>
        <v/>
      </c>
      <c r="DE72" s="59">
        <f>($AN72-$AN73)*100</f>
        <v/>
      </c>
      <c r="DF72" s="59">
        <f>($AO72-$AO73)*100</f>
        <v/>
      </c>
      <c r="DG72" s="59">
        <f>($AP72-$AP73)*100</f>
        <v/>
      </c>
      <c r="DH72" s="59">
        <f>($AQ72-$AQ73)*100</f>
        <v/>
      </c>
      <c r="DI72" s="59">
        <f>($AR72-$AR73)*100</f>
        <v/>
      </c>
      <c r="DJ72" s="59">
        <f>($AS72-$AS73)*100</f>
        <v/>
      </c>
      <c r="DK72" s="59">
        <f>($AT72-$AT73)*100</f>
        <v/>
      </c>
      <c r="DL72" s="59">
        <f>($AU72-$AU73)*100</f>
        <v/>
      </c>
      <c r="DM72" s="59">
        <f>($AV72-$AV73)*100</f>
        <v/>
      </c>
      <c r="DN72" s="59">
        <f>($AW72-$AW73)*100</f>
        <v/>
      </c>
      <c r="DO72" s="59">
        <f>($AX72-$AX73)*100</f>
        <v/>
      </c>
      <c r="DP72" s="59">
        <f>($AY72-$AY73)*100</f>
        <v/>
      </c>
      <c r="DQ72" s="59">
        <f>($AZ72-$AZ73)*100</f>
        <v/>
      </c>
      <c r="DR72" s="59">
        <f>($BA72-$BA73)*100</f>
        <v/>
      </c>
      <c r="DS72" s="58">
        <f>IFERROR($N73/$N72-1,"")</f>
        <v/>
      </c>
      <c r="DT72" s="58">
        <f>IFERROR($O73/$O72-1,"")</f>
        <v/>
      </c>
      <c r="DU72" s="58">
        <f>IFERROR($P73/$P72-1,"")</f>
        <v/>
      </c>
      <c r="DV72" s="58">
        <f>IFERROR($Q73/$Q72-1,"")</f>
        <v/>
      </c>
      <c r="DW72" s="58">
        <f>IFERROR($R73/$R72-1,"")</f>
        <v/>
      </c>
      <c r="DX72" s="58">
        <f>IFERROR($S73/$S72-1,"")</f>
        <v/>
      </c>
      <c r="DY72" s="58">
        <f>IFERROR($T73/$T72-1,"")</f>
        <v/>
      </c>
      <c r="DZ72" s="58">
        <f>IFERROR($U73/$U72-1,"")</f>
        <v/>
      </c>
      <c r="EA72" s="58">
        <f>IFERROR($V73/$V72-1,"")</f>
        <v/>
      </c>
      <c r="EB72" s="58">
        <f>IFERROR($W73/$W72-1,"")</f>
        <v/>
      </c>
      <c r="EC72" s="58">
        <f>IFERROR($X73/$X72-1,"")</f>
        <v/>
      </c>
      <c r="ED72" s="58">
        <f>IFERROR($Y73/$Y72-1,"")</f>
        <v/>
      </c>
      <c r="EE72" s="58">
        <f>IFERROR($Z73/$Z72-1,"")</f>
        <v/>
      </c>
      <c r="EF72" s="58">
        <f>IFERROR($AA73/$AA72-1,"")</f>
        <v/>
      </c>
      <c r="EG72" s="58">
        <f>IFERROR($AB73/$AB72-1,"")</f>
        <v/>
      </c>
      <c r="EH72" s="58">
        <f>IFERROR($AC73/$AC72-1,"")</f>
        <v/>
      </c>
      <c r="EI72" s="58">
        <f>IFERROR($AD73/$AD72-1,"")</f>
        <v/>
      </c>
      <c r="EJ72" s="58">
        <f>IFERROR($AE73/$AE72-1,"")</f>
        <v/>
      </c>
      <c r="EK72" s="58">
        <f>IFERROR($AF73/$AF72-1,"")</f>
        <v/>
      </c>
      <c r="EL72" s="58">
        <f>IFERROR($AG73/$AG72-1,"")</f>
        <v/>
      </c>
      <c r="EM72" s="58">
        <f>IFERROR($BB72/$BB73-1,"")</f>
        <v/>
      </c>
      <c r="EN72" s="58">
        <f>IFERROR($BC72/$BC73-1,"")</f>
        <v/>
      </c>
      <c r="EO72" s="58">
        <f>IFERROR($BD72/$BD73-1,"")</f>
        <v/>
      </c>
      <c r="EP72" s="58">
        <f>IFERROR($BE72/$BE73-1,"")</f>
        <v/>
      </c>
      <c r="EQ72" s="58">
        <f>IFERROR($BF72/$BF73-1,"")</f>
        <v/>
      </c>
      <c r="ER72" s="58">
        <f>IFERROR($BG72/$BG73-1,"")</f>
        <v/>
      </c>
      <c r="ES72" s="58">
        <f>IFERROR($BH72/$BH73-1,"")</f>
        <v/>
      </c>
      <c r="ET72" s="58">
        <f>IFERROR($BI72/$BI73-1,"")</f>
        <v/>
      </c>
      <c r="EU72" s="58">
        <f>IFERROR($BJ72/$BJ73-1,"")</f>
        <v/>
      </c>
      <c r="EV72" s="58">
        <f>IFERROR($BK72/$BK73-1,"")</f>
        <v/>
      </c>
      <c r="EW72" s="58">
        <f>IFERROR($BL72/$BL73-1,"")</f>
        <v/>
      </c>
      <c r="EX72" s="58">
        <f>IFERROR($BM72/$BM73-1,"")</f>
        <v/>
      </c>
      <c r="EY72" s="58">
        <f>IFERROR($BN72/$BN73-1,"")</f>
        <v/>
      </c>
      <c r="EZ72" s="58">
        <f>IFERROR($BO72/$BO73-1,"")</f>
        <v/>
      </c>
      <c r="FA72" s="58">
        <f>IFERROR($BP72/$BP73-1,"")</f>
        <v/>
      </c>
      <c r="FB72" s="58">
        <f>IFERROR($BQ72/$BQ73-1,"")</f>
        <v/>
      </c>
      <c r="FC72" s="58">
        <f>IFERROR($BR72/$BR73-1,"")</f>
        <v/>
      </c>
      <c r="FD72" s="58">
        <f>IFERROR($BS72/$BS73-1,"")</f>
        <v/>
      </c>
      <c r="FE72" s="58">
        <f>IFERROR($BT72/$BT73-1,"")</f>
        <v/>
      </c>
      <c r="FF72" s="58">
        <f>IFERROR($BU72/$BU73-1,"")</f>
        <v/>
      </c>
      <c r="FG72" s="58">
        <f>IFERROR($BV72/$BV73-1,"")</f>
        <v/>
      </c>
      <c r="FH72" s="58">
        <f>IFERROR($BW72/$BW73-1,"")</f>
        <v/>
      </c>
      <c r="FI72" s="58">
        <f>IFERROR($BX72/$BX73-1,"")</f>
        <v/>
      </c>
      <c r="FJ72" s="59">
        <f>$BY72-$BY73</f>
        <v/>
      </c>
      <c r="FK72" s="59">
        <f>$BZ72-$BZ73</f>
        <v/>
      </c>
      <c r="FL72" s="59">
        <f>$CA72-$CA73</f>
        <v/>
      </c>
      <c r="FM72" s="59">
        <f>$CB72-$CB73</f>
        <v/>
      </c>
      <c r="FN72" s="59">
        <f>$CC72-$CC73</f>
        <v/>
      </c>
      <c r="FO72" s="59">
        <f>$CD72-$CD73</f>
        <v/>
      </c>
      <c r="FP72" s="59">
        <f>$CE72-$CE73</f>
        <v/>
      </c>
      <c r="FQ72" s="59">
        <f>$CF72-$CF73</f>
        <v/>
      </c>
      <c r="FR72" s="59">
        <f>$CG72-$CG73</f>
        <v/>
      </c>
      <c r="FS72" s="59">
        <f>$CH72-$CH73</f>
        <v/>
      </c>
      <c r="FT72" s="59">
        <f>$CI72-$CI73</f>
        <v/>
      </c>
      <c r="FU72" s="59">
        <f>$CJ72-$CJ73</f>
        <v/>
      </c>
      <c r="FV72" s="59">
        <f>$CK72-$CK73</f>
        <v/>
      </c>
      <c r="FW72" s="59">
        <f>$CL72-$CL73</f>
        <v/>
      </c>
      <c r="FX72" s="59">
        <f>$CM72-$CM73</f>
        <v/>
      </c>
      <c r="FY72" s="59">
        <f>$CN72-$CN73</f>
        <v/>
      </c>
      <c r="FZ72" s="59">
        <f>$CO72-$CO73</f>
        <v/>
      </c>
      <c r="GA72" s="59">
        <f>$CP72-$CP73</f>
        <v/>
      </c>
      <c r="GB72" s="59">
        <f>$CQ72-$CQ73</f>
        <v/>
      </c>
      <c r="GC72" s="59">
        <f>$CR72-$CR73</f>
        <v/>
      </c>
      <c r="GD72" s="59">
        <f>$CS72-$CS73</f>
        <v/>
      </c>
      <c r="GE72" s="59">
        <f>$CT72-$CT73</f>
        <v/>
      </c>
    </row>
    <row r="73">
      <c r="CU73" s="58">
        <f>IFERROR($B73/$B74-1,"")</f>
        <v/>
      </c>
      <c r="CV73" s="59">
        <f>($F73-$F74)*100</f>
        <v/>
      </c>
      <c r="CW73" s="59">
        <f>($E73-$E74)*100</f>
        <v/>
      </c>
      <c r="CX73" s="58">
        <f>IFERROR($K73/$K74-1,"")</f>
        <v/>
      </c>
      <c r="CY73" s="59">
        <f>($AH73-$AH74)*100</f>
        <v/>
      </c>
      <c r="CZ73" s="59">
        <f>($AI73-$AI74)*100</f>
        <v/>
      </c>
      <c r="DA73" s="59">
        <f>($AJ73-$AJ74)*100</f>
        <v/>
      </c>
      <c r="DB73" s="59">
        <f>($AK73-$AK74)*100</f>
        <v/>
      </c>
      <c r="DC73" s="59">
        <f>($AL73-$AL74)*100</f>
        <v/>
      </c>
      <c r="DD73" s="59">
        <f>($AM73-$AM74)*100</f>
        <v/>
      </c>
      <c r="DE73" s="59">
        <f>($AN73-$AN74)*100</f>
        <v/>
      </c>
      <c r="DF73" s="59">
        <f>($AO73-$AO74)*100</f>
        <v/>
      </c>
      <c r="DG73" s="59">
        <f>($AP73-$AP74)*100</f>
        <v/>
      </c>
      <c r="DH73" s="59">
        <f>($AQ73-$AQ74)*100</f>
        <v/>
      </c>
      <c r="DI73" s="59">
        <f>($AR73-$AR74)*100</f>
        <v/>
      </c>
      <c r="DJ73" s="59">
        <f>($AS73-$AS74)*100</f>
        <v/>
      </c>
      <c r="DK73" s="59">
        <f>($AT73-$AT74)*100</f>
        <v/>
      </c>
      <c r="DL73" s="59">
        <f>($AU73-$AU74)*100</f>
        <v/>
      </c>
      <c r="DM73" s="59">
        <f>($AV73-$AV74)*100</f>
        <v/>
      </c>
      <c r="DN73" s="59">
        <f>($AW73-$AW74)*100</f>
        <v/>
      </c>
      <c r="DO73" s="59">
        <f>($AX73-$AX74)*100</f>
        <v/>
      </c>
      <c r="DP73" s="59">
        <f>($AY73-$AY74)*100</f>
        <v/>
      </c>
      <c r="DQ73" s="59">
        <f>($AZ73-$AZ74)*100</f>
        <v/>
      </c>
      <c r="DR73" s="59">
        <f>($BA73-$BA74)*100</f>
        <v/>
      </c>
      <c r="DS73" s="58">
        <f>IFERROR($N74/$N73-1,"")</f>
        <v/>
      </c>
      <c r="DT73" s="58">
        <f>IFERROR($O74/$O73-1,"")</f>
        <v/>
      </c>
      <c r="DU73" s="58">
        <f>IFERROR($P74/$P73-1,"")</f>
        <v/>
      </c>
      <c r="DV73" s="58">
        <f>IFERROR($Q74/$Q73-1,"")</f>
        <v/>
      </c>
      <c r="DW73" s="58">
        <f>IFERROR($R74/$R73-1,"")</f>
        <v/>
      </c>
      <c r="DX73" s="58">
        <f>IFERROR($S74/$S73-1,"")</f>
        <v/>
      </c>
      <c r="DY73" s="58">
        <f>IFERROR($T74/$T73-1,"")</f>
        <v/>
      </c>
      <c r="DZ73" s="58">
        <f>IFERROR($U74/$U73-1,"")</f>
        <v/>
      </c>
      <c r="EA73" s="58">
        <f>IFERROR($V74/$V73-1,"")</f>
        <v/>
      </c>
      <c r="EB73" s="58">
        <f>IFERROR($W74/$W73-1,"")</f>
        <v/>
      </c>
      <c r="EC73" s="58">
        <f>IFERROR($X74/$X73-1,"")</f>
        <v/>
      </c>
      <c r="ED73" s="58">
        <f>IFERROR($Y74/$Y73-1,"")</f>
        <v/>
      </c>
      <c r="EE73" s="58">
        <f>IFERROR($Z74/$Z73-1,"")</f>
        <v/>
      </c>
      <c r="EF73" s="58">
        <f>IFERROR($AA74/$AA73-1,"")</f>
        <v/>
      </c>
      <c r="EG73" s="58">
        <f>IFERROR($AB74/$AB73-1,"")</f>
        <v/>
      </c>
      <c r="EH73" s="58">
        <f>IFERROR($AC74/$AC73-1,"")</f>
        <v/>
      </c>
      <c r="EI73" s="58">
        <f>IFERROR($AD74/$AD73-1,"")</f>
        <v/>
      </c>
      <c r="EJ73" s="58">
        <f>IFERROR($AE74/$AE73-1,"")</f>
        <v/>
      </c>
      <c r="EK73" s="58">
        <f>IFERROR($AF74/$AF73-1,"")</f>
        <v/>
      </c>
      <c r="EL73" s="58">
        <f>IFERROR($AG74/$AG73-1,"")</f>
        <v/>
      </c>
      <c r="EM73" s="58">
        <f>IFERROR($BB73/$BB74-1,"")</f>
        <v/>
      </c>
      <c r="EN73" s="58">
        <f>IFERROR($BC73/$BC74-1,"")</f>
        <v/>
      </c>
      <c r="EO73" s="58">
        <f>IFERROR($BD73/$BD74-1,"")</f>
        <v/>
      </c>
      <c r="EP73" s="58">
        <f>IFERROR($BE73/$BE74-1,"")</f>
        <v/>
      </c>
      <c r="EQ73" s="58">
        <f>IFERROR($BF73/$BF74-1,"")</f>
        <v/>
      </c>
      <c r="ER73" s="58">
        <f>IFERROR($BG73/$BG74-1,"")</f>
        <v/>
      </c>
      <c r="ES73" s="58">
        <f>IFERROR($BH73/$BH74-1,"")</f>
        <v/>
      </c>
      <c r="ET73" s="58">
        <f>IFERROR($BI73/$BI74-1,"")</f>
        <v/>
      </c>
      <c r="EU73" s="58">
        <f>IFERROR($BJ73/$BJ74-1,"")</f>
        <v/>
      </c>
      <c r="EV73" s="58">
        <f>IFERROR($BK73/$BK74-1,"")</f>
        <v/>
      </c>
      <c r="EW73" s="58">
        <f>IFERROR($BL73/$BL74-1,"")</f>
        <v/>
      </c>
      <c r="EX73" s="58">
        <f>IFERROR($BM73/$BM74-1,"")</f>
        <v/>
      </c>
      <c r="EY73" s="58">
        <f>IFERROR($BN73/$BN74-1,"")</f>
        <v/>
      </c>
      <c r="EZ73" s="58">
        <f>IFERROR($BO73/$BO74-1,"")</f>
        <v/>
      </c>
      <c r="FA73" s="58">
        <f>IFERROR($BP73/$BP74-1,"")</f>
        <v/>
      </c>
      <c r="FB73" s="58">
        <f>IFERROR($BQ73/$BQ74-1,"")</f>
        <v/>
      </c>
      <c r="FC73" s="58">
        <f>IFERROR($BR73/$BR74-1,"")</f>
        <v/>
      </c>
      <c r="FD73" s="58">
        <f>IFERROR($BS73/$BS74-1,"")</f>
        <v/>
      </c>
      <c r="FE73" s="58">
        <f>IFERROR($BT73/$BT74-1,"")</f>
        <v/>
      </c>
      <c r="FF73" s="58">
        <f>IFERROR($BU73/$BU74-1,"")</f>
        <v/>
      </c>
      <c r="FG73" s="58">
        <f>IFERROR($BV73/$BV74-1,"")</f>
        <v/>
      </c>
      <c r="FH73" s="58">
        <f>IFERROR($BW73/$BW74-1,"")</f>
        <v/>
      </c>
      <c r="FI73" s="58">
        <f>IFERROR($BX73/$BX74-1,"")</f>
        <v/>
      </c>
      <c r="FJ73" s="59">
        <f>$BY73-$BY74</f>
        <v/>
      </c>
      <c r="FK73" s="59">
        <f>$BZ73-$BZ74</f>
        <v/>
      </c>
      <c r="FL73" s="59">
        <f>$CA73-$CA74</f>
        <v/>
      </c>
      <c r="FM73" s="59">
        <f>$CB73-$CB74</f>
        <v/>
      </c>
      <c r="FN73" s="59">
        <f>$CC73-$CC74</f>
        <v/>
      </c>
      <c r="FO73" s="59">
        <f>$CD73-$CD74</f>
        <v/>
      </c>
      <c r="FP73" s="59">
        <f>$CE73-$CE74</f>
        <v/>
      </c>
      <c r="FQ73" s="59">
        <f>$CF73-$CF74</f>
        <v/>
      </c>
      <c r="FR73" s="59">
        <f>$CG73-$CG74</f>
        <v/>
      </c>
      <c r="FS73" s="59">
        <f>$CH73-$CH74</f>
        <v/>
      </c>
      <c r="FT73" s="59">
        <f>$CI73-$CI74</f>
        <v/>
      </c>
      <c r="FU73" s="59">
        <f>$CJ73-$CJ74</f>
        <v/>
      </c>
      <c r="FV73" s="59">
        <f>$CK73-$CK74</f>
        <v/>
      </c>
      <c r="FW73" s="59">
        <f>$CL73-$CL74</f>
        <v/>
      </c>
      <c r="FX73" s="59">
        <f>$CM73-$CM74</f>
        <v/>
      </c>
      <c r="FY73" s="59">
        <f>$CN73-$CN74</f>
        <v/>
      </c>
      <c r="FZ73" s="59">
        <f>$CO73-$CO74</f>
        <v/>
      </c>
      <c r="GA73" s="59">
        <f>$CP73-$CP74</f>
        <v/>
      </c>
      <c r="GB73" s="59">
        <f>$CQ73-$CQ74</f>
        <v/>
      </c>
      <c r="GC73" s="59">
        <f>$CR73-$CR74</f>
        <v/>
      </c>
      <c r="GD73" s="59">
        <f>$CS73-$CS74</f>
        <v/>
      </c>
      <c r="GE73" s="59">
        <f>$CT73-$CT74</f>
        <v/>
      </c>
    </row>
    <row r="74">
      <c r="CU74" s="58">
        <f>IFERROR($B74/$B75-1,"")</f>
        <v/>
      </c>
      <c r="CV74" s="59">
        <f>($F74-$F75)*100</f>
        <v/>
      </c>
      <c r="CW74" s="59">
        <f>($E74-$E75)*100</f>
        <v/>
      </c>
      <c r="CX74" s="58">
        <f>IFERROR($K74/$K75-1,"")</f>
        <v/>
      </c>
      <c r="CY74" s="59">
        <f>($AH74-$AH75)*100</f>
        <v/>
      </c>
      <c r="CZ74" s="59">
        <f>($AI74-$AI75)*100</f>
        <v/>
      </c>
      <c r="DA74" s="59">
        <f>($AJ74-$AJ75)*100</f>
        <v/>
      </c>
      <c r="DB74" s="59">
        <f>($AK74-$AK75)*100</f>
        <v/>
      </c>
      <c r="DC74" s="59">
        <f>($AL74-$AL75)*100</f>
        <v/>
      </c>
      <c r="DD74" s="59">
        <f>($AM74-$AM75)*100</f>
        <v/>
      </c>
      <c r="DE74" s="59">
        <f>($AN74-$AN75)*100</f>
        <v/>
      </c>
      <c r="DF74" s="59">
        <f>($AO74-$AO75)*100</f>
        <v/>
      </c>
      <c r="DG74" s="59">
        <f>($AP74-$AP75)*100</f>
        <v/>
      </c>
      <c r="DH74" s="59">
        <f>($AQ74-$AQ75)*100</f>
        <v/>
      </c>
      <c r="DI74" s="59">
        <f>($AR74-$AR75)*100</f>
        <v/>
      </c>
      <c r="DJ74" s="59">
        <f>($AS74-$AS75)*100</f>
        <v/>
      </c>
      <c r="DK74" s="59">
        <f>($AT74-$AT75)*100</f>
        <v/>
      </c>
      <c r="DL74" s="59">
        <f>($AU74-$AU75)*100</f>
        <v/>
      </c>
      <c r="DM74" s="59">
        <f>($AV74-$AV75)*100</f>
        <v/>
      </c>
      <c r="DN74" s="59">
        <f>($AW74-$AW75)*100</f>
        <v/>
      </c>
      <c r="DO74" s="59">
        <f>($AX74-$AX75)*100</f>
        <v/>
      </c>
      <c r="DP74" s="59">
        <f>($AY74-$AY75)*100</f>
        <v/>
      </c>
      <c r="DQ74" s="59">
        <f>($AZ74-$AZ75)*100</f>
        <v/>
      </c>
      <c r="DR74" s="59">
        <f>($BA74-$BA75)*100</f>
        <v/>
      </c>
      <c r="DS74" s="58">
        <f>IFERROR($N75/$N74-1,"")</f>
        <v/>
      </c>
      <c r="DT74" s="58">
        <f>IFERROR($O75/$O74-1,"")</f>
        <v/>
      </c>
      <c r="DU74" s="58">
        <f>IFERROR($P75/$P74-1,"")</f>
        <v/>
      </c>
      <c r="DV74" s="58">
        <f>IFERROR($Q75/$Q74-1,"")</f>
        <v/>
      </c>
      <c r="DW74" s="58">
        <f>IFERROR($R75/$R74-1,"")</f>
        <v/>
      </c>
      <c r="DX74" s="58">
        <f>IFERROR($S75/$S74-1,"")</f>
        <v/>
      </c>
      <c r="DY74" s="58">
        <f>IFERROR($T75/$T74-1,"")</f>
        <v/>
      </c>
      <c r="DZ74" s="58">
        <f>IFERROR($U75/$U74-1,"")</f>
        <v/>
      </c>
      <c r="EA74" s="58">
        <f>IFERROR($V75/$V74-1,"")</f>
        <v/>
      </c>
      <c r="EB74" s="58">
        <f>IFERROR($W75/$W74-1,"")</f>
        <v/>
      </c>
      <c r="EC74" s="58">
        <f>IFERROR($X75/$X74-1,"")</f>
        <v/>
      </c>
      <c r="ED74" s="58">
        <f>IFERROR($Y75/$Y74-1,"")</f>
        <v/>
      </c>
      <c r="EE74" s="58">
        <f>IFERROR($Z75/$Z74-1,"")</f>
        <v/>
      </c>
      <c r="EF74" s="58">
        <f>IFERROR($AA75/$AA74-1,"")</f>
        <v/>
      </c>
      <c r="EG74" s="58">
        <f>IFERROR($AB75/$AB74-1,"")</f>
        <v/>
      </c>
      <c r="EH74" s="58">
        <f>IFERROR($AC75/$AC74-1,"")</f>
        <v/>
      </c>
      <c r="EI74" s="58">
        <f>IFERROR($AD75/$AD74-1,"")</f>
        <v/>
      </c>
      <c r="EJ74" s="58">
        <f>IFERROR($AE75/$AE74-1,"")</f>
        <v/>
      </c>
      <c r="EK74" s="58">
        <f>IFERROR($AF75/$AF74-1,"")</f>
        <v/>
      </c>
      <c r="EL74" s="58">
        <f>IFERROR($AG75/$AG74-1,"")</f>
        <v/>
      </c>
      <c r="EM74" s="58">
        <f>IFERROR($BB74/$BB75-1,"")</f>
        <v/>
      </c>
      <c r="EN74" s="58">
        <f>IFERROR($BC74/$BC75-1,"")</f>
        <v/>
      </c>
      <c r="EO74" s="58">
        <f>IFERROR($BD74/$BD75-1,"")</f>
        <v/>
      </c>
      <c r="EP74" s="58">
        <f>IFERROR($BE74/$BE75-1,"")</f>
        <v/>
      </c>
      <c r="EQ74" s="58">
        <f>IFERROR($BF74/$BF75-1,"")</f>
        <v/>
      </c>
      <c r="ER74" s="58">
        <f>IFERROR($BG74/$BG75-1,"")</f>
        <v/>
      </c>
      <c r="ES74" s="58">
        <f>IFERROR($BH74/$BH75-1,"")</f>
        <v/>
      </c>
      <c r="ET74" s="58">
        <f>IFERROR($BI74/$BI75-1,"")</f>
        <v/>
      </c>
      <c r="EU74" s="58">
        <f>IFERROR($BJ74/$BJ75-1,"")</f>
        <v/>
      </c>
      <c r="EV74" s="58">
        <f>IFERROR($BK74/$BK75-1,"")</f>
        <v/>
      </c>
      <c r="EW74" s="58">
        <f>IFERROR($BL74/$BL75-1,"")</f>
        <v/>
      </c>
      <c r="EX74" s="58">
        <f>IFERROR($BM74/$BM75-1,"")</f>
        <v/>
      </c>
      <c r="EY74" s="58">
        <f>IFERROR($BN74/$BN75-1,"")</f>
        <v/>
      </c>
      <c r="EZ74" s="58">
        <f>IFERROR($BO74/$BO75-1,"")</f>
        <v/>
      </c>
      <c r="FA74" s="58">
        <f>IFERROR($BP74/$BP75-1,"")</f>
        <v/>
      </c>
      <c r="FB74" s="58">
        <f>IFERROR($BQ74/$BQ75-1,"")</f>
        <v/>
      </c>
      <c r="FC74" s="58">
        <f>IFERROR($BR74/$BR75-1,"")</f>
        <v/>
      </c>
      <c r="FD74" s="58">
        <f>IFERROR($BS74/$BS75-1,"")</f>
        <v/>
      </c>
      <c r="FE74" s="58">
        <f>IFERROR($BT74/$BT75-1,"")</f>
        <v/>
      </c>
      <c r="FF74" s="58">
        <f>IFERROR($BU74/$BU75-1,"")</f>
        <v/>
      </c>
      <c r="FG74" s="58">
        <f>IFERROR($BV74/$BV75-1,"")</f>
        <v/>
      </c>
      <c r="FH74" s="58">
        <f>IFERROR($BW74/$BW75-1,"")</f>
        <v/>
      </c>
      <c r="FI74" s="58">
        <f>IFERROR($BX74/$BX75-1,"")</f>
        <v/>
      </c>
      <c r="FJ74" s="59">
        <f>$BY74-$BY75</f>
        <v/>
      </c>
      <c r="FK74" s="59">
        <f>$BZ74-$BZ75</f>
        <v/>
      </c>
      <c r="FL74" s="59">
        <f>$CA74-$CA75</f>
        <v/>
      </c>
      <c r="FM74" s="59">
        <f>$CB74-$CB75</f>
        <v/>
      </c>
      <c r="FN74" s="59">
        <f>$CC74-$CC75</f>
        <v/>
      </c>
      <c r="FO74" s="59">
        <f>$CD74-$CD75</f>
        <v/>
      </c>
      <c r="FP74" s="59">
        <f>$CE74-$CE75</f>
        <v/>
      </c>
      <c r="FQ74" s="59">
        <f>$CF74-$CF75</f>
        <v/>
      </c>
      <c r="FR74" s="59">
        <f>$CG74-$CG75</f>
        <v/>
      </c>
      <c r="FS74" s="59">
        <f>$CH74-$CH75</f>
        <v/>
      </c>
      <c r="FT74" s="59">
        <f>$CI74-$CI75</f>
        <v/>
      </c>
      <c r="FU74" s="59">
        <f>$CJ74-$CJ75</f>
        <v/>
      </c>
      <c r="FV74" s="59">
        <f>$CK74-$CK75</f>
        <v/>
      </c>
      <c r="FW74" s="59">
        <f>$CL74-$CL75</f>
        <v/>
      </c>
      <c r="FX74" s="59">
        <f>$CM74-$CM75</f>
        <v/>
      </c>
      <c r="FY74" s="59">
        <f>$CN74-$CN75</f>
        <v/>
      </c>
      <c r="FZ74" s="59">
        <f>$CO74-$CO75</f>
        <v/>
      </c>
      <c r="GA74" s="59">
        <f>$CP74-$CP75</f>
        <v/>
      </c>
      <c r="GB74" s="59">
        <f>$CQ74-$CQ75</f>
        <v/>
      </c>
      <c r="GC74" s="59">
        <f>$CR74-$CR75</f>
        <v/>
      </c>
      <c r="GD74" s="59">
        <f>$CS74-$CS75</f>
        <v/>
      </c>
      <c r="GE74" s="59">
        <f>$CT74-$CT75</f>
        <v/>
      </c>
    </row>
    <row r="75">
      <c r="CU75" s="58">
        <f>IFERROR($B75/$B76-1,"")</f>
        <v/>
      </c>
      <c r="CV75" s="59">
        <f>($F75-$F76)*100</f>
        <v/>
      </c>
      <c r="CW75" s="59">
        <f>($E75-$E76)*100</f>
        <v/>
      </c>
      <c r="CX75" s="58">
        <f>IFERROR($K75/$K76-1,"")</f>
        <v/>
      </c>
      <c r="CY75" s="59">
        <f>($AH75-$AH76)*100</f>
        <v/>
      </c>
      <c r="CZ75" s="59">
        <f>($AI75-$AI76)*100</f>
        <v/>
      </c>
      <c r="DA75" s="59">
        <f>($AJ75-$AJ76)*100</f>
        <v/>
      </c>
      <c r="DB75" s="59">
        <f>($AK75-$AK76)*100</f>
        <v/>
      </c>
      <c r="DC75" s="59">
        <f>($AL75-$AL76)*100</f>
        <v/>
      </c>
      <c r="DD75" s="59">
        <f>($AM75-$AM76)*100</f>
        <v/>
      </c>
      <c r="DE75" s="59">
        <f>($AN75-$AN76)*100</f>
        <v/>
      </c>
      <c r="DF75" s="59">
        <f>($AO75-$AO76)*100</f>
        <v/>
      </c>
      <c r="DG75" s="59">
        <f>($AP75-$AP76)*100</f>
        <v/>
      </c>
      <c r="DH75" s="59">
        <f>($AQ75-$AQ76)*100</f>
        <v/>
      </c>
      <c r="DI75" s="59">
        <f>($AR75-$AR76)*100</f>
        <v/>
      </c>
      <c r="DJ75" s="59">
        <f>($AS75-$AS76)*100</f>
        <v/>
      </c>
      <c r="DK75" s="59">
        <f>($AT75-$AT76)*100</f>
        <v/>
      </c>
      <c r="DL75" s="59">
        <f>($AU75-$AU76)*100</f>
        <v/>
      </c>
      <c r="DM75" s="59">
        <f>($AV75-$AV76)*100</f>
        <v/>
      </c>
      <c r="DN75" s="59">
        <f>($AW75-$AW76)*100</f>
        <v/>
      </c>
      <c r="DO75" s="59">
        <f>($AX75-$AX76)*100</f>
        <v/>
      </c>
      <c r="DP75" s="59">
        <f>($AY75-$AY76)*100</f>
        <v/>
      </c>
      <c r="DQ75" s="59">
        <f>($AZ75-$AZ76)*100</f>
        <v/>
      </c>
      <c r="DR75" s="59">
        <f>($BA75-$BA76)*100</f>
        <v/>
      </c>
      <c r="DS75" s="58">
        <f>IFERROR($N76/$N75-1,"")</f>
        <v/>
      </c>
      <c r="DT75" s="58">
        <f>IFERROR($O76/$O75-1,"")</f>
        <v/>
      </c>
      <c r="DU75" s="58">
        <f>IFERROR($P76/$P75-1,"")</f>
        <v/>
      </c>
      <c r="DV75" s="58">
        <f>IFERROR($Q76/$Q75-1,"")</f>
        <v/>
      </c>
      <c r="DW75" s="58">
        <f>IFERROR($R76/$R75-1,"")</f>
        <v/>
      </c>
      <c r="DX75" s="58">
        <f>IFERROR($S76/$S75-1,"")</f>
        <v/>
      </c>
      <c r="DY75" s="58">
        <f>IFERROR($T76/$T75-1,"")</f>
        <v/>
      </c>
      <c r="DZ75" s="58">
        <f>IFERROR($U76/$U75-1,"")</f>
        <v/>
      </c>
      <c r="EA75" s="58">
        <f>IFERROR($V76/$V75-1,"")</f>
        <v/>
      </c>
      <c r="EB75" s="58">
        <f>IFERROR($W76/$W75-1,"")</f>
        <v/>
      </c>
      <c r="EC75" s="58">
        <f>IFERROR($X76/$X75-1,"")</f>
        <v/>
      </c>
      <c r="ED75" s="58">
        <f>IFERROR($Y76/$Y75-1,"")</f>
        <v/>
      </c>
      <c r="EE75" s="58">
        <f>IFERROR($Z76/$Z75-1,"")</f>
        <v/>
      </c>
      <c r="EF75" s="58">
        <f>IFERROR($AA76/$AA75-1,"")</f>
        <v/>
      </c>
      <c r="EG75" s="58">
        <f>IFERROR($AB76/$AB75-1,"")</f>
        <v/>
      </c>
      <c r="EH75" s="58">
        <f>IFERROR($AC76/$AC75-1,"")</f>
        <v/>
      </c>
      <c r="EI75" s="58">
        <f>IFERROR($AD76/$AD75-1,"")</f>
        <v/>
      </c>
      <c r="EJ75" s="58">
        <f>IFERROR($AE76/$AE75-1,"")</f>
        <v/>
      </c>
      <c r="EK75" s="58">
        <f>IFERROR($AF76/$AF75-1,"")</f>
        <v/>
      </c>
      <c r="EL75" s="58">
        <f>IFERROR($AG76/$AG75-1,"")</f>
        <v/>
      </c>
      <c r="EM75" s="58">
        <f>IFERROR($BB75/$BB76-1,"")</f>
        <v/>
      </c>
      <c r="EN75" s="58">
        <f>IFERROR($BC75/$BC76-1,"")</f>
        <v/>
      </c>
      <c r="EO75" s="58">
        <f>IFERROR($BD75/$BD76-1,"")</f>
        <v/>
      </c>
      <c r="EP75" s="58">
        <f>IFERROR($BE75/$BE76-1,"")</f>
        <v/>
      </c>
      <c r="EQ75" s="58">
        <f>IFERROR($BF75/$BF76-1,"")</f>
        <v/>
      </c>
      <c r="ER75" s="58">
        <f>IFERROR($BG75/$BG76-1,"")</f>
        <v/>
      </c>
      <c r="ES75" s="58">
        <f>IFERROR($BH75/$BH76-1,"")</f>
        <v/>
      </c>
      <c r="ET75" s="58">
        <f>IFERROR($BI75/$BI76-1,"")</f>
        <v/>
      </c>
      <c r="EU75" s="58">
        <f>IFERROR($BJ75/$BJ76-1,"")</f>
        <v/>
      </c>
      <c r="EV75" s="58">
        <f>IFERROR($BK75/$BK76-1,"")</f>
        <v/>
      </c>
      <c r="EW75" s="58">
        <f>IFERROR($BL75/$BL76-1,"")</f>
        <v/>
      </c>
      <c r="EX75" s="58">
        <f>IFERROR($BM75/$BM76-1,"")</f>
        <v/>
      </c>
      <c r="EY75" s="58">
        <f>IFERROR($BN75/$BN76-1,"")</f>
        <v/>
      </c>
      <c r="EZ75" s="58">
        <f>IFERROR($BO75/$BO76-1,"")</f>
        <v/>
      </c>
      <c r="FA75" s="58">
        <f>IFERROR($BP75/$BP76-1,"")</f>
        <v/>
      </c>
      <c r="FB75" s="58">
        <f>IFERROR($BQ75/$BQ76-1,"")</f>
        <v/>
      </c>
      <c r="FC75" s="58">
        <f>IFERROR($BR75/$BR76-1,"")</f>
        <v/>
      </c>
      <c r="FD75" s="58">
        <f>IFERROR($BS75/$BS76-1,"")</f>
        <v/>
      </c>
      <c r="FE75" s="58">
        <f>IFERROR($BT75/$BT76-1,"")</f>
        <v/>
      </c>
      <c r="FF75" s="58">
        <f>IFERROR($BU75/$BU76-1,"")</f>
        <v/>
      </c>
      <c r="FG75" s="58">
        <f>IFERROR($BV75/$BV76-1,"")</f>
        <v/>
      </c>
      <c r="FH75" s="58">
        <f>IFERROR($BW75/$BW76-1,"")</f>
        <v/>
      </c>
      <c r="FI75" s="58">
        <f>IFERROR($BX75/$BX76-1,"")</f>
        <v/>
      </c>
      <c r="FJ75" s="59">
        <f>$BY75-$BY76</f>
        <v/>
      </c>
      <c r="FK75" s="59">
        <f>$BZ75-$BZ76</f>
        <v/>
      </c>
      <c r="FL75" s="59">
        <f>$CA75-$CA76</f>
        <v/>
      </c>
      <c r="FM75" s="59">
        <f>$CB75-$CB76</f>
        <v/>
      </c>
      <c r="FN75" s="59">
        <f>$CC75-$CC76</f>
        <v/>
      </c>
      <c r="FO75" s="59">
        <f>$CD75-$CD76</f>
        <v/>
      </c>
      <c r="FP75" s="59">
        <f>$CE75-$CE76</f>
        <v/>
      </c>
      <c r="FQ75" s="59">
        <f>$CF75-$CF76</f>
        <v/>
      </c>
      <c r="FR75" s="59">
        <f>$CG75-$CG76</f>
        <v/>
      </c>
      <c r="FS75" s="59">
        <f>$CH75-$CH76</f>
        <v/>
      </c>
      <c r="FT75" s="59">
        <f>$CI75-$CI76</f>
        <v/>
      </c>
      <c r="FU75" s="59">
        <f>$CJ75-$CJ76</f>
        <v/>
      </c>
      <c r="FV75" s="59">
        <f>$CK75-$CK76</f>
        <v/>
      </c>
      <c r="FW75" s="59">
        <f>$CL75-$CL76</f>
        <v/>
      </c>
      <c r="FX75" s="59">
        <f>$CM75-$CM76</f>
        <v/>
      </c>
      <c r="FY75" s="59">
        <f>$CN75-$CN76</f>
        <v/>
      </c>
      <c r="FZ75" s="59">
        <f>$CO75-$CO76</f>
        <v/>
      </c>
      <c r="GA75" s="59">
        <f>$CP75-$CP76</f>
        <v/>
      </c>
      <c r="GB75" s="59">
        <f>$CQ75-$CQ76</f>
        <v/>
      </c>
      <c r="GC75" s="59">
        <f>$CR75-$CR76</f>
        <v/>
      </c>
      <c r="GD75" s="59">
        <f>$CS75-$CS76</f>
        <v/>
      </c>
      <c r="GE75" s="59">
        <f>$CT75-$CT76</f>
        <v/>
      </c>
    </row>
    <row r="76">
      <c r="CU76" s="58">
        <f>IFERROR($B76/$B77-1,"")</f>
        <v/>
      </c>
      <c r="CV76" s="59">
        <f>($F76-$F77)*100</f>
        <v/>
      </c>
      <c r="CW76" s="59">
        <f>($E76-$E77)*100</f>
        <v/>
      </c>
      <c r="CX76" s="58">
        <f>IFERROR($K76/$K77-1,"")</f>
        <v/>
      </c>
      <c r="CY76" s="59">
        <f>($AH76-$AH77)*100</f>
        <v/>
      </c>
      <c r="CZ76" s="59">
        <f>($AI76-$AI77)*100</f>
        <v/>
      </c>
      <c r="DA76" s="59">
        <f>($AJ76-$AJ77)*100</f>
        <v/>
      </c>
      <c r="DB76" s="59">
        <f>($AK76-$AK77)*100</f>
        <v/>
      </c>
      <c r="DC76" s="59">
        <f>($AL76-$AL77)*100</f>
        <v/>
      </c>
      <c r="DD76" s="59">
        <f>($AM76-$AM77)*100</f>
        <v/>
      </c>
      <c r="DE76" s="59">
        <f>($AN76-$AN77)*100</f>
        <v/>
      </c>
      <c r="DF76" s="59">
        <f>($AO76-$AO77)*100</f>
        <v/>
      </c>
      <c r="DG76" s="59">
        <f>($AP76-$AP77)*100</f>
        <v/>
      </c>
      <c r="DH76" s="59">
        <f>($AQ76-$AQ77)*100</f>
        <v/>
      </c>
      <c r="DI76" s="59">
        <f>($AR76-$AR77)*100</f>
        <v/>
      </c>
      <c r="DJ76" s="59">
        <f>($AS76-$AS77)*100</f>
        <v/>
      </c>
      <c r="DK76" s="59">
        <f>($AT76-$AT77)*100</f>
        <v/>
      </c>
      <c r="DL76" s="59">
        <f>($AU76-$AU77)*100</f>
        <v/>
      </c>
      <c r="DM76" s="59">
        <f>($AV76-$AV77)*100</f>
        <v/>
      </c>
      <c r="DN76" s="59">
        <f>($AW76-$AW77)*100</f>
        <v/>
      </c>
      <c r="DO76" s="59">
        <f>($AX76-$AX77)*100</f>
        <v/>
      </c>
      <c r="DP76" s="59">
        <f>($AY76-$AY77)*100</f>
        <v/>
      </c>
      <c r="DQ76" s="59">
        <f>($AZ76-$AZ77)*100</f>
        <v/>
      </c>
      <c r="DR76" s="59">
        <f>($BA76-$BA77)*100</f>
        <v/>
      </c>
      <c r="DS76" s="58">
        <f>IFERROR($N77/$N76-1,"")</f>
        <v/>
      </c>
      <c r="DT76" s="58">
        <f>IFERROR($O77/$O76-1,"")</f>
        <v/>
      </c>
      <c r="DU76" s="58">
        <f>IFERROR($P77/$P76-1,"")</f>
        <v/>
      </c>
      <c r="DV76" s="58">
        <f>IFERROR($Q77/$Q76-1,"")</f>
        <v/>
      </c>
      <c r="DW76" s="58">
        <f>IFERROR($R77/$R76-1,"")</f>
        <v/>
      </c>
      <c r="DX76" s="58">
        <f>IFERROR($S77/$S76-1,"")</f>
        <v/>
      </c>
      <c r="DY76" s="58">
        <f>IFERROR($T77/$T76-1,"")</f>
        <v/>
      </c>
      <c r="DZ76" s="58">
        <f>IFERROR($U77/$U76-1,"")</f>
        <v/>
      </c>
      <c r="EA76" s="58">
        <f>IFERROR($V77/$V76-1,"")</f>
        <v/>
      </c>
      <c r="EB76" s="58">
        <f>IFERROR($W77/$W76-1,"")</f>
        <v/>
      </c>
      <c r="EC76" s="58">
        <f>IFERROR($X77/$X76-1,"")</f>
        <v/>
      </c>
      <c r="ED76" s="58">
        <f>IFERROR($Y77/$Y76-1,"")</f>
        <v/>
      </c>
      <c r="EE76" s="58">
        <f>IFERROR($Z77/$Z76-1,"")</f>
        <v/>
      </c>
      <c r="EF76" s="58">
        <f>IFERROR($AA77/$AA76-1,"")</f>
        <v/>
      </c>
      <c r="EG76" s="58">
        <f>IFERROR($AB77/$AB76-1,"")</f>
        <v/>
      </c>
      <c r="EH76" s="58">
        <f>IFERROR($AC77/$AC76-1,"")</f>
        <v/>
      </c>
      <c r="EI76" s="58">
        <f>IFERROR($AD77/$AD76-1,"")</f>
        <v/>
      </c>
      <c r="EJ76" s="58">
        <f>IFERROR($AE77/$AE76-1,"")</f>
        <v/>
      </c>
      <c r="EK76" s="58">
        <f>IFERROR($AF77/$AF76-1,"")</f>
        <v/>
      </c>
      <c r="EL76" s="58">
        <f>IFERROR($AG77/$AG76-1,"")</f>
        <v/>
      </c>
      <c r="EM76" s="58">
        <f>IFERROR($BB76/$BB77-1,"")</f>
        <v/>
      </c>
      <c r="EN76" s="58">
        <f>IFERROR($BC76/$BC77-1,"")</f>
        <v/>
      </c>
      <c r="EO76" s="58">
        <f>IFERROR($BD76/$BD77-1,"")</f>
        <v/>
      </c>
      <c r="EP76" s="58">
        <f>IFERROR($BE76/$BE77-1,"")</f>
        <v/>
      </c>
      <c r="EQ76" s="58">
        <f>IFERROR($BF76/$BF77-1,"")</f>
        <v/>
      </c>
      <c r="ER76" s="58">
        <f>IFERROR($BG76/$BG77-1,"")</f>
        <v/>
      </c>
      <c r="ES76" s="58">
        <f>IFERROR($BH76/$BH77-1,"")</f>
        <v/>
      </c>
      <c r="ET76" s="58">
        <f>IFERROR($BI76/$BI77-1,"")</f>
        <v/>
      </c>
      <c r="EU76" s="58">
        <f>IFERROR($BJ76/$BJ77-1,"")</f>
        <v/>
      </c>
      <c r="EV76" s="58">
        <f>IFERROR($BK76/$BK77-1,"")</f>
        <v/>
      </c>
      <c r="EW76" s="58">
        <f>IFERROR($BL76/$BL77-1,"")</f>
        <v/>
      </c>
      <c r="EX76" s="58">
        <f>IFERROR($BM76/$BM77-1,"")</f>
        <v/>
      </c>
      <c r="EY76" s="58">
        <f>IFERROR($BN76/$BN77-1,"")</f>
        <v/>
      </c>
      <c r="EZ76" s="58">
        <f>IFERROR($BO76/$BO77-1,"")</f>
        <v/>
      </c>
      <c r="FA76" s="58">
        <f>IFERROR($BP76/$BP77-1,"")</f>
        <v/>
      </c>
      <c r="FB76" s="58">
        <f>IFERROR($BQ76/$BQ77-1,"")</f>
        <v/>
      </c>
      <c r="FC76" s="58">
        <f>IFERROR($BR76/$BR77-1,"")</f>
        <v/>
      </c>
      <c r="FD76" s="58">
        <f>IFERROR($BS76/$BS77-1,"")</f>
        <v/>
      </c>
      <c r="FE76" s="58">
        <f>IFERROR($BT76/$BT77-1,"")</f>
        <v/>
      </c>
      <c r="FF76" s="58">
        <f>IFERROR($BU76/$BU77-1,"")</f>
        <v/>
      </c>
      <c r="FG76" s="58">
        <f>IFERROR($BV76/$BV77-1,"")</f>
        <v/>
      </c>
      <c r="FH76" s="58">
        <f>IFERROR($BW76/$BW77-1,"")</f>
        <v/>
      </c>
      <c r="FI76" s="58">
        <f>IFERROR($BX76/$BX77-1,"")</f>
        <v/>
      </c>
      <c r="FJ76" s="59">
        <f>$BY76-$BY77</f>
        <v/>
      </c>
      <c r="FK76" s="59">
        <f>$BZ76-$BZ77</f>
        <v/>
      </c>
      <c r="FL76" s="59">
        <f>$CA76-$CA77</f>
        <v/>
      </c>
      <c r="FM76" s="59">
        <f>$CB76-$CB77</f>
        <v/>
      </c>
      <c r="FN76" s="59">
        <f>$CC76-$CC77</f>
        <v/>
      </c>
      <c r="FO76" s="59">
        <f>$CD76-$CD77</f>
        <v/>
      </c>
      <c r="FP76" s="59">
        <f>$CE76-$CE77</f>
        <v/>
      </c>
      <c r="FQ76" s="59">
        <f>$CF76-$CF77</f>
        <v/>
      </c>
      <c r="FR76" s="59">
        <f>$CG76-$CG77</f>
        <v/>
      </c>
      <c r="FS76" s="59">
        <f>$CH76-$CH77</f>
        <v/>
      </c>
      <c r="FT76" s="59">
        <f>$CI76-$CI77</f>
        <v/>
      </c>
      <c r="FU76" s="59">
        <f>$CJ76-$CJ77</f>
        <v/>
      </c>
      <c r="FV76" s="59">
        <f>$CK76-$CK77</f>
        <v/>
      </c>
      <c r="FW76" s="59">
        <f>$CL76-$CL77</f>
        <v/>
      </c>
      <c r="FX76" s="59">
        <f>$CM76-$CM77</f>
        <v/>
      </c>
      <c r="FY76" s="59">
        <f>$CN76-$CN77</f>
        <v/>
      </c>
      <c r="FZ76" s="59">
        <f>$CO76-$CO77</f>
        <v/>
      </c>
      <c r="GA76" s="59">
        <f>$CP76-$CP77</f>
        <v/>
      </c>
      <c r="GB76" s="59">
        <f>$CQ76-$CQ77</f>
        <v/>
      </c>
      <c r="GC76" s="59">
        <f>$CR76-$CR77</f>
        <v/>
      </c>
      <c r="GD76" s="59">
        <f>$CS76-$CS77</f>
        <v/>
      </c>
      <c r="GE76" s="59">
        <f>$CT76-$CT77</f>
        <v/>
      </c>
    </row>
    <row r="77">
      <c r="CU77" s="58">
        <f>IFERROR($B77/$B78-1,"")</f>
        <v/>
      </c>
      <c r="CV77" s="59">
        <f>($F77-$F78)*100</f>
        <v/>
      </c>
      <c r="CW77" s="59">
        <f>($E77-$E78)*100</f>
        <v/>
      </c>
      <c r="CX77" s="58">
        <f>IFERROR($K77/$K78-1,"")</f>
        <v/>
      </c>
      <c r="CY77" s="59">
        <f>($AH77-$AH78)*100</f>
        <v/>
      </c>
      <c r="CZ77" s="59">
        <f>($AI77-$AI78)*100</f>
        <v/>
      </c>
      <c r="DA77" s="59">
        <f>($AJ77-$AJ78)*100</f>
        <v/>
      </c>
      <c r="DB77" s="59">
        <f>($AK77-$AK78)*100</f>
        <v/>
      </c>
      <c r="DC77" s="59">
        <f>($AL77-$AL78)*100</f>
        <v/>
      </c>
      <c r="DD77" s="59">
        <f>($AM77-$AM78)*100</f>
        <v/>
      </c>
      <c r="DE77" s="59">
        <f>($AN77-$AN78)*100</f>
        <v/>
      </c>
      <c r="DF77" s="59">
        <f>($AO77-$AO78)*100</f>
        <v/>
      </c>
      <c r="DG77" s="59">
        <f>($AP77-$AP78)*100</f>
        <v/>
      </c>
      <c r="DH77" s="59">
        <f>($AQ77-$AQ78)*100</f>
        <v/>
      </c>
      <c r="DI77" s="59">
        <f>($AR77-$AR78)*100</f>
        <v/>
      </c>
      <c r="DJ77" s="59">
        <f>($AS77-$AS78)*100</f>
        <v/>
      </c>
      <c r="DK77" s="59">
        <f>($AT77-$AT78)*100</f>
        <v/>
      </c>
      <c r="DL77" s="59">
        <f>($AU77-$AU78)*100</f>
        <v/>
      </c>
      <c r="DM77" s="59">
        <f>($AV77-$AV78)*100</f>
        <v/>
      </c>
      <c r="DN77" s="59">
        <f>($AW77-$AW78)*100</f>
        <v/>
      </c>
      <c r="DO77" s="59">
        <f>($AX77-$AX78)*100</f>
        <v/>
      </c>
      <c r="DP77" s="59">
        <f>($AY77-$AY78)*100</f>
        <v/>
      </c>
      <c r="DQ77" s="59">
        <f>($AZ77-$AZ78)*100</f>
        <v/>
      </c>
      <c r="DR77" s="59">
        <f>($BA77-$BA78)*100</f>
        <v/>
      </c>
      <c r="DS77" s="58">
        <f>IFERROR($N78/$N77-1,"")</f>
        <v/>
      </c>
      <c r="DT77" s="58">
        <f>IFERROR($O78/$O77-1,"")</f>
        <v/>
      </c>
      <c r="DU77" s="58">
        <f>IFERROR($P78/$P77-1,"")</f>
        <v/>
      </c>
      <c r="DV77" s="58">
        <f>IFERROR($Q78/$Q77-1,"")</f>
        <v/>
      </c>
      <c r="DW77" s="58">
        <f>IFERROR($R78/$R77-1,"")</f>
        <v/>
      </c>
      <c r="DX77" s="58">
        <f>IFERROR($S78/$S77-1,"")</f>
        <v/>
      </c>
      <c r="DY77" s="58">
        <f>IFERROR($T78/$T77-1,"")</f>
        <v/>
      </c>
      <c r="DZ77" s="58">
        <f>IFERROR($U78/$U77-1,"")</f>
        <v/>
      </c>
      <c r="EA77" s="58">
        <f>IFERROR($V78/$V77-1,"")</f>
        <v/>
      </c>
      <c r="EB77" s="58">
        <f>IFERROR($W78/$W77-1,"")</f>
        <v/>
      </c>
      <c r="EC77" s="58">
        <f>IFERROR($X78/$X77-1,"")</f>
        <v/>
      </c>
      <c r="ED77" s="58">
        <f>IFERROR($Y78/$Y77-1,"")</f>
        <v/>
      </c>
      <c r="EE77" s="58">
        <f>IFERROR($Z78/$Z77-1,"")</f>
        <v/>
      </c>
      <c r="EF77" s="58">
        <f>IFERROR($AA78/$AA77-1,"")</f>
        <v/>
      </c>
      <c r="EG77" s="58">
        <f>IFERROR($AB78/$AB77-1,"")</f>
        <v/>
      </c>
      <c r="EH77" s="58">
        <f>IFERROR($AC78/$AC77-1,"")</f>
        <v/>
      </c>
      <c r="EI77" s="58">
        <f>IFERROR($AD78/$AD77-1,"")</f>
        <v/>
      </c>
      <c r="EJ77" s="58">
        <f>IFERROR($AE78/$AE77-1,"")</f>
        <v/>
      </c>
      <c r="EK77" s="58">
        <f>IFERROR($AF78/$AF77-1,"")</f>
        <v/>
      </c>
      <c r="EL77" s="58">
        <f>IFERROR($AG78/$AG77-1,"")</f>
        <v/>
      </c>
      <c r="EM77" s="58">
        <f>IFERROR($BB77/$BB78-1,"")</f>
        <v/>
      </c>
      <c r="EN77" s="58">
        <f>IFERROR($BC77/$BC78-1,"")</f>
        <v/>
      </c>
      <c r="EO77" s="58">
        <f>IFERROR($BD77/$BD78-1,"")</f>
        <v/>
      </c>
      <c r="EP77" s="58">
        <f>IFERROR($BE77/$BE78-1,"")</f>
        <v/>
      </c>
      <c r="EQ77" s="58">
        <f>IFERROR($BF77/$BF78-1,"")</f>
        <v/>
      </c>
      <c r="ER77" s="58">
        <f>IFERROR($BG77/$BG78-1,"")</f>
        <v/>
      </c>
      <c r="ES77" s="58">
        <f>IFERROR($BH77/$BH78-1,"")</f>
        <v/>
      </c>
      <c r="ET77" s="58">
        <f>IFERROR($BI77/$BI78-1,"")</f>
        <v/>
      </c>
      <c r="EU77" s="58">
        <f>IFERROR($BJ77/$BJ78-1,"")</f>
        <v/>
      </c>
      <c r="EV77" s="58">
        <f>IFERROR($BK77/$BK78-1,"")</f>
        <v/>
      </c>
      <c r="EW77" s="58">
        <f>IFERROR($BL77/$BL78-1,"")</f>
        <v/>
      </c>
      <c r="EX77" s="58">
        <f>IFERROR($BM77/$BM78-1,"")</f>
        <v/>
      </c>
      <c r="EY77" s="58">
        <f>IFERROR($BN77/$BN78-1,"")</f>
        <v/>
      </c>
      <c r="EZ77" s="58">
        <f>IFERROR($BO77/$BO78-1,"")</f>
        <v/>
      </c>
      <c r="FA77" s="58">
        <f>IFERROR($BP77/$BP78-1,"")</f>
        <v/>
      </c>
      <c r="FB77" s="58">
        <f>IFERROR($BQ77/$BQ78-1,"")</f>
        <v/>
      </c>
      <c r="FC77" s="58">
        <f>IFERROR($BR77/$BR78-1,"")</f>
        <v/>
      </c>
      <c r="FD77" s="58">
        <f>IFERROR($BS77/$BS78-1,"")</f>
        <v/>
      </c>
      <c r="FE77" s="58">
        <f>IFERROR($BT77/$BT78-1,"")</f>
        <v/>
      </c>
      <c r="FF77" s="58">
        <f>IFERROR($BU77/$BU78-1,"")</f>
        <v/>
      </c>
      <c r="FG77" s="58">
        <f>IFERROR($BV77/$BV78-1,"")</f>
        <v/>
      </c>
      <c r="FH77" s="58">
        <f>IFERROR($BW77/$BW78-1,"")</f>
        <v/>
      </c>
      <c r="FI77" s="58">
        <f>IFERROR($BX77/$BX78-1,"")</f>
        <v/>
      </c>
      <c r="FJ77" s="59">
        <f>$BY77-$BY78</f>
        <v/>
      </c>
      <c r="FK77" s="59">
        <f>$BZ77-$BZ78</f>
        <v/>
      </c>
      <c r="FL77" s="59">
        <f>$CA77-$CA78</f>
        <v/>
      </c>
      <c r="FM77" s="59">
        <f>$CB77-$CB78</f>
        <v/>
      </c>
      <c r="FN77" s="59">
        <f>$CC77-$CC78</f>
        <v/>
      </c>
      <c r="FO77" s="59">
        <f>$CD77-$CD78</f>
        <v/>
      </c>
      <c r="FP77" s="59">
        <f>$CE77-$CE78</f>
        <v/>
      </c>
      <c r="FQ77" s="59">
        <f>$CF77-$CF78</f>
        <v/>
      </c>
      <c r="FR77" s="59">
        <f>$CG77-$CG78</f>
        <v/>
      </c>
      <c r="FS77" s="59">
        <f>$CH77-$CH78</f>
        <v/>
      </c>
      <c r="FT77" s="59">
        <f>$CI77-$CI78</f>
        <v/>
      </c>
      <c r="FU77" s="59">
        <f>$CJ77-$CJ78</f>
        <v/>
      </c>
      <c r="FV77" s="59">
        <f>$CK77-$CK78</f>
        <v/>
      </c>
      <c r="FW77" s="59">
        <f>$CL77-$CL78</f>
        <v/>
      </c>
      <c r="FX77" s="59">
        <f>$CM77-$CM78</f>
        <v/>
      </c>
      <c r="FY77" s="59">
        <f>$CN77-$CN78</f>
        <v/>
      </c>
      <c r="FZ77" s="59">
        <f>$CO77-$CO78</f>
        <v/>
      </c>
      <c r="GA77" s="59">
        <f>$CP77-$CP78</f>
        <v/>
      </c>
      <c r="GB77" s="59">
        <f>$CQ77-$CQ78</f>
        <v/>
      </c>
      <c r="GC77" s="59">
        <f>$CR77-$CR78</f>
        <v/>
      </c>
      <c r="GD77" s="59">
        <f>$CS77-$CS78</f>
        <v/>
      </c>
      <c r="GE77" s="59">
        <f>$CT77-$CT78</f>
        <v/>
      </c>
    </row>
    <row r="78">
      <c r="CU78" s="58">
        <f>IFERROR($B78/$B79-1,"")</f>
        <v/>
      </c>
      <c r="CV78" s="59">
        <f>($F78-$F79)*100</f>
        <v/>
      </c>
      <c r="CW78" s="59">
        <f>($E78-$E79)*100</f>
        <v/>
      </c>
      <c r="CX78" s="58">
        <f>IFERROR($K78/$K79-1,"")</f>
        <v/>
      </c>
      <c r="CY78" s="59">
        <f>($AH78-$AH79)*100</f>
        <v/>
      </c>
      <c r="CZ78" s="59">
        <f>($AI78-$AI79)*100</f>
        <v/>
      </c>
      <c r="DA78" s="59">
        <f>($AJ78-$AJ79)*100</f>
        <v/>
      </c>
      <c r="DB78" s="59">
        <f>($AK78-$AK79)*100</f>
        <v/>
      </c>
      <c r="DC78" s="59">
        <f>($AL78-$AL79)*100</f>
        <v/>
      </c>
      <c r="DD78" s="59">
        <f>($AM78-$AM79)*100</f>
        <v/>
      </c>
      <c r="DE78" s="59">
        <f>($AN78-$AN79)*100</f>
        <v/>
      </c>
      <c r="DF78" s="59">
        <f>($AO78-$AO79)*100</f>
        <v/>
      </c>
      <c r="DG78" s="59">
        <f>($AP78-$AP79)*100</f>
        <v/>
      </c>
      <c r="DH78" s="59">
        <f>($AQ78-$AQ79)*100</f>
        <v/>
      </c>
      <c r="DI78" s="59">
        <f>($AR78-$AR79)*100</f>
        <v/>
      </c>
      <c r="DJ78" s="59">
        <f>($AS78-$AS79)*100</f>
        <v/>
      </c>
      <c r="DK78" s="59">
        <f>($AT78-$AT79)*100</f>
        <v/>
      </c>
      <c r="DL78" s="59">
        <f>($AU78-$AU79)*100</f>
        <v/>
      </c>
      <c r="DM78" s="59">
        <f>($AV78-$AV79)*100</f>
        <v/>
      </c>
      <c r="DN78" s="59">
        <f>($AW78-$AW79)*100</f>
        <v/>
      </c>
      <c r="DO78" s="59">
        <f>($AX78-$AX79)*100</f>
        <v/>
      </c>
      <c r="DP78" s="59">
        <f>($AY78-$AY79)*100</f>
        <v/>
      </c>
      <c r="DQ78" s="59">
        <f>($AZ78-$AZ79)*100</f>
        <v/>
      </c>
      <c r="DR78" s="59">
        <f>($BA78-$BA79)*100</f>
        <v/>
      </c>
      <c r="DS78" s="58">
        <f>IFERROR($N79/$N78-1,"")</f>
        <v/>
      </c>
      <c r="DT78" s="58">
        <f>IFERROR($O79/$O78-1,"")</f>
        <v/>
      </c>
      <c r="DU78" s="58">
        <f>IFERROR($P79/$P78-1,"")</f>
        <v/>
      </c>
      <c r="DV78" s="58">
        <f>IFERROR($Q79/$Q78-1,"")</f>
        <v/>
      </c>
      <c r="DW78" s="58">
        <f>IFERROR($R79/$R78-1,"")</f>
        <v/>
      </c>
      <c r="DX78" s="58">
        <f>IFERROR($S79/$S78-1,"")</f>
        <v/>
      </c>
      <c r="DY78" s="58">
        <f>IFERROR($T79/$T78-1,"")</f>
        <v/>
      </c>
      <c r="DZ78" s="58">
        <f>IFERROR($U79/$U78-1,"")</f>
        <v/>
      </c>
      <c r="EA78" s="58">
        <f>IFERROR($V79/$V78-1,"")</f>
        <v/>
      </c>
      <c r="EB78" s="58">
        <f>IFERROR($W79/$W78-1,"")</f>
        <v/>
      </c>
      <c r="EC78" s="58">
        <f>IFERROR($X79/$X78-1,"")</f>
        <v/>
      </c>
      <c r="ED78" s="58">
        <f>IFERROR($Y79/$Y78-1,"")</f>
        <v/>
      </c>
      <c r="EE78" s="58">
        <f>IFERROR($Z79/$Z78-1,"")</f>
        <v/>
      </c>
      <c r="EF78" s="58">
        <f>IFERROR($AA79/$AA78-1,"")</f>
        <v/>
      </c>
      <c r="EG78" s="58">
        <f>IFERROR($AB79/$AB78-1,"")</f>
        <v/>
      </c>
      <c r="EH78" s="58">
        <f>IFERROR($AC79/$AC78-1,"")</f>
        <v/>
      </c>
      <c r="EI78" s="58">
        <f>IFERROR($AD79/$AD78-1,"")</f>
        <v/>
      </c>
      <c r="EJ78" s="58">
        <f>IFERROR($AE79/$AE78-1,"")</f>
        <v/>
      </c>
      <c r="EK78" s="58">
        <f>IFERROR($AF79/$AF78-1,"")</f>
        <v/>
      </c>
      <c r="EL78" s="58">
        <f>IFERROR($AG79/$AG78-1,"")</f>
        <v/>
      </c>
      <c r="EM78" s="58">
        <f>IFERROR($BB78/$BB79-1,"")</f>
        <v/>
      </c>
      <c r="EN78" s="58">
        <f>IFERROR($BC78/$BC79-1,"")</f>
        <v/>
      </c>
      <c r="EO78" s="58">
        <f>IFERROR($BD78/$BD79-1,"")</f>
        <v/>
      </c>
      <c r="EP78" s="58">
        <f>IFERROR($BE78/$BE79-1,"")</f>
        <v/>
      </c>
      <c r="EQ78" s="58">
        <f>IFERROR($BF78/$BF79-1,"")</f>
        <v/>
      </c>
      <c r="ER78" s="58">
        <f>IFERROR($BG78/$BG79-1,"")</f>
        <v/>
      </c>
      <c r="ES78" s="58">
        <f>IFERROR($BH78/$BH79-1,"")</f>
        <v/>
      </c>
      <c r="ET78" s="58">
        <f>IFERROR($BI78/$BI79-1,"")</f>
        <v/>
      </c>
      <c r="EU78" s="58">
        <f>IFERROR($BJ78/$BJ79-1,"")</f>
        <v/>
      </c>
      <c r="EV78" s="58">
        <f>IFERROR($BK78/$BK79-1,"")</f>
        <v/>
      </c>
      <c r="EW78" s="58">
        <f>IFERROR($BL78/$BL79-1,"")</f>
        <v/>
      </c>
      <c r="EX78" s="58">
        <f>IFERROR($BM78/$BM79-1,"")</f>
        <v/>
      </c>
      <c r="EY78" s="58">
        <f>IFERROR($BN78/$BN79-1,"")</f>
        <v/>
      </c>
      <c r="EZ78" s="58">
        <f>IFERROR($BO78/$BO79-1,"")</f>
        <v/>
      </c>
      <c r="FA78" s="58">
        <f>IFERROR($BP78/$BP79-1,"")</f>
        <v/>
      </c>
      <c r="FB78" s="58">
        <f>IFERROR($BQ78/$BQ79-1,"")</f>
        <v/>
      </c>
      <c r="FC78" s="58">
        <f>IFERROR($BR78/$BR79-1,"")</f>
        <v/>
      </c>
      <c r="FD78" s="58">
        <f>IFERROR($BS78/$BS79-1,"")</f>
        <v/>
      </c>
      <c r="FE78" s="58">
        <f>IFERROR($BT78/$BT79-1,"")</f>
        <v/>
      </c>
      <c r="FF78" s="58">
        <f>IFERROR($BU78/$BU79-1,"")</f>
        <v/>
      </c>
      <c r="FG78" s="58">
        <f>IFERROR($BV78/$BV79-1,"")</f>
        <v/>
      </c>
      <c r="FH78" s="58">
        <f>IFERROR($BW78/$BW79-1,"")</f>
        <v/>
      </c>
      <c r="FI78" s="58">
        <f>IFERROR($BX78/$BX79-1,"")</f>
        <v/>
      </c>
      <c r="FJ78" s="59">
        <f>$BY78-$BY79</f>
        <v/>
      </c>
      <c r="FK78" s="59">
        <f>$BZ78-$BZ79</f>
        <v/>
      </c>
      <c r="FL78" s="59">
        <f>$CA78-$CA79</f>
        <v/>
      </c>
      <c r="FM78" s="59">
        <f>$CB78-$CB79</f>
        <v/>
      </c>
      <c r="FN78" s="59">
        <f>$CC78-$CC79</f>
        <v/>
      </c>
      <c r="FO78" s="59">
        <f>$CD78-$CD79</f>
        <v/>
      </c>
      <c r="FP78" s="59">
        <f>$CE78-$CE79</f>
        <v/>
      </c>
      <c r="FQ78" s="59">
        <f>$CF78-$CF79</f>
        <v/>
      </c>
      <c r="FR78" s="59">
        <f>$CG78-$CG79</f>
        <v/>
      </c>
      <c r="FS78" s="59">
        <f>$CH78-$CH79</f>
        <v/>
      </c>
      <c r="FT78" s="59">
        <f>$CI78-$CI79</f>
        <v/>
      </c>
      <c r="FU78" s="59">
        <f>$CJ78-$CJ79</f>
        <v/>
      </c>
      <c r="FV78" s="59">
        <f>$CK78-$CK79</f>
        <v/>
      </c>
      <c r="FW78" s="59">
        <f>$CL78-$CL79</f>
        <v/>
      </c>
      <c r="FX78" s="59">
        <f>$CM78-$CM79</f>
        <v/>
      </c>
      <c r="FY78" s="59">
        <f>$CN78-$CN79</f>
        <v/>
      </c>
      <c r="FZ78" s="59">
        <f>$CO78-$CO79</f>
        <v/>
      </c>
      <c r="GA78" s="59">
        <f>$CP78-$CP79</f>
        <v/>
      </c>
      <c r="GB78" s="59">
        <f>$CQ78-$CQ79</f>
        <v/>
      </c>
      <c r="GC78" s="59">
        <f>$CR78-$CR79</f>
        <v/>
      </c>
      <c r="GD78" s="59">
        <f>$CS78-$CS79</f>
        <v/>
      </c>
      <c r="GE78" s="59">
        <f>$CT78-$CT79</f>
        <v/>
      </c>
    </row>
    <row r="79">
      <c r="CU79" s="58">
        <f>IFERROR($B79/$B80-1,"")</f>
        <v/>
      </c>
      <c r="CV79" s="59">
        <f>($F79-$F80)*100</f>
        <v/>
      </c>
      <c r="CW79" s="59">
        <f>($E79-$E80)*100</f>
        <v/>
      </c>
      <c r="CX79" s="58">
        <f>IFERROR($K79/$K80-1,"")</f>
        <v/>
      </c>
      <c r="CY79" s="59">
        <f>($AH79-$AH80)*100</f>
        <v/>
      </c>
      <c r="CZ79" s="59">
        <f>($AI79-$AI80)*100</f>
        <v/>
      </c>
      <c r="DA79" s="59">
        <f>($AJ79-$AJ80)*100</f>
        <v/>
      </c>
      <c r="DB79" s="59">
        <f>($AK79-$AK80)*100</f>
        <v/>
      </c>
      <c r="DC79" s="59">
        <f>($AL79-$AL80)*100</f>
        <v/>
      </c>
      <c r="DD79" s="59">
        <f>($AM79-$AM80)*100</f>
        <v/>
      </c>
      <c r="DE79" s="59">
        <f>($AN79-$AN80)*100</f>
        <v/>
      </c>
      <c r="DF79" s="59">
        <f>($AO79-$AO80)*100</f>
        <v/>
      </c>
      <c r="DG79" s="59">
        <f>($AP79-$AP80)*100</f>
        <v/>
      </c>
      <c r="DH79" s="59">
        <f>($AQ79-$AQ80)*100</f>
        <v/>
      </c>
      <c r="DI79" s="59">
        <f>($AR79-$AR80)*100</f>
        <v/>
      </c>
      <c r="DJ79" s="59">
        <f>($AS79-$AS80)*100</f>
        <v/>
      </c>
      <c r="DK79" s="59">
        <f>($AT79-$AT80)*100</f>
        <v/>
      </c>
      <c r="DL79" s="59">
        <f>($AU79-$AU80)*100</f>
        <v/>
      </c>
      <c r="DM79" s="59">
        <f>($AV79-$AV80)*100</f>
        <v/>
      </c>
      <c r="DN79" s="59">
        <f>($AW79-$AW80)*100</f>
        <v/>
      </c>
      <c r="DO79" s="59">
        <f>($AX79-$AX80)*100</f>
        <v/>
      </c>
      <c r="DP79" s="59">
        <f>($AY79-$AY80)*100</f>
        <v/>
      </c>
      <c r="DQ79" s="59">
        <f>($AZ79-$AZ80)*100</f>
        <v/>
      </c>
      <c r="DR79" s="59">
        <f>($BA79-$BA80)*100</f>
        <v/>
      </c>
      <c r="DS79" s="58">
        <f>IFERROR($N80/$N79-1,"")</f>
        <v/>
      </c>
      <c r="DT79" s="58">
        <f>IFERROR($O80/$O79-1,"")</f>
        <v/>
      </c>
      <c r="DU79" s="58">
        <f>IFERROR($P80/$P79-1,"")</f>
        <v/>
      </c>
      <c r="DV79" s="58">
        <f>IFERROR($Q80/$Q79-1,"")</f>
        <v/>
      </c>
      <c r="DW79" s="58">
        <f>IFERROR($R80/$R79-1,"")</f>
        <v/>
      </c>
      <c r="DX79" s="58">
        <f>IFERROR($S80/$S79-1,"")</f>
        <v/>
      </c>
      <c r="DY79" s="58">
        <f>IFERROR($T80/$T79-1,"")</f>
        <v/>
      </c>
      <c r="DZ79" s="58">
        <f>IFERROR($U80/$U79-1,"")</f>
        <v/>
      </c>
      <c r="EA79" s="58">
        <f>IFERROR($V80/$V79-1,"")</f>
        <v/>
      </c>
      <c r="EB79" s="58">
        <f>IFERROR($W80/$W79-1,"")</f>
        <v/>
      </c>
      <c r="EC79" s="58">
        <f>IFERROR($X80/$X79-1,"")</f>
        <v/>
      </c>
      <c r="ED79" s="58">
        <f>IFERROR($Y80/$Y79-1,"")</f>
        <v/>
      </c>
      <c r="EE79" s="58">
        <f>IFERROR($Z80/$Z79-1,"")</f>
        <v/>
      </c>
      <c r="EF79" s="58">
        <f>IFERROR($AA80/$AA79-1,"")</f>
        <v/>
      </c>
      <c r="EG79" s="58">
        <f>IFERROR($AB80/$AB79-1,"")</f>
        <v/>
      </c>
      <c r="EH79" s="58">
        <f>IFERROR($AC80/$AC79-1,"")</f>
        <v/>
      </c>
      <c r="EI79" s="58">
        <f>IFERROR($AD80/$AD79-1,"")</f>
        <v/>
      </c>
      <c r="EJ79" s="58">
        <f>IFERROR($AE80/$AE79-1,"")</f>
        <v/>
      </c>
      <c r="EK79" s="58">
        <f>IFERROR($AF80/$AF79-1,"")</f>
        <v/>
      </c>
      <c r="EL79" s="58">
        <f>IFERROR($AG80/$AG79-1,"")</f>
        <v/>
      </c>
      <c r="EM79" s="58">
        <f>IFERROR($BB79/$BB80-1,"")</f>
        <v/>
      </c>
      <c r="EN79" s="58">
        <f>IFERROR($BC79/$BC80-1,"")</f>
        <v/>
      </c>
      <c r="EO79" s="58">
        <f>IFERROR($BD79/$BD80-1,"")</f>
        <v/>
      </c>
      <c r="EP79" s="58">
        <f>IFERROR($BE79/$BE80-1,"")</f>
        <v/>
      </c>
      <c r="EQ79" s="58">
        <f>IFERROR($BF79/$BF80-1,"")</f>
        <v/>
      </c>
      <c r="ER79" s="58">
        <f>IFERROR($BG79/$BG80-1,"")</f>
        <v/>
      </c>
      <c r="ES79" s="58">
        <f>IFERROR($BH79/$BH80-1,"")</f>
        <v/>
      </c>
      <c r="ET79" s="58">
        <f>IFERROR($BI79/$BI80-1,"")</f>
        <v/>
      </c>
      <c r="EU79" s="58">
        <f>IFERROR($BJ79/$BJ80-1,"")</f>
        <v/>
      </c>
      <c r="EV79" s="58">
        <f>IFERROR($BK79/$BK80-1,"")</f>
        <v/>
      </c>
      <c r="EW79" s="58">
        <f>IFERROR($BL79/$BL80-1,"")</f>
        <v/>
      </c>
      <c r="EX79" s="58">
        <f>IFERROR($BM79/$BM80-1,"")</f>
        <v/>
      </c>
      <c r="EY79" s="58">
        <f>IFERROR($BN79/$BN80-1,"")</f>
        <v/>
      </c>
      <c r="EZ79" s="58">
        <f>IFERROR($BO79/$BO80-1,"")</f>
        <v/>
      </c>
      <c r="FA79" s="58">
        <f>IFERROR($BP79/$BP80-1,"")</f>
        <v/>
      </c>
      <c r="FB79" s="58">
        <f>IFERROR($BQ79/$BQ80-1,"")</f>
        <v/>
      </c>
      <c r="FC79" s="58">
        <f>IFERROR($BR79/$BR80-1,"")</f>
        <v/>
      </c>
      <c r="FD79" s="58">
        <f>IFERROR($BS79/$BS80-1,"")</f>
        <v/>
      </c>
      <c r="FE79" s="58">
        <f>IFERROR($BT79/$BT80-1,"")</f>
        <v/>
      </c>
      <c r="FF79" s="58">
        <f>IFERROR($BU79/$BU80-1,"")</f>
        <v/>
      </c>
      <c r="FG79" s="58">
        <f>IFERROR($BV79/$BV80-1,"")</f>
        <v/>
      </c>
      <c r="FH79" s="58">
        <f>IFERROR($BW79/$BW80-1,"")</f>
        <v/>
      </c>
      <c r="FI79" s="58">
        <f>IFERROR($BX79/$BX80-1,"")</f>
        <v/>
      </c>
      <c r="FJ79" s="59">
        <f>$BY79-$BY80</f>
        <v/>
      </c>
      <c r="FK79" s="59">
        <f>$BZ79-$BZ80</f>
        <v/>
      </c>
      <c r="FL79" s="59">
        <f>$CA79-$CA80</f>
        <v/>
      </c>
      <c r="FM79" s="59">
        <f>$CB79-$CB80</f>
        <v/>
      </c>
      <c r="FN79" s="59">
        <f>$CC79-$CC80</f>
        <v/>
      </c>
      <c r="FO79" s="59">
        <f>$CD79-$CD80</f>
        <v/>
      </c>
      <c r="FP79" s="59">
        <f>$CE79-$CE80</f>
        <v/>
      </c>
      <c r="FQ79" s="59">
        <f>$CF79-$CF80</f>
        <v/>
      </c>
      <c r="FR79" s="59">
        <f>$CG79-$CG80</f>
        <v/>
      </c>
      <c r="FS79" s="59">
        <f>$CH79-$CH80</f>
        <v/>
      </c>
      <c r="FT79" s="59">
        <f>$CI79-$CI80</f>
        <v/>
      </c>
      <c r="FU79" s="59">
        <f>$CJ79-$CJ80</f>
        <v/>
      </c>
      <c r="FV79" s="59">
        <f>$CK79-$CK80</f>
        <v/>
      </c>
      <c r="FW79" s="59">
        <f>$CL79-$CL80</f>
        <v/>
      </c>
      <c r="FX79" s="59">
        <f>$CM79-$CM80</f>
        <v/>
      </c>
      <c r="FY79" s="59">
        <f>$CN79-$CN80</f>
        <v/>
      </c>
      <c r="FZ79" s="59">
        <f>$CO79-$CO80</f>
        <v/>
      </c>
      <c r="GA79" s="59">
        <f>$CP79-$CP80</f>
        <v/>
      </c>
      <c r="GB79" s="59">
        <f>$CQ79-$CQ80</f>
        <v/>
      </c>
      <c r="GC79" s="59">
        <f>$CR79-$CR80</f>
        <v/>
      </c>
      <c r="GD79" s="59">
        <f>$CS79-$CS80</f>
        <v/>
      </c>
      <c r="GE79" s="59">
        <f>$CT79-$CT80</f>
        <v/>
      </c>
    </row>
    <row r="80">
      <c r="CU80" s="58">
        <f>IFERROR($B80/$B81-1,"")</f>
        <v/>
      </c>
      <c r="CV80" s="59">
        <f>($F80-$F81)*100</f>
        <v/>
      </c>
      <c r="CW80" s="59">
        <f>($E80-$E81)*100</f>
        <v/>
      </c>
      <c r="CX80" s="58">
        <f>IFERROR($K80/$K81-1,"")</f>
        <v/>
      </c>
      <c r="CY80" s="59">
        <f>($AH80-$AH81)*100</f>
        <v/>
      </c>
      <c r="CZ80" s="59">
        <f>($AI80-$AI81)*100</f>
        <v/>
      </c>
      <c r="DA80" s="59">
        <f>($AJ80-$AJ81)*100</f>
        <v/>
      </c>
      <c r="DB80" s="59">
        <f>($AK80-$AK81)*100</f>
        <v/>
      </c>
      <c r="DC80" s="59">
        <f>($AL80-$AL81)*100</f>
        <v/>
      </c>
      <c r="DD80" s="59">
        <f>($AM80-$AM81)*100</f>
        <v/>
      </c>
      <c r="DE80" s="59">
        <f>($AN80-$AN81)*100</f>
        <v/>
      </c>
      <c r="DF80" s="59">
        <f>($AO80-$AO81)*100</f>
        <v/>
      </c>
      <c r="DG80" s="59">
        <f>($AP80-$AP81)*100</f>
        <v/>
      </c>
      <c r="DH80" s="59">
        <f>($AQ80-$AQ81)*100</f>
        <v/>
      </c>
      <c r="DI80" s="59">
        <f>($AR80-$AR81)*100</f>
        <v/>
      </c>
      <c r="DJ80" s="59">
        <f>($AS80-$AS81)*100</f>
        <v/>
      </c>
      <c r="DK80" s="59">
        <f>($AT80-$AT81)*100</f>
        <v/>
      </c>
      <c r="DL80" s="59">
        <f>($AU80-$AU81)*100</f>
        <v/>
      </c>
      <c r="DM80" s="59">
        <f>($AV80-$AV81)*100</f>
        <v/>
      </c>
      <c r="DN80" s="59">
        <f>($AW80-$AW81)*100</f>
        <v/>
      </c>
      <c r="DO80" s="59">
        <f>($AX80-$AX81)*100</f>
        <v/>
      </c>
      <c r="DP80" s="59">
        <f>($AY80-$AY81)*100</f>
        <v/>
      </c>
      <c r="DQ80" s="59">
        <f>($AZ80-$AZ81)*100</f>
        <v/>
      </c>
      <c r="DR80" s="59">
        <f>($BA80-$BA81)*100</f>
        <v/>
      </c>
      <c r="DS80" s="58">
        <f>IFERROR($N81/$N80-1,"")</f>
        <v/>
      </c>
      <c r="DT80" s="58">
        <f>IFERROR($O81/$O80-1,"")</f>
        <v/>
      </c>
      <c r="DU80" s="58">
        <f>IFERROR($P81/$P80-1,"")</f>
        <v/>
      </c>
      <c r="DV80" s="58">
        <f>IFERROR($Q81/$Q80-1,"")</f>
        <v/>
      </c>
      <c r="DW80" s="58">
        <f>IFERROR($R81/$R80-1,"")</f>
        <v/>
      </c>
      <c r="DX80" s="58">
        <f>IFERROR($S81/$S80-1,"")</f>
        <v/>
      </c>
      <c r="DY80" s="58">
        <f>IFERROR($T81/$T80-1,"")</f>
        <v/>
      </c>
      <c r="DZ80" s="58">
        <f>IFERROR($U81/$U80-1,"")</f>
        <v/>
      </c>
      <c r="EA80" s="58">
        <f>IFERROR($V81/$V80-1,"")</f>
        <v/>
      </c>
      <c r="EB80" s="58">
        <f>IFERROR($W81/$W80-1,"")</f>
        <v/>
      </c>
      <c r="EC80" s="58">
        <f>IFERROR($X81/$X80-1,"")</f>
        <v/>
      </c>
      <c r="ED80" s="58">
        <f>IFERROR($Y81/$Y80-1,"")</f>
        <v/>
      </c>
      <c r="EE80" s="58">
        <f>IFERROR($Z81/$Z80-1,"")</f>
        <v/>
      </c>
      <c r="EF80" s="58">
        <f>IFERROR($AA81/$AA80-1,"")</f>
        <v/>
      </c>
      <c r="EG80" s="58">
        <f>IFERROR($AB81/$AB80-1,"")</f>
        <v/>
      </c>
      <c r="EH80" s="58">
        <f>IFERROR($AC81/$AC80-1,"")</f>
        <v/>
      </c>
      <c r="EI80" s="58">
        <f>IFERROR($AD81/$AD80-1,"")</f>
        <v/>
      </c>
      <c r="EJ80" s="58">
        <f>IFERROR($AE81/$AE80-1,"")</f>
        <v/>
      </c>
      <c r="EK80" s="58">
        <f>IFERROR($AF81/$AF80-1,"")</f>
        <v/>
      </c>
      <c r="EL80" s="58">
        <f>IFERROR($AG81/$AG80-1,"")</f>
        <v/>
      </c>
      <c r="EM80" s="58">
        <f>IFERROR($BB80/$BB81-1,"")</f>
        <v/>
      </c>
      <c r="EN80" s="58">
        <f>IFERROR($BC80/$BC81-1,"")</f>
        <v/>
      </c>
      <c r="EO80" s="58">
        <f>IFERROR($BD80/$BD81-1,"")</f>
        <v/>
      </c>
      <c r="EP80" s="58">
        <f>IFERROR($BE80/$BE81-1,"")</f>
        <v/>
      </c>
      <c r="EQ80" s="58">
        <f>IFERROR($BF80/$BF81-1,"")</f>
        <v/>
      </c>
      <c r="ER80" s="58">
        <f>IFERROR($BG80/$BG81-1,"")</f>
        <v/>
      </c>
      <c r="ES80" s="58">
        <f>IFERROR($BH80/$BH81-1,"")</f>
        <v/>
      </c>
      <c r="ET80" s="58">
        <f>IFERROR($BI80/$BI81-1,"")</f>
        <v/>
      </c>
      <c r="EU80" s="58">
        <f>IFERROR($BJ80/$BJ81-1,"")</f>
        <v/>
      </c>
      <c r="EV80" s="58">
        <f>IFERROR($BK80/$BK81-1,"")</f>
        <v/>
      </c>
      <c r="EW80" s="58">
        <f>IFERROR($BL80/$BL81-1,"")</f>
        <v/>
      </c>
      <c r="EX80" s="58">
        <f>IFERROR($BM80/$BM81-1,"")</f>
        <v/>
      </c>
      <c r="EY80" s="58">
        <f>IFERROR($BN80/$BN81-1,"")</f>
        <v/>
      </c>
      <c r="EZ80" s="58">
        <f>IFERROR($BO80/$BO81-1,"")</f>
        <v/>
      </c>
      <c r="FA80" s="58">
        <f>IFERROR($BP80/$BP81-1,"")</f>
        <v/>
      </c>
      <c r="FB80" s="58">
        <f>IFERROR($BQ80/$BQ81-1,"")</f>
        <v/>
      </c>
      <c r="FC80" s="58">
        <f>IFERROR($BR80/$BR81-1,"")</f>
        <v/>
      </c>
      <c r="FD80" s="58">
        <f>IFERROR($BS80/$BS81-1,"")</f>
        <v/>
      </c>
      <c r="FE80" s="58">
        <f>IFERROR($BT80/$BT81-1,"")</f>
        <v/>
      </c>
      <c r="FF80" s="58">
        <f>IFERROR($BU80/$BU81-1,"")</f>
        <v/>
      </c>
      <c r="FG80" s="58">
        <f>IFERROR($BV80/$BV81-1,"")</f>
        <v/>
      </c>
      <c r="FH80" s="58">
        <f>IFERROR($BW80/$BW81-1,"")</f>
        <v/>
      </c>
      <c r="FI80" s="58">
        <f>IFERROR($BX80/$BX81-1,"")</f>
        <v/>
      </c>
      <c r="FJ80" s="59">
        <f>$BY80-$BY81</f>
        <v/>
      </c>
      <c r="FK80" s="59">
        <f>$BZ80-$BZ81</f>
        <v/>
      </c>
      <c r="FL80" s="59">
        <f>$CA80-$CA81</f>
        <v/>
      </c>
      <c r="FM80" s="59">
        <f>$CB80-$CB81</f>
        <v/>
      </c>
      <c r="FN80" s="59">
        <f>$CC80-$CC81</f>
        <v/>
      </c>
      <c r="FO80" s="59">
        <f>$CD80-$CD81</f>
        <v/>
      </c>
      <c r="FP80" s="59">
        <f>$CE80-$CE81</f>
        <v/>
      </c>
      <c r="FQ80" s="59">
        <f>$CF80-$CF81</f>
        <v/>
      </c>
      <c r="FR80" s="59">
        <f>$CG80-$CG81</f>
        <v/>
      </c>
      <c r="FS80" s="59">
        <f>$CH80-$CH81</f>
        <v/>
      </c>
      <c r="FT80" s="59">
        <f>$CI80-$CI81</f>
        <v/>
      </c>
      <c r="FU80" s="59">
        <f>$CJ80-$CJ81</f>
        <v/>
      </c>
      <c r="FV80" s="59">
        <f>$CK80-$CK81</f>
        <v/>
      </c>
      <c r="FW80" s="59">
        <f>$CL80-$CL81</f>
        <v/>
      </c>
      <c r="FX80" s="59">
        <f>$CM80-$CM81</f>
        <v/>
      </c>
      <c r="FY80" s="59">
        <f>$CN80-$CN81</f>
        <v/>
      </c>
      <c r="FZ80" s="59">
        <f>$CO80-$CO81</f>
        <v/>
      </c>
      <c r="GA80" s="59">
        <f>$CP80-$CP81</f>
        <v/>
      </c>
      <c r="GB80" s="59">
        <f>$CQ80-$CQ81</f>
        <v/>
      </c>
      <c r="GC80" s="59">
        <f>$CR80-$CR81</f>
        <v/>
      </c>
      <c r="GD80" s="59">
        <f>$CS80-$CS81</f>
        <v/>
      </c>
      <c r="GE80" s="59">
        <f>$CT80-$CT81</f>
        <v/>
      </c>
    </row>
    <row r="81">
      <c r="CU81" s="58">
        <f>IFERROR($B81/$B82-1,"")</f>
        <v/>
      </c>
      <c r="CV81" s="59">
        <f>($F81-$F82)*100</f>
        <v/>
      </c>
      <c r="CW81" s="59">
        <f>($E81-$E82)*100</f>
        <v/>
      </c>
      <c r="CX81" s="58">
        <f>IFERROR($K81/$K82-1,"")</f>
        <v/>
      </c>
      <c r="CY81" s="59">
        <f>($AH81-$AH82)*100</f>
        <v/>
      </c>
      <c r="CZ81" s="59">
        <f>($AI81-$AI82)*100</f>
        <v/>
      </c>
      <c r="DA81" s="59">
        <f>($AJ81-$AJ82)*100</f>
        <v/>
      </c>
      <c r="DB81" s="59">
        <f>($AK81-$AK82)*100</f>
        <v/>
      </c>
      <c r="DC81" s="59">
        <f>($AL81-$AL82)*100</f>
        <v/>
      </c>
      <c r="DD81" s="59">
        <f>($AM81-$AM82)*100</f>
        <v/>
      </c>
      <c r="DE81" s="59">
        <f>($AN81-$AN82)*100</f>
        <v/>
      </c>
      <c r="DF81" s="59">
        <f>($AO81-$AO82)*100</f>
        <v/>
      </c>
      <c r="DG81" s="59">
        <f>($AP81-$AP82)*100</f>
        <v/>
      </c>
      <c r="DH81" s="59">
        <f>($AQ81-$AQ82)*100</f>
        <v/>
      </c>
      <c r="DI81" s="59">
        <f>($AR81-$AR82)*100</f>
        <v/>
      </c>
      <c r="DJ81" s="59">
        <f>($AS81-$AS82)*100</f>
        <v/>
      </c>
      <c r="DK81" s="59">
        <f>($AT81-$AT82)*100</f>
        <v/>
      </c>
      <c r="DL81" s="59">
        <f>($AU81-$AU82)*100</f>
        <v/>
      </c>
      <c r="DM81" s="59">
        <f>($AV81-$AV82)*100</f>
        <v/>
      </c>
      <c r="DN81" s="59">
        <f>($AW81-$AW82)*100</f>
        <v/>
      </c>
      <c r="DO81" s="59">
        <f>($AX81-$AX82)*100</f>
        <v/>
      </c>
      <c r="DP81" s="59">
        <f>($AY81-$AY82)*100</f>
        <v/>
      </c>
      <c r="DQ81" s="59">
        <f>($AZ81-$AZ82)*100</f>
        <v/>
      </c>
      <c r="DR81" s="59">
        <f>($BA81-$BA82)*100</f>
        <v/>
      </c>
      <c r="DS81" s="58">
        <f>IFERROR($N82/$N81-1,"")</f>
        <v/>
      </c>
      <c r="DT81" s="58">
        <f>IFERROR($O82/$O81-1,"")</f>
        <v/>
      </c>
      <c r="DU81" s="58">
        <f>IFERROR($P82/$P81-1,"")</f>
        <v/>
      </c>
      <c r="DV81" s="58">
        <f>IFERROR($Q82/$Q81-1,"")</f>
        <v/>
      </c>
      <c r="DW81" s="58">
        <f>IFERROR($R82/$R81-1,"")</f>
        <v/>
      </c>
      <c r="DX81" s="58">
        <f>IFERROR($S82/$S81-1,"")</f>
        <v/>
      </c>
      <c r="DY81" s="58">
        <f>IFERROR($T82/$T81-1,"")</f>
        <v/>
      </c>
      <c r="DZ81" s="58">
        <f>IFERROR($U82/$U81-1,"")</f>
        <v/>
      </c>
      <c r="EA81" s="58">
        <f>IFERROR($V82/$V81-1,"")</f>
        <v/>
      </c>
      <c r="EB81" s="58">
        <f>IFERROR($W82/$W81-1,"")</f>
        <v/>
      </c>
      <c r="EC81" s="58">
        <f>IFERROR($X82/$X81-1,"")</f>
        <v/>
      </c>
      <c r="ED81" s="58">
        <f>IFERROR($Y82/$Y81-1,"")</f>
        <v/>
      </c>
      <c r="EE81" s="58">
        <f>IFERROR($Z82/$Z81-1,"")</f>
        <v/>
      </c>
      <c r="EF81" s="58">
        <f>IFERROR($AA82/$AA81-1,"")</f>
        <v/>
      </c>
      <c r="EG81" s="58">
        <f>IFERROR($AB82/$AB81-1,"")</f>
        <v/>
      </c>
      <c r="EH81" s="58">
        <f>IFERROR($AC82/$AC81-1,"")</f>
        <v/>
      </c>
      <c r="EI81" s="58">
        <f>IFERROR($AD82/$AD81-1,"")</f>
        <v/>
      </c>
      <c r="EJ81" s="58">
        <f>IFERROR($AE82/$AE81-1,"")</f>
        <v/>
      </c>
      <c r="EK81" s="58">
        <f>IFERROR($AF82/$AF81-1,"")</f>
        <v/>
      </c>
      <c r="EL81" s="58">
        <f>IFERROR($AG82/$AG81-1,"")</f>
        <v/>
      </c>
      <c r="EM81" s="58">
        <f>IFERROR($BB81/$BB82-1,"")</f>
        <v/>
      </c>
      <c r="EN81" s="58">
        <f>IFERROR($BC81/$BC82-1,"")</f>
        <v/>
      </c>
      <c r="EO81" s="58">
        <f>IFERROR($BD81/$BD82-1,"")</f>
        <v/>
      </c>
      <c r="EP81" s="58">
        <f>IFERROR($BE81/$BE82-1,"")</f>
        <v/>
      </c>
      <c r="EQ81" s="58">
        <f>IFERROR($BF81/$BF82-1,"")</f>
        <v/>
      </c>
      <c r="ER81" s="58">
        <f>IFERROR($BG81/$BG82-1,"")</f>
        <v/>
      </c>
      <c r="ES81" s="58">
        <f>IFERROR($BH81/$BH82-1,"")</f>
        <v/>
      </c>
      <c r="ET81" s="58">
        <f>IFERROR($BI81/$BI82-1,"")</f>
        <v/>
      </c>
      <c r="EU81" s="58">
        <f>IFERROR($BJ81/$BJ82-1,"")</f>
        <v/>
      </c>
      <c r="EV81" s="58">
        <f>IFERROR($BK81/$BK82-1,"")</f>
        <v/>
      </c>
      <c r="EW81" s="58">
        <f>IFERROR($BL81/$BL82-1,"")</f>
        <v/>
      </c>
      <c r="EX81" s="58">
        <f>IFERROR($BM81/$BM82-1,"")</f>
        <v/>
      </c>
      <c r="EY81" s="58">
        <f>IFERROR($BN81/$BN82-1,"")</f>
        <v/>
      </c>
      <c r="EZ81" s="58">
        <f>IFERROR($BO81/$BO82-1,"")</f>
        <v/>
      </c>
      <c r="FA81" s="58">
        <f>IFERROR($BP81/$BP82-1,"")</f>
        <v/>
      </c>
      <c r="FB81" s="58">
        <f>IFERROR($BQ81/$BQ82-1,"")</f>
        <v/>
      </c>
      <c r="FC81" s="58">
        <f>IFERROR($BR81/$BR82-1,"")</f>
        <v/>
      </c>
      <c r="FD81" s="58">
        <f>IFERROR($BS81/$BS82-1,"")</f>
        <v/>
      </c>
      <c r="FE81" s="58">
        <f>IFERROR($BT81/$BT82-1,"")</f>
        <v/>
      </c>
      <c r="FF81" s="58">
        <f>IFERROR($BU81/$BU82-1,"")</f>
        <v/>
      </c>
      <c r="FG81" s="58">
        <f>IFERROR($BV81/$BV82-1,"")</f>
        <v/>
      </c>
      <c r="FH81" s="58">
        <f>IFERROR($BW81/$BW82-1,"")</f>
        <v/>
      </c>
      <c r="FI81" s="58">
        <f>IFERROR($BX81/$BX82-1,"")</f>
        <v/>
      </c>
      <c r="FJ81" s="59">
        <f>$BY81-$BY82</f>
        <v/>
      </c>
      <c r="FK81" s="59">
        <f>$BZ81-$BZ82</f>
        <v/>
      </c>
      <c r="FL81" s="59">
        <f>$CA81-$CA82</f>
        <v/>
      </c>
      <c r="FM81" s="59">
        <f>$CB81-$CB82</f>
        <v/>
      </c>
      <c r="FN81" s="59">
        <f>$CC81-$CC82</f>
        <v/>
      </c>
      <c r="FO81" s="59">
        <f>$CD81-$CD82</f>
        <v/>
      </c>
      <c r="FP81" s="59">
        <f>$CE81-$CE82</f>
        <v/>
      </c>
      <c r="FQ81" s="59">
        <f>$CF81-$CF82</f>
        <v/>
      </c>
      <c r="FR81" s="59">
        <f>$CG81-$CG82</f>
        <v/>
      </c>
      <c r="FS81" s="59">
        <f>$CH81-$CH82</f>
        <v/>
      </c>
      <c r="FT81" s="59">
        <f>$CI81-$CI82</f>
        <v/>
      </c>
      <c r="FU81" s="59">
        <f>$CJ81-$CJ82</f>
        <v/>
      </c>
      <c r="FV81" s="59">
        <f>$CK81-$CK82</f>
        <v/>
      </c>
      <c r="FW81" s="59">
        <f>$CL81-$CL82</f>
        <v/>
      </c>
      <c r="FX81" s="59">
        <f>$CM81-$CM82</f>
        <v/>
      </c>
      <c r="FY81" s="59">
        <f>$CN81-$CN82</f>
        <v/>
      </c>
      <c r="FZ81" s="59">
        <f>$CO81-$CO82</f>
        <v/>
      </c>
      <c r="GA81" s="59">
        <f>$CP81-$CP82</f>
        <v/>
      </c>
      <c r="GB81" s="59">
        <f>$CQ81-$CQ82</f>
        <v/>
      </c>
      <c r="GC81" s="59">
        <f>$CR81-$CR82</f>
        <v/>
      </c>
      <c r="GD81" s="59">
        <f>$CS81-$CS82</f>
        <v/>
      </c>
      <c r="GE81" s="59">
        <f>$CT81-$CT82</f>
        <v/>
      </c>
    </row>
    <row r="82">
      <c r="CU82" s="58">
        <f>IFERROR($B82/$B83-1,"")</f>
        <v/>
      </c>
      <c r="CV82" s="59">
        <f>($F82-$F83)*100</f>
        <v/>
      </c>
      <c r="CW82" s="59">
        <f>($E82-$E83)*100</f>
        <v/>
      </c>
      <c r="CX82" s="58">
        <f>IFERROR($K82/$K83-1,"")</f>
        <v/>
      </c>
      <c r="CY82" s="59">
        <f>($AH82-$AH83)*100</f>
        <v/>
      </c>
      <c r="CZ82" s="59">
        <f>($AI82-$AI83)*100</f>
        <v/>
      </c>
      <c r="DA82" s="59">
        <f>($AJ82-$AJ83)*100</f>
        <v/>
      </c>
      <c r="DB82" s="59">
        <f>($AK82-$AK83)*100</f>
        <v/>
      </c>
      <c r="DC82" s="59">
        <f>($AL82-$AL83)*100</f>
        <v/>
      </c>
      <c r="DD82" s="59">
        <f>($AM82-$AM83)*100</f>
        <v/>
      </c>
      <c r="DE82" s="59">
        <f>($AN82-$AN83)*100</f>
        <v/>
      </c>
      <c r="DF82" s="59">
        <f>($AO82-$AO83)*100</f>
        <v/>
      </c>
      <c r="DG82" s="59">
        <f>($AP82-$AP83)*100</f>
        <v/>
      </c>
      <c r="DH82" s="59">
        <f>($AQ82-$AQ83)*100</f>
        <v/>
      </c>
      <c r="DI82" s="59">
        <f>($AR82-$AR83)*100</f>
        <v/>
      </c>
      <c r="DJ82" s="59">
        <f>($AS82-$AS83)*100</f>
        <v/>
      </c>
      <c r="DK82" s="59">
        <f>($AT82-$AT83)*100</f>
        <v/>
      </c>
      <c r="DL82" s="59">
        <f>($AU82-$AU83)*100</f>
        <v/>
      </c>
      <c r="DM82" s="59">
        <f>($AV82-$AV83)*100</f>
        <v/>
      </c>
      <c r="DN82" s="59">
        <f>($AW82-$AW83)*100</f>
        <v/>
      </c>
      <c r="DO82" s="59">
        <f>($AX82-$AX83)*100</f>
        <v/>
      </c>
      <c r="DP82" s="59">
        <f>($AY82-$AY83)*100</f>
        <v/>
      </c>
      <c r="DQ82" s="59">
        <f>($AZ82-$AZ83)*100</f>
        <v/>
      </c>
      <c r="DR82" s="59">
        <f>($BA82-$BA83)*100</f>
        <v/>
      </c>
      <c r="DS82" s="58">
        <f>IFERROR($N83/$N82-1,"")</f>
        <v/>
      </c>
      <c r="DT82" s="58">
        <f>IFERROR($O83/$O82-1,"")</f>
        <v/>
      </c>
      <c r="DU82" s="58">
        <f>IFERROR($P83/$P82-1,"")</f>
        <v/>
      </c>
      <c r="DV82" s="58">
        <f>IFERROR($Q83/$Q82-1,"")</f>
        <v/>
      </c>
      <c r="DW82" s="58">
        <f>IFERROR($R83/$R82-1,"")</f>
        <v/>
      </c>
      <c r="DX82" s="58">
        <f>IFERROR($S83/$S82-1,"")</f>
        <v/>
      </c>
      <c r="DY82" s="58">
        <f>IFERROR($T83/$T82-1,"")</f>
        <v/>
      </c>
      <c r="DZ82" s="58">
        <f>IFERROR($U83/$U82-1,"")</f>
        <v/>
      </c>
      <c r="EA82" s="58">
        <f>IFERROR($V83/$V82-1,"")</f>
        <v/>
      </c>
      <c r="EB82" s="58">
        <f>IFERROR($W83/$W82-1,"")</f>
        <v/>
      </c>
      <c r="EC82" s="58">
        <f>IFERROR($X83/$X82-1,"")</f>
        <v/>
      </c>
      <c r="ED82" s="58">
        <f>IFERROR($Y83/$Y82-1,"")</f>
        <v/>
      </c>
      <c r="EE82" s="58">
        <f>IFERROR($Z83/$Z82-1,"")</f>
        <v/>
      </c>
      <c r="EF82" s="58">
        <f>IFERROR($AA83/$AA82-1,"")</f>
        <v/>
      </c>
      <c r="EG82" s="58">
        <f>IFERROR($AB83/$AB82-1,"")</f>
        <v/>
      </c>
      <c r="EH82" s="58">
        <f>IFERROR($AC83/$AC82-1,"")</f>
        <v/>
      </c>
      <c r="EI82" s="58">
        <f>IFERROR($AD83/$AD82-1,"")</f>
        <v/>
      </c>
      <c r="EJ82" s="58">
        <f>IFERROR($AE83/$AE82-1,"")</f>
        <v/>
      </c>
      <c r="EK82" s="58">
        <f>IFERROR($AF83/$AF82-1,"")</f>
        <v/>
      </c>
      <c r="EL82" s="58">
        <f>IFERROR($AG83/$AG82-1,"")</f>
        <v/>
      </c>
      <c r="EM82" s="58">
        <f>IFERROR($BB82/$BB83-1,"")</f>
        <v/>
      </c>
      <c r="EN82" s="58">
        <f>IFERROR($BC82/$BC83-1,"")</f>
        <v/>
      </c>
      <c r="EO82" s="58">
        <f>IFERROR($BD82/$BD83-1,"")</f>
        <v/>
      </c>
      <c r="EP82" s="58">
        <f>IFERROR($BE82/$BE83-1,"")</f>
        <v/>
      </c>
      <c r="EQ82" s="58">
        <f>IFERROR($BF82/$BF83-1,"")</f>
        <v/>
      </c>
      <c r="ER82" s="58">
        <f>IFERROR($BG82/$BG83-1,"")</f>
        <v/>
      </c>
      <c r="ES82" s="58">
        <f>IFERROR($BH82/$BH83-1,"")</f>
        <v/>
      </c>
      <c r="ET82" s="58">
        <f>IFERROR($BI82/$BI83-1,"")</f>
        <v/>
      </c>
      <c r="EU82" s="58">
        <f>IFERROR($BJ82/$BJ83-1,"")</f>
        <v/>
      </c>
      <c r="EV82" s="58">
        <f>IFERROR($BK82/$BK83-1,"")</f>
        <v/>
      </c>
      <c r="EW82" s="58">
        <f>IFERROR($BL82/$BL83-1,"")</f>
        <v/>
      </c>
      <c r="EX82" s="58">
        <f>IFERROR($BM82/$BM83-1,"")</f>
        <v/>
      </c>
      <c r="EY82" s="58">
        <f>IFERROR($BN82/$BN83-1,"")</f>
        <v/>
      </c>
      <c r="EZ82" s="58">
        <f>IFERROR($BO82/$BO83-1,"")</f>
        <v/>
      </c>
      <c r="FA82" s="58">
        <f>IFERROR($BP82/$BP83-1,"")</f>
        <v/>
      </c>
      <c r="FB82" s="58">
        <f>IFERROR($BQ82/$BQ83-1,"")</f>
        <v/>
      </c>
      <c r="FC82" s="58">
        <f>IFERROR($BR82/$BR83-1,"")</f>
        <v/>
      </c>
      <c r="FD82" s="58">
        <f>IFERROR($BS82/$BS83-1,"")</f>
        <v/>
      </c>
      <c r="FE82" s="58">
        <f>IFERROR($BT82/$BT83-1,"")</f>
        <v/>
      </c>
      <c r="FF82" s="58">
        <f>IFERROR($BU82/$BU83-1,"")</f>
        <v/>
      </c>
      <c r="FG82" s="58">
        <f>IFERROR($BV82/$BV83-1,"")</f>
        <v/>
      </c>
      <c r="FH82" s="58">
        <f>IFERROR($BW82/$BW83-1,"")</f>
        <v/>
      </c>
      <c r="FI82" s="58">
        <f>IFERROR($BX82/$BX83-1,"")</f>
        <v/>
      </c>
      <c r="FJ82" s="59">
        <f>$BY82-$BY83</f>
        <v/>
      </c>
      <c r="FK82" s="59">
        <f>$BZ82-$BZ83</f>
        <v/>
      </c>
      <c r="FL82" s="59">
        <f>$CA82-$CA83</f>
        <v/>
      </c>
      <c r="FM82" s="59">
        <f>$CB82-$CB83</f>
        <v/>
      </c>
      <c r="FN82" s="59">
        <f>$CC82-$CC83</f>
        <v/>
      </c>
      <c r="FO82" s="59">
        <f>$CD82-$CD83</f>
        <v/>
      </c>
      <c r="FP82" s="59">
        <f>$CE82-$CE83</f>
        <v/>
      </c>
      <c r="FQ82" s="59">
        <f>$CF82-$CF83</f>
        <v/>
      </c>
      <c r="FR82" s="59">
        <f>$CG82-$CG83</f>
        <v/>
      </c>
      <c r="FS82" s="59">
        <f>$CH82-$CH83</f>
        <v/>
      </c>
      <c r="FT82" s="59">
        <f>$CI82-$CI83</f>
        <v/>
      </c>
      <c r="FU82" s="59">
        <f>$CJ82-$CJ83</f>
        <v/>
      </c>
      <c r="FV82" s="59">
        <f>$CK82-$CK83</f>
        <v/>
      </c>
      <c r="FW82" s="59">
        <f>$CL82-$CL83</f>
        <v/>
      </c>
      <c r="FX82" s="59">
        <f>$CM82-$CM83</f>
        <v/>
      </c>
      <c r="FY82" s="59">
        <f>$CN82-$CN83</f>
        <v/>
      </c>
      <c r="FZ82" s="59">
        <f>$CO82-$CO83</f>
        <v/>
      </c>
      <c r="GA82" s="59">
        <f>$CP82-$CP83</f>
        <v/>
      </c>
      <c r="GB82" s="59">
        <f>$CQ82-$CQ83</f>
        <v/>
      </c>
      <c r="GC82" s="59">
        <f>$CR82-$CR83</f>
        <v/>
      </c>
      <c r="GD82" s="59">
        <f>$CS82-$CS83</f>
        <v/>
      </c>
      <c r="GE82" s="59">
        <f>$CT82-$CT83</f>
        <v/>
      </c>
    </row>
    <row r="83">
      <c r="CU83" s="58">
        <f>IFERROR($B83/$B84-1,"")</f>
        <v/>
      </c>
      <c r="CV83" s="59">
        <f>($F83-$F84)*100</f>
        <v/>
      </c>
      <c r="CW83" s="59">
        <f>($E83-$E84)*100</f>
        <v/>
      </c>
      <c r="CX83" s="58">
        <f>IFERROR($K83/$K84-1,"")</f>
        <v/>
      </c>
      <c r="CY83" s="59">
        <f>($AH83-$AH84)*100</f>
        <v/>
      </c>
      <c r="CZ83" s="59">
        <f>($AI83-$AI84)*100</f>
        <v/>
      </c>
      <c r="DA83" s="59">
        <f>($AJ83-$AJ84)*100</f>
        <v/>
      </c>
      <c r="DB83" s="59">
        <f>($AK83-$AK84)*100</f>
        <v/>
      </c>
      <c r="DC83" s="59">
        <f>($AL83-$AL84)*100</f>
        <v/>
      </c>
      <c r="DD83" s="59">
        <f>($AM83-$AM84)*100</f>
        <v/>
      </c>
      <c r="DE83" s="59">
        <f>($AN83-$AN84)*100</f>
        <v/>
      </c>
      <c r="DF83" s="59">
        <f>($AO83-$AO84)*100</f>
        <v/>
      </c>
      <c r="DG83" s="59">
        <f>($AP83-$AP84)*100</f>
        <v/>
      </c>
      <c r="DH83" s="59">
        <f>($AQ83-$AQ84)*100</f>
        <v/>
      </c>
      <c r="DI83" s="59">
        <f>($AR83-$AR84)*100</f>
        <v/>
      </c>
      <c r="DJ83" s="59">
        <f>($AS83-$AS84)*100</f>
        <v/>
      </c>
      <c r="DK83" s="59">
        <f>($AT83-$AT84)*100</f>
        <v/>
      </c>
      <c r="DL83" s="59">
        <f>($AU83-$AU84)*100</f>
        <v/>
      </c>
      <c r="DM83" s="59">
        <f>($AV83-$AV84)*100</f>
        <v/>
      </c>
      <c r="DN83" s="59">
        <f>($AW83-$AW84)*100</f>
        <v/>
      </c>
      <c r="DO83" s="59">
        <f>($AX83-$AX84)*100</f>
        <v/>
      </c>
      <c r="DP83" s="59">
        <f>($AY83-$AY84)*100</f>
        <v/>
      </c>
      <c r="DQ83" s="59">
        <f>($AZ83-$AZ84)*100</f>
        <v/>
      </c>
      <c r="DR83" s="59">
        <f>($BA83-$BA84)*100</f>
        <v/>
      </c>
      <c r="DS83" s="58">
        <f>IFERROR($N84/$N83-1,"")</f>
        <v/>
      </c>
      <c r="DT83" s="58">
        <f>IFERROR($O84/$O83-1,"")</f>
        <v/>
      </c>
      <c r="DU83" s="58">
        <f>IFERROR($P84/$P83-1,"")</f>
        <v/>
      </c>
      <c r="DV83" s="58">
        <f>IFERROR($Q84/$Q83-1,"")</f>
        <v/>
      </c>
      <c r="DW83" s="58">
        <f>IFERROR($R84/$R83-1,"")</f>
        <v/>
      </c>
      <c r="DX83" s="58">
        <f>IFERROR($S84/$S83-1,"")</f>
        <v/>
      </c>
      <c r="DY83" s="58">
        <f>IFERROR($T84/$T83-1,"")</f>
        <v/>
      </c>
      <c r="DZ83" s="58">
        <f>IFERROR($U84/$U83-1,"")</f>
        <v/>
      </c>
      <c r="EA83" s="58">
        <f>IFERROR($V84/$V83-1,"")</f>
        <v/>
      </c>
      <c r="EB83" s="58">
        <f>IFERROR($W84/$W83-1,"")</f>
        <v/>
      </c>
      <c r="EC83" s="58">
        <f>IFERROR($X84/$X83-1,"")</f>
        <v/>
      </c>
      <c r="ED83" s="58">
        <f>IFERROR($Y84/$Y83-1,"")</f>
        <v/>
      </c>
      <c r="EE83" s="58">
        <f>IFERROR($Z84/$Z83-1,"")</f>
        <v/>
      </c>
      <c r="EF83" s="58">
        <f>IFERROR($AA84/$AA83-1,"")</f>
        <v/>
      </c>
      <c r="EG83" s="58">
        <f>IFERROR($AB84/$AB83-1,"")</f>
        <v/>
      </c>
      <c r="EH83" s="58">
        <f>IFERROR($AC84/$AC83-1,"")</f>
        <v/>
      </c>
      <c r="EI83" s="58">
        <f>IFERROR($AD84/$AD83-1,"")</f>
        <v/>
      </c>
      <c r="EJ83" s="58">
        <f>IFERROR($AE84/$AE83-1,"")</f>
        <v/>
      </c>
      <c r="EK83" s="58">
        <f>IFERROR($AF84/$AF83-1,"")</f>
        <v/>
      </c>
      <c r="EL83" s="58">
        <f>IFERROR($AG84/$AG83-1,"")</f>
        <v/>
      </c>
      <c r="EM83" s="58">
        <f>IFERROR($BB83/$BB84-1,"")</f>
        <v/>
      </c>
      <c r="EN83" s="58">
        <f>IFERROR($BC83/$BC84-1,"")</f>
        <v/>
      </c>
      <c r="EO83" s="58">
        <f>IFERROR($BD83/$BD84-1,"")</f>
        <v/>
      </c>
      <c r="EP83" s="58">
        <f>IFERROR($BE83/$BE84-1,"")</f>
        <v/>
      </c>
      <c r="EQ83" s="58">
        <f>IFERROR($BF83/$BF84-1,"")</f>
        <v/>
      </c>
      <c r="ER83" s="58">
        <f>IFERROR($BG83/$BG84-1,"")</f>
        <v/>
      </c>
      <c r="ES83" s="58">
        <f>IFERROR($BH83/$BH84-1,"")</f>
        <v/>
      </c>
      <c r="ET83" s="58">
        <f>IFERROR($BI83/$BI84-1,"")</f>
        <v/>
      </c>
      <c r="EU83" s="58">
        <f>IFERROR($BJ83/$BJ84-1,"")</f>
        <v/>
      </c>
      <c r="EV83" s="58">
        <f>IFERROR($BK83/$BK84-1,"")</f>
        <v/>
      </c>
      <c r="EW83" s="58">
        <f>IFERROR($BL83/$BL84-1,"")</f>
        <v/>
      </c>
      <c r="EX83" s="58">
        <f>IFERROR($BM83/$BM84-1,"")</f>
        <v/>
      </c>
      <c r="EY83" s="58">
        <f>IFERROR($BN83/$BN84-1,"")</f>
        <v/>
      </c>
      <c r="EZ83" s="58">
        <f>IFERROR($BO83/$BO84-1,"")</f>
        <v/>
      </c>
      <c r="FA83" s="58">
        <f>IFERROR($BP83/$BP84-1,"")</f>
        <v/>
      </c>
      <c r="FB83" s="58">
        <f>IFERROR($BQ83/$BQ84-1,"")</f>
        <v/>
      </c>
      <c r="FC83" s="58">
        <f>IFERROR($BR83/$BR84-1,"")</f>
        <v/>
      </c>
      <c r="FD83" s="58">
        <f>IFERROR($BS83/$BS84-1,"")</f>
        <v/>
      </c>
      <c r="FE83" s="58">
        <f>IFERROR($BT83/$BT84-1,"")</f>
        <v/>
      </c>
      <c r="FF83" s="58">
        <f>IFERROR($BU83/$BU84-1,"")</f>
        <v/>
      </c>
      <c r="FG83" s="58">
        <f>IFERROR($BV83/$BV84-1,"")</f>
        <v/>
      </c>
      <c r="FH83" s="58">
        <f>IFERROR($BW83/$BW84-1,"")</f>
        <v/>
      </c>
      <c r="FI83" s="58">
        <f>IFERROR($BX83/$BX84-1,"")</f>
        <v/>
      </c>
      <c r="FJ83" s="59">
        <f>$BY83-$BY84</f>
        <v/>
      </c>
      <c r="FK83" s="59">
        <f>$BZ83-$BZ84</f>
        <v/>
      </c>
      <c r="FL83" s="59">
        <f>$CA83-$CA84</f>
        <v/>
      </c>
      <c r="FM83" s="59">
        <f>$CB83-$CB84</f>
        <v/>
      </c>
      <c r="FN83" s="59">
        <f>$CC83-$CC84</f>
        <v/>
      </c>
      <c r="FO83" s="59">
        <f>$CD83-$CD84</f>
        <v/>
      </c>
      <c r="FP83" s="59">
        <f>$CE83-$CE84</f>
        <v/>
      </c>
      <c r="FQ83" s="59">
        <f>$CF83-$CF84</f>
        <v/>
      </c>
      <c r="FR83" s="59">
        <f>$CG83-$CG84</f>
        <v/>
      </c>
      <c r="FS83" s="59">
        <f>$CH83-$CH84</f>
        <v/>
      </c>
      <c r="FT83" s="59">
        <f>$CI83-$CI84</f>
        <v/>
      </c>
      <c r="FU83" s="59">
        <f>$CJ83-$CJ84</f>
        <v/>
      </c>
      <c r="FV83" s="59">
        <f>$CK83-$CK84</f>
        <v/>
      </c>
      <c r="FW83" s="59">
        <f>$CL83-$CL84</f>
        <v/>
      </c>
      <c r="FX83" s="59">
        <f>$CM83-$CM84</f>
        <v/>
      </c>
      <c r="FY83" s="59">
        <f>$CN83-$CN84</f>
        <v/>
      </c>
      <c r="FZ83" s="59">
        <f>$CO83-$CO84</f>
        <v/>
      </c>
      <c r="GA83" s="59">
        <f>$CP83-$CP84</f>
        <v/>
      </c>
      <c r="GB83" s="59">
        <f>$CQ83-$CQ84</f>
        <v/>
      </c>
      <c r="GC83" s="59">
        <f>$CR83-$CR84</f>
        <v/>
      </c>
      <c r="GD83" s="59">
        <f>$CS83-$CS84</f>
        <v/>
      </c>
      <c r="GE83" s="59">
        <f>$CT83-$CT84</f>
        <v/>
      </c>
    </row>
    <row r="84">
      <c r="CU84" s="58">
        <f>IFERROR($B84/$B85-1,"")</f>
        <v/>
      </c>
      <c r="CV84" s="59">
        <f>($F84-$F85)*100</f>
        <v/>
      </c>
      <c r="CW84" s="59">
        <f>($E84-$E85)*100</f>
        <v/>
      </c>
      <c r="CX84" s="58">
        <f>IFERROR($K84/$K85-1,"")</f>
        <v/>
      </c>
      <c r="CY84" s="59">
        <f>($AH84-$AH85)*100</f>
        <v/>
      </c>
      <c r="CZ84" s="59">
        <f>($AI84-$AI85)*100</f>
        <v/>
      </c>
      <c r="DA84" s="59">
        <f>($AJ84-$AJ85)*100</f>
        <v/>
      </c>
      <c r="DB84" s="59">
        <f>($AK84-$AK85)*100</f>
        <v/>
      </c>
      <c r="DC84" s="59">
        <f>($AL84-$AL85)*100</f>
        <v/>
      </c>
      <c r="DD84" s="59">
        <f>($AM84-$AM85)*100</f>
        <v/>
      </c>
      <c r="DE84" s="59">
        <f>($AN84-$AN85)*100</f>
        <v/>
      </c>
      <c r="DF84" s="59">
        <f>($AO84-$AO85)*100</f>
        <v/>
      </c>
      <c r="DG84" s="59">
        <f>($AP84-$AP85)*100</f>
        <v/>
      </c>
      <c r="DH84" s="59">
        <f>($AQ84-$AQ85)*100</f>
        <v/>
      </c>
      <c r="DI84" s="59">
        <f>($AR84-$AR85)*100</f>
        <v/>
      </c>
      <c r="DJ84" s="59">
        <f>($AS84-$AS85)*100</f>
        <v/>
      </c>
      <c r="DK84" s="59">
        <f>($AT84-$AT85)*100</f>
        <v/>
      </c>
      <c r="DL84" s="59">
        <f>($AU84-$AU85)*100</f>
        <v/>
      </c>
      <c r="DM84" s="59">
        <f>($AV84-$AV85)*100</f>
        <v/>
      </c>
      <c r="DN84" s="59">
        <f>($AW84-$AW85)*100</f>
        <v/>
      </c>
      <c r="DO84" s="59">
        <f>($AX84-$AX85)*100</f>
        <v/>
      </c>
      <c r="DP84" s="59">
        <f>($AY84-$AY85)*100</f>
        <v/>
      </c>
      <c r="DQ84" s="59">
        <f>($AZ84-$AZ85)*100</f>
        <v/>
      </c>
      <c r="DR84" s="59">
        <f>($BA84-$BA85)*100</f>
        <v/>
      </c>
      <c r="DS84" s="58">
        <f>IFERROR($N85/$N84-1,"")</f>
        <v/>
      </c>
      <c r="DT84" s="58">
        <f>IFERROR($O85/$O84-1,"")</f>
        <v/>
      </c>
      <c r="DU84" s="58">
        <f>IFERROR($P85/$P84-1,"")</f>
        <v/>
      </c>
      <c r="DV84" s="58">
        <f>IFERROR($Q85/$Q84-1,"")</f>
        <v/>
      </c>
      <c r="DW84" s="58">
        <f>IFERROR($R85/$R84-1,"")</f>
        <v/>
      </c>
      <c r="DX84" s="58">
        <f>IFERROR($S85/$S84-1,"")</f>
        <v/>
      </c>
      <c r="DY84" s="58">
        <f>IFERROR($T85/$T84-1,"")</f>
        <v/>
      </c>
      <c r="DZ84" s="58">
        <f>IFERROR($U85/$U84-1,"")</f>
        <v/>
      </c>
      <c r="EA84" s="58">
        <f>IFERROR($V85/$V84-1,"")</f>
        <v/>
      </c>
      <c r="EB84" s="58">
        <f>IFERROR($W85/$W84-1,"")</f>
        <v/>
      </c>
      <c r="EC84" s="58">
        <f>IFERROR($X85/$X84-1,"")</f>
        <v/>
      </c>
      <c r="ED84" s="58">
        <f>IFERROR($Y85/$Y84-1,"")</f>
        <v/>
      </c>
      <c r="EE84" s="58">
        <f>IFERROR($Z85/$Z84-1,"")</f>
        <v/>
      </c>
      <c r="EF84" s="58">
        <f>IFERROR($AA85/$AA84-1,"")</f>
        <v/>
      </c>
      <c r="EG84" s="58">
        <f>IFERROR($AB85/$AB84-1,"")</f>
        <v/>
      </c>
      <c r="EH84" s="58">
        <f>IFERROR($AC85/$AC84-1,"")</f>
        <v/>
      </c>
      <c r="EI84" s="58">
        <f>IFERROR($AD85/$AD84-1,"")</f>
        <v/>
      </c>
      <c r="EJ84" s="58">
        <f>IFERROR($AE85/$AE84-1,"")</f>
        <v/>
      </c>
      <c r="EK84" s="58">
        <f>IFERROR($AF85/$AF84-1,"")</f>
        <v/>
      </c>
      <c r="EL84" s="58">
        <f>IFERROR($AG85/$AG84-1,"")</f>
        <v/>
      </c>
      <c r="EM84" s="58">
        <f>IFERROR($BB84/$BB85-1,"")</f>
        <v/>
      </c>
      <c r="EN84" s="58">
        <f>IFERROR($BC84/$BC85-1,"")</f>
        <v/>
      </c>
      <c r="EO84" s="58">
        <f>IFERROR($BD84/$BD85-1,"")</f>
        <v/>
      </c>
      <c r="EP84" s="58">
        <f>IFERROR($BE84/$BE85-1,"")</f>
        <v/>
      </c>
      <c r="EQ84" s="58">
        <f>IFERROR($BF84/$BF85-1,"")</f>
        <v/>
      </c>
      <c r="ER84" s="58">
        <f>IFERROR($BG84/$BG85-1,"")</f>
        <v/>
      </c>
      <c r="ES84" s="58">
        <f>IFERROR($BH84/$BH85-1,"")</f>
        <v/>
      </c>
      <c r="ET84" s="58">
        <f>IFERROR($BI84/$BI85-1,"")</f>
        <v/>
      </c>
      <c r="EU84" s="58">
        <f>IFERROR($BJ84/$BJ85-1,"")</f>
        <v/>
      </c>
      <c r="EV84" s="58">
        <f>IFERROR($BK84/$BK85-1,"")</f>
        <v/>
      </c>
      <c r="EW84" s="58">
        <f>IFERROR($BL84/$BL85-1,"")</f>
        <v/>
      </c>
      <c r="EX84" s="58">
        <f>IFERROR($BM84/$BM85-1,"")</f>
        <v/>
      </c>
      <c r="EY84" s="58">
        <f>IFERROR($BN84/$BN85-1,"")</f>
        <v/>
      </c>
      <c r="EZ84" s="58">
        <f>IFERROR($BO84/$BO85-1,"")</f>
        <v/>
      </c>
      <c r="FA84" s="58">
        <f>IFERROR($BP84/$BP85-1,"")</f>
        <v/>
      </c>
      <c r="FB84" s="58">
        <f>IFERROR($BQ84/$BQ85-1,"")</f>
        <v/>
      </c>
      <c r="FC84" s="58">
        <f>IFERROR($BR84/$BR85-1,"")</f>
        <v/>
      </c>
      <c r="FD84" s="58">
        <f>IFERROR($BS84/$BS85-1,"")</f>
        <v/>
      </c>
      <c r="FE84" s="58">
        <f>IFERROR($BT84/$BT85-1,"")</f>
        <v/>
      </c>
      <c r="FF84" s="58">
        <f>IFERROR($BU84/$BU85-1,"")</f>
        <v/>
      </c>
      <c r="FG84" s="58">
        <f>IFERROR($BV84/$BV85-1,"")</f>
        <v/>
      </c>
      <c r="FH84" s="58">
        <f>IFERROR($BW84/$BW85-1,"")</f>
        <v/>
      </c>
      <c r="FI84" s="58">
        <f>IFERROR($BX84/$BX85-1,"")</f>
        <v/>
      </c>
      <c r="FJ84" s="59">
        <f>$BY84-$BY85</f>
        <v/>
      </c>
      <c r="FK84" s="59">
        <f>$BZ84-$BZ85</f>
        <v/>
      </c>
      <c r="FL84" s="59">
        <f>$CA84-$CA85</f>
        <v/>
      </c>
      <c r="FM84" s="59">
        <f>$CB84-$CB85</f>
        <v/>
      </c>
      <c r="FN84" s="59">
        <f>$CC84-$CC85</f>
        <v/>
      </c>
      <c r="FO84" s="59">
        <f>$CD84-$CD85</f>
        <v/>
      </c>
      <c r="FP84" s="59">
        <f>$CE84-$CE85</f>
        <v/>
      </c>
      <c r="FQ84" s="59">
        <f>$CF84-$CF85</f>
        <v/>
      </c>
      <c r="FR84" s="59">
        <f>$CG84-$CG85</f>
        <v/>
      </c>
      <c r="FS84" s="59">
        <f>$CH84-$CH85</f>
        <v/>
      </c>
      <c r="FT84" s="59">
        <f>$CI84-$CI85</f>
        <v/>
      </c>
      <c r="FU84" s="59">
        <f>$CJ84-$CJ85</f>
        <v/>
      </c>
      <c r="FV84" s="59">
        <f>$CK84-$CK85</f>
        <v/>
      </c>
      <c r="FW84" s="59">
        <f>$CL84-$CL85</f>
        <v/>
      </c>
      <c r="FX84" s="59">
        <f>$CM84-$CM85</f>
        <v/>
      </c>
      <c r="FY84" s="59">
        <f>$CN84-$CN85</f>
        <v/>
      </c>
      <c r="FZ84" s="59">
        <f>$CO84-$CO85</f>
        <v/>
      </c>
      <c r="GA84" s="59">
        <f>$CP84-$CP85</f>
        <v/>
      </c>
      <c r="GB84" s="59">
        <f>$CQ84-$CQ85</f>
        <v/>
      </c>
      <c r="GC84" s="59">
        <f>$CR84-$CR85</f>
        <v/>
      </c>
      <c r="GD84" s="59">
        <f>$CS84-$CS85</f>
        <v/>
      </c>
      <c r="GE84" s="59">
        <f>$CT84-$CT85</f>
        <v/>
      </c>
    </row>
    <row r="85">
      <c r="CU85" s="58">
        <f>IFERROR($B85/$B86-1,"")</f>
        <v/>
      </c>
      <c r="CV85" s="59">
        <f>($F85-$F86)*100</f>
        <v/>
      </c>
      <c r="CW85" s="59">
        <f>($E85-$E86)*100</f>
        <v/>
      </c>
      <c r="CX85" s="58">
        <f>IFERROR($K85/$K86-1,"")</f>
        <v/>
      </c>
      <c r="CY85" s="59">
        <f>($AH85-$AH86)*100</f>
        <v/>
      </c>
      <c r="CZ85" s="59">
        <f>($AI85-$AI86)*100</f>
        <v/>
      </c>
      <c r="DA85" s="59">
        <f>($AJ85-$AJ86)*100</f>
        <v/>
      </c>
      <c r="DB85" s="59">
        <f>($AK85-$AK86)*100</f>
        <v/>
      </c>
      <c r="DC85" s="59">
        <f>($AL85-$AL86)*100</f>
        <v/>
      </c>
      <c r="DD85" s="59">
        <f>($AM85-$AM86)*100</f>
        <v/>
      </c>
      <c r="DE85" s="59">
        <f>($AN85-$AN86)*100</f>
        <v/>
      </c>
      <c r="DF85" s="59">
        <f>($AO85-$AO86)*100</f>
        <v/>
      </c>
      <c r="DG85" s="59">
        <f>($AP85-$AP86)*100</f>
        <v/>
      </c>
      <c r="DH85" s="59">
        <f>($AQ85-$AQ86)*100</f>
        <v/>
      </c>
      <c r="DI85" s="59">
        <f>($AR85-$AR86)*100</f>
        <v/>
      </c>
      <c r="DJ85" s="59">
        <f>($AS85-$AS86)*100</f>
        <v/>
      </c>
      <c r="DK85" s="59">
        <f>($AT85-$AT86)*100</f>
        <v/>
      </c>
      <c r="DL85" s="59">
        <f>($AU85-$AU86)*100</f>
        <v/>
      </c>
      <c r="DM85" s="59">
        <f>($AV85-$AV86)*100</f>
        <v/>
      </c>
      <c r="DN85" s="59">
        <f>($AW85-$AW86)*100</f>
        <v/>
      </c>
      <c r="DO85" s="59">
        <f>($AX85-$AX86)*100</f>
        <v/>
      </c>
      <c r="DP85" s="59">
        <f>($AY85-$AY86)*100</f>
        <v/>
      </c>
      <c r="DQ85" s="59">
        <f>($AZ85-$AZ86)*100</f>
        <v/>
      </c>
      <c r="DR85" s="59">
        <f>($BA85-$BA86)*100</f>
        <v/>
      </c>
      <c r="DS85" s="58">
        <f>IFERROR($N86/$N85-1,"")</f>
        <v/>
      </c>
      <c r="DT85" s="58">
        <f>IFERROR($O86/$O85-1,"")</f>
        <v/>
      </c>
      <c r="DU85" s="58">
        <f>IFERROR($P86/$P85-1,"")</f>
        <v/>
      </c>
      <c r="DV85" s="58">
        <f>IFERROR($Q86/$Q85-1,"")</f>
        <v/>
      </c>
      <c r="DW85" s="58">
        <f>IFERROR($R86/$R85-1,"")</f>
        <v/>
      </c>
      <c r="DX85" s="58">
        <f>IFERROR($S86/$S85-1,"")</f>
        <v/>
      </c>
      <c r="DY85" s="58">
        <f>IFERROR($T86/$T85-1,"")</f>
        <v/>
      </c>
      <c r="DZ85" s="58">
        <f>IFERROR($U86/$U85-1,"")</f>
        <v/>
      </c>
      <c r="EA85" s="58">
        <f>IFERROR($V86/$V85-1,"")</f>
        <v/>
      </c>
      <c r="EB85" s="58">
        <f>IFERROR($W86/$W85-1,"")</f>
        <v/>
      </c>
      <c r="EC85" s="58">
        <f>IFERROR($X86/$X85-1,"")</f>
        <v/>
      </c>
      <c r="ED85" s="58">
        <f>IFERROR($Y86/$Y85-1,"")</f>
        <v/>
      </c>
      <c r="EE85" s="58">
        <f>IFERROR($Z86/$Z85-1,"")</f>
        <v/>
      </c>
      <c r="EF85" s="58">
        <f>IFERROR($AA86/$AA85-1,"")</f>
        <v/>
      </c>
      <c r="EG85" s="58">
        <f>IFERROR($AB86/$AB85-1,"")</f>
        <v/>
      </c>
      <c r="EH85" s="58">
        <f>IFERROR($AC86/$AC85-1,"")</f>
        <v/>
      </c>
      <c r="EI85" s="58">
        <f>IFERROR($AD86/$AD85-1,"")</f>
        <v/>
      </c>
      <c r="EJ85" s="58">
        <f>IFERROR($AE86/$AE85-1,"")</f>
        <v/>
      </c>
      <c r="EK85" s="58">
        <f>IFERROR($AF86/$AF85-1,"")</f>
        <v/>
      </c>
      <c r="EL85" s="58">
        <f>IFERROR($AG86/$AG85-1,"")</f>
        <v/>
      </c>
      <c r="EM85" s="58">
        <f>IFERROR($BB85/$BB86-1,"")</f>
        <v/>
      </c>
      <c r="EN85" s="58">
        <f>IFERROR($BC85/$BC86-1,"")</f>
        <v/>
      </c>
      <c r="EO85" s="58">
        <f>IFERROR($BD85/$BD86-1,"")</f>
        <v/>
      </c>
      <c r="EP85" s="58">
        <f>IFERROR($BE85/$BE86-1,"")</f>
        <v/>
      </c>
      <c r="EQ85" s="58">
        <f>IFERROR($BF85/$BF86-1,"")</f>
        <v/>
      </c>
      <c r="ER85" s="58">
        <f>IFERROR($BG85/$BG86-1,"")</f>
        <v/>
      </c>
      <c r="ES85" s="58">
        <f>IFERROR($BH85/$BH86-1,"")</f>
        <v/>
      </c>
      <c r="ET85" s="58">
        <f>IFERROR($BI85/$BI86-1,"")</f>
        <v/>
      </c>
      <c r="EU85" s="58">
        <f>IFERROR($BJ85/$BJ86-1,"")</f>
        <v/>
      </c>
      <c r="EV85" s="58">
        <f>IFERROR($BK85/$BK86-1,"")</f>
        <v/>
      </c>
      <c r="EW85" s="58">
        <f>IFERROR($BL85/$BL86-1,"")</f>
        <v/>
      </c>
      <c r="EX85" s="58">
        <f>IFERROR($BM85/$BM86-1,"")</f>
        <v/>
      </c>
      <c r="EY85" s="58">
        <f>IFERROR($BN85/$BN86-1,"")</f>
        <v/>
      </c>
      <c r="EZ85" s="58">
        <f>IFERROR($BO85/$BO86-1,"")</f>
        <v/>
      </c>
      <c r="FA85" s="58">
        <f>IFERROR($BP85/$BP86-1,"")</f>
        <v/>
      </c>
      <c r="FB85" s="58">
        <f>IFERROR($BQ85/$BQ86-1,"")</f>
        <v/>
      </c>
      <c r="FC85" s="58">
        <f>IFERROR($BR85/$BR86-1,"")</f>
        <v/>
      </c>
      <c r="FD85" s="58">
        <f>IFERROR($BS85/$BS86-1,"")</f>
        <v/>
      </c>
      <c r="FE85" s="58">
        <f>IFERROR($BT85/$BT86-1,"")</f>
        <v/>
      </c>
      <c r="FF85" s="58">
        <f>IFERROR($BU85/$BU86-1,"")</f>
        <v/>
      </c>
      <c r="FG85" s="58">
        <f>IFERROR($BV85/$BV86-1,"")</f>
        <v/>
      </c>
      <c r="FH85" s="58">
        <f>IFERROR($BW85/$BW86-1,"")</f>
        <v/>
      </c>
      <c r="FI85" s="58">
        <f>IFERROR($BX85/$BX86-1,"")</f>
        <v/>
      </c>
      <c r="FJ85" s="59">
        <f>$BY85-$BY86</f>
        <v/>
      </c>
      <c r="FK85" s="59">
        <f>$BZ85-$BZ86</f>
        <v/>
      </c>
      <c r="FL85" s="59">
        <f>$CA85-$CA86</f>
        <v/>
      </c>
      <c r="FM85" s="59">
        <f>$CB85-$CB86</f>
        <v/>
      </c>
      <c r="FN85" s="59">
        <f>$CC85-$CC86</f>
        <v/>
      </c>
      <c r="FO85" s="59">
        <f>$CD85-$CD86</f>
        <v/>
      </c>
      <c r="FP85" s="59">
        <f>$CE85-$CE86</f>
        <v/>
      </c>
      <c r="FQ85" s="59">
        <f>$CF85-$CF86</f>
        <v/>
      </c>
      <c r="FR85" s="59">
        <f>$CG85-$CG86</f>
        <v/>
      </c>
      <c r="FS85" s="59">
        <f>$CH85-$CH86</f>
        <v/>
      </c>
      <c r="FT85" s="59">
        <f>$CI85-$CI86</f>
        <v/>
      </c>
      <c r="FU85" s="59">
        <f>$CJ85-$CJ86</f>
        <v/>
      </c>
      <c r="FV85" s="59">
        <f>$CK85-$CK86</f>
        <v/>
      </c>
      <c r="FW85" s="59">
        <f>$CL85-$CL86</f>
        <v/>
      </c>
      <c r="FX85" s="59">
        <f>$CM85-$CM86</f>
        <v/>
      </c>
      <c r="FY85" s="59">
        <f>$CN85-$CN86</f>
        <v/>
      </c>
      <c r="FZ85" s="59">
        <f>$CO85-$CO86</f>
        <v/>
      </c>
      <c r="GA85" s="59">
        <f>$CP85-$CP86</f>
        <v/>
      </c>
      <c r="GB85" s="59">
        <f>$CQ85-$CQ86</f>
        <v/>
      </c>
      <c r="GC85" s="59">
        <f>$CR85-$CR86</f>
        <v/>
      </c>
      <c r="GD85" s="59">
        <f>$CS85-$CS86</f>
        <v/>
      </c>
      <c r="GE85" s="59">
        <f>$CT85-$CT86</f>
        <v/>
      </c>
    </row>
    <row r="86">
      <c r="CU86" s="58">
        <f>IFERROR($B86/$B87-1,"")</f>
        <v/>
      </c>
      <c r="CV86" s="59">
        <f>($F86-$F87)*100</f>
        <v/>
      </c>
      <c r="CW86" s="59">
        <f>($E86-$E87)*100</f>
        <v/>
      </c>
      <c r="CX86" s="58">
        <f>IFERROR($K86/$K87-1,"")</f>
        <v/>
      </c>
      <c r="CY86" s="59">
        <f>($AH86-$AH87)*100</f>
        <v/>
      </c>
      <c r="CZ86" s="59">
        <f>($AI86-$AI87)*100</f>
        <v/>
      </c>
      <c r="DA86" s="59">
        <f>($AJ86-$AJ87)*100</f>
        <v/>
      </c>
      <c r="DB86" s="59">
        <f>($AK86-$AK87)*100</f>
        <v/>
      </c>
      <c r="DC86" s="59">
        <f>($AL86-$AL87)*100</f>
        <v/>
      </c>
      <c r="DD86" s="59">
        <f>($AM86-$AM87)*100</f>
        <v/>
      </c>
      <c r="DE86" s="59">
        <f>($AN86-$AN87)*100</f>
        <v/>
      </c>
      <c r="DF86" s="59">
        <f>($AO86-$AO87)*100</f>
        <v/>
      </c>
      <c r="DG86" s="59">
        <f>($AP86-$AP87)*100</f>
        <v/>
      </c>
      <c r="DH86" s="59">
        <f>($AQ86-$AQ87)*100</f>
        <v/>
      </c>
      <c r="DI86" s="59">
        <f>($AR86-$AR87)*100</f>
        <v/>
      </c>
      <c r="DJ86" s="59">
        <f>($AS86-$AS87)*100</f>
        <v/>
      </c>
      <c r="DK86" s="59">
        <f>($AT86-$AT87)*100</f>
        <v/>
      </c>
      <c r="DL86" s="59">
        <f>($AU86-$AU87)*100</f>
        <v/>
      </c>
      <c r="DM86" s="59">
        <f>($AV86-$AV87)*100</f>
        <v/>
      </c>
      <c r="DN86" s="59">
        <f>($AW86-$AW87)*100</f>
        <v/>
      </c>
      <c r="DO86" s="59">
        <f>($AX86-$AX87)*100</f>
        <v/>
      </c>
      <c r="DP86" s="59">
        <f>($AY86-$AY87)*100</f>
        <v/>
      </c>
      <c r="DQ86" s="59">
        <f>($AZ86-$AZ87)*100</f>
        <v/>
      </c>
      <c r="DR86" s="59">
        <f>($BA86-$BA87)*100</f>
        <v/>
      </c>
      <c r="DS86" s="58">
        <f>IFERROR($N87/$N86-1,"")</f>
        <v/>
      </c>
      <c r="DT86" s="58">
        <f>IFERROR($O87/$O86-1,"")</f>
        <v/>
      </c>
      <c r="DU86" s="58">
        <f>IFERROR($P87/$P86-1,"")</f>
        <v/>
      </c>
      <c r="DV86" s="58">
        <f>IFERROR($Q87/$Q86-1,"")</f>
        <v/>
      </c>
      <c r="DW86" s="58">
        <f>IFERROR($R87/$R86-1,"")</f>
        <v/>
      </c>
      <c r="DX86" s="58">
        <f>IFERROR($S87/$S86-1,"")</f>
        <v/>
      </c>
      <c r="DY86" s="58">
        <f>IFERROR($T87/$T86-1,"")</f>
        <v/>
      </c>
      <c r="DZ86" s="58">
        <f>IFERROR($U87/$U86-1,"")</f>
        <v/>
      </c>
      <c r="EA86" s="58">
        <f>IFERROR($V87/$V86-1,"")</f>
        <v/>
      </c>
      <c r="EB86" s="58">
        <f>IFERROR($W87/$W86-1,"")</f>
        <v/>
      </c>
      <c r="EC86" s="58">
        <f>IFERROR($X87/$X86-1,"")</f>
        <v/>
      </c>
      <c r="ED86" s="58">
        <f>IFERROR($Y87/$Y86-1,"")</f>
        <v/>
      </c>
      <c r="EE86" s="58">
        <f>IFERROR($Z87/$Z86-1,"")</f>
        <v/>
      </c>
      <c r="EF86" s="58">
        <f>IFERROR($AA87/$AA86-1,"")</f>
        <v/>
      </c>
      <c r="EG86" s="58">
        <f>IFERROR($AB87/$AB86-1,"")</f>
        <v/>
      </c>
      <c r="EH86" s="58">
        <f>IFERROR($AC87/$AC86-1,"")</f>
        <v/>
      </c>
      <c r="EI86" s="58">
        <f>IFERROR($AD87/$AD86-1,"")</f>
        <v/>
      </c>
      <c r="EJ86" s="58">
        <f>IFERROR($AE87/$AE86-1,"")</f>
        <v/>
      </c>
      <c r="EK86" s="58">
        <f>IFERROR($AF87/$AF86-1,"")</f>
        <v/>
      </c>
      <c r="EL86" s="58">
        <f>IFERROR($AG87/$AG86-1,"")</f>
        <v/>
      </c>
      <c r="EM86" s="58">
        <f>IFERROR($BB86/$BB87-1,"")</f>
        <v/>
      </c>
      <c r="EN86" s="58">
        <f>IFERROR($BC86/$BC87-1,"")</f>
        <v/>
      </c>
      <c r="EO86" s="58">
        <f>IFERROR($BD86/$BD87-1,"")</f>
        <v/>
      </c>
      <c r="EP86" s="58">
        <f>IFERROR($BE86/$BE87-1,"")</f>
        <v/>
      </c>
      <c r="EQ86" s="58">
        <f>IFERROR($BF86/$BF87-1,"")</f>
        <v/>
      </c>
      <c r="ER86" s="58">
        <f>IFERROR($BG86/$BG87-1,"")</f>
        <v/>
      </c>
      <c r="ES86" s="58">
        <f>IFERROR($BH86/$BH87-1,"")</f>
        <v/>
      </c>
      <c r="ET86" s="58">
        <f>IFERROR($BI86/$BI87-1,"")</f>
        <v/>
      </c>
      <c r="EU86" s="58">
        <f>IFERROR($BJ86/$BJ87-1,"")</f>
        <v/>
      </c>
      <c r="EV86" s="58">
        <f>IFERROR($BK86/$BK87-1,"")</f>
        <v/>
      </c>
      <c r="EW86" s="58">
        <f>IFERROR($BL86/$BL87-1,"")</f>
        <v/>
      </c>
      <c r="EX86" s="58">
        <f>IFERROR($BM86/$BM87-1,"")</f>
        <v/>
      </c>
      <c r="EY86" s="58">
        <f>IFERROR($BN86/$BN87-1,"")</f>
        <v/>
      </c>
      <c r="EZ86" s="58">
        <f>IFERROR($BO86/$BO87-1,"")</f>
        <v/>
      </c>
      <c r="FA86" s="58">
        <f>IFERROR($BP86/$BP87-1,"")</f>
        <v/>
      </c>
      <c r="FB86" s="58">
        <f>IFERROR($BQ86/$BQ87-1,"")</f>
        <v/>
      </c>
      <c r="FC86" s="58">
        <f>IFERROR($BR86/$BR87-1,"")</f>
        <v/>
      </c>
      <c r="FD86" s="58">
        <f>IFERROR($BS86/$BS87-1,"")</f>
        <v/>
      </c>
      <c r="FE86" s="58">
        <f>IFERROR($BT86/$BT87-1,"")</f>
        <v/>
      </c>
      <c r="FF86" s="58">
        <f>IFERROR($BU86/$BU87-1,"")</f>
        <v/>
      </c>
      <c r="FG86" s="58">
        <f>IFERROR($BV86/$BV87-1,"")</f>
        <v/>
      </c>
      <c r="FH86" s="58">
        <f>IFERROR($BW86/$BW87-1,"")</f>
        <v/>
      </c>
      <c r="FI86" s="58">
        <f>IFERROR($BX86/$BX87-1,"")</f>
        <v/>
      </c>
      <c r="FJ86" s="59">
        <f>$BY86-$BY87</f>
        <v/>
      </c>
      <c r="FK86" s="59">
        <f>$BZ86-$BZ87</f>
        <v/>
      </c>
      <c r="FL86" s="59">
        <f>$CA86-$CA87</f>
        <v/>
      </c>
      <c r="FM86" s="59">
        <f>$CB86-$CB87</f>
        <v/>
      </c>
      <c r="FN86" s="59">
        <f>$CC86-$CC87</f>
        <v/>
      </c>
      <c r="FO86" s="59">
        <f>$CD86-$CD87</f>
        <v/>
      </c>
      <c r="FP86" s="59">
        <f>$CE86-$CE87</f>
        <v/>
      </c>
      <c r="FQ86" s="59">
        <f>$CF86-$CF87</f>
        <v/>
      </c>
      <c r="FR86" s="59">
        <f>$CG86-$CG87</f>
        <v/>
      </c>
      <c r="FS86" s="59">
        <f>$CH86-$CH87</f>
        <v/>
      </c>
      <c r="FT86" s="59">
        <f>$CI86-$CI87</f>
        <v/>
      </c>
      <c r="FU86" s="59">
        <f>$CJ86-$CJ87</f>
        <v/>
      </c>
      <c r="FV86" s="59">
        <f>$CK86-$CK87</f>
        <v/>
      </c>
      <c r="FW86" s="59">
        <f>$CL86-$CL87</f>
        <v/>
      </c>
      <c r="FX86" s="59">
        <f>$CM86-$CM87</f>
        <v/>
      </c>
      <c r="FY86" s="59">
        <f>$CN86-$CN87</f>
        <v/>
      </c>
      <c r="FZ86" s="59">
        <f>$CO86-$CO87</f>
        <v/>
      </c>
      <c r="GA86" s="59">
        <f>$CP86-$CP87</f>
        <v/>
      </c>
      <c r="GB86" s="59">
        <f>$CQ86-$CQ87</f>
        <v/>
      </c>
      <c r="GC86" s="59">
        <f>$CR86-$CR87</f>
        <v/>
      </c>
      <c r="GD86" s="59">
        <f>$CS86-$CS87</f>
        <v/>
      </c>
      <c r="GE86" s="59">
        <f>$CT86-$CT87</f>
        <v/>
      </c>
    </row>
    <row r="87">
      <c r="CU87" s="58">
        <f>IFERROR($B87/$B88-1,"")</f>
        <v/>
      </c>
      <c r="CV87" s="59">
        <f>($F87-$F88)*100</f>
        <v/>
      </c>
      <c r="CW87" s="59">
        <f>($E87-$E88)*100</f>
        <v/>
      </c>
      <c r="CX87" s="58">
        <f>IFERROR($K87/$K88-1,"")</f>
        <v/>
      </c>
      <c r="CY87" s="59">
        <f>($AH87-$AH88)*100</f>
        <v/>
      </c>
      <c r="CZ87" s="59">
        <f>($AI87-$AI88)*100</f>
        <v/>
      </c>
      <c r="DA87" s="59">
        <f>($AJ87-$AJ88)*100</f>
        <v/>
      </c>
      <c r="DB87" s="59">
        <f>($AK87-$AK88)*100</f>
        <v/>
      </c>
      <c r="DC87" s="59">
        <f>($AL87-$AL88)*100</f>
        <v/>
      </c>
      <c r="DD87" s="59">
        <f>($AM87-$AM88)*100</f>
        <v/>
      </c>
      <c r="DE87" s="59">
        <f>($AN87-$AN88)*100</f>
        <v/>
      </c>
      <c r="DF87" s="59">
        <f>($AO87-$AO88)*100</f>
        <v/>
      </c>
      <c r="DG87" s="59">
        <f>($AP87-$AP88)*100</f>
        <v/>
      </c>
      <c r="DH87" s="59">
        <f>($AQ87-$AQ88)*100</f>
        <v/>
      </c>
      <c r="DI87" s="59">
        <f>($AR87-$AR88)*100</f>
        <v/>
      </c>
      <c r="DJ87" s="59">
        <f>($AS87-$AS88)*100</f>
        <v/>
      </c>
      <c r="DK87" s="59">
        <f>($AT87-$AT88)*100</f>
        <v/>
      </c>
      <c r="DL87" s="59">
        <f>($AU87-$AU88)*100</f>
        <v/>
      </c>
      <c r="DM87" s="59">
        <f>($AV87-$AV88)*100</f>
        <v/>
      </c>
      <c r="DN87" s="59">
        <f>($AW87-$AW88)*100</f>
        <v/>
      </c>
      <c r="DO87" s="59">
        <f>($AX87-$AX88)*100</f>
        <v/>
      </c>
      <c r="DP87" s="59">
        <f>($AY87-$AY88)*100</f>
        <v/>
      </c>
      <c r="DQ87" s="59">
        <f>($AZ87-$AZ88)*100</f>
        <v/>
      </c>
      <c r="DR87" s="59">
        <f>($BA87-$BA88)*100</f>
        <v/>
      </c>
      <c r="DS87" s="58">
        <f>IFERROR($N88/$N87-1,"")</f>
        <v/>
      </c>
      <c r="DT87" s="58">
        <f>IFERROR($O88/$O87-1,"")</f>
        <v/>
      </c>
      <c r="DU87" s="58">
        <f>IFERROR($P88/$P87-1,"")</f>
        <v/>
      </c>
      <c r="DV87" s="58">
        <f>IFERROR($Q88/$Q87-1,"")</f>
        <v/>
      </c>
      <c r="DW87" s="58">
        <f>IFERROR($R88/$R87-1,"")</f>
        <v/>
      </c>
      <c r="DX87" s="58">
        <f>IFERROR($S88/$S87-1,"")</f>
        <v/>
      </c>
      <c r="DY87" s="58">
        <f>IFERROR($T88/$T87-1,"")</f>
        <v/>
      </c>
      <c r="DZ87" s="58">
        <f>IFERROR($U88/$U87-1,"")</f>
        <v/>
      </c>
      <c r="EA87" s="58">
        <f>IFERROR($V88/$V87-1,"")</f>
        <v/>
      </c>
      <c r="EB87" s="58">
        <f>IFERROR($W88/$W87-1,"")</f>
        <v/>
      </c>
      <c r="EC87" s="58">
        <f>IFERROR($X88/$X87-1,"")</f>
        <v/>
      </c>
      <c r="ED87" s="58">
        <f>IFERROR($Y88/$Y87-1,"")</f>
        <v/>
      </c>
      <c r="EE87" s="58">
        <f>IFERROR($Z88/$Z87-1,"")</f>
        <v/>
      </c>
      <c r="EF87" s="58">
        <f>IFERROR($AA88/$AA87-1,"")</f>
        <v/>
      </c>
      <c r="EG87" s="58">
        <f>IFERROR($AB88/$AB87-1,"")</f>
        <v/>
      </c>
      <c r="EH87" s="58">
        <f>IFERROR($AC88/$AC87-1,"")</f>
        <v/>
      </c>
      <c r="EI87" s="58">
        <f>IFERROR($AD88/$AD87-1,"")</f>
        <v/>
      </c>
      <c r="EJ87" s="58">
        <f>IFERROR($AE88/$AE87-1,"")</f>
        <v/>
      </c>
      <c r="EK87" s="58">
        <f>IFERROR($AF88/$AF87-1,"")</f>
        <v/>
      </c>
      <c r="EL87" s="58">
        <f>IFERROR($AG88/$AG87-1,"")</f>
        <v/>
      </c>
      <c r="EM87" s="58">
        <f>IFERROR($BB87/$BB88-1,"")</f>
        <v/>
      </c>
      <c r="EN87" s="58">
        <f>IFERROR($BC87/$BC88-1,"")</f>
        <v/>
      </c>
      <c r="EO87" s="58">
        <f>IFERROR($BD87/$BD88-1,"")</f>
        <v/>
      </c>
      <c r="EP87" s="58">
        <f>IFERROR($BE87/$BE88-1,"")</f>
        <v/>
      </c>
      <c r="EQ87" s="58">
        <f>IFERROR($BF87/$BF88-1,"")</f>
        <v/>
      </c>
      <c r="ER87" s="58">
        <f>IFERROR($BG87/$BG88-1,"")</f>
        <v/>
      </c>
      <c r="ES87" s="58">
        <f>IFERROR($BH87/$BH88-1,"")</f>
        <v/>
      </c>
      <c r="ET87" s="58">
        <f>IFERROR($BI87/$BI88-1,"")</f>
        <v/>
      </c>
      <c r="EU87" s="58">
        <f>IFERROR($BJ87/$BJ88-1,"")</f>
        <v/>
      </c>
      <c r="EV87" s="58">
        <f>IFERROR($BK87/$BK88-1,"")</f>
        <v/>
      </c>
      <c r="EW87" s="58">
        <f>IFERROR($BL87/$BL88-1,"")</f>
        <v/>
      </c>
      <c r="EX87" s="58">
        <f>IFERROR($BM87/$BM88-1,"")</f>
        <v/>
      </c>
      <c r="EY87" s="58">
        <f>IFERROR($BN87/$BN88-1,"")</f>
        <v/>
      </c>
      <c r="EZ87" s="58">
        <f>IFERROR($BO87/$BO88-1,"")</f>
        <v/>
      </c>
      <c r="FA87" s="58">
        <f>IFERROR($BP87/$BP88-1,"")</f>
        <v/>
      </c>
      <c r="FB87" s="58">
        <f>IFERROR($BQ87/$BQ88-1,"")</f>
        <v/>
      </c>
      <c r="FC87" s="58">
        <f>IFERROR($BR87/$BR88-1,"")</f>
        <v/>
      </c>
      <c r="FD87" s="58">
        <f>IFERROR($BS87/$BS88-1,"")</f>
        <v/>
      </c>
      <c r="FE87" s="58">
        <f>IFERROR($BT87/$BT88-1,"")</f>
        <v/>
      </c>
      <c r="FF87" s="58">
        <f>IFERROR($BU87/$BU88-1,"")</f>
        <v/>
      </c>
      <c r="FG87" s="58">
        <f>IFERROR($BV87/$BV88-1,"")</f>
        <v/>
      </c>
      <c r="FH87" s="58">
        <f>IFERROR($BW87/$BW88-1,"")</f>
        <v/>
      </c>
      <c r="FI87" s="58">
        <f>IFERROR($BX87/$BX88-1,"")</f>
        <v/>
      </c>
      <c r="FJ87" s="59">
        <f>$BY87-$BY88</f>
        <v/>
      </c>
      <c r="FK87" s="59">
        <f>$BZ87-$BZ88</f>
        <v/>
      </c>
      <c r="FL87" s="59">
        <f>$CA87-$CA88</f>
        <v/>
      </c>
      <c r="FM87" s="59">
        <f>$CB87-$CB88</f>
        <v/>
      </c>
      <c r="FN87" s="59">
        <f>$CC87-$CC88</f>
        <v/>
      </c>
      <c r="FO87" s="59">
        <f>$CD87-$CD88</f>
        <v/>
      </c>
      <c r="FP87" s="59">
        <f>$CE87-$CE88</f>
        <v/>
      </c>
      <c r="FQ87" s="59">
        <f>$CF87-$CF88</f>
        <v/>
      </c>
      <c r="FR87" s="59">
        <f>$CG87-$CG88</f>
        <v/>
      </c>
      <c r="FS87" s="59">
        <f>$CH87-$CH88</f>
        <v/>
      </c>
      <c r="FT87" s="59">
        <f>$CI87-$CI88</f>
        <v/>
      </c>
      <c r="FU87" s="59">
        <f>$CJ87-$CJ88</f>
        <v/>
      </c>
      <c r="FV87" s="59">
        <f>$CK87-$CK88</f>
        <v/>
      </c>
      <c r="FW87" s="59">
        <f>$CL87-$CL88</f>
        <v/>
      </c>
      <c r="FX87" s="59">
        <f>$CM87-$CM88</f>
        <v/>
      </c>
      <c r="FY87" s="59">
        <f>$CN87-$CN88</f>
        <v/>
      </c>
      <c r="FZ87" s="59">
        <f>$CO87-$CO88</f>
        <v/>
      </c>
      <c r="GA87" s="59">
        <f>$CP87-$CP88</f>
        <v/>
      </c>
      <c r="GB87" s="59">
        <f>$CQ87-$CQ88</f>
        <v/>
      </c>
      <c r="GC87" s="59">
        <f>$CR87-$CR88</f>
        <v/>
      </c>
      <c r="GD87" s="59">
        <f>$CS87-$CS88</f>
        <v/>
      </c>
      <c r="GE87" s="59">
        <f>$CT87-$CT88</f>
        <v/>
      </c>
    </row>
    <row r="88">
      <c r="CU88" s="58">
        <f>IFERROR($B88/$B89-1,"")</f>
        <v/>
      </c>
      <c r="CV88" s="59">
        <f>($F88-$F89)*100</f>
        <v/>
      </c>
      <c r="CW88" s="59">
        <f>($E88-$E89)*100</f>
        <v/>
      </c>
      <c r="CX88" s="58">
        <f>IFERROR($K88/$K89-1,"")</f>
        <v/>
      </c>
      <c r="CY88" s="59">
        <f>($AH88-$AH89)*100</f>
        <v/>
      </c>
      <c r="CZ88" s="59">
        <f>($AI88-$AI89)*100</f>
        <v/>
      </c>
      <c r="DA88" s="59">
        <f>($AJ88-$AJ89)*100</f>
        <v/>
      </c>
      <c r="DB88" s="59">
        <f>($AK88-$AK89)*100</f>
        <v/>
      </c>
      <c r="DC88" s="59">
        <f>($AL88-$AL89)*100</f>
        <v/>
      </c>
      <c r="DD88" s="59">
        <f>($AM88-$AM89)*100</f>
        <v/>
      </c>
      <c r="DE88" s="59">
        <f>($AN88-$AN89)*100</f>
        <v/>
      </c>
      <c r="DF88" s="59">
        <f>($AO88-$AO89)*100</f>
        <v/>
      </c>
      <c r="DG88" s="59">
        <f>($AP88-$AP89)*100</f>
        <v/>
      </c>
      <c r="DH88" s="59">
        <f>($AQ88-$AQ89)*100</f>
        <v/>
      </c>
      <c r="DI88" s="59">
        <f>($AR88-$AR89)*100</f>
        <v/>
      </c>
      <c r="DJ88" s="59">
        <f>($AS88-$AS89)*100</f>
        <v/>
      </c>
      <c r="DK88" s="59">
        <f>($AT88-$AT89)*100</f>
        <v/>
      </c>
      <c r="DL88" s="59">
        <f>($AU88-$AU89)*100</f>
        <v/>
      </c>
      <c r="DM88" s="59">
        <f>($AV88-$AV89)*100</f>
        <v/>
      </c>
      <c r="DN88" s="59">
        <f>($AW88-$AW89)*100</f>
        <v/>
      </c>
      <c r="DO88" s="59">
        <f>($AX88-$AX89)*100</f>
        <v/>
      </c>
      <c r="DP88" s="59">
        <f>($AY88-$AY89)*100</f>
        <v/>
      </c>
      <c r="DQ88" s="59">
        <f>($AZ88-$AZ89)*100</f>
        <v/>
      </c>
      <c r="DR88" s="59">
        <f>($BA88-$BA89)*100</f>
        <v/>
      </c>
      <c r="DS88" s="58">
        <f>IFERROR($N89/$N88-1,"")</f>
        <v/>
      </c>
      <c r="DT88" s="58">
        <f>IFERROR($O89/$O88-1,"")</f>
        <v/>
      </c>
      <c r="DU88" s="58">
        <f>IFERROR($P89/$P88-1,"")</f>
        <v/>
      </c>
      <c r="DV88" s="58">
        <f>IFERROR($Q89/$Q88-1,"")</f>
        <v/>
      </c>
      <c r="DW88" s="58">
        <f>IFERROR($R89/$R88-1,"")</f>
        <v/>
      </c>
      <c r="DX88" s="58">
        <f>IFERROR($S89/$S88-1,"")</f>
        <v/>
      </c>
      <c r="DY88" s="58">
        <f>IFERROR($T89/$T88-1,"")</f>
        <v/>
      </c>
      <c r="DZ88" s="58">
        <f>IFERROR($U89/$U88-1,"")</f>
        <v/>
      </c>
      <c r="EA88" s="58">
        <f>IFERROR($V89/$V88-1,"")</f>
        <v/>
      </c>
      <c r="EB88" s="58">
        <f>IFERROR($W89/$W88-1,"")</f>
        <v/>
      </c>
      <c r="EC88" s="58">
        <f>IFERROR($X89/$X88-1,"")</f>
        <v/>
      </c>
      <c r="ED88" s="58">
        <f>IFERROR($Y89/$Y88-1,"")</f>
        <v/>
      </c>
      <c r="EE88" s="58">
        <f>IFERROR($Z89/$Z88-1,"")</f>
        <v/>
      </c>
      <c r="EF88" s="58">
        <f>IFERROR($AA89/$AA88-1,"")</f>
        <v/>
      </c>
      <c r="EG88" s="58">
        <f>IFERROR($AB89/$AB88-1,"")</f>
        <v/>
      </c>
      <c r="EH88" s="58">
        <f>IFERROR($AC89/$AC88-1,"")</f>
        <v/>
      </c>
      <c r="EI88" s="58">
        <f>IFERROR($AD89/$AD88-1,"")</f>
        <v/>
      </c>
      <c r="EJ88" s="58">
        <f>IFERROR($AE89/$AE88-1,"")</f>
        <v/>
      </c>
      <c r="EK88" s="58">
        <f>IFERROR($AF89/$AF88-1,"")</f>
        <v/>
      </c>
      <c r="EL88" s="58">
        <f>IFERROR($AG89/$AG88-1,"")</f>
        <v/>
      </c>
      <c r="EM88" s="58">
        <f>IFERROR($BB88/$BB89-1,"")</f>
        <v/>
      </c>
      <c r="EN88" s="58">
        <f>IFERROR($BC88/$BC89-1,"")</f>
        <v/>
      </c>
      <c r="EO88" s="58">
        <f>IFERROR($BD88/$BD89-1,"")</f>
        <v/>
      </c>
      <c r="EP88" s="58">
        <f>IFERROR($BE88/$BE89-1,"")</f>
        <v/>
      </c>
      <c r="EQ88" s="58">
        <f>IFERROR($BF88/$BF89-1,"")</f>
        <v/>
      </c>
      <c r="ER88" s="58">
        <f>IFERROR($BG88/$BG89-1,"")</f>
        <v/>
      </c>
      <c r="ES88" s="58">
        <f>IFERROR($BH88/$BH89-1,"")</f>
        <v/>
      </c>
      <c r="ET88" s="58">
        <f>IFERROR($BI88/$BI89-1,"")</f>
        <v/>
      </c>
      <c r="EU88" s="58">
        <f>IFERROR($BJ88/$BJ89-1,"")</f>
        <v/>
      </c>
      <c r="EV88" s="58">
        <f>IFERROR($BK88/$BK89-1,"")</f>
        <v/>
      </c>
      <c r="EW88" s="58">
        <f>IFERROR($BL88/$BL89-1,"")</f>
        <v/>
      </c>
      <c r="EX88" s="58">
        <f>IFERROR($BM88/$BM89-1,"")</f>
        <v/>
      </c>
      <c r="EY88" s="58">
        <f>IFERROR($BN88/$BN89-1,"")</f>
        <v/>
      </c>
      <c r="EZ88" s="58">
        <f>IFERROR($BO88/$BO89-1,"")</f>
        <v/>
      </c>
      <c r="FA88" s="58">
        <f>IFERROR($BP88/$BP89-1,"")</f>
        <v/>
      </c>
      <c r="FB88" s="58">
        <f>IFERROR($BQ88/$BQ89-1,"")</f>
        <v/>
      </c>
      <c r="FC88" s="58">
        <f>IFERROR($BR88/$BR89-1,"")</f>
        <v/>
      </c>
      <c r="FD88" s="58">
        <f>IFERROR($BS88/$BS89-1,"")</f>
        <v/>
      </c>
      <c r="FE88" s="58">
        <f>IFERROR($BT88/$BT89-1,"")</f>
        <v/>
      </c>
      <c r="FF88" s="58">
        <f>IFERROR($BU88/$BU89-1,"")</f>
        <v/>
      </c>
      <c r="FG88" s="58">
        <f>IFERROR($BV88/$BV89-1,"")</f>
        <v/>
      </c>
      <c r="FH88" s="58">
        <f>IFERROR($BW88/$BW89-1,"")</f>
        <v/>
      </c>
      <c r="FI88" s="58">
        <f>IFERROR($BX88/$BX89-1,"")</f>
        <v/>
      </c>
      <c r="FJ88" s="59">
        <f>$BY88-$BY89</f>
        <v/>
      </c>
      <c r="FK88" s="59">
        <f>$BZ88-$BZ89</f>
        <v/>
      </c>
      <c r="FL88" s="59">
        <f>$CA88-$CA89</f>
        <v/>
      </c>
      <c r="FM88" s="59">
        <f>$CB88-$CB89</f>
        <v/>
      </c>
      <c r="FN88" s="59">
        <f>$CC88-$CC89</f>
        <v/>
      </c>
      <c r="FO88" s="59">
        <f>$CD88-$CD89</f>
        <v/>
      </c>
      <c r="FP88" s="59">
        <f>$CE88-$CE89</f>
        <v/>
      </c>
      <c r="FQ88" s="59">
        <f>$CF88-$CF89</f>
        <v/>
      </c>
      <c r="FR88" s="59">
        <f>$CG88-$CG89</f>
        <v/>
      </c>
      <c r="FS88" s="59">
        <f>$CH88-$CH89</f>
        <v/>
      </c>
      <c r="FT88" s="59">
        <f>$CI88-$CI89</f>
        <v/>
      </c>
      <c r="FU88" s="59">
        <f>$CJ88-$CJ89</f>
        <v/>
      </c>
      <c r="FV88" s="59">
        <f>$CK88-$CK89</f>
        <v/>
      </c>
      <c r="FW88" s="59">
        <f>$CL88-$CL89</f>
        <v/>
      </c>
      <c r="FX88" s="59">
        <f>$CM88-$CM89</f>
        <v/>
      </c>
      <c r="FY88" s="59">
        <f>$CN88-$CN89</f>
        <v/>
      </c>
      <c r="FZ88" s="59">
        <f>$CO88-$CO89</f>
        <v/>
      </c>
      <c r="GA88" s="59">
        <f>$CP88-$CP89</f>
        <v/>
      </c>
      <c r="GB88" s="59">
        <f>$CQ88-$CQ89</f>
        <v/>
      </c>
      <c r="GC88" s="59">
        <f>$CR88-$CR89</f>
        <v/>
      </c>
      <c r="GD88" s="59">
        <f>$CS88-$CS89</f>
        <v/>
      </c>
      <c r="GE88" s="59">
        <f>$CT88-$CT89</f>
        <v/>
      </c>
    </row>
    <row r="89">
      <c r="CU89" s="58">
        <f>IFERROR($B89/$B90-1,"")</f>
        <v/>
      </c>
      <c r="CV89" s="59">
        <f>($F89-$F90)*100</f>
        <v/>
      </c>
      <c r="CW89" s="59">
        <f>($E89-$E90)*100</f>
        <v/>
      </c>
      <c r="CX89" s="58">
        <f>IFERROR($K89/$K90-1,"")</f>
        <v/>
      </c>
      <c r="CY89" s="59">
        <f>($AH89-$AH90)*100</f>
        <v/>
      </c>
      <c r="CZ89" s="59">
        <f>($AI89-$AI90)*100</f>
        <v/>
      </c>
      <c r="DA89" s="59">
        <f>($AJ89-$AJ90)*100</f>
        <v/>
      </c>
      <c r="DB89" s="59">
        <f>($AK89-$AK90)*100</f>
        <v/>
      </c>
      <c r="DC89" s="59">
        <f>($AL89-$AL90)*100</f>
        <v/>
      </c>
      <c r="DD89" s="59">
        <f>($AM89-$AM90)*100</f>
        <v/>
      </c>
      <c r="DE89" s="59">
        <f>($AN89-$AN90)*100</f>
        <v/>
      </c>
      <c r="DF89" s="59">
        <f>($AO89-$AO90)*100</f>
        <v/>
      </c>
      <c r="DG89" s="59">
        <f>($AP89-$AP90)*100</f>
        <v/>
      </c>
      <c r="DH89" s="59">
        <f>($AQ89-$AQ90)*100</f>
        <v/>
      </c>
      <c r="DI89" s="59">
        <f>($AR89-$AR90)*100</f>
        <v/>
      </c>
      <c r="DJ89" s="59">
        <f>($AS89-$AS90)*100</f>
        <v/>
      </c>
      <c r="DK89" s="59">
        <f>($AT89-$AT90)*100</f>
        <v/>
      </c>
      <c r="DL89" s="59">
        <f>($AU89-$AU90)*100</f>
        <v/>
      </c>
      <c r="DM89" s="59">
        <f>($AV89-$AV90)*100</f>
        <v/>
      </c>
      <c r="DN89" s="59">
        <f>($AW89-$AW90)*100</f>
        <v/>
      </c>
      <c r="DO89" s="59">
        <f>($AX89-$AX90)*100</f>
        <v/>
      </c>
      <c r="DP89" s="59">
        <f>($AY89-$AY90)*100</f>
        <v/>
      </c>
      <c r="DQ89" s="59">
        <f>($AZ89-$AZ90)*100</f>
        <v/>
      </c>
      <c r="DR89" s="59">
        <f>($BA89-$BA90)*100</f>
        <v/>
      </c>
      <c r="DS89" s="58">
        <f>IFERROR($N90/$N89-1,"")</f>
        <v/>
      </c>
      <c r="DT89" s="58">
        <f>IFERROR($O90/$O89-1,"")</f>
        <v/>
      </c>
      <c r="DU89" s="58">
        <f>IFERROR($P90/$P89-1,"")</f>
        <v/>
      </c>
      <c r="DV89" s="58">
        <f>IFERROR($Q90/$Q89-1,"")</f>
        <v/>
      </c>
      <c r="DW89" s="58">
        <f>IFERROR($R90/$R89-1,"")</f>
        <v/>
      </c>
      <c r="DX89" s="58">
        <f>IFERROR($S90/$S89-1,"")</f>
        <v/>
      </c>
      <c r="DY89" s="58">
        <f>IFERROR($T90/$T89-1,"")</f>
        <v/>
      </c>
      <c r="DZ89" s="58">
        <f>IFERROR($U90/$U89-1,"")</f>
        <v/>
      </c>
      <c r="EA89" s="58">
        <f>IFERROR($V90/$V89-1,"")</f>
        <v/>
      </c>
      <c r="EB89" s="58">
        <f>IFERROR($W90/$W89-1,"")</f>
        <v/>
      </c>
      <c r="EC89" s="58">
        <f>IFERROR($X90/$X89-1,"")</f>
        <v/>
      </c>
      <c r="ED89" s="58">
        <f>IFERROR($Y90/$Y89-1,"")</f>
        <v/>
      </c>
      <c r="EE89" s="58">
        <f>IFERROR($Z90/$Z89-1,"")</f>
        <v/>
      </c>
      <c r="EF89" s="58">
        <f>IFERROR($AA90/$AA89-1,"")</f>
        <v/>
      </c>
      <c r="EG89" s="58">
        <f>IFERROR($AB90/$AB89-1,"")</f>
        <v/>
      </c>
      <c r="EH89" s="58">
        <f>IFERROR($AC90/$AC89-1,"")</f>
        <v/>
      </c>
      <c r="EI89" s="58">
        <f>IFERROR($AD90/$AD89-1,"")</f>
        <v/>
      </c>
      <c r="EJ89" s="58">
        <f>IFERROR($AE90/$AE89-1,"")</f>
        <v/>
      </c>
      <c r="EK89" s="58">
        <f>IFERROR($AF90/$AF89-1,"")</f>
        <v/>
      </c>
      <c r="EL89" s="58">
        <f>IFERROR($AG90/$AG89-1,"")</f>
        <v/>
      </c>
      <c r="EM89" s="58">
        <f>IFERROR($BB89/$BB90-1,"")</f>
        <v/>
      </c>
      <c r="EN89" s="58">
        <f>IFERROR($BC89/$BC90-1,"")</f>
        <v/>
      </c>
      <c r="EO89" s="58">
        <f>IFERROR($BD89/$BD90-1,"")</f>
        <v/>
      </c>
      <c r="EP89" s="58">
        <f>IFERROR($BE89/$BE90-1,"")</f>
        <v/>
      </c>
      <c r="EQ89" s="58">
        <f>IFERROR($BF89/$BF90-1,"")</f>
        <v/>
      </c>
      <c r="ER89" s="58">
        <f>IFERROR($BG89/$BG90-1,"")</f>
        <v/>
      </c>
      <c r="ES89" s="58">
        <f>IFERROR($BH89/$BH90-1,"")</f>
        <v/>
      </c>
      <c r="ET89" s="58">
        <f>IFERROR($BI89/$BI90-1,"")</f>
        <v/>
      </c>
      <c r="EU89" s="58">
        <f>IFERROR($BJ89/$BJ90-1,"")</f>
        <v/>
      </c>
      <c r="EV89" s="58">
        <f>IFERROR($BK89/$BK90-1,"")</f>
        <v/>
      </c>
      <c r="EW89" s="58">
        <f>IFERROR($BL89/$BL90-1,"")</f>
        <v/>
      </c>
      <c r="EX89" s="58">
        <f>IFERROR($BM89/$BM90-1,"")</f>
        <v/>
      </c>
      <c r="EY89" s="58">
        <f>IFERROR($BN89/$BN90-1,"")</f>
        <v/>
      </c>
      <c r="EZ89" s="58">
        <f>IFERROR($BO89/$BO90-1,"")</f>
        <v/>
      </c>
      <c r="FA89" s="58">
        <f>IFERROR($BP89/$BP90-1,"")</f>
        <v/>
      </c>
      <c r="FB89" s="58">
        <f>IFERROR($BQ89/$BQ90-1,"")</f>
        <v/>
      </c>
      <c r="FC89" s="58">
        <f>IFERROR($BR89/$BR90-1,"")</f>
        <v/>
      </c>
      <c r="FD89" s="58">
        <f>IFERROR($BS89/$BS90-1,"")</f>
        <v/>
      </c>
      <c r="FE89" s="58">
        <f>IFERROR($BT89/$BT90-1,"")</f>
        <v/>
      </c>
      <c r="FF89" s="58">
        <f>IFERROR($BU89/$BU90-1,"")</f>
        <v/>
      </c>
      <c r="FG89" s="58">
        <f>IFERROR($BV89/$BV90-1,"")</f>
        <v/>
      </c>
      <c r="FH89" s="58">
        <f>IFERROR($BW89/$BW90-1,"")</f>
        <v/>
      </c>
      <c r="FI89" s="58">
        <f>IFERROR($BX89/$BX90-1,"")</f>
        <v/>
      </c>
      <c r="FJ89" s="59">
        <f>$BY89-$BY90</f>
        <v/>
      </c>
      <c r="FK89" s="59">
        <f>$BZ89-$BZ90</f>
        <v/>
      </c>
      <c r="FL89" s="59">
        <f>$CA89-$CA90</f>
        <v/>
      </c>
      <c r="FM89" s="59">
        <f>$CB89-$CB90</f>
        <v/>
      </c>
      <c r="FN89" s="59">
        <f>$CC89-$CC90</f>
        <v/>
      </c>
      <c r="FO89" s="59">
        <f>$CD89-$CD90</f>
        <v/>
      </c>
      <c r="FP89" s="59">
        <f>$CE89-$CE90</f>
        <v/>
      </c>
      <c r="FQ89" s="59">
        <f>$CF89-$CF90</f>
        <v/>
      </c>
      <c r="FR89" s="59">
        <f>$CG89-$CG90</f>
        <v/>
      </c>
      <c r="FS89" s="59">
        <f>$CH89-$CH90</f>
        <v/>
      </c>
      <c r="FT89" s="59">
        <f>$CI89-$CI90</f>
        <v/>
      </c>
      <c r="FU89" s="59">
        <f>$CJ89-$CJ90</f>
        <v/>
      </c>
      <c r="FV89" s="59">
        <f>$CK89-$CK90</f>
        <v/>
      </c>
      <c r="FW89" s="59">
        <f>$CL89-$CL90</f>
        <v/>
      </c>
      <c r="FX89" s="59">
        <f>$CM89-$CM90</f>
        <v/>
      </c>
      <c r="FY89" s="59">
        <f>$CN89-$CN90</f>
        <v/>
      </c>
      <c r="FZ89" s="59">
        <f>$CO89-$CO90</f>
        <v/>
      </c>
      <c r="GA89" s="59">
        <f>$CP89-$CP90</f>
        <v/>
      </c>
      <c r="GB89" s="59">
        <f>$CQ89-$CQ90</f>
        <v/>
      </c>
      <c r="GC89" s="59">
        <f>$CR89-$CR90</f>
        <v/>
      </c>
      <c r="GD89" s="59">
        <f>$CS89-$CS90</f>
        <v/>
      </c>
      <c r="GE89" s="59">
        <f>$CT89-$CT90</f>
        <v/>
      </c>
    </row>
    <row r="90">
      <c r="CU90" s="58">
        <f>IFERROR($B90/$B91-1,"")</f>
        <v/>
      </c>
      <c r="CV90" s="59">
        <f>($F90-$F91)*100</f>
        <v/>
      </c>
      <c r="CW90" s="59">
        <f>($E90-$E91)*100</f>
        <v/>
      </c>
      <c r="CX90" s="58">
        <f>IFERROR($K90/$K91-1,"")</f>
        <v/>
      </c>
      <c r="CY90" s="59">
        <f>($AH90-$AH91)*100</f>
        <v/>
      </c>
      <c r="CZ90" s="59">
        <f>($AI90-$AI91)*100</f>
        <v/>
      </c>
      <c r="DA90" s="59">
        <f>($AJ90-$AJ91)*100</f>
        <v/>
      </c>
      <c r="DB90" s="59">
        <f>($AK90-$AK91)*100</f>
        <v/>
      </c>
      <c r="DC90" s="59">
        <f>($AL90-$AL91)*100</f>
        <v/>
      </c>
      <c r="DD90" s="59">
        <f>($AM90-$AM91)*100</f>
        <v/>
      </c>
      <c r="DE90" s="59">
        <f>($AN90-$AN91)*100</f>
        <v/>
      </c>
      <c r="DF90" s="59">
        <f>($AO90-$AO91)*100</f>
        <v/>
      </c>
      <c r="DG90" s="59">
        <f>($AP90-$AP91)*100</f>
        <v/>
      </c>
      <c r="DH90" s="59">
        <f>($AQ90-$AQ91)*100</f>
        <v/>
      </c>
      <c r="DI90" s="59">
        <f>($AR90-$AR91)*100</f>
        <v/>
      </c>
      <c r="DJ90" s="59">
        <f>($AS90-$AS91)*100</f>
        <v/>
      </c>
      <c r="DK90" s="59">
        <f>($AT90-$AT91)*100</f>
        <v/>
      </c>
      <c r="DL90" s="59">
        <f>($AU90-$AU91)*100</f>
        <v/>
      </c>
      <c r="DM90" s="59">
        <f>($AV90-$AV91)*100</f>
        <v/>
      </c>
      <c r="DN90" s="59">
        <f>($AW90-$AW91)*100</f>
        <v/>
      </c>
      <c r="DO90" s="59">
        <f>($AX90-$AX91)*100</f>
        <v/>
      </c>
      <c r="DP90" s="59">
        <f>($AY90-$AY91)*100</f>
        <v/>
      </c>
      <c r="DQ90" s="59">
        <f>($AZ90-$AZ91)*100</f>
        <v/>
      </c>
      <c r="DR90" s="59">
        <f>($BA90-$BA91)*100</f>
        <v/>
      </c>
      <c r="DS90" s="58">
        <f>IFERROR($N91/$N90-1,"")</f>
        <v/>
      </c>
      <c r="DT90" s="58">
        <f>IFERROR($O91/$O90-1,"")</f>
        <v/>
      </c>
      <c r="DU90" s="58">
        <f>IFERROR($P91/$P90-1,"")</f>
        <v/>
      </c>
      <c r="DV90" s="58">
        <f>IFERROR($Q91/$Q90-1,"")</f>
        <v/>
      </c>
      <c r="DW90" s="58">
        <f>IFERROR($R91/$R90-1,"")</f>
        <v/>
      </c>
      <c r="DX90" s="58">
        <f>IFERROR($S91/$S90-1,"")</f>
        <v/>
      </c>
      <c r="DY90" s="58">
        <f>IFERROR($T91/$T90-1,"")</f>
        <v/>
      </c>
      <c r="DZ90" s="58">
        <f>IFERROR($U91/$U90-1,"")</f>
        <v/>
      </c>
      <c r="EA90" s="58">
        <f>IFERROR($V91/$V90-1,"")</f>
        <v/>
      </c>
      <c r="EB90" s="58">
        <f>IFERROR($W91/$W90-1,"")</f>
        <v/>
      </c>
      <c r="EC90" s="58">
        <f>IFERROR($X91/$X90-1,"")</f>
        <v/>
      </c>
      <c r="ED90" s="58">
        <f>IFERROR($Y91/$Y90-1,"")</f>
        <v/>
      </c>
      <c r="EE90" s="58">
        <f>IFERROR($Z91/$Z90-1,"")</f>
        <v/>
      </c>
      <c r="EF90" s="58">
        <f>IFERROR($AA91/$AA90-1,"")</f>
        <v/>
      </c>
      <c r="EG90" s="58">
        <f>IFERROR($AB91/$AB90-1,"")</f>
        <v/>
      </c>
      <c r="EH90" s="58">
        <f>IFERROR($AC91/$AC90-1,"")</f>
        <v/>
      </c>
      <c r="EI90" s="58">
        <f>IFERROR($AD91/$AD90-1,"")</f>
        <v/>
      </c>
      <c r="EJ90" s="58">
        <f>IFERROR($AE91/$AE90-1,"")</f>
        <v/>
      </c>
      <c r="EK90" s="58">
        <f>IFERROR($AF91/$AF90-1,"")</f>
        <v/>
      </c>
      <c r="EL90" s="58">
        <f>IFERROR($AG91/$AG90-1,"")</f>
        <v/>
      </c>
      <c r="EM90" s="58">
        <f>IFERROR($BB90/$BB91-1,"")</f>
        <v/>
      </c>
      <c r="EN90" s="58">
        <f>IFERROR($BC90/$BC91-1,"")</f>
        <v/>
      </c>
      <c r="EO90" s="58">
        <f>IFERROR($BD90/$BD91-1,"")</f>
        <v/>
      </c>
      <c r="EP90" s="58">
        <f>IFERROR($BE90/$BE91-1,"")</f>
        <v/>
      </c>
      <c r="EQ90" s="58">
        <f>IFERROR($BF90/$BF91-1,"")</f>
        <v/>
      </c>
      <c r="ER90" s="58">
        <f>IFERROR($BG90/$BG91-1,"")</f>
        <v/>
      </c>
      <c r="ES90" s="58">
        <f>IFERROR($BH90/$BH91-1,"")</f>
        <v/>
      </c>
      <c r="ET90" s="58">
        <f>IFERROR($BI90/$BI91-1,"")</f>
        <v/>
      </c>
      <c r="EU90" s="58">
        <f>IFERROR($BJ90/$BJ91-1,"")</f>
        <v/>
      </c>
      <c r="EV90" s="58">
        <f>IFERROR($BK90/$BK91-1,"")</f>
        <v/>
      </c>
      <c r="EW90" s="58">
        <f>IFERROR($BL90/$BL91-1,"")</f>
        <v/>
      </c>
      <c r="EX90" s="58">
        <f>IFERROR($BM90/$BM91-1,"")</f>
        <v/>
      </c>
      <c r="EY90" s="58">
        <f>IFERROR($BN90/$BN91-1,"")</f>
        <v/>
      </c>
      <c r="EZ90" s="58">
        <f>IFERROR($BO90/$BO91-1,"")</f>
        <v/>
      </c>
      <c r="FA90" s="58">
        <f>IFERROR($BP90/$BP91-1,"")</f>
        <v/>
      </c>
      <c r="FB90" s="58">
        <f>IFERROR($BQ90/$BQ91-1,"")</f>
        <v/>
      </c>
      <c r="FC90" s="58">
        <f>IFERROR($BR90/$BR91-1,"")</f>
        <v/>
      </c>
      <c r="FD90" s="58">
        <f>IFERROR($BS90/$BS91-1,"")</f>
        <v/>
      </c>
      <c r="FE90" s="58">
        <f>IFERROR($BT90/$BT91-1,"")</f>
        <v/>
      </c>
      <c r="FF90" s="58">
        <f>IFERROR($BU90/$BU91-1,"")</f>
        <v/>
      </c>
      <c r="FG90" s="58">
        <f>IFERROR($BV90/$BV91-1,"")</f>
        <v/>
      </c>
      <c r="FH90" s="58">
        <f>IFERROR($BW90/$BW91-1,"")</f>
        <v/>
      </c>
      <c r="FI90" s="58">
        <f>IFERROR($BX90/$BX91-1,"")</f>
        <v/>
      </c>
      <c r="FJ90" s="59">
        <f>$BY90-$BY91</f>
        <v/>
      </c>
      <c r="FK90" s="59">
        <f>$BZ90-$BZ91</f>
        <v/>
      </c>
      <c r="FL90" s="59">
        <f>$CA90-$CA91</f>
        <v/>
      </c>
      <c r="FM90" s="59">
        <f>$CB90-$CB91</f>
        <v/>
      </c>
      <c r="FN90" s="59">
        <f>$CC90-$CC91</f>
        <v/>
      </c>
      <c r="FO90" s="59">
        <f>$CD90-$CD91</f>
        <v/>
      </c>
      <c r="FP90" s="59">
        <f>$CE90-$CE91</f>
        <v/>
      </c>
      <c r="FQ90" s="59">
        <f>$CF90-$CF91</f>
        <v/>
      </c>
      <c r="FR90" s="59">
        <f>$CG90-$CG91</f>
        <v/>
      </c>
      <c r="FS90" s="59">
        <f>$CH90-$CH91</f>
        <v/>
      </c>
      <c r="FT90" s="59">
        <f>$CI90-$CI91</f>
        <v/>
      </c>
      <c r="FU90" s="59">
        <f>$CJ90-$CJ91</f>
        <v/>
      </c>
      <c r="FV90" s="59">
        <f>$CK90-$CK91</f>
        <v/>
      </c>
      <c r="FW90" s="59">
        <f>$CL90-$CL91</f>
        <v/>
      </c>
      <c r="FX90" s="59">
        <f>$CM90-$CM91</f>
        <v/>
      </c>
      <c r="FY90" s="59">
        <f>$CN90-$CN91</f>
        <v/>
      </c>
      <c r="FZ90" s="59">
        <f>$CO90-$CO91</f>
        <v/>
      </c>
      <c r="GA90" s="59">
        <f>$CP90-$CP91</f>
        <v/>
      </c>
      <c r="GB90" s="59">
        <f>$CQ90-$CQ91</f>
        <v/>
      </c>
      <c r="GC90" s="59">
        <f>$CR90-$CR91</f>
        <v/>
      </c>
      <c r="GD90" s="59">
        <f>$CS90-$CS91</f>
        <v/>
      </c>
      <c r="GE90" s="59">
        <f>$CT90-$CT91</f>
        <v/>
      </c>
    </row>
    <row r="91">
      <c r="CU91" s="58">
        <f>IFERROR($B91/$B92-1,"")</f>
        <v/>
      </c>
      <c r="CV91" s="59">
        <f>($F91-$F92)*100</f>
        <v/>
      </c>
      <c r="CW91" s="59">
        <f>($E91-$E92)*100</f>
        <v/>
      </c>
      <c r="CX91" s="58">
        <f>IFERROR($K91/$K92-1,"")</f>
        <v/>
      </c>
      <c r="CY91" s="59">
        <f>($AH91-$AH92)*100</f>
        <v/>
      </c>
      <c r="CZ91" s="59">
        <f>($AI91-$AI92)*100</f>
        <v/>
      </c>
      <c r="DA91" s="59">
        <f>($AJ91-$AJ92)*100</f>
        <v/>
      </c>
      <c r="DB91" s="59">
        <f>($AK91-$AK92)*100</f>
        <v/>
      </c>
      <c r="DC91" s="59">
        <f>($AL91-$AL92)*100</f>
        <v/>
      </c>
      <c r="DD91" s="59">
        <f>($AM91-$AM92)*100</f>
        <v/>
      </c>
      <c r="DE91" s="59">
        <f>($AN91-$AN92)*100</f>
        <v/>
      </c>
      <c r="DF91" s="59">
        <f>($AO91-$AO92)*100</f>
        <v/>
      </c>
      <c r="DG91" s="59">
        <f>($AP91-$AP92)*100</f>
        <v/>
      </c>
      <c r="DH91" s="59">
        <f>($AQ91-$AQ92)*100</f>
        <v/>
      </c>
      <c r="DI91" s="59">
        <f>($AR91-$AR92)*100</f>
        <v/>
      </c>
      <c r="DJ91" s="59">
        <f>($AS91-$AS92)*100</f>
        <v/>
      </c>
      <c r="DK91" s="59">
        <f>($AT91-$AT92)*100</f>
        <v/>
      </c>
      <c r="DL91" s="59">
        <f>($AU91-$AU92)*100</f>
        <v/>
      </c>
      <c r="DM91" s="59">
        <f>($AV91-$AV92)*100</f>
        <v/>
      </c>
      <c r="DN91" s="59">
        <f>($AW91-$AW92)*100</f>
        <v/>
      </c>
      <c r="DO91" s="59">
        <f>($AX91-$AX92)*100</f>
        <v/>
      </c>
      <c r="DP91" s="59">
        <f>($AY91-$AY92)*100</f>
        <v/>
      </c>
      <c r="DQ91" s="59">
        <f>($AZ91-$AZ92)*100</f>
        <v/>
      </c>
      <c r="DR91" s="59">
        <f>($BA91-$BA92)*100</f>
        <v/>
      </c>
      <c r="DS91" s="58">
        <f>IFERROR($N92/$N91-1,"")</f>
        <v/>
      </c>
      <c r="DT91" s="58">
        <f>IFERROR($O92/$O91-1,"")</f>
        <v/>
      </c>
      <c r="DU91" s="58">
        <f>IFERROR($P92/$P91-1,"")</f>
        <v/>
      </c>
      <c r="DV91" s="58">
        <f>IFERROR($Q92/$Q91-1,"")</f>
        <v/>
      </c>
      <c r="DW91" s="58">
        <f>IFERROR($R92/$R91-1,"")</f>
        <v/>
      </c>
      <c r="DX91" s="58">
        <f>IFERROR($S92/$S91-1,"")</f>
        <v/>
      </c>
      <c r="DY91" s="58">
        <f>IFERROR($T92/$T91-1,"")</f>
        <v/>
      </c>
      <c r="DZ91" s="58">
        <f>IFERROR($U92/$U91-1,"")</f>
        <v/>
      </c>
      <c r="EA91" s="58">
        <f>IFERROR($V92/$V91-1,"")</f>
        <v/>
      </c>
      <c r="EB91" s="58">
        <f>IFERROR($W92/$W91-1,"")</f>
        <v/>
      </c>
      <c r="EC91" s="58">
        <f>IFERROR($X92/$X91-1,"")</f>
        <v/>
      </c>
      <c r="ED91" s="58">
        <f>IFERROR($Y92/$Y91-1,"")</f>
        <v/>
      </c>
      <c r="EE91" s="58">
        <f>IFERROR($Z92/$Z91-1,"")</f>
        <v/>
      </c>
      <c r="EF91" s="58">
        <f>IFERROR($AA92/$AA91-1,"")</f>
        <v/>
      </c>
      <c r="EG91" s="58">
        <f>IFERROR($AB92/$AB91-1,"")</f>
        <v/>
      </c>
      <c r="EH91" s="58">
        <f>IFERROR($AC92/$AC91-1,"")</f>
        <v/>
      </c>
      <c r="EI91" s="58">
        <f>IFERROR($AD92/$AD91-1,"")</f>
        <v/>
      </c>
      <c r="EJ91" s="58">
        <f>IFERROR($AE92/$AE91-1,"")</f>
        <v/>
      </c>
      <c r="EK91" s="58">
        <f>IFERROR($AF92/$AF91-1,"")</f>
        <v/>
      </c>
      <c r="EL91" s="58">
        <f>IFERROR($AG92/$AG91-1,"")</f>
        <v/>
      </c>
      <c r="EM91" s="58">
        <f>IFERROR($BB91/$BB92-1,"")</f>
        <v/>
      </c>
      <c r="EN91" s="58">
        <f>IFERROR($BC91/$BC92-1,"")</f>
        <v/>
      </c>
      <c r="EO91" s="58">
        <f>IFERROR($BD91/$BD92-1,"")</f>
        <v/>
      </c>
      <c r="EP91" s="58">
        <f>IFERROR($BE91/$BE92-1,"")</f>
        <v/>
      </c>
      <c r="EQ91" s="58">
        <f>IFERROR($BF91/$BF92-1,"")</f>
        <v/>
      </c>
      <c r="ER91" s="58">
        <f>IFERROR($BG91/$BG92-1,"")</f>
        <v/>
      </c>
      <c r="ES91" s="58">
        <f>IFERROR($BH91/$BH92-1,"")</f>
        <v/>
      </c>
      <c r="ET91" s="58">
        <f>IFERROR($BI91/$BI92-1,"")</f>
        <v/>
      </c>
      <c r="EU91" s="58">
        <f>IFERROR($BJ91/$BJ92-1,"")</f>
        <v/>
      </c>
      <c r="EV91" s="58">
        <f>IFERROR($BK91/$BK92-1,"")</f>
        <v/>
      </c>
      <c r="EW91" s="58">
        <f>IFERROR($BL91/$BL92-1,"")</f>
        <v/>
      </c>
      <c r="EX91" s="58">
        <f>IFERROR($BM91/$BM92-1,"")</f>
        <v/>
      </c>
      <c r="EY91" s="58">
        <f>IFERROR($BN91/$BN92-1,"")</f>
        <v/>
      </c>
      <c r="EZ91" s="58">
        <f>IFERROR($BO91/$BO92-1,"")</f>
        <v/>
      </c>
      <c r="FA91" s="58">
        <f>IFERROR($BP91/$BP92-1,"")</f>
        <v/>
      </c>
      <c r="FB91" s="58">
        <f>IFERROR($BQ91/$BQ92-1,"")</f>
        <v/>
      </c>
      <c r="FC91" s="58">
        <f>IFERROR($BR91/$BR92-1,"")</f>
        <v/>
      </c>
      <c r="FD91" s="58">
        <f>IFERROR($BS91/$BS92-1,"")</f>
        <v/>
      </c>
      <c r="FE91" s="58">
        <f>IFERROR($BT91/$BT92-1,"")</f>
        <v/>
      </c>
      <c r="FF91" s="58">
        <f>IFERROR($BU91/$BU92-1,"")</f>
        <v/>
      </c>
      <c r="FG91" s="58">
        <f>IFERROR($BV91/$BV92-1,"")</f>
        <v/>
      </c>
      <c r="FH91" s="58">
        <f>IFERROR($BW91/$BW92-1,"")</f>
        <v/>
      </c>
      <c r="FI91" s="58">
        <f>IFERROR($BX91/$BX92-1,"")</f>
        <v/>
      </c>
      <c r="FJ91" s="59">
        <f>$BY91-$BY92</f>
        <v/>
      </c>
      <c r="FK91" s="59">
        <f>$BZ91-$BZ92</f>
        <v/>
      </c>
      <c r="FL91" s="59">
        <f>$CA91-$CA92</f>
        <v/>
      </c>
      <c r="FM91" s="59">
        <f>$CB91-$CB92</f>
        <v/>
      </c>
      <c r="FN91" s="59">
        <f>$CC91-$CC92</f>
        <v/>
      </c>
      <c r="FO91" s="59">
        <f>$CD91-$CD92</f>
        <v/>
      </c>
      <c r="FP91" s="59">
        <f>$CE91-$CE92</f>
        <v/>
      </c>
      <c r="FQ91" s="59">
        <f>$CF91-$CF92</f>
        <v/>
      </c>
      <c r="FR91" s="59">
        <f>$CG91-$CG92</f>
        <v/>
      </c>
      <c r="FS91" s="59">
        <f>$CH91-$CH92</f>
        <v/>
      </c>
      <c r="FT91" s="59">
        <f>$CI91-$CI92</f>
        <v/>
      </c>
      <c r="FU91" s="59">
        <f>$CJ91-$CJ92</f>
        <v/>
      </c>
      <c r="FV91" s="59">
        <f>$CK91-$CK92</f>
        <v/>
      </c>
      <c r="FW91" s="59">
        <f>$CL91-$CL92</f>
        <v/>
      </c>
      <c r="FX91" s="59">
        <f>$CM91-$CM92</f>
        <v/>
      </c>
      <c r="FY91" s="59">
        <f>$CN91-$CN92</f>
        <v/>
      </c>
      <c r="FZ91" s="59">
        <f>$CO91-$CO92</f>
        <v/>
      </c>
      <c r="GA91" s="59">
        <f>$CP91-$CP92</f>
        <v/>
      </c>
      <c r="GB91" s="59">
        <f>$CQ91-$CQ92</f>
        <v/>
      </c>
      <c r="GC91" s="59">
        <f>$CR91-$CR92</f>
        <v/>
      </c>
      <c r="GD91" s="59">
        <f>$CS91-$CS92</f>
        <v/>
      </c>
      <c r="GE91" s="59">
        <f>$CT91-$CT92</f>
        <v/>
      </c>
    </row>
    <row r="92">
      <c r="CU92" s="58">
        <f>IFERROR($B92/$B93-1,"")</f>
        <v/>
      </c>
      <c r="CV92" s="59">
        <f>($F92-$F93)*100</f>
        <v/>
      </c>
      <c r="CW92" s="59">
        <f>($E92-$E93)*100</f>
        <v/>
      </c>
      <c r="CX92" s="58">
        <f>IFERROR($K92/$K93-1,"")</f>
        <v/>
      </c>
      <c r="CY92" s="59">
        <f>($AH92-$AH93)*100</f>
        <v/>
      </c>
      <c r="CZ92" s="59">
        <f>($AI92-$AI93)*100</f>
        <v/>
      </c>
      <c r="DA92" s="59">
        <f>($AJ92-$AJ93)*100</f>
        <v/>
      </c>
      <c r="DB92" s="59">
        <f>($AK92-$AK93)*100</f>
        <v/>
      </c>
      <c r="DC92" s="59">
        <f>($AL92-$AL93)*100</f>
        <v/>
      </c>
      <c r="DD92" s="59">
        <f>($AM92-$AM93)*100</f>
        <v/>
      </c>
      <c r="DE92" s="59">
        <f>($AN92-$AN93)*100</f>
        <v/>
      </c>
      <c r="DF92" s="59">
        <f>($AO92-$AO93)*100</f>
        <v/>
      </c>
      <c r="DG92" s="59">
        <f>($AP92-$AP93)*100</f>
        <v/>
      </c>
      <c r="DH92" s="59">
        <f>($AQ92-$AQ93)*100</f>
        <v/>
      </c>
      <c r="DI92" s="59">
        <f>($AR92-$AR93)*100</f>
        <v/>
      </c>
      <c r="DJ92" s="59">
        <f>($AS92-$AS93)*100</f>
        <v/>
      </c>
      <c r="DK92" s="59">
        <f>($AT92-$AT93)*100</f>
        <v/>
      </c>
      <c r="DL92" s="59">
        <f>($AU92-$AU93)*100</f>
        <v/>
      </c>
      <c r="DM92" s="59">
        <f>($AV92-$AV93)*100</f>
        <v/>
      </c>
      <c r="DN92" s="59">
        <f>($AW92-$AW93)*100</f>
        <v/>
      </c>
      <c r="DO92" s="59">
        <f>($AX92-$AX93)*100</f>
        <v/>
      </c>
      <c r="DP92" s="59">
        <f>($AY92-$AY93)*100</f>
        <v/>
      </c>
      <c r="DQ92" s="59">
        <f>($AZ92-$AZ93)*100</f>
        <v/>
      </c>
      <c r="DR92" s="59">
        <f>($BA92-$BA93)*100</f>
        <v/>
      </c>
      <c r="DS92" s="58">
        <f>IFERROR($N93/$N92-1,"")</f>
        <v/>
      </c>
      <c r="DT92" s="58">
        <f>IFERROR($O93/$O92-1,"")</f>
        <v/>
      </c>
      <c r="DU92" s="58">
        <f>IFERROR($P93/$P92-1,"")</f>
        <v/>
      </c>
      <c r="DV92" s="58">
        <f>IFERROR($Q93/$Q92-1,"")</f>
        <v/>
      </c>
      <c r="DW92" s="58">
        <f>IFERROR($R93/$R92-1,"")</f>
        <v/>
      </c>
      <c r="DX92" s="58">
        <f>IFERROR($S93/$S92-1,"")</f>
        <v/>
      </c>
      <c r="DY92" s="58">
        <f>IFERROR($T93/$T92-1,"")</f>
        <v/>
      </c>
      <c r="DZ92" s="58">
        <f>IFERROR($U93/$U92-1,"")</f>
        <v/>
      </c>
      <c r="EA92" s="58">
        <f>IFERROR($V93/$V92-1,"")</f>
        <v/>
      </c>
      <c r="EB92" s="58">
        <f>IFERROR($W93/$W92-1,"")</f>
        <v/>
      </c>
      <c r="EC92" s="58">
        <f>IFERROR($X93/$X92-1,"")</f>
        <v/>
      </c>
      <c r="ED92" s="58">
        <f>IFERROR($Y93/$Y92-1,"")</f>
        <v/>
      </c>
      <c r="EE92" s="58">
        <f>IFERROR($Z93/$Z92-1,"")</f>
        <v/>
      </c>
      <c r="EF92" s="58">
        <f>IFERROR($AA93/$AA92-1,"")</f>
        <v/>
      </c>
      <c r="EG92" s="58">
        <f>IFERROR($AB93/$AB92-1,"")</f>
        <v/>
      </c>
      <c r="EH92" s="58">
        <f>IFERROR($AC93/$AC92-1,"")</f>
        <v/>
      </c>
      <c r="EI92" s="58">
        <f>IFERROR($AD93/$AD92-1,"")</f>
        <v/>
      </c>
      <c r="EJ92" s="58">
        <f>IFERROR($AE93/$AE92-1,"")</f>
        <v/>
      </c>
      <c r="EK92" s="58">
        <f>IFERROR($AF93/$AF92-1,"")</f>
        <v/>
      </c>
      <c r="EL92" s="58">
        <f>IFERROR($AG93/$AG92-1,"")</f>
        <v/>
      </c>
      <c r="EM92" s="58">
        <f>IFERROR($BB92/$BB93-1,"")</f>
        <v/>
      </c>
      <c r="EN92" s="58">
        <f>IFERROR($BC92/$BC93-1,"")</f>
        <v/>
      </c>
      <c r="EO92" s="58">
        <f>IFERROR($BD92/$BD93-1,"")</f>
        <v/>
      </c>
      <c r="EP92" s="58">
        <f>IFERROR($BE92/$BE93-1,"")</f>
        <v/>
      </c>
      <c r="EQ92" s="58">
        <f>IFERROR($BF92/$BF93-1,"")</f>
        <v/>
      </c>
      <c r="ER92" s="58">
        <f>IFERROR($BG92/$BG93-1,"")</f>
        <v/>
      </c>
      <c r="ES92" s="58">
        <f>IFERROR($BH92/$BH93-1,"")</f>
        <v/>
      </c>
      <c r="ET92" s="58">
        <f>IFERROR($BI92/$BI93-1,"")</f>
        <v/>
      </c>
      <c r="EU92" s="58">
        <f>IFERROR($BJ92/$BJ93-1,"")</f>
        <v/>
      </c>
      <c r="EV92" s="58">
        <f>IFERROR($BK92/$BK93-1,"")</f>
        <v/>
      </c>
      <c r="EW92" s="58">
        <f>IFERROR($BL92/$BL93-1,"")</f>
        <v/>
      </c>
      <c r="EX92" s="58">
        <f>IFERROR($BM92/$BM93-1,"")</f>
        <v/>
      </c>
      <c r="EY92" s="58">
        <f>IFERROR($BN92/$BN93-1,"")</f>
        <v/>
      </c>
      <c r="EZ92" s="58">
        <f>IFERROR($BO92/$BO93-1,"")</f>
        <v/>
      </c>
      <c r="FA92" s="58">
        <f>IFERROR($BP92/$BP93-1,"")</f>
        <v/>
      </c>
      <c r="FB92" s="58">
        <f>IFERROR($BQ92/$BQ93-1,"")</f>
        <v/>
      </c>
      <c r="FC92" s="58">
        <f>IFERROR($BR92/$BR93-1,"")</f>
        <v/>
      </c>
      <c r="FD92" s="58">
        <f>IFERROR($BS92/$BS93-1,"")</f>
        <v/>
      </c>
      <c r="FE92" s="58">
        <f>IFERROR($BT92/$BT93-1,"")</f>
        <v/>
      </c>
      <c r="FF92" s="58">
        <f>IFERROR($BU92/$BU93-1,"")</f>
        <v/>
      </c>
      <c r="FG92" s="58">
        <f>IFERROR($BV92/$BV93-1,"")</f>
        <v/>
      </c>
      <c r="FH92" s="58">
        <f>IFERROR($BW92/$BW93-1,"")</f>
        <v/>
      </c>
      <c r="FI92" s="58">
        <f>IFERROR($BX92/$BX93-1,"")</f>
        <v/>
      </c>
      <c r="FJ92" s="59">
        <f>$BY92-$BY93</f>
        <v/>
      </c>
      <c r="FK92" s="59">
        <f>$BZ92-$BZ93</f>
        <v/>
      </c>
      <c r="FL92" s="59">
        <f>$CA92-$CA93</f>
        <v/>
      </c>
      <c r="FM92" s="59">
        <f>$CB92-$CB93</f>
        <v/>
      </c>
      <c r="FN92" s="59">
        <f>$CC92-$CC93</f>
        <v/>
      </c>
      <c r="FO92" s="59">
        <f>$CD92-$CD93</f>
        <v/>
      </c>
      <c r="FP92" s="59">
        <f>$CE92-$CE93</f>
        <v/>
      </c>
      <c r="FQ92" s="59">
        <f>$CF92-$CF93</f>
        <v/>
      </c>
      <c r="FR92" s="59">
        <f>$CG92-$CG93</f>
        <v/>
      </c>
      <c r="FS92" s="59">
        <f>$CH92-$CH93</f>
        <v/>
      </c>
      <c r="FT92" s="59">
        <f>$CI92-$CI93</f>
        <v/>
      </c>
      <c r="FU92" s="59">
        <f>$CJ92-$CJ93</f>
        <v/>
      </c>
      <c r="FV92" s="59">
        <f>$CK92-$CK93</f>
        <v/>
      </c>
      <c r="FW92" s="59">
        <f>$CL92-$CL93</f>
        <v/>
      </c>
      <c r="FX92" s="59">
        <f>$CM92-$CM93</f>
        <v/>
      </c>
      <c r="FY92" s="59">
        <f>$CN92-$CN93</f>
        <v/>
      </c>
      <c r="FZ92" s="59">
        <f>$CO92-$CO93</f>
        <v/>
      </c>
      <c r="GA92" s="59">
        <f>$CP92-$CP93</f>
        <v/>
      </c>
      <c r="GB92" s="59">
        <f>$CQ92-$CQ93</f>
        <v/>
      </c>
      <c r="GC92" s="59">
        <f>$CR92-$CR93</f>
        <v/>
      </c>
      <c r="GD92" s="59">
        <f>$CS92-$CS93</f>
        <v/>
      </c>
      <c r="GE92" s="59">
        <f>$CT92-$CT93</f>
        <v/>
      </c>
    </row>
    <row r="93">
      <c r="CU93" s="58">
        <f>IFERROR($B93/$B94-1,"")</f>
        <v/>
      </c>
      <c r="CV93" s="59">
        <f>($F93-$F94)*100</f>
        <v/>
      </c>
      <c r="CW93" s="59">
        <f>($E93-$E94)*100</f>
        <v/>
      </c>
      <c r="CX93" s="58">
        <f>IFERROR($K93/$K94-1,"")</f>
        <v/>
      </c>
      <c r="CY93" s="59">
        <f>($AH93-$AH94)*100</f>
        <v/>
      </c>
      <c r="CZ93" s="59">
        <f>($AI93-$AI94)*100</f>
        <v/>
      </c>
      <c r="DA93" s="59">
        <f>($AJ93-$AJ94)*100</f>
        <v/>
      </c>
      <c r="DB93" s="59">
        <f>($AK93-$AK94)*100</f>
        <v/>
      </c>
      <c r="DC93" s="59">
        <f>($AL93-$AL94)*100</f>
        <v/>
      </c>
      <c r="DD93" s="59">
        <f>($AM93-$AM94)*100</f>
        <v/>
      </c>
      <c r="DE93" s="59">
        <f>($AN93-$AN94)*100</f>
        <v/>
      </c>
      <c r="DF93" s="59">
        <f>($AO93-$AO94)*100</f>
        <v/>
      </c>
      <c r="DG93" s="59">
        <f>($AP93-$AP94)*100</f>
        <v/>
      </c>
      <c r="DH93" s="59">
        <f>($AQ93-$AQ94)*100</f>
        <v/>
      </c>
      <c r="DI93" s="59">
        <f>($AR93-$AR94)*100</f>
        <v/>
      </c>
      <c r="DJ93" s="59">
        <f>($AS93-$AS94)*100</f>
        <v/>
      </c>
      <c r="DK93" s="59">
        <f>($AT93-$AT94)*100</f>
        <v/>
      </c>
      <c r="DL93" s="59">
        <f>($AU93-$AU94)*100</f>
        <v/>
      </c>
      <c r="DM93" s="59">
        <f>($AV93-$AV94)*100</f>
        <v/>
      </c>
      <c r="DN93" s="59">
        <f>($AW93-$AW94)*100</f>
        <v/>
      </c>
      <c r="DO93" s="59">
        <f>($AX93-$AX94)*100</f>
        <v/>
      </c>
      <c r="DP93" s="59">
        <f>($AY93-$AY94)*100</f>
        <v/>
      </c>
      <c r="DQ93" s="59">
        <f>($AZ93-$AZ94)*100</f>
        <v/>
      </c>
      <c r="DR93" s="59">
        <f>($BA93-$BA94)*100</f>
        <v/>
      </c>
      <c r="DS93" s="58">
        <f>IFERROR($N94/$N93-1,"")</f>
        <v/>
      </c>
      <c r="DT93" s="58">
        <f>IFERROR($O94/$O93-1,"")</f>
        <v/>
      </c>
      <c r="DU93" s="58">
        <f>IFERROR($P94/$P93-1,"")</f>
        <v/>
      </c>
      <c r="DV93" s="58">
        <f>IFERROR($Q94/$Q93-1,"")</f>
        <v/>
      </c>
      <c r="DW93" s="58">
        <f>IFERROR($R94/$R93-1,"")</f>
        <v/>
      </c>
      <c r="DX93" s="58">
        <f>IFERROR($S94/$S93-1,"")</f>
        <v/>
      </c>
      <c r="DY93" s="58">
        <f>IFERROR($T94/$T93-1,"")</f>
        <v/>
      </c>
      <c r="DZ93" s="58">
        <f>IFERROR($U94/$U93-1,"")</f>
        <v/>
      </c>
      <c r="EA93" s="58">
        <f>IFERROR($V94/$V93-1,"")</f>
        <v/>
      </c>
      <c r="EB93" s="58">
        <f>IFERROR($W94/$W93-1,"")</f>
        <v/>
      </c>
      <c r="EC93" s="58">
        <f>IFERROR($X94/$X93-1,"")</f>
        <v/>
      </c>
      <c r="ED93" s="58">
        <f>IFERROR($Y94/$Y93-1,"")</f>
        <v/>
      </c>
      <c r="EE93" s="58">
        <f>IFERROR($Z94/$Z93-1,"")</f>
        <v/>
      </c>
      <c r="EF93" s="58">
        <f>IFERROR($AA94/$AA93-1,"")</f>
        <v/>
      </c>
      <c r="EG93" s="58">
        <f>IFERROR($AB94/$AB93-1,"")</f>
        <v/>
      </c>
      <c r="EH93" s="58">
        <f>IFERROR($AC94/$AC93-1,"")</f>
        <v/>
      </c>
      <c r="EI93" s="58">
        <f>IFERROR($AD94/$AD93-1,"")</f>
        <v/>
      </c>
      <c r="EJ93" s="58">
        <f>IFERROR($AE94/$AE93-1,"")</f>
        <v/>
      </c>
      <c r="EK93" s="58">
        <f>IFERROR($AF94/$AF93-1,"")</f>
        <v/>
      </c>
      <c r="EL93" s="58">
        <f>IFERROR($AG94/$AG93-1,"")</f>
        <v/>
      </c>
      <c r="EM93" s="58">
        <f>IFERROR($BB93/$BB94-1,"")</f>
        <v/>
      </c>
      <c r="EN93" s="58">
        <f>IFERROR($BC93/$BC94-1,"")</f>
        <v/>
      </c>
      <c r="EO93" s="58">
        <f>IFERROR($BD93/$BD94-1,"")</f>
        <v/>
      </c>
      <c r="EP93" s="58">
        <f>IFERROR($BE93/$BE94-1,"")</f>
        <v/>
      </c>
      <c r="EQ93" s="58">
        <f>IFERROR($BF93/$BF94-1,"")</f>
        <v/>
      </c>
      <c r="ER93" s="58">
        <f>IFERROR($BG93/$BG94-1,"")</f>
        <v/>
      </c>
      <c r="ES93" s="58">
        <f>IFERROR($BH93/$BH94-1,"")</f>
        <v/>
      </c>
      <c r="ET93" s="58">
        <f>IFERROR($BI93/$BI94-1,"")</f>
        <v/>
      </c>
      <c r="EU93" s="58">
        <f>IFERROR($BJ93/$BJ94-1,"")</f>
        <v/>
      </c>
      <c r="EV93" s="58">
        <f>IFERROR($BK93/$BK94-1,"")</f>
        <v/>
      </c>
      <c r="EW93" s="58">
        <f>IFERROR($BL93/$BL94-1,"")</f>
        <v/>
      </c>
      <c r="EX93" s="58">
        <f>IFERROR($BM93/$BM94-1,"")</f>
        <v/>
      </c>
      <c r="EY93" s="58">
        <f>IFERROR($BN93/$BN94-1,"")</f>
        <v/>
      </c>
      <c r="EZ93" s="58">
        <f>IFERROR($BO93/$BO94-1,"")</f>
        <v/>
      </c>
      <c r="FA93" s="58">
        <f>IFERROR($BP93/$BP94-1,"")</f>
        <v/>
      </c>
      <c r="FB93" s="58">
        <f>IFERROR($BQ93/$BQ94-1,"")</f>
        <v/>
      </c>
      <c r="FC93" s="58">
        <f>IFERROR($BR93/$BR94-1,"")</f>
        <v/>
      </c>
      <c r="FD93" s="58">
        <f>IFERROR($BS93/$BS94-1,"")</f>
        <v/>
      </c>
      <c r="FE93" s="58">
        <f>IFERROR($BT93/$BT94-1,"")</f>
        <v/>
      </c>
      <c r="FF93" s="58">
        <f>IFERROR($BU93/$BU94-1,"")</f>
        <v/>
      </c>
      <c r="FG93" s="58">
        <f>IFERROR($BV93/$BV94-1,"")</f>
        <v/>
      </c>
      <c r="FH93" s="58">
        <f>IFERROR($BW93/$BW94-1,"")</f>
        <v/>
      </c>
      <c r="FI93" s="58">
        <f>IFERROR($BX93/$BX94-1,"")</f>
        <v/>
      </c>
      <c r="FJ93" s="59">
        <f>$BY93-$BY94</f>
        <v/>
      </c>
      <c r="FK93" s="59">
        <f>$BZ93-$BZ94</f>
        <v/>
      </c>
      <c r="FL93" s="59">
        <f>$CA93-$CA94</f>
        <v/>
      </c>
      <c r="FM93" s="59">
        <f>$CB93-$CB94</f>
        <v/>
      </c>
      <c r="FN93" s="59">
        <f>$CC93-$CC94</f>
        <v/>
      </c>
      <c r="FO93" s="59">
        <f>$CD93-$CD94</f>
        <v/>
      </c>
      <c r="FP93" s="59">
        <f>$CE93-$CE94</f>
        <v/>
      </c>
      <c r="FQ93" s="59">
        <f>$CF93-$CF94</f>
        <v/>
      </c>
      <c r="FR93" s="59">
        <f>$CG93-$CG94</f>
        <v/>
      </c>
      <c r="FS93" s="59">
        <f>$CH93-$CH94</f>
        <v/>
      </c>
      <c r="FT93" s="59">
        <f>$CI93-$CI94</f>
        <v/>
      </c>
      <c r="FU93" s="59">
        <f>$CJ93-$CJ94</f>
        <v/>
      </c>
      <c r="FV93" s="59">
        <f>$CK93-$CK94</f>
        <v/>
      </c>
      <c r="FW93" s="59">
        <f>$CL93-$CL94</f>
        <v/>
      </c>
      <c r="FX93" s="59">
        <f>$CM93-$CM94</f>
        <v/>
      </c>
      <c r="FY93" s="59">
        <f>$CN93-$CN94</f>
        <v/>
      </c>
      <c r="FZ93" s="59">
        <f>$CO93-$CO94</f>
        <v/>
      </c>
      <c r="GA93" s="59">
        <f>$CP93-$CP94</f>
        <v/>
      </c>
      <c r="GB93" s="59">
        <f>$CQ93-$CQ94</f>
        <v/>
      </c>
      <c r="GC93" s="59">
        <f>$CR93-$CR94</f>
        <v/>
      </c>
      <c r="GD93" s="59">
        <f>$CS93-$CS94</f>
        <v/>
      </c>
      <c r="GE93" s="59">
        <f>$CT93-$CT94</f>
        <v/>
      </c>
    </row>
    <row r="94">
      <c r="CU94" s="58">
        <f>IFERROR($B94/$B95-1,"")</f>
        <v/>
      </c>
      <c r="CV94" s="59">
        <f>($F94-$F95)*100</f>
        <v/>
      </c>
      <c r="CW94" s="59">
        <f>($E94-$E95)*100</f>
        <v/>
      </c>
      <c r="CX94" s="58">
        <f>IFERROR($K94/$K95-1,"")</f>
        <v/>
      </c>
      <c r="CY94" s="59">
        <f>($AH94-$AH95)*100</f>
        <v/>
      </c>
      <c r="CZ94" s="59">
        <f>($AI94-$AI95)*100</f>
        <v/>
      </c>
      <c r="DA94" s="59">
        <f>($AJ94-$AJ95)*100</f>
        <v/>
      </c>
      <c r="DB94" s="59">
        <f>($AK94-$AK95)*100</f>
        <v/>
      </c>
      <c r="DC94" s="59">
        <f>($AL94-$AL95)*100</f>
        <v/>
      </c>
      <c r="DD94" s="59">
        <f>($AM94-$AM95)*100</f>
        <v/>
      </c>
      <c r="DE94" s="59">
        <f>($AN94-$AN95)*100</f>
        <v/>
      </c>
      <c r="DF94" s="59">
        <f>($AO94-$AO95)*100</f>
        <v/>
      </c>
      <c r="DG94" s="59">
        <f>($AP94-$AP95)*100</f>
        <v/>
      </c>
      <c r="DH94" s="59">
        <f>($AQ94-$AQ95)*100</f>
        <v/>
      </c>
      <c r="DI94" s="59">
        <f>($AR94-$AR95)*100</f>
        <v/>
      </c>
      <c r="DJ94" s="59">
        <f>($AS94-$AS95)*100</f>
        <v/>
      </c>
      <c r="DK94" s="59">
        <f>($AT94-$AT95)*100</f>
        <v/>
      </c>
      <c r="DL94" s="59">
        <f>($AU94-$AU95)*100</f>
        <v/>
      </c>
      <c r="DM94" s="59">
        <f>($AV94-$AV95)*100</f>
        <v/>
      </c>
      <c r="DN94" s="59">
        <f>($AW94-$AW95)*100</f>
        <v/>
      </c>
      <c r="DO94" s="59">
        <f>($AX94-$AX95)*100</f>
        <v/>
      </c>
      <c r="DP94" s="59">
        <f>($AY94-$AY95)*100</f>
        <v/>
      </c>
      <c r="DQ94" s="59">
        <f>($AZ94-$AZ95)*100</f>
        <v/>
      </c>
      <c r="DR94" s="59">
        <f>($BA94-$BA95)*100</f>
        <v/>
      </c>
      <c r="DS94" s="58">
        <f>IFERROR($N95/$N94-1,"")</f>
        <v/>
      </c>
      <c r="DT94" s="58">
        <f>IFERROR($O95/$O94-1,"")</f>
        <v/>
      </c>
      <c r="DU94" s="58">
        <f>IFERROR($P95/$P94-1,"")</f>
        <v/>
      </c>
      <c r="DV94" s="58">
        <f>IFERROR($Q95/$Q94-1,"")</f>
        <v/>
      </c>
      <c r="DW94" s="58">
        <f>IFERROR($R95/$R94-1,"")</f>
        <v/>
      </c>
      <c r="DX94" s="58">
        <f>IFERROR($S95/$S94-1,"")</f>
        <v/>
      </c>
      <c r="DY94" s="58">
        <f>IFERROR($T95/$T94-1,"")</f>
        <v/>
      </c>
      <c r="DZ94" s="58">
        <f>IFERROR($U95/$U94-1,"")</f>
        <v/>
      </c>
      <c r="EA94" s="58">
        <f>IFERROR($V95/$V94-1,"")</f>
        <v/>
      </c>
      <c r="EB94" s="58">
        <f>IFERROR($W95/$W94-1,"")</f>
        <v/>
      </c>
      <c r="EC94" s="58">
        <f>IFERROR($X95/$X94-1,"")</f>
        <v/>
      </c>
      <c r="ED94" s="58">
        <f>IFERROR($Y95/$Y94-1,"")</f>
        <v/>
      </c>
      <c r="EE94" s="58">
        <f>IFERROR($Z95/$Z94-1,"")</f>
        <v/>
      </c>
      <c r="EF94" s="58">
        <f>IFERROR($AA95/$AA94-1,"")</f>
        <v/>
      </c>
      <c r="EG94" s="58">
        <f>IFERROR($AB95/$AB94-1,"")</f>
        <v/>
      </c>
      <c r="EH94" s="58">
        <f>IFERROR($AC95/$AC94-1,"")</f>
        <v/>
      </c>
      <c r="EI94" s="58">
        <f>IFERROR($AD95/$AD94-1,"")</f>
        <v/>
      </c>
      <c r="EJ94" s="58">
        <f>IFERROR($AE95/$AE94-1,"")</f>
        <v/>
      </c>
      <c r="EK94" s="58">
        <f>IFERROR($AF95/$AF94-1,"")</f>
        <v/>
      </c>
      <c r="EL94" s="58">
        <f>IFERROR($AG95/$AG94-1,"")</f>
        <v/>
      </c>
      <c r="EM94" s="58">
        <f>IFERROR($BB94/$BB95-1,"")</f>
        <v/>
      </c>
      <c r="EN94" s="58">
        <f>IFERROR($BC94/$BC95-1,"")</f>
        <v/>
      </c>
      <c r="EO94" s="58">
        <f>IFERROR($BD94/$BD95-1,"")</f>
        <v/>
      </c>
      <c r="EP94" s="58">
        <f>IFERROR($BE94/$BE95-1,"")</f>
        <v/>
      </c>
      <c r="EQ94" s="58">
        <f>IFERROR($BF94/$BF95-1,"")</f>
        <v/>
      </c>
      <c r="ER94" s="58">
        <f>IFERROR($BG94/$BG95-1,"")</f>
        <v/>
      </c>
      <c r="ES94" s="58">
        <f>IFERROR($BH94/$BH95-1,"")</f>
        <v/>
      </c>
      <c r="ET94" s="58">
        <f>IFERROR($BI94/$BI95-1,"")</f>
        <v/>
      </c>
      <c r="EU94" s="58">
        <f>IFERROR($BJ94/$BJ95-1,"")</f>
        <v/>
      </c>
      <c r="EV94" s="58">
        <f>IFERROR($BK94/$BK95-1,"")</f>
        <v/>
      </c>
      <c r="EW94" s="58">
        <f>IFERROR($BL94/$BL95-1,"")</f>
        <v/>
      </c>
      <c r="EX94" s="58">
        <f>IFERROR($BM94/$BM95-1,"")</f>
        <v/>
      </c>
      <c r="EY94" s="58">
        <f>IFERROR($BN94/$BN95-1,"")</f>
        <v/>
      </c>
      <c r="EZ94" s="58">
        <f>IFERROR($BO94/$BO95-1,"")</f>
        <v/>
      </c>
      <c r="FA94" s="58">
        <f>IFERROR($BP94/$BP95-1,"")</f>
        <v/>
      </c>
      <c r="FB94" s="58">
        <f>IFERROR($BQ94/$BQ95-1,"")</f>
        <v/>
      </c>
      <c r="FC94" s="58">
        <f>IFERROR($BR94/$BR95-1,"")</f>
        <v/>
      </c>
      <c r="FD94" s="58">
        <f>IFERROR($BS94/$BS95-1,"")</f>
        <v/>
      </c>
      <c r="FE94" s="58">
        <f>IFERROR($BT94/$BT95-1,"")</f>
        <v/>
      </c>
      <c r="FF94" s="58">
        <f>IFERROR($BU94/$BU95-1,"")</f>
        <v/>
      </c>
      <c r="FG94" s="58">
        <f>IFERROR($BV94/$BV95-1,"")</f>
        <v/>
      </c>
      <c r="FH94" s="58">
        <f>IFERROR($BW94/$BW95-1,"")</f>
        <v/>
      </c>
      <c r="FI94" s="58">
        <f>IFERROR($BX94/$BX95-1,"")</f>
        <v/>
      </c>
      <c r="FJ94" s="59">
        <f>$BY94-$BY95</f>
        <v/>
      </c>
      <c r="FK94" s="59">
        <f>$BZ94-$BZ95</f>
        <v/>
      </c>
      <c r="FL94" s="59">
        <f>$CA94-$CA95</f>
        <v/>
      </c>
      <c r="FM94" s="59">
        <f>$CB94-$CB95</f>
        <v/>
      </c>
      <c r="FN94" s="59">
        <f>$CC94-$CC95</f>
        <v/>
      </c>
      <c r="FO94" s="59">
        <f>$CD94-$CD95</f>
        <v/>
      </c>
      <c r="FP94" s="59">
        <f>$CE94-$CE95</f>
        <v/>
      </c>
      <c r="FQ94" s="59">
        <f>$CF94-$CF95</f>
        <v/>
      </c>
      <c r="FR94" s="59">
        <f>$CG94-$CG95</f>
        <v/>
      </c>
      <c r="FS94" s="59">
        <f>$CH94-$CH95</f>
        <v/>
      </c>
      <c r="FT94" s="59">
        <f>$CI94-$CI95</f>
        <v/>
      </c>
      <c r="FU94" s="59">
        <f>$CJ94-$CJ95</f>
        <v/>
      </c>
      <c r="FV94" s="59">
        <f>$CK94-$CK95</f>
        <v/>
      </c>
      <c r="FW94" s="59">
        <f>$CL94-$CL95</f>
        <v/>
      </c>
      <c r="FX94" s="59">
        <f>$CM94-$CM95</f>
        <v/>
      </c>
      <c r="FY94" s="59">
        <f>$CN94-$CN95</f>
        <v/>
      </c>
      <c r="FZ94" s="59">
        <f>$CO94-$CO95</f>
        <v/>
      </c>
      <c r="GA94" s="59">
        <f>$CP94-$CP95</f>
        <v/>
      </c>
      <c r="GB94" s="59">
        <f>$CQ94-$CQ95</f>
        <v/>
      </c>
      <c r="GC94" s="59">
        <f>$CR94-$CR95</f>
        <v/>
      </c>
      <c r="GD94" s="59">
        <f>$CS94-$CS95</f>
        <v/>
      </c>
      <c r="GE94" s="59">
        <f>$CT94-$CT95</f>
        <v/>
      </c>
    </row>
    <row r="95">
      <c r="CU95" s="58">
        <f>IFERROR($B95/$B96-1,"")</f>
        <v/>
      </c>
      <c r="CV95" s="59">
        <f>($F95-$F96)*100</f>
        <v/>
      </c>
      <c r="CW95" s="59">
        <f>($E95-$E96)*100</f>
        <v/>
      </c>
      <c r="CX95" s="58">
        <f>IFERROR($K95/$K96-1,"")</f>
        <v/>
      </c>
      <c r="CY95" s="59">
        <f>($AH95-$AH96)*100</f>
        <v/>
      </c>
      <c r="CZ95" s="59">
        <f>($AI95-$AI96)*100</f>
        <v/>
      </c>
      <c r="DA95" s="59">
        <f>($AJ95-$AJ96)*100</f>
        <v/>
      </c>
      <c r="DB95" s="59">
        <f>($AK95-$AK96)*100</f>
        <v/>
      </c>
      <c r="DC95" s="59">
        <f>($AL95-$AL96)*100</f>
        <v/>
      </c>
      <c r="DD95" s="59">
        <f>($AM95-$AM96)*100</f>
        <v/>
      </c>
      <c r="DE95" s="59">
        <f>($AN95-$AN96)*100</f>
        <v/>
      </c>
      <c r="DF95" s="59">
        <f>($AO95-$AO96)*100</f>
        <v/>
      </c>
      <c r="DG95" s="59">
        <f>($AP95-$AP96)*100</f>
        <v/>
      </c>
      <c r="DH95" s="59">
        <f>($AQ95-$AQ96)*100</f>
        <v/>
      </c>
      <c r="DI95" s="59">
        <f>($AR95-$AR96)*100</f>
        <v/>
      </c>
      <c r="DJ95" s="59">
        <f>($AS95-$AS96)*100</f>
        <v/>
      </c>
      <c r="DK95" s="59">
        <f>($AT95-$AT96)*100</f>
        <v/>
      </c>
      <c r="DL95" s="59">
        <f>($AU95-$AU96)*100</f>
        <v/>
      </c>
      <c r="DM95" s="59">
        <f>($AV95-$AV96)*100</f>
        <v/>
      </c>
      <c r="DN95" s="59">
        <f>($AW95-$AW96)*100</f>
        <v/>
      </c>
      <c r="DO95" s="59">
        <f>($AX95-$AX96)*100</f>
        <v/>
      </c>
      <c r="DP95" s="59">
        <f>($AY95-$AY96)*100</f>
        <v/>
      </c>
      <c r="DQ95" s="59">
        <f>($AZ95-$AZ96)*100</f>
        <v/>
      </c>
      <c r="DR95" s="59">
        <f>($BA95-$BA96)*100</f>
        <v/>
      </c>
      <c r="DS95" s="58">
        <f>IFERROR($N96/$N95-1,"")</f>
        <v/>
      </c>
      <c r="DT95" s="58">
        <f>IFERROR($O96/$O95-1,"")</f>
        <v/>
      </c>
      <c r="DU95" s="58">
        <f>IFERROR($P96/$P95-1,"")</f>
        <v/>
      </c>
      <c r="DV95" s="58">
        <f>IFERROR($Q96/$Q95-1,"")</f>
        <v/>
      </c>
      <c r="DW95" s="58">
        <f>IFERROR($R96/$R95-1,"")</f>
        <v/>
      </c>
      <c r="DX95" s="58">
        <f>IFERROR($S96/$S95-1,"")</f>
        <v/>
      </c>
      <c r="DY95" s="58">
        <f>IFERROR($T96/$T95-1,"")</f>
        <v/>
      </c>
      <c r="DZ95" s="58">
        <f>IFERROR($U96/$U95-1,"")</f>
        <v/>
      </c>
      <c r="EA95" s="58">
        <f>IFERROR($V96/$V95-1,"")</f>
        <v/>
      </c>
      <c r="EB95" s="58">
        <f>IFERROR($W96/$W95-1,"")</f>
        <v/>
      </c>
      <c r="EC95" s="58">
        <f>IFERROR($X96/$X95-1,"")</f>
        <v/>
      </c>
      <c r="ED95" s="58">
        <f>IFERROR($Y96/$Y95-1,"")</f>
        <v/>
      </c>
      <c r="EE95" s="58">
        <f>IFERROR($Z96/$Z95-1,"")</f>
        <v/>
      </c>
      <c r="EF95" s="58">
        <f>IFERROR($AA96/$AA95-1,"")</f>
        <v/>
      </c>
      <c r="EG95" s="58">
        <f>IFERROR($AB96/$AB95-1,"")</f>
        <v/>
      </c>
      <c r="EH95" s="58">
        <f>IFERROR($AC96/$AC95-1,"")</f>
        <v/>
      </c>
      <c r="EI95" s="58">
        <f>IFERROR($AD96/$AD95-1,"")</f>
        <v/>
      </c>
      <c r="EJ95" s="58">
        <f>IFERROR($AE96/$AE95-1,"")</f>
        <v/>
      </c>
      <c r="EK95" s="58">
        <f>IFERROR($AF96/$AF95-1,"")</f>
        <v/>
      </c>
      <c r="EL95" s="58">
        <f>IFERROR($AG96/$AG95-1,"")</f>
        <v/>
      </c>
      <c r="EM95" s="58">
        <f>IFERROR($BB95/$BB96-1,"")</f>
        <v/>
      </c>
      <c r="EN95" s="58">
        <f>IFERROR($BC95/$BC96-1,"")</f>
        <v/>
      </c>
      <c r="EO95" s="58">
        <f>IFERROR($BD95/$BD96-1,"")</f>
        <v/>
      </c>
      <c r="EP95" s="58">
        <f>IFERROR($BE95/$BE96-1,"")</f>
        <v/>
      </c>
      <c r="EQ95" s="58">
        <f>IFERROR($BF95/$BF96-1,"")</f>
        <v/>
      </c>
      <c r="ER95" s="58">
        <f>IFERROR($BG95/$BG96-1,"")</f>
        <v/>
      </c>
      <c r="ES95" s="58">
        <f>IFERROR($BH95/$BH96-1,"")</f>
        <v/>
      </c>
      <c r="ET95" s="58">
        <f>IFERROR($BI95/$BI96-1,"")</f>
        <v/>
      </c>
      <c r="EU95" s="58">
        <f>IFERROR($BJ95/$BJ96-1,"")</f>
        <v/>
      </c>
      <c r="EV95" s="58">
        <f>IFERROR($BK95/$BK96-1,"")</f>
        <v/>
      </c>
      <c r="EW95" s="58">
        <f>IFERROR($BL95/$BL96-1,"")</f>
        <v/>
      </c>
      <c r="EX95" s="58">
        <f>IFERROR($BM95/$BM96-1,"")</f>
        <v/>
      </c>
      <c r="EY95" s="58">
        <f>IFERROR($BN95/$BN96-1,"")</f>
        <v/>
      </c>
      <c r="EZ95" s="58">
        <f>IFERROR($BO95/$BO96-1,"")</f>
        <v/>
      </c>
      <c r="FA95" s="58">
        <f>IFERROR($BP95/$BP96-1,"")</f>
        <v/>
      </c>
      <c r="FB95" s="58">
        <f>IFERROR($BQ95/$BQ96-1,"")</f>
        <v/>
      </c>
      <c r="FC95" s="58">
        <f>IFERROR($BR95/$BR96-1,"")</f>
        <v/>
      </c>
      <c r="FD95" s="58">
        <f>IFERROR($BS95/$BS96-1,"")</f>
        <v/>
      </c>
      <c r="FE95" s="58">
        <f>IFERROR($BT95/$BT96-1,"")</f>
        <v/>
      </c>
      <c r="FF95" s="58">
        <f>IFERROR($BU95/$BU96-1,"")</f>
        <v/>
      </c>
      <c r="FG95" s="58">
        <f>IFERROR($BV95/$BV96-1,"")</f>
        <v/>
      </c>
      <c r="FH95" s="58">
        <f>IFERROR($BW95/$BW96-1,"")</f>
        <v/>
      </c>
      <c r="FI95" s="58">
        <f>IFERROR($BX95/$BX96-1,"")</f>
        <v/>
      </c>
      <c r="FJ95" s="59">
        <f>$BY95-$BY96</f>
        <v/>
      </c>
      <c r="FK95" s="59">
        <f>$BZ95-$BZ96</f>
        <v/>
      </c>
      <c r="FL95" s="59">
        <f>$CA95-$CA96</f>
        <v/>
      </c>
      <c r="FM95" s="59">
        <f>$CB95-$CB96</f>
        <v/>
      </c>
      <c r="FN95" s="59">
        <f>$CC95-$CC96</f>
        <v/>
      </c>
      <c r="FO95" s="59">
        <f>$CD95-$CD96</f>
        <v/>
      </c>
      <c r="FP95" s="59">
        <f>$CE95-$CE96</f>
        <v/>
      </c>
      <c r="FQ95" s="59">
        <f>$CF95-$CF96</f>
        <v/>
      </c>
      <c r="FR95" s="59">
        <f>$CG95-$CG96</f>
        <v/>
      </c>
      <c r="FS95" s="59">
        <f>$CH95-$CH96</f>
        <v/>
      </c>
      <c r="FT95" s="59">
        <f>$CI95-$CI96</f>
        <v/>
      </c>
      <c r="FU95" s="59">
        <f>$CJ95-$CJ96</f>
        <v/>
      </c>
      <c r="FV95" s="59">
        <f>$CK95-$CK96</f>
        <v/>
      </c>
      <c r="FW95" s="59">
        <f>$CL95-$CL96</f>
        <v/>
      </c>
      <c r="FX95" s="59">
        <f>$CM95-$CM96</f>
        <v/>
      </c>
      <c r="FY95" s="59">
        <f>$CN95-$CN96</f>
        <v/>
      </c>
      <c r="FZ95" s="59">
        <f>$CO95-$CO96</f>
        <v/>
      </c>
      <c r="GA95" s="59">
        <f>$CP95-$CP96</f>
        <v/>
      </c>
      <c r="GB95" s="59">
        <f>$CQ95-$CQ96</f>
        <v/>
      </c>
      <c r="GC95" s="59">
        <f>$CR95-$CR96</f>
        <v/>
      </c>
      <c r="GD95" s="59">
        <f>$CS95-$CS96</f>
        <v/>
      </c>
      <c r="GE95" s="59">
        <f>$CT95-$CT96</f>
        <v/>
      </c>
    </row>
    <row r="96">
      <c r="CU96" s="58">
        <f>IFERROR($B96/$B97-1,"")</f>
        <v/>
      </c>
      <c r="CV96" s="59">
        <f>($F96-$F97)*100</f>
        <v/>
      </c>
      <c r="CW96" s="59">
        <f>($E96-$E97)*100</f>
        <v/>
      </c>
      <c r="CX96" s="58">
        <f>IFERROR($K96/$K97-1,"")</f>
        <v/>
      </c>
      <c r="CY96" s="59">
        <f>($AH96-$AH97)*100</f>
        <v/>
      </c>
      <c r="CZ96" s="59">
        <f>($AI96-$AI97)*100</f>
        <v/>
      </c>
      <c r="DA96" s="59">
        <f>($AJ96-$AJ97)*100</f>
        <v/>
      </c>
      <c r="DB96" s="59">
        <f>($AK96-$AK97)*100</f>
        <v/>
      </c>
      <c r="DC96" s="59">
        <f>($AL96-$AL97)*100</f>
        <v/>
      </c>
      <c r="DD96" s="59">
        <f>($AM96-$AM97)*100</f>
        <v/>
      </c>
      <c r="DE96" s="59">
        <f>($AN96-$AN97)*100</f>
        <v/>
      </c>
      <c r="DF96" s="59">
        <f>($AO96-$AO97)*100</f>
        <v/>
      </c>
      <c r="DG96" s="59">
        <f>($AP96-$AP97)*100</f>
        <v/>
      </c>
      <c r="DH96" s="59">
        <f>($AQ96-$AQ97)*100</f>
        <v/>
      </c>
      <c r="DI96" s="59">
        <f>($AR96-$AR97)*100</f>
        <v/>
      </c>
      <c r="DJ96" s="59">
        <f>($AS96-$AS97)*100</f>
        <v/>
      </c>
      <c r="DK96" s="59">
        <f>($AT96-$AT97)*100</f>
        <v/>
      </c>
      <c r="DL96" s="59">
        <f>($AU96-$AU97)*100</f>
        <v/>
      </c>
      <c r="DM96" s="59">
        <f>($AV96-$AV97)*100</f>
        <v/>
      </c>
      <c r="DN96" s="59">
        <f>($AW96-$AW97)*100</f>
        <v/>
      </c>
      <c r="DO96" s="59">
        <f>($AX96-$AX97)*100</f>
        <v/>
      </c>
      <c r="DP96" s="59">
        <f>($AY96-$AY97)*100</f>
        <v/>
      </c>
      <c r="DQ96" s="59">
        <f>($AZ96-$AZ97)*100</f>
        <v/>
      </c>
      <c r="DR96" s="59">
        <f>($BA96-$BA97)*100</f>
        <v/>
      </c>
      <c r="DS96" s="58">
        <f>IFERROR($N97/$N96-1,"")</f>
        <v/>
      </c>
      <c r="DT96" s="58">
        <f>IFERROR($O97/$O96-1,"")</f>
        <v/>
      </c>
      <c r="DU96" s="58">
        <f>IFERROR($P97/$P96-1,"")</f>
        <v/>
      </c>
      <c r="DV96" s="58">
        <f>IFERROR($Q97/$Q96-1,"")</f>
        <v/>
      </c>
      <c r="DW96" s="58">
        <f>IFERROR($R97/$R96-1,"")</f>
        <v/>
      </c>
      <c r="DX96" s="58">
        <f>IFERROR($S97/$S96-1,"")</f>
        <v/>
      </c>
      <c r="DY96" s="58">
        <f>IFERROR($T97/$T96-1,"")</f>
        <v/>
      </c>
      <c r="DZ96" s="58">
        <f>IFERROR($U97/$U96-1,"")</f>
        <v/>
      </c>
      <c r="EA96" s="58">
        <f>IFERROR($V97/$V96-1,"")</f>
        <v/>
      </c>
      <c r="EB96" s="58">
        <f>IFERROR($W97/$W96-1,"")</f>
        <v/>
      </c>
      <c r="EC96" s="58">
        <f>IFERROR($X97/$X96-1,"")</f>
        <v/>
      </c>
      <c r="ED96" s="58">
        <f>IFERROR($Y97/$Y96-1,"")</f>
        <v/>
      </c>
      <c r="EE96" s="58">
        <f>IFERROR($Z97/$Z96-1,"")</f>
        <v/>
      </c>
      <c r="EF96" s="58">
        <f>IFERROR($AA97/$AA96-1,"")</f>
        <v/>
      </c>
      <c r="EG96" s="58">
        <f>IFERROR($AB97/$AB96-1,"")</f>
        <v/>
      </c>
      <c r="EH96" s="58">
        <f>IFERROR($AC97/$AC96-1,"")</f>
        <v/>
      </c>
      <c r="EI96" s="58">
        <f>IFERROR($AD97/$AD96-1,"")</f>
        <v/>
      </c>
      <c r="EJ96" s="58">
        <f>IFERROR($AE97/$AE96-1,"")</f>
        <v/>
      </c>
      <c r="EK96" s="58">
        <f>IFERROR($AF97/$AF96-1,"")</f>
        <v/>
      </c>
      <c r="EL96" s="58">
        <f>IFERROR($AG97/$AG96-1,"")</f>
        <v/>
      </c>
      <c r="EM96" s="58">
        <f>IFERROR($BB96/$BB97-1,"")</f>
        <v/>
      </c>
      <c r="EN96" s="58">
        <f>IFERROR($BC96/$BC97-1,"")</f>
        <v/>
      </c>
      <c r="EO96" s="58">
        <f>IFERROR($BD96/$BD97-1,"")</f>
        <v/>
      </c>
      <c r="EP96" s="58">
        <f>IFERROR($BE96/$BE97-1,"")</f>
        <v/>
      </c>
      <c r="EQ96" s="58">
        <f>IFERROR($BF96/$BF97-1,"")</f>
        <v/>
      </c>
      <c r="ER96" s="58">
        <f>IFERROR($BG96/$BG97-1,"")</f>
        <v/>
      </c>
      <c r="ES96" s="58">
        <f>IFERROR($BH96/$BH97-1,"")</f>
        <v/>
      </c>
      <c r="ET96" s="58">
        <f>IFERROR($BI96/$BI97-1,"")</f>
        <v/>
      </c>
      <c r="EU96" s="58">
        <f>IFERROR($BJ96/$BJ97-1,"")</f>
        <v/>
      </c>
      <c r="EV96" s="58">
        <f>IFERROR($BK96/$BK97-1,"")</f>
        <v/>
      </c>
      <c r="EW96" s="58">
        <f>IFERROR($BL96/$BL97-1,"")</f>
        <v/>
      </c>
      <c r="EX96" s="58">
        <f>IFERROR($BM96/$BM97-1,"")</f>
        <v/>
      </c>
      <c r="EY96" s="58">
        <f>IFERROR($BN96/$BN97-1,"")</f>
        <v/>
      </c>
      <c r="EZ96" s="58">
        <f>IFERROR($BO96/$BO97-1,"")</f>
        <v/>
      </c>
      <c r="FA96" s="58">
        <f>IFERROR($BP96/$BP97-1,"")</f>
        <v/>
      </c>
      <c r="FB96" s="58">
        <f>IFERROR($BQ96/$BQ97-1,"")</f>
        <v/>
      </c>
      <c r="FC96" s="58">
        <f>IFERROR($BR96/$BR97-1,"")</f>
        <v/>
      </c>
      <c r="FD96" s="58">
        <f>IFERROR($BS96/$BS97-1,"")</f>
        <v/>
      </c>
      <c r="FE96" s="58">
        <f>IFERROR($BT96/$BT97-1,"")</f>
        <v/>
      </c>
      <c r="FF96" s="58">
        <f>IFERROR($BU96/$BU97-1,"")</f>
        <v/>
      </c>
      <c r="FG96" s="58">
        <f>IFERROR($BV96/$BV97-1,"")</f>
        <v/>
      </c>
      <c r="FH96" s="58">
        <f>IFERROR($BW96/$BW97-1,"")</f>
        <v/>
      </c>
      <c r="FI96" s="58">
        <f>IFERROR($BX96/$BX97-1,"")</f>
        <v/>
      </c>
      <c r="FJ96" s="59">
        <f>$BY96-$BY97</f>
        <v/>
      </c>
      <c r="FK96" s="59">
        <f>$BZ96-$BZ97</f>
        <v/>
      </c>
      <c r="FL96" s="59">
        <f>$CA96-$CA97</f>
        <v/>
      </c>
      <c r="FM96" s="59">
        <f>$CB96-$CB97</f>
        <v/>
      </c>
      <c r="FN96" s="59">
        <f>$CC96-$CC97</f>
        <v/>
      </c>
      <c r="FO96" s="59">
        <f>$CD96-$CD97</f>
        <v/>
      </c>
      <c r="FP96" s="59">
        <f>$CE96-$CE97</f>
        <v/>
      </c>
      <c r="FQ96" s="59">
        <f>$CF96-$CF97</f>
        <v/>
      </c>
      <c r="FR96" s="59">
        <f>$CG96-$CG97</f>
        <v/>
      </c>
      <c r="FS96" s="59">
        <f>$CH96-$CH97</f>
        <v/>
      </c>
      <c r="FT96" s="59">
        <f>$CI96-$CI97</f>
        <v/>
      </c>
      <c r="FU96" s="59">
        <f>$CJ96-$CJ97</f>
        <v/>
      </c>
      <c r="FV96" s="59">
        <f>$CK96-$CK97</f>
        <v/>
      </c>
      <c r="FW96" s="59">
        <f>$CL96-$CL97</f>
        <v/>
      </c>
      <c r="FX96" s="59">
        <f>$CM96-$CM97</f>
        <v/>
      </c>
      <c r="FY96" s="59">
        <f>$CN96-$CN97</f>
        <v/>
      </c>
      <c r="FZ96" s="59">
        <f>$CO96-$CO97</f>
        <v/>
      </c>
      <c r="GA96" s="59">
        <f>$CP96-$CP97</f>
        <v/>
      </c>
      <c r="GB96" s="59">
        <f>$CQ96-$CQ97</f>
        <v/>
      </c>
      <c r="GC96" s="59">
        <f>$CR96-$CR97</f>
        <v/>
      </c>
      <c r="GD96" s="59">
        <f>$CS96-$CS97</f>
        <v/>
      </c>
      <c r="GE96" s="59">
        <f>$CT96-$CT97</f>
        <v/>
      </c>
    </row>
    <row r="97">
      <c r="CU97" s="58">
        <f>IFERROR($B97/$B98-1,"")</f>
        <v/>
      </c>
      <c r="CV97" s="59">
        <f>($F97-$F98)*100</f>
        <v/>
      </c>
      <c r="CW97" s="59">
        <f>($E97-$E98)*100</f>
        <v/>
      </c>
      <c r="CX97" s="58">
        <f>IFERROR($K97/$K98-1,"")</f>
        <v/>
      </c>
      <c r="CY97" s="59">
        <f>($AH97-$AH98)*100</f>
        <v/>
      </c>
      <c r="CZ97" s="59">
        <f>($AI97-$AI98)*100</f>
        <v/>
      </c>
      <c r="DA97" s="59">
        <f>($AJ97-$AJ98)*100</f>
        <v/>
      </c>
      <c r="DB97" s="59">
        <f>($AK97-$AK98)*100</f>
        <v/>
      </c>
      <c r="DC97" s="59">
        <f>($AL97-$AL98)*100</f>
        <v/>
      </c>
      <c r="DD97" s="59">
        <f>($AM97-$AM98)*100</f>
        <v/>
      </c>
      <c r="DE97" s="59">
        <f>($AN97-$AN98)*100</f>
        <v/>
      </c>
      <c r="DF97" s="59">
        <f>($AO97-$AO98)*100</f>
        <v/>
      </c>
      <c r="DG97" s="59">
        <f>($AP97-$AP98)*100</f>
        <v/>
      </c>
      <c r="DH97" s="59">
        <f>($AQ97-$AQ98)*100</f>
        <v/>
      </c>
      <c r="DI97" s="59">
        <f>($AR97-$AR98)*100</f>
        <v/>
      </c>
      <c r="DJ97" s="59">
        <f>($AS97-$AS98)*100</f>
        <v/>
      </c>
      <c r="DK97" s="59">
        <f>($AT97-$AT98)*100</f>
        <v/>
      </c>
      <c r="DL97" s="59">
        <f>($AU97-$AU98)*100</f>
        <v/>
      </c>
      <c r="DM97" s="59">
        <f>($AV97-$AV98)*100</f>
        <v/>
      </c>
      <c r="DN97" s="59">
        <f>($AW97-$AW98)*100</f>
        <v/>
      </c>
      <c r="DO97" s="59">
        <f>($AX97-$AX98)*100</f>
        <v/>
      </c>
      <c r="DP97" s="59">
        <f>($AY97-$AY98)*100</f>
        <v/>
      </c>
      <c r="DQ97" s="59">
        <f>($AZ97-$AZ98)*100</f>
        <v/>
      </c>
      <c r="DR97" s="59">
        <f>($BA97-$BA98)*100</f>
        <v/>
      </c>
      <c r="DS97" s="58">
        <f>IFERROR($N98/$N97-1,"")</f>
        <v/>
      </c>
      <c r="DT97" s="58">
        <f>IFERROR($O98/$O97-1,"")</f>
        <v/>
      </c>
      <c r="DU97" s="58">
        <f>IFERROR($P98/$P97-1,"")</f>
        <v/>
      </c>
      <c r="DV97" s="58">
        <f>IFERROR($Q98/$Q97-1,"")</f>
        <v/>
      </c>
      <c r="DW97" s="58">
        <f>IFERROR($R98/$R97-1,"")</f>
        <v/>
      </c>
      <c r="DX97" s="58">
        <f>IFERROR($S98/$S97-1,"")</f>
        <v/>
      </c>
      <c r="DY97" s="58">
        <f>IFERROR($T98/$T97-1,"")</f>
        <v/>
      </c>
      <c r="DZ97" s="58">
        <f>IFERROR($U98/$U97-1,"")</f>
        <v/>
      </c>
      <c r="EA97" s="58">
        <f>IFERROR($V98/$V97-1,"")</f>
        <v/>
      </c>
      <c r="EB97" s="58">
        <f>IFERROR($W98/$W97-1,"")</f>
        <v/>
      </c>
      <c r="EC97" s="58">
        <f>IFERROR($X98/$X97-1,"")</f>
        <v/>
      </c>
      <c r="ED97" s="58">
        <f>IFERROR($Y98/$Y97-1,"")</f>
        <v/>
      </c>
      <c r="EE97" s="58">
        <f>IFERROR($Z98/$Z97-1,"")</f>
        <v/>
      </c>
      <c r="EF97" s="58">
        <f>IFERROR($AA98/$AA97-1,"")</f>
        <v/>
      </c>
      <c r="EG97" s="58">
        <f>IFERROR($AB98/$AB97-1,"")</f>
        <v/>
      </c>
      <c r="EH97" s="58">
        <f>IFERROR($AC98/$AC97-1,"")</f>
        <v/>
      </c>
      <c r="EI97" s="58">
        <f>IFERROR($AD98/$AD97-1,"")</f>
        <v/>
      </c>
      <c r="EJ97" s="58">
        <f>IFERROR($AE98/$AE97-1,"")</f>
        <v/>
      </c>
      <c r="EK97" s="58">
        <f>IFERROR($AF98/$AF97-1,"")</f>
        <v/>
      </c>
      <c r="EL97" s="58">
        <f>IFERROR($AG98/$AG97-1,"")</f>
        <v/>
      </c>
      <c r="EM97" s="58">
        <f>IFERROR($BB97/$BB98-1,"")</f>
        <v/>
      </c>
      <c r="EN97" s="58">
        <f>IFERROR($BC97/$BC98-1,"")</f>
        <v/>
      </c>
      <c r="EO97" s="58">
        <f>IFERROR($BD97/$BD98-1,"")</f>
        <v/>
      </c>
      <c r="EP97" s="58">
        <f>IFERROR($BE97/$BE98-1,"")</f>
        <v/>
      </c>
      <c r="EQ97" s="58">
        <f>IFERROR($BF97/$BF98-1,"")</f>
        <v/>
      </c>
      <c r="ER97" s="58">
        <f>IFERROR($BG97/$BG98-1,"")</f>
        <v/>
      </c>
      <c r="ES97" s="58">
        <f>IFERROR($BH97/$BH98-1,"")</f>
        <v/>
      </c>
      <c r="ET97" s="58">
        <f>IFERROR($BI97/$BI98-1,"")</f>
        <v/>
      </c>
      <c r="EU97" s="58">
        <f>IFERROR($BJ97/$BJ98-1,"")</f>
        <v/>
      </c>
      <c r="EV97" s="58">
        <f>IFERROR($BK97/$BK98-1,"")</f>
        <v/>
      </c>
      <c r="EW97" s="58">
        <f>IFERROR($BL97/$BL98-1,"")</f>
        <v/>
      </c>
      <c r="EX97" s="58">
        <f>IFERROR($BM97/$BM98-1,"")</f>
        <v/>
      </c>
      <c r="EY97" s="58">
        <f>IFERROR($BN97/$BN98-1,"")</f>
        <v/>
      </c>
      <c r="EZ97" s="58">
        <f>IFERROR($BO97/$BO98-1,"")</f>
        <v/>
      </c>
      <c r="FA97" s="58">
        <f>IFERROR($BP97/$BP98-1,"")</f>
        <v/>
      </c>
      <c r="FB97" s="58">
        <f>IFERROR($BQ97/$BQ98-1,"")</f>
        <v/>
      </c>
      <c r="FC97" s="58">
        <f>IFERROR($BR97/$BR98-1,"")</f>
        <v/>
      </c>
      <c r="FD97" s="58">
        <f>IFERROR($BS97/$BS98-1,"")</f>
        <v/>
      </c>
      <c r="FE97" s="58">
        <f>IFERROR($BT97/$BT98-1,"")</f>
        <v/>
      </c>
      <c r="FF97" s="58">
        <f>IFERROR($BU97/$BU98-1,"")</f>
        <v/>
      </c>
      <c r="FG97" s="58">
        <f>IFERROR($BV97/$BV98-1,"")</f>
        <v/>
      </c>
      <c r="FH97" s="58">
        <f>IFERROR($BW97/$BW98-1,"")</f>
        <v/>
      </c>
      <c r="FI97" s="58">
        <f>IFERROR($BX97/$BX98-1,"")</f>
        <v/>
      </c>
      <c r="FJ97" s="59">
        <f>$BY97-$BY98</f>
        <v/>
      </c>
      <c r="FK97" s="59">
        <f>$BZ97-$BZ98</f>
        <v/>
      </c>
      <c r="FL97" s="59">
        <f>$CA97-$CA98</f>
        <v/>
      </c>
      <c r="FM97" s="59">
        <f>$CB97-$CB98</f>
        <v/>
      </c>
      <c r="FN97" s="59">
        <f>$CC97-$CC98</f>
        <v/>
      </c>
      <c r="FO97" s="59">
        <f>$CD97-$CD98</f>
        <v/>
      </c>
      <c r="FP97" s="59">
        <f>$CE97-$CE98</f>
        <v/>
      </c>
      <c r="FQ97" s="59">
        <f>$CF97-$CF98</f>
        <v/>
      </c>
      <c r="FR97" s="59">
        <f>$CG97-$CG98</f>
        <v/>
      </c>
      <c r="FS97" s="59">
        <f>$CH97-$CH98</f>
        <v/>
      </c>
      <c r="FT97" s="59">
        <f>$CI97-$CI98</f>
        <v/>
      </c>
      <c r="FU97" s="59">
        <f>$CJ97-$CJ98</f>
        <v/>
      </c>
      <c r="FV97" s="59">
        <f>$CK97-$CK98</f>
        <v/>
      </c>
      <c r="FW97" s="59">
        <f>$CL97-$CL98</f>
        <v/>
      </c>
      <c r="FX97" s="59">
        <f>$CM97-$CM98</f>
        <v/>
      </c>
      <c r="FY97" s="59">
        <f>$CN97-$CN98</f>
        <v/>
      </c>
      <c r="FZ97" s="59">
        <f>$CO97-$CO98</f>
        <v/>
      </c>
      <c r="GA97" s="59">
        <f>$CP97-$CP98</f>
        <v/>
      </c>
      <c r="GB97" s="59">
        <f>$CQ97-$CQ98</f>
        <v/>
      </c>
      <c r="GC97" s="59">
        <f>$CR97-$CR98</f>
        <v/>
      </c>
      <c r="GD97" s="59">
        <f>$CS97-$CS98</f>
        <v/>
      </c>
      <c r="GE97" s="59">
        <f>$CT97-$CT98</f>
        <v/>
      </c>
    </row>
    <row r="98">
      <c r="CU98" s="58">
        <f>IFERROR($B98/$B99-1,"")</f>
        <v/>
      </c>
      <c r="CV98" s="59">
        <f>($F98-$F99)*100</f>
        <v/>
      </c>
      <c r="CW98" s="59">
        <f>($E98-$E99)*100</f>
        <v/>
      </c>
      <c r="CX98" s="58">
        <f>IFERROR($K98/$K99-1,"")</f>
        <v/>
      </c>
      <c r="CY98" s="59">
        <f>($AH98-$AH99)*100</f>
        <v/>
      </c>
      <c r="CZ98" s="59">
        <f>($AI98-$AI99)*100</f>
        <v/>
      </c>
      <c r="DA98" s="59">
        <f>($AJ98-$AJ99)*100</f>
        <v/>
      </c>
      <c r="DB98" s="59">
        <f>($AK98-$AK99)*100</f>
        <v/>
      </c>
      <c r="DC98" s="59">
        <f>($AL98-$AL99)*100</f>
        <v/>
      </c>
      <c r="DD98" s="59">
        <f>($AM98-$AM99)*100</f>
        <v/>
      </c>
      <c r="DE98" s="59">
        <f>($AN98-$AN99)*100</f>
        <v/>
      </c>
      <c r="DF98" s="59">
        <f>($AO98-$AO99)*100</f>
        <v/>
      </c>
      <c r="DG98" s="59">
        <f>($AP98-$AP99)*100</f>
        <v/>
      </c>
      <c r="DH98" s="59">
        <f>($AQ98-$AQ99)*100</f>
        <v/>
      </c>
      <c r="DI98" s="59">
        <f>($AR98-$AR99)*100</f>
        <v/>
      </c>
      <c r="DJ98" s="59">
        <f>($AS98-$AS99)*100</f>
        <v/>
      </c>
      <c r="DK98" s="59">
        <f>($AT98-$AT99)*100</f>
        <v/>
      </c>
      <c r="DL98" s="59">
        <f>($AU98-$AU99)*100</f>
        <v/>
      </c>
      <c r="DM98" s="59">
        <f>($AV98-$AV99)*100</f>
        <v/>
      </c>
      <c r="DN98" s="59">
        <f>($AW98-$AW99)*100</f>
        <v/>
      </c>
      <c r="DO98" s="59">
        <f>($AX98-$AX99)*100</f>
        <v/>
      </c>
      <c r="DP98" s="59">
        <f>($AY98-$AY99)*100</f>
        <v/>
      </c>
      <c r="DQ98" s="59">
        <f>($AZ98-$AZ99)*100</f>
        <v/>
      </c>
      <c r="DR98" s="59">
        <f>($BA98-$BA99)*100</f>
        <v/>
      </c>
      <c r="DS98" s="58">
        <f>IFERROR($N99/$N98-1,"")</f>
        <v/>
      </c>
      <c r="DT98" s="58">
        <f>IFERROR($O99/$O98-1,"")</f>
        <v/>
      </c>
      <c r="DU98" s="58">
        <f>IFERROR($P99/$P98-1,"")</f>
        <v/>
      </c>
      <c r="DV98" s="58">
        <f>IFERROR($Q99/$Q98-1,"")</f>
        <v/>
      </c>
      <c r="DW98" s="58">
        <f>IFERROR($R99/$R98-1,"")</f>
        <v/>
      </c>
      <c r="DX98" s="58">
        <f>IFERROR($S99/$S98-1,"")</f>
        <v/>
      </c>
      <c r="DY98" s="58">
        <f>IFERROR($T99/$T98-1,"")</f>
        <v/>
      </c>
      <c r="DZ98" s="58">
        <f>IFERROR($U99/$U98-1,"")</f>
        <v/>
      </c>
      <c r="EA98" s="58">
        <f>IFERROR($V99/$V98-1,"")</f>
        <v/>
      </c>
      <c r="EB98" s="58">
        <f>IFERROR($W99/$W98-1,"")</f>
        <v/>
      </c>
      <c r="EC98" s="58">
        <f>IFERROR($X99/$X98-1,"")</f>
        <v/>
      </c>
      <c r="ED98" s="58">
        <f>IFERROR($Y99/$Y98-1,"")</f>
        <v/>
      </c>
      <c r="EE98" s="58">
        <f>IFERROR($Z99/$Z98-1,"")</f>
        <v/>
      </c>
      <c r="EF98" s="58">
        <f>IFERROR($AA99/$AA98-1,"")</f>
        <v/>
      </c>
      <c r="EG98" s="58">
        <f>IFERROR($AB99/$AB98-1,"")</f>
        <v/>
      </c>
      <c r="EH98" s="58">
        <f>IFERROR($AC99/$AC98-1,"")</f>
        <v/>
      </c>
      <c r="EI98" s="58">
        <f>IFERROR($AD99/$AD98-1,"")</f>
        <v/>
      </c>
      <c r="EJ98" s="58">
        <f>IFERROR($AE99/$AE98-1,"")</f>
        <v/>
      </c>
      <c r="EK98" s="58">
        <f>IFERROR($AF99/$AF98-1,"")</f>
        <v/>
      </c>
      <c r="EL98" s="58">
        <f>IFERROR($AG99/$AG98-1,"")</f>
        <v/>
      </c>
      <c r="EM98" s="58">
        <f>IFERROR($BB98/$BB99-1,"")</f>
        <v/>
      </c>
      <c r="EN98" s="58">
        <f>IFERROR($BC98/$BC99-1,"")</f>
        <v/>
      </c>
      <c r="EO98" s="58">
        <f>IFERROR($BD98/$BD99-1,"")</f>
        <v/>
      </c>
      <c r="EP98" s="58">
        <f>IFERROR($BE98/$BE99-1,"")</f>
        <v/>
      </c>
      <c r="EQ98" s="58">
        <f>IFERROR($BF98/$BF99-1,"")</f>
        <v/>
      </c>
      <c r="ER98" s="58">
        <f>IFERROR($BG98/$BG99-1,"")</f>
        <v/>
      </c>
      <c r="ES98" s="58">
        <f>IFERROR($BH98/$BH99-1,"")</f>
        <v/>
      </c>
      <c r="ET98" s="58">
        <f>IFERROR($BI98/$BI99-1,"")</f>
        <v/>
      </c>
      <c r="EU98" s="58">
        <f>IFERROR($BJ98/$BJ99-1,"")</f>
        <v/>
      </c>
      <c r="EV98" s="58">
        <f>IFERROR($BK98/$BK99-1,"")</f>
        <v/>
      </c>
      <c r="EW98" s="58">
        <f>IFERROR($BL98/$BL99-1,"")</f>
        <v/>
      </c>
      <c r="EX98" s="58">
        <f>IFERROR($BM98/$BM99-1,"")</f>
        <v/>
      </c>
      <c r="EY98" s="58">
        <f>IFERROR($BN98/$BN99-1,"")</f>
        <v/>
      </c>
      <c r="EZ98" s="58">
        <f>IFERROR($BO98/$BO99-1,"")</f>
        <v/>
      </c>
      <c r="FA98" s="58">
        <f>IFERROR($BP98/$BP99-1,"")</f>
        <v/>
      </c>
      <c r="FB98" s="58">
        <f>IFERROR($BQ98/$BQ99-1,"")</f>
        <v/>
      </c>
      <c r="FC98" s="58">
        <f>IFERROR($BR98/$BR99-1,"")</f>
        <v/>
      </c>
      <c r="FD98" s="58">
        <f>IFERROR($BS98/$BS99-1,"")</f>
        <v/>
      </c>
      <c r="FE98" s="58">
        <f>IFERROR($BT98/$BT99-1,"")</f>
        <v/>
      </c>
      <c r="FF98" s="58">
        <f>IFERROR($BU98/$BU99-1,"")</f>
        <v/>
      </c>
      <c r="FG98" s="58">
        <f>IFERROR($BV98/$BV99-1,"")</f>
        <v/>
      </c>
      <c r="FH98" s="58">
        <f>IFERROR($BW98/$BW99-1,"")</f>
        <v/>
      </c>
      <c r="FI98" s="58">
        <f>IFERROR($BX98/$BX99-1,"")</f>
        <v/>
      </c>
      <c r="FJ98" s="59">
        <f>$BY98-$BY99</f>
        <v/>
      </c>
      <c r="FK98" s="59">
        <f>$BZ98-$BZ99</f>
        <v/>
      </c>
      <c r="FL98" s="59">
        <f>$CA98-$CA99</f>
        <v/>
      </c>
      <c r="FM98" s="59">
        <f>$CB98-$CB99</f>
        <v/>
      </c>
      <c r="FN98" s="59">
        <f>$CC98-$CC99</f>
        <v/>
      </c>
      <c r="FO98" s="59">
        <f>$CD98-$CD99</f>
        <v/>
      </c>
      <c r="FP98" s="59">
        <f>$CE98-$CE99</f>
        <v/>
      </c>
      <c r="FQ98" s="59">
        <f>$CF98-$CF99</f>
        <v/>
      </c>
      <c r="FR98" s="59">
        <f>$CG98-$CG99</f>
        <v/>
      </c>
      <c r="FS98" s="59">
        <f>$CH98-$CH99</f>
        <v/>
      </c>
      <c r="FT98" s="59">
        <f>$CI98-$CI99</f>
        <v/>
      </c>
      <c r="FU98" s="59">
        <f>$CJ98-$CJ99</f>
        <v/>
      </c>
      <c r="FV98" s="59">
        <f>$CK98-$CK99</f>
        <v/>
      </c>
      <c r="FW98" s="59">
        <f>$CL98-$CL99</f>
        <v/>
      </c>
      <c r="FX98" s="59">
        <f>$CM98-$CM99</f>
        <v/>
      </c>
      <c r="FY98" s="59">
        <f>$CN98-$CN99</f>
        <v/>
      </c>
      <c r="FZ98" s="59">
        <f>$CO98-$CO99</f>
        <v/>
      </c>
      <c r="GA98" s="59">
        <f>$CP98-$CP99</f>
        <v/>
      </c>
      <c r="GB98" s="59">
        <f>$CQ98-$CQ99</f>
        <v/>
      </c>
      <c r="GC98" s="59">
        <f>$CR98-$CR99</f>
        <v/>
      </c>
      <c r="GD98" s="59">
        <f>$CS98-$CS99</f>
        <v/>
      </c>
      <c r="GE98" s="59">
        <f>$CT98-$CT99</f>
        <v/>
      </c>
    </row>
    <row r="99">
      <c r="CU99" s="58">
        <f>IFERROR($B99/$B100-1,"")</f>
        <v/>
      </c>
      <c r="CV99" s="59">
        <f>($F99-$F100)*100</f>
        <v/>
      </c>
      <c r="CW99" s="59">
        <f>($E99-$E100)*100</f>
        <v/>
      </c>
      <c r="CX99" s="58">
        <f>IFERROR($K99/$K100-1,"")</f>
        <v/>
      </c>
      <c r="CY99" s="59">
        <f>($AH99-$AH100)*100</f>
        <v/>
      </c>
      <c r="CZ99" s="59">
        <f>($AI99-$AI100)*100</f>
        <v/>
      </c>
      <c r="DA99" s="59">
        <f>($AJ99-$AJ100)*100</f>
        <v/>
      </c>
      <c r="DB99" s="59">
        <f>($AK99-$AK100)*100</f>
        <v/>
      </c>
      <c r="DC99" s="59">
        <f>($AL99-$AL100)*100</f>
        <v/>
      </c>
      <c r="DD99" s="59">
        <f>($AM99-$AM100)*100</f>
        <v/>
      </c>
      <c r="DE99" s="59">
        <f>($AN99-$AN100)*100</f>
        <v/>
      </c>
      <c r="DF99" s="59">
        <f>($AO99-$AO100)*100</f>
        <v/>
      </c>
      <c r="DG99" s="59">
        <f>($AP99-$AP100)*100</f>
        <v/>
      </c>
      <c r="DH99" s="59">
        <f>($AQ99-$AQ100)*100</f>
        <v/>
      </c>
      <c r="DI99" s="59">
        <f>($AR99-$AR100)*100</f>
        <v/>
      </c>
      <c r="DJ99" s="59">
        <f>($AS99-$AS100)*100</f>
        <v/>
      </c>
      <c r="DK99" s="59">
        <f>($AT99-$AT100)*100</f>
        <v/>
      </c>
      <c r="DL99" s="59">
        <f>($AU99-$AU100)*100</f>
        <v/>
      </c>
      <c r="DM99" s="59">
        <f>($AV99-$AV100)*100</f>
        <v/>
      </c>
      <c r="DN99" s="59">
        <f>($AW99-$AW100)*100</f>
        <v/>
      </c>
      <c r="DO99" s="59">
        <f>($AX99-$AX100)*100</f>
        <v/>
      </c>
      <c r="DP99" s="59">
        <f>($AY99-$AY100)*100</f>
        <v/>
      </c>
      <c r="DQ99" s="59">
        <f>($AZ99-$AZ100)*100</f>
        <v/>
      </c>
      <c r="DR99" s="59">
        <f>($BA99-$BA100)*100</f>
        <v/>
      </c>
      <c r="DS99" s="58">
        <f>IFERROR($N100/$N99-1,"")</f>
        <v/>
      </c>
      <c r="DT99" s="58">
        <f>IFERROR($O100/$O99-1,"")</f>
        <v/>
      </c>
      <c r="DU99" s="58">
        <f>IFERROR($P100/$P99-1,"")</f>
        <v/>
      </c>
      <c r="DV99" s="58">
        <f>IFERROR($Q100/$Q99-1,"")</f>
        <v/>
      </c>
      <c r="DW99" s="58">
        <f>IFERROR($R100/$R99-1,"")</f>
        <v/>
      </c>
      <c r="DX99" s="58">
        <f>IFERROR($S100/$S99-1,"")</f>
        <v/>
      </c>
      <c r="DY99" s="58">
        <f>IFERROR($T100/$T99-1,"")</f>
        <v/>
      </c>
      <c r="DZ99" s="58">
        <f>IFERROR($U100/$U99-1,"")</f>
        <v/>
      </c>
      <c r="EA99" s="58">
        <f>IFERROR($V100/$V99-1,"")</f>
        <v/>
      </c>
      <c r="EB99" s="58">
        <f>IFERROR($W100/$W99-1,"")</f>
        <v/>
      </c>
      <c r="EC99" s="58">
        <f>IFERROR($X100/$X99-1,"")</f>
        <v/>
      </c>
      <c r="ED99" s="58">
        <f>IFERROR($Y100/$Y99-1,"")</f>
        <v/>
      </c>
      <c r="EE99" s="58">
        <f>IFERROR($Z100/$Z99-1,"")</f>
        <v/>
      </c>
      <c r="EF99" s="58">
        <f>IFERROR($AA100/$AA99-1,"")</f>
        <v/>
      </c>
      <c r="EG99" s="58">
        <f>IFERROR($AB100/$AB99-1,"")</f>
        <v/>
      </c>
      <c r="EH99" s="58">
        <f>IFERROR($AC100/$AC99-1,"")</f>
        <v/>
      </c>
      <c r="EI99" s="58">
        <f>IFERROR($AD100/$AD99-1,"")</f>
        <v/>
      </c>
      <c r="EJ99" s="58">
        <f>IFERROR($AE100/$AE99-1,"")</f>
        <v/>
      </c>
      <c r="EK99" s="58">
        <f>IFERROR($AF100/$AF99-1,"")</f>
        <v/>
      </c>
      <c r="EL99" s="58">
        <f>IFERROR($AG100/$AG99-1,"")</f>
        <v/>
      </c>
      <c r="EM99" s="58">
        <f>IFERROR($BB99/$BB100-1,"")</f>
        <v/>
      </c>
      <c r="EN99" s="58">
        <f>IFERROR($BC99/$BC100-1,"")</f>
        <v/>
      </c>
      <c r="EO99" s="58">
        <f>IFERROR($BD99/$BD100-1,"")</f>
        <v/>
      </c>
      <c r="EP99" s="58">
        <f>IFERROR($BE99/$BE100-1,"")</f>
        <v/>
      </c>
      <c r="EQ99" s="58">
        <f>IFERROR($BF99/$BF100-1,"")</f>
        <v/>
      </c>
      <c r="ER99" s="58">
        <f>IFERROR($BG99/$BG100-1,"")</f>
        <v/>
      </c>
      <c r="ES99" s="58">
        <f>IFERROR($BH99/$BH100-1,"")</f>
        <v/>
      </c>
      <c r="ET99" s="58">
        <f>IFERROR($BI99/$BI100-1,"")</f>
        <v/>
      </c>
      <c r="EU99" s="58">
        <f>IFERROR($BJ99/$BJ100-1,"")</f>
        <v/>
      </c>
      <c r="EV99" s="58">
        <f>IFERROR($BK99/$BK100-1,"")</f>
        <v/>
      </c>
      <c r="EW99" s="58">
        <f>IFERROR($BL99/$BL100-1,"")</f>
        <v/>
      </c>
      <c r="EX99" s="58">
        <f>IFERROR($BM99/$BM100-1,"")</f>
        <v/>
      </c>
      <c r="EY99" s="58">
        <f>IFERROR($BN99/$BN100-1,"")</f>
        <v/>
      </c>
      <c r="EZ99" s="58">
        <f>IFERROR($BO99/$BO100-1,"")</f>
        <v/>
      </c>
      <c r="FA99" s="58">
        <f>IFERROR($BP99/$BP100-1,"")</f>
        <v/>
      </c>
      <c r="FB99" s="58">
        <f>IFERROR($BQ99/$BQ100-1,"")</f>
        <v/>
      </c>
      <c r="FC99" s="58">
        <f>IFERROR($BR99/$BR100-1,"")</f>
        <v/>
      </c>
      <c r="FD99" s="58">
        <f>IFERROR($BS99/$BS100-1,"")</f>
        <v/>
      </c>
      <c r="FE99" s="58">
        <f>IFERROR($BT99/$BT100-1,"")</f>
        <v/>
      </c>
      <c r="FF99" s="58">
        <f>IFERROR($BU99/$BU100-1,"")</f>
        <v/>
      </c>
      <c r="FG99" s="58">
        <f>IFERROR($BV99/$BV100-1,"")</f>
        <v/>
      </c>
      <c r="FH99" s="58">
        <f>IFERROR($BW99/$BW100-1,"")</f>
        <v/>
      </c>
      <c r="FI99" s="58">
        <f>IFERROR($BX99/$BX100-1,"")</f>
        <v/>
      </c>
      <c r="FJ99" s="59">
        <f>$BY99-$BY100</f>
        <v/>
      </c>
      <c r="FK99" s="59">
        <f>$BZ99-$BZ100</f>
        <v/>
      </c>
      <c r="FL99" s="59">
        <f>$CA99-$CA100</f>
        <v/>
      </c>
      <c r="FM99" s="59">
        <f>$CB99-$CB100</f>
        <v/>
      </c>
      <c r="FN99" s="59">
        <f>$CC99-$CC100</f>
        <v/>
      </c>
      <c r="FO99" s="59">
        <f>$CD99-$CD100</f>
        <v/>
      </c>
      <c r="FP99" s="59">
        <f>$CE99-$CE100</f>
        <v/>
      </c>
      <c r="FQ99" s="59">
        <f>$CF99-$CF100</f>
        <v/>
      </c>
      <c r="FR99" s="59">
        <f>$CG99-$CG100</f>
        <v/>
      </c>
      <c r="FS99" s="59">
        <f>$CH99-$CH100</f>
        <v/>
      </c>
      <c r="FT99" s="59">
        <f>$CI99-$CI100</f>
        <v/>
      </c>
      <c r="FU99" s="59">
        <f>$CJ99-$CJ100</f>
        <v/>
      </c>
      <c r="FV99" s="59">
        <f>$CK99-$CK100</f>
        <v/>
      </c>
      <c r="FW99" s="59">
        <f>$CL99-$CL100</f>
        <v/>
      </c>
      <c r="FX99" s="59">
        <f>$CM99-$CM100</f>
        <v/>
      </c>
      <c r="FY99" s="59">
        <f>$CN99-$CN100</f>
        <v/>
      </c>
      <c r="FZ99" s="59">
        <f>$CO99-$CO100</f>
        <v/>
      </c>
      <c r="GA99" s="59">
        <f>$CP99-$CP100</f>
        <v/>
      </c>
      <c r="GB99" s="59">
        <f>$CQ99-$CQ100</f>
        <v/>
      </c>
      <c r="GC99" s="59">
        <f>$CR99-$CR100</f>
        <v/>
      </c>
      <c r="GD99" s="59">
        <f>$CS99-$CS100</f>
        <v/>
      </c>
      <c r="GE99" s="59">
        <f>$CT99-$CT100</f>
        <v/>
      </c>
    </row>
    <row r="100">
      <c r="CU100" s="58">
        <f>IFERROR($B100/$B101-1,"")</f>
        <v/>
      </c>
      <c r="CV100" s="59">
        <f>($F100-$F101)*100</f>
        <v/>
      </c>
      <c r="CW100" s="59">
        <f>($E100-$E101)*100</f>
        <v/>
      </c>
      <c r="CX100" s="58">
        <f>IFERROR($K100/$K101-1,"")</f>
        <v/>
      </c>
      <c r="CY100" s="59">
        <f>($AH100-$AH101)*100</f>
        <v/>
      </c>
      <c r="CZ100" s="59">
        <f>($AI100-$AI101)*100</f>
        <v/>
      </c>
      <c r="DA100" s="59">
        <f>($AJ100-$AJ101)*100</f>
        <v/>
      </c>
      <c r="DB100" s="59">
        <f>($AK100-$AK101)*100</f>
        <v/>
      </c>
      <c r="DC100" s="59">
        <f>($AL100-$AL101)*100</f>
        <v/>
      </c>
      <c r="DD100" s="59">
        <f>($AM100-$AM101)*100</f>
        <v/>
      </c>
      <c r="DE100" s="59">
        <f>($AN100-$AN101)*100</f>
        <v/>
      </c>
      <c r="DF100" s="59">
        <f>($AO100-$AO101)*100</f>
        <v/>
      </c>
      <c r="DG100" s="59">
        <f>($AP100-$AP101)*100</f>
        <v/>
      </c>
      <c r="DH100" s="59">
        <f>($AQ100-$AQ101)*100</f>
        <v/>
      </c>
      <c r="DI100" s="59">
        <f>($AR100-$AR101)*100</f>
        <v/>
      </c>
      <c r="DJ100" s="59">
        <f>($AS100-$AS101)*100</f>
        <v/>
      </c>
      <c r="DK100" s="59">
        <f>($AT100-$AT101)*100</f>
        <v/>
      </c>
      <c r="DL100" s="59">
        <f>($AU100-$AU101)*100</f>
        <v/>
      </c>
      <c r="DM100" s="59">
        <f>($AV100-$AV101)*100</f>
        <v/>
      </c>
      <c r="DN100" s="59">
        <f>($AW100-$AW101)*100</f>
        <v/>
      </c>
      <c r="DO100" s="59">
        <f>($AX100-$AX101)*100</f>
        <v/>
      </c>
      <c r="DP100" s="59">
        <f>($AY100-$AY101)*100</f>
        <v/>
      </c>
      <c r="DQ100" s="59">
        <f>($AZ100-$AZ101)*100</f>
        <v/>
      </c>
      <c r="DR100" s="59">
        <f>($BA100-$BA101)*100</f>
        <v/>
      </c>
      <c r="DS100" s="58">
        <f>IFERROR($N101/$N100-1,"")</f>
        <v/>
      </c>
      <c r="DT100" s="58">
        <f>IFERROR($O101/$O100-1,"")</f>
        <v/>
      </c>
      <c r="DU100" s="58">
        <f>IFERROR($P101/$P100-1,"")</f>
        <v/>
      </c>
      <c r="DV100" s="58">
        <f>IFERROR($Q101/$Q100-1,"")</f>
        <v/>
      </c>
      <c r="DW100" s="58">
        <f>IFERROR($R101/$R100-1,"")</f>
        <v/>
      </c>
      <c r="DX100" s="58">
        <f>IFERROR($S101/$S100-1,"")</f>
        <v/>
      </c>
      <c r="DY100" s="58">
        <f>IFERROR($T101/$T100-1,"")</f>
        <v/>
      </c>
      <c r="DZ100" s="58">
        <f>IFERROR($U101/$U100-1,"")</f>
        <v/>
      </c>
      <c r="EA100" s="58">
        <f>IFERROR($V101/$V100-1,"")</f>
        <v/>
      </c>
      <c r="EB100" s="58">
        <f>IFERROR($W101/$W100-1,"")</f>
        <v/>
      </c>
      <c r="EC100" s="58">
        <f>IFERROR($X101/$X100-1,"")</f>
        <v/>
      </c>
      <c r="ED100" s="58">
        <f>IFERROR($Y101/$Y100-1,"")</f>
        <v/>
      </c>
      <c r="EE100" s="58">
        <f>IFERROR($Z101/$Z100-1,"")</f>
        <v/>
      </c>
      <c r="EF100" s="58">
        <f>IFERROR($AA101/$AA100-1,"")</f>
        <v/>
      </c>
      <c r="EG100" s="58">
        <f>IFERROR($AB101/$AB100-1,"")</f>
        <v/>
      </c>
      <c r="EH100" s="58">
        <f>IFERROR($AC101/$AC100-1,"")</f>
        <v/>
      </c>
      <c r="EI100" s="58">
        <f>IFERROR($AD101/$AD100-1,"")</f>
        <v/>
      </c>
      <c r="EJ100" s="58">
        <f>IFERROR($AE101/$AE100-1,"")</f>
        <v/>
      </c>
      <c r="EK100" s="58">
        <f>IFERROR($AF101/$AF100-1,"")</f>
        <v/>
      </c>
      <c r="EL100" s="58">
        <f>IFERROR($AG101/$AG100-1,"")</f>
        <v/>
      </c>
      <c r="EM100" s="58">
        <f>IFERROR($BB100/$BB101-1,"")</f>
        <v/>
      </c>
      <c r="EN100" s="58">
        <f>IFERROR($BC100/$BC101-1,"")</f>
        <v/>
      </c>
      <c r="EO100" s="58">
        <f>IFERROR($BD100/$BD101-1,"")</f>
        <v/>
      </c>
      <c r="EP100" s="58">
        <f>IFERROR($BE100/$BE101-1,"")</f>
        <v/>
      </c>
      <c r="EQ100" s="58">
        <f>IFERROR($BF100/$BF101-1,"")</f>
        <v/>
      </c>
      <c r="ER100" s="58">
        <f>IFERROR($BG100/$BG101-1,"")</f>
        <v/>
      </c>
      <c r="ES100" s="58">
        <f>IFERROR($BH100/$BH101-1,"")</f>
        <v/>
      </c>
      <c r="ET100" s="58">
        <f>IFERROR($BI100/$BI101-1,"")</f>
        <v/>
      </c>
      <c r="EU100" s="58">
        <f>IFERROR($BJ100/$BJ101-1,"")</f>
        <v/>
      </c>
      <c r="EV100" s="58">
        <f>IFERROR($BK100/$BK101-1,"")</f>
        <v/>
      </c>
      <c r="EW100" s="58">
        <f>IFERROR($BL100/$BL101-1,"")</f>
        <v/>
      </c>
      <c r="EX100" s="58">
        <f>IFERROR($BM100/$BM101-1,"")</f>
        <v/>
      </c>
      <c r="EY100" s="58">
        <f>IFERROR($BN100/$BN101-1,"")</f>
        <v/>
      </c>
      <c r="EZ100" s="58">
        <f>IFERROR($BO100/$BO101-1,"")</f>
        <v/>
      </c>
      <c r="FA100" s="58">
        <f>IFERROR($BP100/$BP101-1,"")</f>
        <v/>
      </c>
      <c r="FB100" s="58">
        <f>IFERROR($BQ100/$BQ101-1,"")</f>
        <v/>
      </c>
      <c r="FC100" s="58">
        <f>IFERROR($BR100/$BR101-1,"")</f>
        <v/>
      </c>
      <c r="FD100" s="58">
        <f>IFERROR($BS100/$BS101-1,"")</f>
        <v/>
      </c>
      <c r="FE100" s="58">
        <f>IFERROR($BT100/$BT101-1,"")</f>
        <v/>
      </c>
      <c r="FF100" s="58">
        <f>IFERROR($BU100/$BU101-1,"")</f>
        <v/>
      </c>
      <c r="FG100" s="58">
        <f>IFERROR($BV100/$BV101-1,"")</f>
        <v/>
      </c>
      <c r="FH100" s="58">
        <f>IFERROR($BW100/$BW101-1,"")</f>
        <v/>
      </c>
      <c r="FI100" s="58">
        <f>IFERROR($BX100/$BX101-1,"")</f>
        <v/>
      </c>
      <c r="FJ100" s="59">
        <f>$BY100-$BY101</f>
        <v/>
      </c>
      <c r="FK100" s="59">
        <f>$BZ100-$BZ101</f>
        <v/>
      </c>
      <c r="FL100" s="59">
        <f>$CA100-$CA101</f>
        <v/>
      </c>
      <c r="FM100" s="59">
        <f>$CB100-$CB101</f>
        <v/>
      </c>
      <c r="FN100" s="59">
        <f>$CC100-$CC101</f>
        <v/>
      </c>
      <c r="FO100" s="59">
        <f>$CD100-$CD101</f>
        <v/>
      </c>
      <c r="FP100" s="59">
        <f>$CE100-$CE101</f>
        <v/>
      </c>
      <c r="FQ100" s="59">
        <f>$CF100-$CF101</f>
        <v/>
      </c>
      <c r="FR100" s="59">
        <f>$CG100-$CG101</f>
        <v/>
      </c>
      <c r="FS100" s="59">
        <f>$CH100-$CH101</f>
        <v/>
      </c>
      <c r="FT100" s="59">
        <f>$CI100-$CI101</f>
        <v/>
      </c>
      <c r="FU100" s="59">
        <f>$CJ100-$CJ101</f>
        <v/>
      </c>
      <c r="FV100" s="59">
        <f>$CK100-$CK101</f>
        <v/>
      </c>
      <c r="FW100" s="59">
        <f>$CL100-$CL101</f>
        <v/>
      </c>
      <c r="FX100" s="59">
        <f>$CM100-$CM101</f>
        <v/>
      </c>
      <c r="FY100" s="59">
        <f>$CN100-$CN101</f>
        <v/>
      </c>
      <c r="FZ100" s="59">
        <f>$CO100-$CO101</f>
        <v/>
      </c>
      <c r="GA100" s="59">
        <f>$CP100-$CP101</f>
        <v/>
      </c>
      <c r="GB100" s="59">
        <f>$CQ100-$CQ101</f>
        <v/>
      </c>
      <c r="GC100" s="59">
        <f>$CR100-$CR101</f>
        <v/>
      </c>
      <c r="GD100" s="59">
        <f>$CS100-$CS101</f>
        <v/>
      </c>
      <c r="GE100" s="59">
        <f>$CT100-$CT101</f>
        <v/>
      </c>
    </row>
    <row r="101">
      <c r="CU101" s="58">
        <f>IFERROR($B101/$B102-1,"")</f>
        <v/>
      </c>
      <c r="CV101" s="59">
        <f>($F101-$F102)*100</f>
        <v/>
      </c>
      <c r="CW101" s="59">
        <f>($E101-$E102)*100</f>
        <v/>
      </c>
      <c r="CX101" s="58">
        <f>IFERROR($K101/$K102-1,"")</f>
        <v/>
      </c>
      <c r="CY101" s="59">
        <f>($AH101-$AH102)*100</f>
        <v/>
      </c>
      <c r="CZ101" s="59">
        <f>($AI101-$AI102)*100</f>
        <v/>
      </c>
      <c r="DA101" s="59">
        <f>($AJ101-$AJ102)*100</f>
        <v/>
      </c>
      <c r="DB101" s="59">
        <f>($AK101-$AK102)*100</f>
        <v/>
      </c>
      <c r="DC101" s="59">
        <f>($AL101-$AL102)*100</f>
        <v/>
      </c>
      <c r="DD101" s="59">
        <f>($AM101-$AM102)*100</f>
        <v/>
      </c>
      <c r="DE101" s="59">
        <f>($AN101-$AN102)*100</f>
        <v/>
      </c>
      <c r="DF101" s="59">
        <f>($AO101-$AO102)*100</f>
        <v/>
      </c>
      <c r="DG101" s="59">
        <f>($AP101-$AP102)*100</f>
        <v/>
      </c>
      <c r="DH101" s="59">
        <f>($AQ101-$AQ102)*100</f>
        <v/>
      </c>
      <c r="DI101" s="59">
        <f>($AR101-$AR102)*100</f>
        <v/>
      </c>
      <c r="DJ101" s="59">
        <f>($AS101-$AS102)*100</f>
        <v/>
      </c>
      <c r="DK101" s="59">
        <f>($AT101-$AT102)*100</f>
        <v/>
      </c>
      <c r="DL101" s="59">
        <f>($AU101-$AU102)*100</f>
        <v/>
      </c>
      <c r="DM101" s="59">
        <f>($AV101-$AV102)*100</f>
        <v/>
      </c>
      <c r="DN101" s="59">
        <f>($AW101-$AW102)*100</f>
        <v/>
      </c>
      <c r="DO101" s="59">
        <f>($AX101-$AX102)*100</f>
        <v/>
      </c>
      <c r="DP101" s="59">
        <f>($AY101-$AY102)*100</f>
        <v/>
      </c>
      <c r="DQ101" s="59">
        <f>($AZ101-$AZ102)*100</f>
        <v/>
      </c>
      <c r="DR101" s="59">
        <f>($BA101-$BA102)*100</f>
        <v/>
      </c>
      <c r="DS101" s="58">
        <f>IFERROR($N102/$N101-1,"")</f>
        <v/>
      </c>
      <c r="DT101" s="58">
        <f>IFERROR($O102/$O101-1,"")</f>
        <v/>
      </c>
      <c r="DU101" s="58">
        <f>IFERROR($P102/$P101-1,"")</f>
        <v/>
      </c>
      <c r="DV101" s="58">
        <f>IFERROR($Q102/$Q101-1,"")</f>
        <v/>
      </c>
      <c r="DW101" s="58">
        <f>IFERROR($R102/$R101-1,"")</f>
        <v/>
      </c>
      <c r="DX101" s="58">
        <f>IFERROR($S102/$S101-1,"")</f>
        <v/>
      </c>
      <c r="DY101" s="58">
        <f>IFERROR($T102/$T101-1,"")</f>
        <v/>
      </c>
      <c r="DZ101" s="58">
        <f>IFERROR($U102/$U101-1,"")</f>
        <v/>
      </c>
      <c r="EA101" s="58">
        <f>IFERROR($V102/$V101-1,"")</f>
        <v/>
      </c>
      <c r="EB101" s="58">
        <f>IFERROR($W102/$W101-1,"")</f>
        <v/>
      </c>
      <c r="EC101" s="58">
        <f>IFERROR($X102/$X101-1,"")</f>
        <v/>
      </c>
      <c r="ED101" s="58">
        <f>IFERROR($Y102/$Y101-1,"")</f>
        <v/>
      </c>
      <c r="EE101" s="58">
        <f>IFERROR($Z102/$Z101-1,"")</f>
        <v/>
      </c>
      <c r="EF101" s="58">
        <f>IFERROR($AA102/$AA101-1,"")</f>
        <v/>
      </c>
      <c r="EG101" s="58">
        <f>IFERROR($AB102/$AB101-1,"")</f>
        <v/>
      </c>
      <c r="EH101" s="58">
        <f>IFERROR($AC102/$AC101-1,"")</f>
        <v/>
      </c>
      <c r="EI101" s="58">
        <f>IFERROR($AD102/$AD101-1,"")</f>
        <v/>
      </c>
      <c r="EJ101" s="58">
        <f>IFERROR($AE102/$AE101-1,"")</f>
        <v/>
      </c>
      <c r="EK101" s="58">
        <f>IFERROR($AF102/$AF101-1,"")</f>
        <v/>
      </c>
      <c r="EL101" s="58">
        <f>IFERROR($AG102/$AG101-1,"")</f>
        <v/>
      </c>
      <c r="EM101" s="58">
        <f>IFERROR($BB101/$BB102-1,"")</f>
        <v/>
      </c>
      <c r="EN101" s="58">
        <f>IFERROR($BC101/$BC102-1,"")</f>
        <v/>
      </c>
      <c r="EO101" s="58">
        <f>IFERROR($BD101/$BD102-1,"")</f>
        <v/>
      </c>
      <c r="EP101" s="58">
        <f>IFERROR($BE101/$BE102-1,"")</f>
        <v/>
      </c>
      <c r="EQ101" s="58">
        <f>IFERROR($BF101/$BF102-1,"")</f>
        <v/>
      </c>
      <c r="ER101" s="58">
        <f>IFERROR($BG101/$BG102-1,"")</f>
        <v/>
      </c>
      <c r="ES101" s="58">
        <f>IFERROR($BH101/$BH102-1,"")</f>
        <v/>
      </c>
      <c r="ET101" s="58">
        <f>IFERROR($BI101/$BI102-1,"")</f>
        <v/>
      </c>
      <c r="EU101" s="58">
        <f>IFERROR($BJ101/$BJ102-1,"")</f>
        <v/>
      </c>
      <c r="EV101" s="58">
        <f>IFERROR($BK101/$BK102-1,"")</f>
        <v/>
      </c>
      <c r="EW101" s="58">
        <f>IFERROR($BL101/$BL102-1,"")</f>
        <v/>
      </c>
      <c r="EX101" s="58">
        <f>IFERROR($BM101/$BM102-1,"")</f>
        <v/>
      </c>
      <c r="EY101" s="58">
        <f>IFERROR($BN101/$BN102-1,"")</f>
        <v/>
      </c>
      <c r="EZ101" s="58">
        <f>IFERROR($BO101/$BO102-1,"")</f>
        <v/>
      </c>
      <c r="FA101" s="58">
        <f>IFERROR($BP101/$BP102-1,"")</f>
        <v/>
      </c>
      <c r="FB101" s="58">
        <f>IFERROR($BQ101/$BQ102-1,"")</f>
        <v/>
      </c>
      <c r="FC101" s="58">
        <f>IFERROR($BR101/$BR102-1,"")</f>
        <v/>
      </c>
      <c r="FD101" s="58">
        <f>IFERROR($BS101/$BS102-1,"")</f>
        <v/>
      </c>
      <c r="FE101" s="58">
        <f>IFERROR($BT101/$BT102-1,"")</f>
        <v/>
      </c>
      <c r="FF101" s="58">
        <f>IFERROR($BU101/$BU102-1,"")</f>
        <v/>
      </c>
      <c r="FG101" s="58">
        <f>IFERROR($BV101/$BV102-1,"")</f>
        <v/>
      </c>
      <c r="FH101" s="58">
        <f>IFERROR($BW101/$BW102-1,"")</f>
        <v/>
      </c>
      <c r="FI101" s="58">
        <f>IFERROR($BX101/$BX102-1,"")</f>
        <v/>
      </c>
      <c r="FJ101" s="59">
        <f>$BY101-$BY102</f>
        <v/>
      </c>
      <c r="FK101" s="59">
        <f>$BZ101-$BZ102</f>
        <v/>
      </c>
      <c r="FL101" s="59">
        <f>$CA101-$CA102</f>
        <v/>
      </c>
      <c r="FM101" s="59">
        <f>$CB101-$CB102</f>
        <v/>
      </c>
      <c r="FN101" s="59">
        <f>$CC101-$CC102</f>
        <v/>
      </c>
      <c r="FO101" s="59">
        <f>$CD101-$CD102</f>
        <v/>
      </c>
      <c r="FP101" s="59">
        <f>$CE101-$CE102</f>
        <v/>
      </c>
      <c r="FQ101" s="59">
        <f>$CF101-$CF102</f>
        <v/>
      </c>
      <c r="FR101" s="59">
        <f>$CG101-$CG102</f>
        <v/>
      </c>
      <c r="FS101" s="59">
        <f>$CH101-$CH102</f>
        <v/>
      </c>
      <c r="FT101" s="59">
        <f>$CI101-$CI102</f>
        <v/>
      </c>
      <c r="FU101" s="59">
        <f>$CJ101-$CJ102</f>
        <v/>
      </c>
      <c r="FV101" s="59">
        <f>$CK101-$CK102</f>
        <v/>
      </c>
      <c r="FW101" s="59">
        <f>$CL101-$CL102</f>
        <v/>
      </c>
      <c r="FX101" s="59">
        <f>$CM101-$CM102</f>
        <v/>
      </c>
      <c r="FY101" s="59">
        <f>$CN101-$CN102</f>
        <v/>
      </c>
      <c r="FZ101" s="59">
        <f>$CO101-$CO102</f>
        <v/>
      </c>
      <c r="GA101" s="59">
        <f>$CP101-$CP102</f>
        <v/>
      </c>
      <c r="GB101" s="59">
        <f>$CQ101-$CQ102</f>
        <v/>
      </c>
      <c r="GC101" s="59">
        <f>$CR101-$CR102</f>
        <v/>
      </c>
      <c r="GD101" s="59">
        <f>$CS101-$CS102</f>
        <v/>
      </c>
      <c r="GE101" s="59">
        <f>$CT101-$CT102</f>
        <v/>
      </c>
    </row>
    <row r="102">
      <c r="CU102" s="58">
        <f>IFERROR($B102/$B103-1,"")</f>
        <v/>
      </c>
      <c r="CV102" s="59">
        <f>($F102-$F103)*100</f>
        <v/>
      </c>
      <c r="CW102" s="59">
        <f>($E102-$E103)*100</f>
        <v/>
      </c>
      <c r="CX102" s="58">
        <f>IFERROR($K102/$K103-1,"")</f>
        <v/>
      </c>
      <c r="CY102" s="59">
        <f>($AH102-$AH103)*100</f>
        <v/>
      </c>
      <c r="CZ102" s="59">
        <f>($AI102-$AI103)*100</f>
        <v/>
      </c>
      <c r="DA102" s="59">
        <f>($AJ102-$AJ103)*100</f>
        <v/>
      </c>
      <c r="DB102" s="59">
        <f>($AK102-$AK103)*100</f>
        <v/>
      </c>
      <c r="DC102" s="59">
        <f>($AL102-$AL103)*100</f>
        <v/>
      </c>
      <c r="DD102" s="59">
        <f>($AM102-$AM103)*100</f>
        <v/>
      </c>
      <c r="DE102" s="59">
        <f>($AN102-$AN103)*100</f>
        <v/>
      </c>
      <c r="DF102" s="59">
        <f>($AO102-$AO103)*100</f>
        <v/>
      </c>
      <c r="DG102" s="59">
        <f>($AP102-$AP103)*100</f>
        <v/>
      </c>
      <c r="DH102" s="59">
        <f>($AQ102-$AQ103)*100</f>
        <v/>
      </c>
      <c r="DI102" s="59">
        <f>($AR102-$AR103)*100</f>
        <v/>
      </c>
      <c r="DJ102" s="59">
        <f>($AS102-$AS103)*100</f>
        <v/>
      </c>
      <c r="DK102" s="59">
        <f>($AT102-$AT103)*100</f>
        <v/>
      </c>
      <c r="DL102" s="59">
        <f>($AU102-$AU103)*100</f>
        <v/>
      </c>
      <c r="DM102" s="59">
        <f>($AV102-$AV103)*100</f>
        <v/>
      </c>
      <c r="DN102" s="59">
        <f>($AW102-$AW103)*100</f>
        <v/>
      </c>
      <c r="DO102" s="59">
        <f>($AX102-$AX103)*100</f>
        <v/>
      </c>
      <c r="DP102" s="59">
        <f>($AY102-$AY103)*100</f>
        <v/>
      </c>
      <c r="DQ102" s="59">
        <f>($AZ102-$AZ103)*100</f>
        <v/>
      </c>
      <c r="DR102" s="59">
        <f>($BA102-$BA103)*100</f>
        <v/>
      </c>
      <c r="DS102" s="58">
        <f>IFERROR($N103/$N102-1,"")</f>
        <v/>
      </c>
      <c r="DT102" s="58">
        <f>IFERROR($O103/$O102-1,"")</f>
        <v/>
      </c>
      <c r="DU102" s="58">
        <f>IFERROR($P103/$P102-1,"")</f>
        <v/>
      </c>
      <c r="DV102" s="58">
        <f>IFERROR($Q103/$Q102-1,"")</f>
        <v/>
      </c>
      <c r="DW102" s="58">
        <f>IFERROR($R103/$R102-1,"")</f>
        <v/>
      </c>
      <c r="DX102" s="58">
        <f>IFERROR($S103/$S102-1,"")</f>
        <v/>
      </c>
      <c r="DY102" s="58">
        <f>IFERROR($T103/$T102-1,"")</f>
        <v/>
      </c>
      <c r="DZ102" s="58">
        <f>IFERROR($U103/$U102-1,"")</f>
        <v/>
      </c>
      <c r="EA102" s="58">
        <f>IFERROR($V103/$V102-1,"")</f>
        <v/>
      </c>
      <c r="EB102" s="58">
        <f>IFERROR($W103/$W102-1,"")</f>
        <v/>
      </c>
      <c r="EC102" s="58">
        <f>IFERROR($X103/$X102-1,"")</f>
        <v/>
      </c>
      <c r="ED102" s="58">
        <f>IFERROR($Y103/$Y102-1,"")</f>
        <v/>
      </c>
      <c r="EE102" s="58">
        <f>IFERROR($Z103/$Z102-1,"")</f>
        <v/>
      </c>
      <c r="EF102" s="58">
        <f>IFERROR($AA103/$AA102-1,"")</f>
        <v/>
      </c>
      <c r="EG102" s="58">
        <f>IFERROR($AB103/$AB102-1,"")</f>
        <v/>
      </c>
      <c r="EH102" s="58">
        <f>IFERROR($AC103/$AC102-1,"")</f>
        <v/>
      </c>
      <c r="EI102" s="58">
        <f>IFERROR($AD103/$AD102-1,"")</f>
        <v/>
      </c>
      <c r="EJ102" s="58">
        <f>IFERROR($AE103/$AE102-1,"")</f>
        <v/>
      </c>
      <c r="EK102" s="58">
        <f>IFERROR($AF103/$AF102-1,"")</f>
        <v/>
      </c>
      <c r="EL102" s="58">
        <f>IFERROR($AG103/$AG102-1,"")</f>
        <v/>
      </c>
      <c r="EM102" s="58">
        <f>IFERROR($BB102/$BB103-1,"")</f>
        <v/>
      </c>
      <c r="EN102" s="58">
        <f>IFERROR($BC102/$BC103-1,"")</f>
        <v/>
      </c>
      <c r="EO102" s="58">
        <f>IFERROR($BD102/$BD103-1,"")</f>
        <v/>
      </c>
      <c r="EP102" s="58">
        <f>IFERROR($BE102/$BE103-1,"")</f>
        <v/>
      </c>
      <c r="EQ102" s="58">
        <f>IFERROR($BF102/$BF103-1,"")</f>
        <v/>
      </c>
      <c r="ER102" s="58">
        <f>IFERROR($BG102/$BG103-1,"")</f>
        <v/>
      </c>
      <c r="ES102" s="58">
        <f>IFERROR($BH102/$BH103-1,"")</f>
        <v/>
      </c>
      <c r="ET102" s="58">
        <f>IFERROR($BI102/$BI103-1,"")</f>
        <v/>
      </c>
      <c r="EU102" s="58">
        <f>IFERROR($BJ102/$BJ103-1,"")</f>
        <v/>
      </c>
      <c r="EV102" s="58">
        <f>IFERROR($BK102/$BK103-1,"")</f>
        <v/>
      </c>
      <c r="EW102" s="58">
        <f>IFERROR($BL102/$BL103-1,"")</f>
        <v/>
      </c>
      <c r="EX102" s="58">
        <f>IFERROR($BM102/$BM103-1,"")</f>
        <v/>
      </c>
      <c r="EY102" s="58">
        <f>IFERROR($BN102/$BN103-1,"")</f>
        <v/>
      </c>
      <c r="EZ102" s="58">
        <f>IFERROR($BO102/$BO103-1,"")</f>
        <v/>
      </c>
      <c r="FA102" s="58">
        <f>IFERROR($BP102/$BP103-1,"")</f>
        <v/>
      </c>
      <c r="FB102" s="58">
        <f>IFERROR($BQ102/$BQ103-1,"")</f>
        <v/>
      </c>
      <c r="FC102" s="58">
        <f>IFERROR($BR102/$BR103-1,"")</f>
        <v/>
      </c>
      <c r="FD102" s="58">
        <f>IFERROR($BS102/$BS103-1,"")</f>
        <v/>
      </c>
      <c r="FE102" s="58">
        <f>IFERROR($BT102/$BT103-1,"")</f>
        <v/>
      </c>
      <c r="FF102" s="58">
        <f>IFERROR($BU102/$BU103-1,"")</f>
        <v/>
      </c>
      <c r="FG102" s="58">
        <f>IFERROR($BV102/$BV103-1,"")</f>
        <v/>
      </c>
      <c r="FH102" s="58">
        <f>IFERROR($BW102/$BW103-1,"")</f>
        <v/>
      </c>
      <c r="FI102" s="58">
        <f>IFERROR($BX102/$BX103-1,"")</f>
        <v/>
      </c>
      <c r="FJ102" s="59">
        <f>$BY102-$BY103</f>
        <v/>
      </c>
      <c r="FK102" s="59">
        <f>$BZ102-$BZ103</f>
        <v/>
      </c>
      <c r="FL102" s="59">
        <f>$CA102-$CA103</f>
        <v/>
      </c>
      <c r="FM102" s="59">
        <f>$CB102-$CB103</f>
        <v/>
      </c>
      <c r="FN102" s="59">
        <f>$CC102-$CC103</f>
        <v/>
      </c>
      <c r="FO102" s="59">
        <f>$CD102-$CD103</f>
        <v/>
      </c>
      <c r="FP102" s="59">
        <f>$CE102-$CE103</f>
        <v/>
      </c>
      <c r="FQ102" s="59">
        <f>$CF102-$CF103</f>
        <v/>
      </c>
      <c r="FR102" s="59">
        <f>$CG102-$CG103</f>
        <v/>
      </c>
      <c r="FS102" s="59">
        <f>$CH102-$CH103</f>
        <v/>
      </c>
      <c r="FT102" s="59">
        <f>$CI102-$CI103</f>
        <v/>
      </c>
      <c r="FU102" s="59">
        <f>$CJ102-$CJ103</f>
        <v/>
      </c>
      <c r="FV102" s="59">
        <f>$CK102-$CK103</f>
        <v/>
      </c>
      <c r="FW102" s="59">
        <f>$CL102-$CL103</f>
        <v/>
      </c>
      <c r="FX102" s="59">
        <f>$CM102-$CM103</f>
        <v/>
      </c>
      <c r="FY102" s="59">
        <f>$CN102-$CN103</f>
        <v/>
      </c>
      <c r="FZ102" s="59">
        <f>$CO102-$CO103</f>
        <v/>
      </c>
      <c r="GA102" s="59">
        <f>$CP102-$CP103</f>
        <v/>
      </c>
      <c r="GB102" s="59">
        <f>$CQ102-$CQ103</f>
        <v/>
      </c>
      <c r="GC102" s="59">
        <f>$CR102-$CR103</f>
        <v/>
      </c>
      <c r="GD102" s="59">
        <f>$CS102-$CS103</f>
        <v/>
      </c>
      <c r="GE102" s="59">
        <f>$CT102-$CT103</f>
        <v/>
      </c>
    </row>
    <row r="103">
      <c r="CU103" s="58">
        <f>IFERROR($B103/$B104-1,"")</f>
        <v/>
      </c>
      <c r="CV103" s="59">
        <f>($F103-$F104)*100</f>
        <v/>
      </c>
      <c r="CW103" s="59">
        <f>($E103-$E104)*100</f>
        <v/>
      </c>
      <c r="CX103" s="58">
        <f>IFERROR($K103/$K104-1,"")</f>
        <v/>
      </c>
      <c r="CY103" s="59">
        <f>($AH103-$AH104)*100</f>
        <v/>
      </c>
      <c r="CZ103" s="59">
        <f>($AI103-$AI104)*100</f>
        <v/>
      </c>
      <c r="DA103" s="59">
        <f>($AJ103-$AJ104)*100</f>
        <v/>
      </c>
      <c r="DB103" s="59">
        <f>($AK103-$AK104)*100</f>
        <v/>
      </c>
      <c r="DC103" s="59">
        <f>($AL103-$AL104)*100</f>
        <v/>
      </c>
      <c r="DD103" s="59">
        <f>($AM103-$AM104)*100</f>
        <v/>
      </c>
      <c r="DE103" s="59">
        <f>($AN103-$AN104)*100</f>
        <v/>
      </c>
      <c r="DF103" s="59">
        <f>($AO103-$AO104)*100</f>
        <v/>
      </c>
      <c r="DG103" s="59">
        <f>($AP103-$AP104)*100</f>
        <v/>
      </c>
      <c r="DH103" s="59">
        <f>($AQ103-$AQ104)*100</f>
        <v/>
      </c>
      <c r="DI103" s="59">
        <f>($AR103-$AR104)*100</f>
        <v/>
      </c>
      <c r="DJ103" s="59">
        <f>($AS103-$AS104)*100</f>
        <v/>
      </c>
      <c r="DK103" s="59">
        <f>($AT103-$AT104)*100</f>
        <v/>
      </c>
      <c r="DL103" s="59">
        <f>($AU103-$AU104)*100</f>
        <v/>
      </c>
      <c r="DM103" s="59">
        <f>($AV103-$AV104)*100</f>
        <v/>
      </c>
      <c r="DN103" s="59">
        <f>($AW103-$AW104)*100</f>
        <v/>
      </c>
      <c r="DO103" s="59">
        <f>($AX103-$AX104)*100</f>
        <v/>
      </c>
      <c r="DP103" s="59">
        <f>($AY103-$AY104)*100</f>
        <v/>
      </c>
      <c r="DQ103" s="59">
        <f>($AZ103-$AZ104)*100</f>
        <v/>
      </c>
      <c r="DR103" s="59">
        <f>($BA103-$BA104)*100</f>
        <v/>
      </c>
      <c r="DS103" s="58">
        <f>IFERROR($N104/$N103-1,"")</f>
        <v/>
      </c>
      <c r="DT103" s="58">
        <f>IFERROR($O104/$O103-1,"")</f>
        <v/>
      </c>
      <c r="DU103" s="58">
        <f>IFERROR($P104/$P103-1,"")</f>
        <v/>
      </c>
      <c r="DV103" s="58">
        <f>IFERROR($Q104/$Q103-1,"")</f>
        <v/>
      </c>
      <c r="DW103" s="58">
        <f>IFERROR($R104/$R103-1,"")</f>
        <v/>
      </c>
      <c r="DX103" s="58">
        <f>IFERROR($S104/$S103-1,"")</f>
        <v/>
      </c>
      <c r="DY103" s="58">
        <f>IFERROR($T104/$T103-1,"")</f>
        <v/>
      </c>
      <c r="DZ103" s="58">
        <f>IFERROR($U104/$U103-1,"")</f>
        <v/>
      </c>
      <c r="EA103" s="58">
        <f>IFERROR($V104/$V103-1,"")</f>
        <v/>
      </c>
      <c r="EB103" s="58">
        <f>IFERROR($W104/$W103-1,"")</f>
        <v/>
      </c>
      <c r="EC103" s="58">
        <f>IFERROR($X104/$X103-1,"")</f>
        <v/>
      </c>
      <c r="ED103" s="58">
        <f>IFERROR($Y104/$Y103-1,"")</f>
        <v/>
      </c>
      <c r="EE103" s="58">
        <f>IFERROR($Z104/$Z103-1,"")</f>
        <v/>
      </c>
      <c r="EF103" s="58">
        <f>IFERROR($AA104/$AA103-1,"")</f>
        <v/>
      </c>
      <c r="EG103" s="58">
        <f>IFERROR($AB104/$AB103-1,"")</f>
        <v/>
      </c>
      <c r="EH103" s="58">
        <f>IFERROR($AC104/$AC103-1,"")</f>
        <v/>
      </c>
      <c r="EI103" s="58">
        <f>IFERROR($AD104/$AD103-1,"")</f>
        <v/>
      </c>
      <c r="EJ103" s="58">
        <f>IFERROR($AE104/$AE103-1,"")</f>
        <v/>
      </c>
      <c r="EK103" s="58">
        <f>IFERROR($AF104/$AF103-1,"")</f>
        <v/>
      </c>
      <c r="EL103" s="58">
        <f>IFERROR($AG104/$AG103-1,"")</f>
        <v/>
      </c>
      <c r="EM103" s="58">
        <f>IFERROR($BB103/$BB104-1,"")</f>
        <v/>
      </c>
      <c r="EN103" s="58">
        <f>IFERROR($BC103/$BC104-1,"")</f>
        <v/>
      </c>
      <c r="EO103" s="58">
        <f>IFERROR($BD103/$BD104-1,"")</f>
        <v/>
      </c>
      <c r="EP103" s="58">
        <f>IFERROR($BE103/$BE104-1,"")</f>
        <v/>
      </c>
      <c r="EQ103" s="58">
        <f>IFERROR($BF103/$BF104-1,"")</f>
        <v/>
      </c>
      <c r="ER103" s="58">
        <f>IFERROR($BG103/$BG104-1,"")</f>
        <v/>
      </c>
      <c r="ES103" s="58">
        <f>IFERROR($BH103/$BH104-1,"")</f>
        <v/>
      </c>
      <c r="ET103" s="58">
        <f>IFERROR($BI103/$BI104-1,"")</f>
        <v/>
      </c>
      <c r="EU103" s="58">
        <f>IFERROR($BJ103/$BJ104-1,"")</f>
        <v/>
      </c>
      <c r="EV103" s="58">
        <f>IFERROR($BK103/$BK104-1,"")</f>
        <v/>
      </c>
      <c r="EW103" s="58">
        <f>IFERROR($BL103/$BL104-1,"")</f>
        <v/>
      </c>
      <c r="EX103" s="58">
        <f>IFERROR($BM103/$BM104-1,"")</f>
        <v/>
      </c>
      <c r="EY103" s="58">
        <f>IFERROR($BN103/$BN104-1,"")</f>
        <v/>
      </c>
      <c r="EZ103" s="58">
        <f>IFERROR($BO103/$BO104-1,"")</f>
        <v/>
      </c>
      <c r="FA103" s="58">
        <f>IFERROR($BP103/$BP104-1,"")</f>
        <v/>
      </c>
      <c r="FB103" s="58">
        <f>IFERROR($BQ103/$BQ104-1,"")</f>
        <v/>
      </c>
      <c r="FC103" s="58">
        <f>IFERROR($BR103/$BR104-1,"")</f>
        <v/>
      </c>
      <c r="FD103" s="58">
        <f>IFERROR($BS103/$BS104-1,"")</f>
        <v/>
      </c>
      <c r="FE103" s="58">
        <f>IFERROR($BT103/$BT104-1,"")</f>
        <v/>
      </c>
      <c r="FF103" s="58">
        <f>IFERROR($BU103/$BU104-1,"")</f>
        <v/>
      </c>
      <c r="FG103" s="58">
        <f>IFERROR($BV103/$BV104-1,"")</f>
        <v/>
      </c>
      <c r="FH103" s="58">
        <f>IFERROR($BW103/$BW104-1,"")</f>
        <v/>
      </c>
      <c r="FI103" s="58">
        <f>IFERROR($BX103/$BX104-1,"")</f>
        <v/>
      </c>
      <c r="FJ103" s="59">
        <f>$BY103-$BY104</f>
        <v/>
      </c>
      <c r="FK103" s="59">
        <f>$BZ103-$BZ104</f>
        <v/>
      </c>
      <c r="FL103" s="59">
        <f>$CA103-$CA104</f>
        <v/>
      </c>
      <c r="FM103" s="59">
        <f>$CB103-$CB104</f>
        <v/>
      </c>
      <c r="FN103" s="59">
        <f>$CC103-$CC104</f>
        <v/>
      </c>
      <c r="FO103" s="59">
        <f>$CD103-$CD104</f>
        <v/>
      </c>
      <c r="FP103" s="59">
        <f>$CE103-$CE104</f>
        <v/>
      </c>
      <c r="FQ103" s="59">
        <f>$CF103-$CF104</f>
        <v/>
      </c>
      <c r="FR103" s="59">
        <f>$CG103-$CG104</f>
        <v/>
      </c>
      <c r="FS103" s="59">
        <f>$CH103-$CH104</f>
        <v/>
      </c>
      <c r="FT103" s="59">
        <f>$CI103-$CI104</f>
        <v/>
      </c>
      <c r="FU103" s="59">
        <f>$CJ103-$CJ104</f>
        <v/>
      </c>
      <c r="FV103" s="59">
        <f>$CK103-$CK104</f>
        <v/>
      </c>
      <c r="FW103" s="59">
        <f>$CL103-$CL104</f>
        <v/>
      </c>
      <c r="FX103" s="59">
        <f>$CM103-$CM104</f>
        <v/>
      </c>
      <c r="FY103" s="59">
        <f>$CN103-$CN104</f>
        <v/>
      </c>
      <c r="FZ103" s="59">
        <f>$CO103-$CO104</f>
        <v/>
      </c>
      <c r="GA103" s="59">
        <f>$CP103-$CP104</f>
        <v/>
      </c>
      <c r="GB103" s="59">
        <f>$CQ103-$CQ104</f>
        <v/>
      </c>
      <c r="GC103" s="59">
        <f>$CR103-$CR104</f>
        <v/>
      </c>
      <c r="GD103" s="59">
        <f>$CS103-$CS104</f>
        <v/>
      </c>
      <c r="GE103" s="59">
        <f>$CT103-$CT104</f>
        <v/>
      </c>
    </row>
    <row r="104">
      <c r="CU104" s="58">
        <f>IFERROR($B104/$B105-1,"")</f>
        <v/>
      </c>
      <c r="CV104" s="59">
        <f>($F104-$F105)*100</f>
        <v/>
      </c>
      <c r="CW104" s="59">
        <f>($E104-$E105)*100</f>
        <v/>
      </c>
      <c r="CX104" s="58">
        <f>IFERROR($K104/$K105-1,"")</f>
        <v/>
      </c>
      <c r="CY104" s="59">
        <f>($AH104-$AH105)*100</f>
        <v/>
      </c>
      <c r="CZ104" s="59">
        <f>($AI104-$AI105)*100</f>
        <v/>
      </c>
      <c r="DA104" s="59">
        <f>($AJ104-$AJ105)*100</f>
        <v/>
      </c>
      <c r="DB104" s="59">
        <f>($AK104-$AK105)*100</f>
        <v/>
      </c>
      <c r="DC104" s="59">
        <f>($AL104-$AL105)*100</f>
        <v/>
      </c>
      <c r="DD104" s="59">
        <f>($AM104-$AM105)*100</f>
        <v/>
      </c>
      <c r="DE104" s="59">
        <f>($AN104-$AN105)*100</f>
        <v/>
      </c>
      <c r="DF104" s="59">
        <f>($AO104-$AO105)*100</f>
        <v/>
      </c>
      <c r="DG104" s="59">
        <f>($AP104-$AP105)*100</f>
        <v/>
      </c>
      <c r="DH104" s="59">
        <f>($AQ104-$AQ105)*100</f>
        <v/>
      </c>
      <c r="DI104" s="59">
        <f>($AR104-$AR105)*100</f>
        <v/>
      </c>
      <c r="DJ104" s="59">
        <f>($AS104-$AS105)*100</f>
        <v/>
      </c>
      <c r="DK104" s="59">
        <f>($AT104-$AT105)*100</f>
        <v/>
      </c>
      <c r="DL104" s="59">
        <f>($AU104-$AU105)*100</f>
        <v/>
      </c>
      <c r="DM104" s="59">
        <f>($AV104-$AV105)*100</f>
        <v/>
      </c>
      <c r="DN104" s="59">
        <f>($AW104-$AW105)*100</f>
        <v/>
      </c>
      <c r="DO104" s="59">
        <f>($AX104-$AX105)*100</f>
        <v/>
      </c>
      <c r="DP104" s="59">
        <f>($AY104-$AY105)*100</f>
        <v/>
      </c>
      <c r="DQ104" s="59">
        <f>($AZ104-$AZ105)*100</f>
        <v/>
      </c>
      <c r="DR104" s="59">
        <f>($BA104-$BA105)*100</f>
        <v/>
      </c>
      <c r="DS104" s="58">
        <f>IFERROR($N105/$N104-1,"")</f>
        <v/>
      </c>
      <c r="DT104" s="58">
        <f>IFERROR($O105/$O104-1,"")</f>
        <v/>
      </c>
      <c r="DU104" s="58">
        <f>IFERROR($P105/$P104-1,"")</f>
        <v/>
      </c>
      <c r="DV104" s="58">
        <f>IFERROR($Q105/$Q104-1,"")</f>
        <v/>
      </c>
      <c r="DW104" s="58">
        <f>IFERROR($R105/$R104-1,"")</f>
        <v/>
      </c>
      <c r="DX104" s="58">
        <f>IFERROR($S105/$S104-1,"")</f>
        <v/>
      </c>
      <c r="DY104" s="58">
        <f>IFERROR($T105/$T104-1,"")</f>
        <v/>
      </c>
      <c r="DZ104" s="58">
        <f>IFERROR($U105/$U104-1,"")</f>
        <v/>
      </c>
      <c r="EA104" s="58">
        <f>IFERROR($V105/$V104-1,"")</f>
        <v/>
      </c>
      <c r="EB104" s="58">
        <f>IFERROR($W105/$W104-1,"")</f>
        <v/>
      </c>
      <c r="EC104" s="58">
        <f>IFERROR($X105/$X104-1,"")</f>
        <v/>
      </c>
      <c r="ED104" s="58">
        <f>IFERROR($Y105/$Y104-1,"")</f>
        <v/>
      </c>
      <c r="EE104" s="58">
        <f>IFERROR($Z105/$Z104-1,"")</f>
        <v/>
      </c>
      <c r="EF104" s="58">
        <f>IFERROR($AA105/$AA104-1,"")</f>
        <v/>
      </c>
      <c r="EG104" s="58">
        <f>IFERROR($AB105/$AB104-1,"")</f>
        <v/>
      </c>
      <c r="EH104" s="58">
        <f>IFERROR($AC105/$AC104-1,"")</f>
        <v/>
      </c>
      <c r="EI104" s="58">
        <f>IFERROR($AD105/$AD104-1,"")</f>
        <v/>
      </c>
      <c r="EJ104" s="58">
        <f>IFERROR($AE105/$AE104-1,"")</f>
        <v/>
      </c>
      <c r="EK104" s="58">
        <f>IFERROR($AF105/$AF104-1,"")</f>
        <v/>
      </c>
      <c r="EL104" s="58">
        <f>IFERROR($AG105/$AG104-1,"")</f>
        <v/>
      </c>
      <c r="EM104" s="58">
        <f>IFERROR($BB104/$BB105-1,"")</f>
        <v/>
      </c>
      <c r="EN104" s="58">
        <f>IFERROR($BC104/$BC105-1,"")</f>
        <v/>
      </c>
      <c r="EO104" s="58">
        <f>IFERROR($BD104/$BD105-1,"")</f>
        <v/>
      </c>
      <c r="EP104" s="58">
        <f>IFERROR($BE104/$BE105-1,"")</f>
        <v/>
      </c>
      <c r="EQ104" s="58">
        <f>IFERROR($BF104/$BF105-1,"")</f>
        <v/>
      </c>
      <c r="ER104" s="58">
        <f>IFERROR($BG104/$BG105-1,"")</f>
        <v/>
      </c>
      <c r="ES104" s="58">
        <f>IFERROR($BH104/$BH105-1,"")</f>
        <v/>
      </c>
      <c r="ET104" s="58">
        <f>IFERROR($BI104/$BI105-1,"")</f>
        <v/>
      </c>
      <c r="EU104" s="58">
        <f>IFERROR($BJ104/$BJ105-1,"")</f>
        <v/>
      </c>
      <c r="EV104" s="58">
        <f>IFERROR($BK104/$BK105-1,"")</f>
        <v/>
      </c>
      <c r="EW104" s="58">
        <f>IFERROR($BL104/$BL105-1,"")</f>
        <v/>
      </c>
      <c r="EX104" s="58">
        <f>IFERROR($BM104/$BM105-1,"")</f>
        <v/>
      </c>
      <c r="EY104" s="58">
        <f>IFERROR($BN104/$BN105-1,"")</f>
        <v/>
      </c>
      <c r="EZ104" s="58">
        <f>IFERROR($BO104/$BO105-1,"")</f>
        <v/>
      </c>
      <c r="FA104" s="58">
        <f>IFERROR($BP104/$BP105-1,"")</f>
        <v/>
      </c>
      <c r="FB104" s="58">
        <f>IFERROR($BQ104/$BQ105-1,"")</f>
        <v/>
      </c>
      <c r="FC104" s="58">
        <f>IFERROR($BR104/$BR105-1,"")</f>
        <v/>
      </c>
      <c r="FD104" s="58">
        <f>IFERROR($BS104/$BS105-1,"")</f>
        <v/>
      </c>
      <c r="FE104" s="58">
        <f>IFERROR($BT104/$BT105-1,"")</f>
        <v/>
      </c>
      <c r="FF104" s="58">
        <f>IFERROR($BU104/$BU105-1,"")</f>
        <v/>
      </c>
      <c r="FG104" s="58">
        <f>IFERROR($BV104/$BV105-1,"")</f>
        <v/>
      </c>
      <c r="FH104" s="58">
        <f>IFERROR($BW104/$BW105-1,"")</f>
        <v/>
      </c>
      <c r="FI104" s="58">
        <f>IFERROR($BX104/$BX105-1,"")</f>
        <v/>
      </c>
      <c r="FJ104" s="59">
        <f>$BY104-$BY105</f>
        <v/>
      </c>
      <c r="FK104" s="59">
        <f>$BZ104-$BZ105</f>
        <v/>
      </c>
      <c r="FL104" s="59">
        <f>$CA104-$CA105</f>
        <v/>
      </c>
      <c r="FM104" s="59">
        <f>$CB104-$CB105</f>
        <v/>
      </c>
      <c r="FN104" s="59">
        <f>$CC104-$CC105</f>
        <v/>
      </c>
      <c r="FO104" s="59">
        <f>$CD104-$CD105</f>
        <v/>
      </c>
      <c r="FP104" s="59">
        <f>$CE104-$CE105</f>
        <v/>
      </c>
      <c r="FQ104" s="59">
        <f>$CF104-$CF105</f>
        <v/>
      </c>
      <c r="FR104" s="59">
        <f>$CG104-$CG105</f>
        <v/>
      </c>
      <c r="FS104" s="59">
        <f>$CH104-$CH105</f>
        <v/>
      </c>
      <c r="FT104" s="59">
        <f>$CI104-$CI105</f>
        <v/>
      </c>
      <c r="FU104" s="59">
        <f>$CJ104-$CJ105</f>
        <v/>
      </c>
      <c r="FV104" s="59">
        <f>$CK104-$CK105</f>
        <v/>
      </c>
      <c r="FW104" s="59">
        <f>$CL104-$CL105</f>
        <v/>
      </c>
      <c r="FX104" s="59">
        <f>$CM104-$CM105</f>
        <v/>
      </c>
      <c r="FY104" s="59">
        <f>$CN104-$CN105</f>
        <v/>
      </c>
      <c r="FZ104" s="59">
        <f>$CO104-$CO105</f>
        <v/>
      </c>
      <c r="GA104" s="59">
        <f>$CP104-$CP105</f>
        <v/>
      </c>
      <c r="GB104" s="59">
        <f>$CQ104-$CQ105</f>
        <v/>
      </c>
      <c r="GC104" s="59">
        <f>$CR104-$CR105</f>
        <v/>
      </c>
      <c r="GD104" s="59">
        <f>$CS104-$CS105</f>
        <v/>
      </c>
      <c r="GE104" s="59">
        <f>$CT104-$CT105</f>
        <v/>
      </c>
    </row>
    <row r="105">
      <c r="CU105" s="58">
        <f>IFERROR($B105/$B106-1,"")</f>
        <v/>
      </c>
      <c r="CV105" s="59">
        <f>($F105-$F106)*100</f>
        <v/>
      </c>
      <c r="CW105" s="59">
        <f>($E105-$E106)*100</f>
        <v/>
      </c>
      <c r="CX105" s="58">
        <f>IFERROR($K105/$K106-1,"")</f>
        <v/>
      </c>
      <c r="CY105" s="59">
        <f>($AH105-$AH106)*100</f>
        <v/>
      </c>
      <c r="CZ105" s="59">
        <f>($AI105-$AI106)*100</f>
        <v/>
      </c>
      <c r="DA105" s="59">
        <f>($AJ105-$AJ106)*100</f>
        <v/>
      </c>
      <c r="DB105" s="59">
        <f>($AK105-$AK106)*100</f>
        <v/>
      </c>
      <c r="DC105" s="59">
        <f>($AL105-$AL106)*100</f>
        <v/>
      </c>
      <c r="DD105" s="59">
        <f>($AM105-$AM106)*100</f>
        <v/>
      </c>
      <c r="DE105" s="59">
        <f>($AN105-$AN106)*100</f>
        <v/>
      </c>
      <c r="DF105" s="59">
        <f>($AO105-$AO106)*100</f>
        <v/>
      </c>
      <c r="DG105" s="59">
        <f>($AP105-$AP106)*100</f>
        <v/>
      </c>
      <c r="DH105" s="59">
        <f>($AQ105-$AQ106)*100</f>
        <v/>
      </c>
      <c r="DI105" s="59">
        <f>($AR105-$AR106)*100</f>
        <v/>
      </c>
      <c r="DJ105" s="59">
        <f>($AS105-$AS106)*100</f>
        <v/>
      </c>
      <c r="DK105" s="59">
        <f>($AT105-$AT106)*100</f>
        <v/>
      </c>
      <c r="DL105" s="59">
        <f>($AU105-$AU106)*100</f>
        <v/>
      </c>
      <c r="DM105" s="59">
        <f>($AV105-$AV106)*100</f>
        <v/>
      </c>
      <c r="DN105" s="59">
        <f>($AW105-$AW106)*100</f>
        <v/>
      </c>
      <c r="DO105" s="59">
        <f>($AX105-$AX106)*100</f>
        <v/>
      </c>
      <c r="DP105" s="59">
        <f>($AY105-$AY106)*100</f>
        <v/>
      </c>
      <c r="DQ105" s="59">
        <f>($AZ105-$AZ106)*100</f>
        <v/>
      </c>
      <c r="DR105" s="59">
        <f>($BA105-$BA106)*100</f>
        <v/>
      </c>
      <c r="DS105" s="58">
        <f>IFERROR($N106/$N105-1,"")</f>
        <v/>
      </c>
      <c r="DT105" s="58">
        <f>IFERROR($O106/$O105-1,"")</f>
        <v/>
      </c>
      <c r="DU105" s="58">
        <f>IFERROR($P106/$P105-1,"")</f>
        <v/>
      </c>
      <c r="DV105" s="58">
        <f>IFERROR($Q106/$Q105-1,"")</f>
        <v/>
      </c>
      <c r="DW105" s="58">
        <f>IFERROR($R106/$R105-1,"")</f>
        <v/>
      </c>
      <c r="DX105" s="58">
        <f>IFERROR($S106/$S105-1,"")</f>
        <v/>
      </c>
      <c r="DY105" s="58">
        <f>IFERROR($T106/$T105-1,"")</f>
        <v/>
      </c>
      <c r="DZ105" s="58">
        <f>IFERROR($U106/$U105-1,"")</f>
        <v/>
      </c>
      <c r="EA105" s="58">
        <f>IFERROR($V106/$V105-1,"")</f>
        <v/>
      </c>
      <c r="EB105" s="58">
        <f>IFERROR($W106/$W105-1,"")</f>
        <v/>
      </c>
      <c r="EC105" s="58">
        <f>IFERROR($X106/$X105-1,"")</f>
        <v/>
      </c>
      <c r="ED105" s="58">
        <f>IFERROR($Y106/$Y105-1,"")</f>
        <v/>
      </c>
      <c r="EE105" s="58">
        <f>IFERROR($Z106/$Z105-1,"")</f>
        <v/>
      </c>
      <c r="EF105" s="58">
        <f>IFERROR($AA106/$AA105-1,"")</f>
        <v/>
      </c>
      <c r="EG105" s="58">
        <f>IFERROR($AB106/$AB105-1,"")</f>
        <v/>
      </c>
      <c r="EH105" s="58">
        <f>IFERROR($AC106/$AC105-1,"")</f>
        <v/>
      </c>
      <c r="EI105" s="58">
        <f>IFERROR($AD106/$AD105-1,"")</f>
        <v/>
      </c>
      <c r="EJ105" s="58">
        <f>IFERROR($AE106/$AE105-1,"")</f>
        <v/>
      </c>
      <c r="EK105" s="58">
        <f>IFERROR($AF106/$AF105-1,"")</f>
        <v/>
      </c>
      <c r="EL105" s="58">
        <f>IFERROR($AG106/$AG105-1,"")</f>
        <v/>
      </c>
      <c r="EM105" s="58">
        <f>IFERROR($BB105/$BB106-1,"")</f>
        <v/>
      </c>
      <c r="EN105" s="58">
        <f>IFERROR($BC105/$BC106-1,"")</f>
        <v/>
      </c>
      <c r="EO105" s="58">
        <f>IFERROR($BD105/$BD106-1,"")</f>
        <v/>
      </c>
      <c r="EP105" s="58">
        <f>IFERROR($BE105/$BE106-1,"")</f>
        <v/>
      </c>
      <c r="EQ105" s="58">
        <f>IFERROR($BF105/$BF106-1,"")</f>
        <v/>
      </c>
      <c r="ER105" s="58">
        <f>IFERROR($BG105/$BG106-1,"")</f>
        <v/>
      </c>
      <c r="ES105" s="58">
        <f>IFERROR($BH105/$BH106-1,"")</f>
        <v/>
      </c>
      <c r="ET105" s="58">
        <f>IFERROR($BI105/$BI106-1,"")</f>
        <v/>
      </c>
      <c r="EU105" s="58">
        <f>IFERROR($BJ105/$BJ106-1,"")</f>
        <v/>
      </c>
      <c r="EV105" s="58">
        <f>IFERROR($BK105/$BK106-1,"")</f>
        <v/>
      </c>
      <c r="EW105" s="58">
        <f>IFERROR($BL105/$BL106-1,"")</f>
        <v/>
      </c>
      <c r="EX105" s="58">
        <f>IFERROR($BM105/$BM106-1,"")</f>
        <v/>
      </c>
      <c r="EY105" s="58">
        <f>IFERROR($BN105/$BN106-1,"")</f>
        <v/>
      </c>
      <c r="EZ105" s="58">
        <f>IFERROR($BO105/$BO106-1,"")</f>
        <v/>
      </c>
      <c r="FA105" s="58">
        <f>IFERROR($BP105/$BP106-1,"")</f>
        <v/>
      </c>
      <c r="FB105" s="58">
        <f>IFERROR($BQ105/$BQ106-1,"")</f>
        <v/>
      </c>
      <c r="FC105" s="58">
        <f>IFERROR($BR105/$BR106-1,"")</f>
        <v/>
      </c>
      <c r="FD105" s="58">
        <f>IFERROR($BS105/$BS106-1,"")</f>
        <v/>
      </c>
      <c r="FE105" s="58">
        <f>IFERROR($BT105/$BT106-1,"")</f>
        <v/>
      </c>
      <c r="FF105" s="58">
        <f>IFERROR($BU105/$BU106-1,"")</f>
        <v/>
      </c>
      <c r="FG105" s="58">
        <f>IFERROR($BV105/$BV106-1,"")</f>
        <v/>
      </c>
      <c r="FH105" s="58">
        <f>IFERROR($BW105/$BW106-1,"")</f>
        <v/>
      </c>
      <c r="FI105" s="58">
        <f>IFERROR($BX105/$BX106-1,"")</f>
        <v/>
      </c>
      <c r="FJ105" s="59">
        <f>$BY105-$BY106</f>
        <v/>
      </c>
      <c r="FK105" s="59">
        <f>$BZ105-$BZ106</f>
        <v/>
      </c>
      <c r="FL105" s="59">
        <f>$CA105-$CA106</f>
        <v/>
      </c>
      <c r="FM105" s="59">
        <f>$CB105-$CB106</f>
        <v/>
      </c>
      <c r="FN105" s="59">
        <f>$CC105-$CC106</f>
        <v/>
      </c>
      <c r="FO105" s="59">
        <f>$CD105-$CD106</f>
        <v/>
      </c>
      <c r="FP105" s="59">
        <f>$CE105-$CE106</f>
        <v/>
      </c>
      <c r="FQ105" s="59">
        <f>$CF105-$CF106</f>
        <v/>
      </c>
      <c r="FR105" s="59">
        <f>$CG105-$CG106</f>
        <v/>
      </c>
      <c r="FS105" s="59">
        <f>$CH105-$CH106</f>
        <v/>
      </c>
      <c r="FT105" s="59">
        <f>$CI105-$CI106</f>
        <v/>
      </c>
      <c r="FU105" s="59">
        <f>$CJ105-$CJ106</f>
        <v/>
      </c>
      <c r="FV105" s="59">
        <f>$CK105-$CK106</f>
        <v/>
      </c>
      <c r="FW105" s="59">
        <f>$CL105-$CL106</f>
        <v/>
      </c>
      <c r="FX105" s="59">
        <f>$CM105-$CM106</f>
        <v/>
      </c>
      <c r="FY105" s="59">
        <f>$CN105-$CN106</f>
        <v/>
      </c>
      <c r="FZ105" s="59">
        <f>$CO105-$CO106</f>
        <v/>
      </c>
      <c r="GA105" s="59">
        <f>$CP105-$CP106</f>
        <v/>
      </c>
      <c r="GB105" s="59">
        <f>$CQ105-$CQ106</f>
        <v/>
      </c>
      <c r="GC105" s="59">
        <f>$CR105-$CR106</f>
        <v/>
      </c>
      <c r="GD105" s="59">
        <f>$CS105-$CS106</f>
        <v/>
      </c>
      <c r="GE105" s="59">
        <f>$CT105-$CT106</f>
        <v/>
      </c>
    </row>
    <row r="106">
      <c r="CU106" s="58">
        <f>IFERROR($B106/$B107-1,"")</f>
        <v/>
      </c>
      <c r="CV106" s="59">
        <f>($F106-$F107)*100</f>
        <v/>
      </c>
      <c r="CW106" s="59">
        <f>($E106-$E107)*100</f>
        <v/>
      </c>
      <c r="CX106" s="58">
        <f>IFERROR($K106/$K107-1,"")</f>
        <v/>
      </c>
      <c r="CY106" s="59">
        <f>($AH106-$AH107)*100</f>
        <v/>
      </c>
      <c r="CZ106" s="59">
        <f>($AI106-$AI107)*100</f>
        <v/>
      </c>
      <c r="DA106" s="59">
        <f>($AJ106-$AJ107)*100</f>
        <v/>
      </c>
      <c r="DB106" s="59">
        <f>($AK106-$AK107)*100</f>
        <v/>
      </c>
      <c r="DC106" s="59">
        <f>($AL106-$AL107)*100</f>
        <v/>
      </c>
      <c r="DD106" s="59">
        <f>($AM106-$AM107)*100</f>
        <v/>
      </c>
      <c r="DE106" s="59">
        <f>($AN106-$AN107)*100</f>
        <v/>
      </c>
      <c r="DF106" s="59">
        <f>($AO106-$AO107)*100</f>
        <v/>
      </c>
      <c r="DG106" s="59">
        <f>($AP106-$AP107)*100</f>
        <v/>
      </c>
      <c r="DH106" s="59">
        <f>($AQ106-$AQ107)*100</f>
        <v/>
      </c>
      <c r="DI106" s="59">
        <f>($AR106-$AR107)*100</f>
        <v/>
      </c>
      <c r="DJ106" s="59">
        <f>($AS106-$AS107)*100</f>
        <v/>
      </c>
      <c r="DK106" s="59">
        <f>($AT106-$AT107)*100</f>
        <v/>
      </c>
      <c r="DL106" s="59">
        <f>($AU106-$AU107)*100</f>
        <v/>
      </c>
      <c r="DM106" s="59">
        <f>($AV106-$AV107)*100</f>
        <v/>
      </c>
      <c r="DN106" s="59">
        <f>($AW106-$AW107)*100</f>
        <v/>
      </c>
      <c r="DO106" s="59">
        <f>($AX106-$AX107)*100</f>
        <v/>
      </c>
      <c r="DP106" s="59">
        <f>($AY106-$AY107)*100</f>
        <v/>
      </c>
      <c r="DQ106" s="59">
        <f>($AZ106-$AZ107)*100</f>
        <v/>
      </c>
      <c r="DR106" s="59">
        <f>($BA106-$BA107)*100</f>
        <v/>
      </c>
      <c r="DS106" s="58">
        <f>IFERROR($N107/$N106-1,"")</f>
        <v/>
      </c>
      <c r="DT106" s="58">
        <f>IFERROR($O107/$O106-1,"")</f>
        <v/>
      </c>
      <c r="DU106" s="58">
        <f>IFERROR($P107/$P106-1,"")</f>
        <v/>
      </c>
      <c r="DV106" s="58">
        <f>IFERROR($Q107/$Q106-1,"")</f>
        <v/>
      </c>
      <c r="DW106" s="58">
        <f>IFERROR($R107/$R106-1,"")</f>
        <v/>
      </c>
      <c r="DX106" s="58">
        <f>IFERROR($S107/$S106-1,"")</f>
        <v/>
      </c>
      <c r="DY106" s="58">
        <f>IFERROR($T107/$T106-1,"")</f>
        <v/>
      </c>
      <c r="DZ106" s="58">
        <f>IFERROR($U107/$U106-1,"")</f>
        <v/>
      </c>
      <c r="EA106" s="58">
        <f>IFERROR($V107/$V106-1,"")</f>
        <v/>
      </c>
      <c r="EB106" s="58">
        <f>IFERROR($W107/$W106-1,"")</f>
        <v/>
      </c>
      <c r="EC106" s="58">
        <f>IFERROR($X107/$X106-1,"")</f>
        <v/>
      </c>
      <c r="ED106" s="58">
        <f>IFERROR($Y107/$Y106-1,"")</f>
        <v/>
      </c>
      <c r="EE106" s="58">
        <f>IFERROR($Z107/$Z106-1,"")</f>
        <v/>
      </c>
      <c r="EF106" s="58">
        <f>IFERROR($AA107/$AA106-1,"")</f>
        <v/>
      </c>
      <c r="EG106" s="58">
        <f>IFERROR($AB107/$AB106-1,"")</f>
        <v/>
      </c>
      <c r="EH106" s="58">
        <f>IFERROR($AC107/$AC106-1,"")</f>
        <v/>
      </c>
      <c r="EI106" s="58">
        <f>IFERROR($AD107/$AD106-1,"")</f>
        <v/>
      </c>
      <c r="EJ106" s="58">
        <f>IFERROR($AE107/$AE106-1,"")</f>
        <v/>
      </c>
      <c r="EK106" s="58">
        <f>IFERROR($AF107/$AF106-1,"")</f>
        <v/>
      </c>
      <c r="EL106" s="58">
        <f>IFERROR($AG107/$AG106-1,"")</f>
        <v/>
      </c>
      <c r="EM106" s="58">
        <f>IFERROR($BB106/$BB107-1,"")</f>
        <v/>
      </c>
      <c r="EN106" s="58">
        <f>IFERROR($BC106/$BC107-1,"")</f>
        <v/>
      </c>
      <c r="EO106" s="58">
        <f>IFERROR($BD106/$BD107-1,"")</f>
        <v/>
      </c>
      <c r="EP106" s="58">
        <f>IFERROR($BE106/$BE107-1,"")</f>
        <v/>
      </c>
      <c r="EQ106" s="58">
        <f>IFERROR($BF106/$BF107-1,"")</f>
        <v/>
      </c>
      <c r="ER106" s="58">
        <f>IFERROR($BG106/$BG107-1,"")</f>
        <v/>
      </c>
      <c r="ES106" s="58">
        <f>IFERROR($BH106/$BH107-1,"")</f>
        <v/>
      </c>
      <c r="ET106" s="58">
        <f>IFERROR($BI106/$BI107-1,"")</f>
        <v/>
      </c>
      <c r="EU106" s="58">
        <f>IFERROR($BJ106/$BJ107-1,"")</f>
        <v/>
      </c>
      <c r="EV106" s="58">
        <f>IFERROR($BK106/$BK107-1,"")</f>
        <v/>
      </c>
      <c r="EW106" s="58">
        <f>IFERROR($BL106/$BL107-1,"")</f>
        <v/>
      </c>
      <c r="EX106" s="58">
        <f>IFERROR($BM106/$BM107-1,"")</f>
        <v/>
      </c>
      <c r="EY106" s="58">
        <f>IFERROR($BN106/$BN107-1,"")</f>
        <v/>
      </c>
      <c r="EZ106" s="58">
        <f>IFERROR($BO106/$BO107-1,"")</f>
        <v/>
      </c>
      <c r="FA106" s="58">
        <f>IFERROR($BP106/$BP107-1,"")</f>
        <v/>
      </c>
      <c r="FB106" s="58">
        <f>IFERROR($BQ106/$BQ107-1,"")</f>
        <v/>
      </c>
      <c r="FC106" s="58">
        <f>IFERROR($BR106/$BR107-1,"")</f>
        <v/>
      </c>
      <c r="FD106" s="58">
        <f>IFERROR($BS106/$BS107-1,"")</f>
        <v/>
      </c>
      <c r="FE106" s="58">
        <f>IFERROR($BT106/$BT107-1,"")</f>
        <v/>
      </c>
      <c r="FF106" s="58">
        <f>IFERROR($BU106/$BU107-1,"")</f>
        <v/>
      </c>
      <c r="FG106" s="58">
        <f>IFERROR($BV106/$BV107-1,"")</f>
        <v/>
      </c>
      <c r="FH106" s="58">
        <f>IFERROR($BW106/$BW107-1,"")</f>
        <v/>
      </c>
      <c r="FI106" s="58">
        <f>IFERROR($BX106/$BX107-1,"")</f>
        <v/>
      </c>
      <c r="FJ106" s="59">
        <f>$BY106-$BY107</f>
        <v/>
      </c>
      <c r="FK106" s="59">
        <f>$BZ106-$BZ107</f>
        <v/>
      </c>
      <c r="FL106" s="59">
        <f>$CA106-$CA107</f>
        <v/>
      </c>
      <c r="FM106" s="59">
        <f>$CB106-$CB107</f>
        <v/>
      </c>
      <c r="FN106" s="59">
        <f>$CC106-$CC107</f>
        <v/>
      </c>
      <c r="FO106" s="59">
        <f>$CD106-$CD107</f>
        <v/>
      </c>
      <c r="FP106" s="59">
        <f>$CE106-$CE107</f>
        <v/>
      </c>
      <c r="FQ106" s="59">
        <f>$CF106-$CF107</f>
        <v/>
      </c>
      <c r="FR106" s="59">
        <f>$CG106-$CG107</f>
        <v/>
      </c>
      <c r="FS106" s="59">
        <f>$CH106-$CH107</f>
        <v/>
      </c>
      <c r="FT106" s="59">
        <f>$CI106-$CI107</f>
        <v/>
      </c>
      <c r="FU106" s="59">
        <f>$CJ106-$CJ107</f>
        <v/>
      </c>
      <c r="FV106" s="59">
        <f>$CK106-$CK107</f>
        <v/>
      </c>
      <c r="FW106" s="59">
        <f>$CL106-$CL107</f>
        <v/>
      </c>
      <c r="FX106" s="59">
        <f>$CM106-$CM107</f>
        <v/>
      </c>
      <c r="FY106" s="59">
        <f>$CN106-$CN107</f>
        <v/>
      </c>
      <c r="FZ106" s="59">
        <f>$CO106-$CO107</f>
        <v/>
      </c>
      <c r="GA106" s="59">
        <f>$CP106-$CP107</f>
        <v/>
      </c>
      <c r="GB106" s="59">
        <f>$CQ106-$CQ107</f>
        <v/>
      </c>
      <c r="GC106" s="59">
        <f>$CR106-$CR107</f>
        <v/>
      </c>
      <c r="GD106" s="59">
        <f>$CS106-$CS107</f>
        <v/>
      </c>
      <c r="GE106" s="59">
        <f>$CT106-$CT107</f>
        <v/>
      </c>
    </row>
    <row r="107">
      <c r="CU107" s="58">
        <f>IFERROR($B107/$B108-1,"")</f>
        <v/>
      </c>
      <c r="CV107" s="59">
        <f>($F107-$F108)*100</f>
        <v/>
      </c>
      <c r="CW107" s="59">
        <f>($E107-$E108)*100</f>
        <v/>
      </c>
      <c r="CX107" s="58">
        <f>IFERROR($K107/$K108-1,"")</f>
        <v/>
      </c>
      <c r="CY107" s="59">
        <f>($AH107-$AH108)*100</f>
        <v/>
      </c>
      <c r="CZ107" s="59">
        <f>($AI107-$AI108)*100</f>
        <v/>
      </c>
      <c r="DA107" s="59">
        <f>($AJ107-$AJ108)*100</f>
        <v/>
      </c>
      <c r="DB107" s="59">
        <f>($AK107-$AK108)*100</f>
        <v/>
      </c>
      <c r="DC107" s="59">
        <f>($AL107-$AL108)*100</f>
        <v/>
      </c>
      <c r="DD107" s="59">
        <f>($AM107-$AM108)*100</f>
        <v/>
      </c>
      <c r="DE107" s="59">
        <f>($AN107-$AN108)*100</f>
        <v/>
      </c>
      <c r="DF107" s="59">
        <f>($AO107-$AO108)*100</f>
        <v/>
      </c>
      <c r="DG107" s="59">
        <f>($AP107-$AP108)*100</f>
        <v/>
      </c>
      <c r="DH107" s="59">
        <f>($AQ107-$AQ108)*100</f>
        <v/>
      </c>
      <c r="DI107" s="59">
        <f>($AR107-$AR108)*100</f>
        <v/>
      </c>
      <c r="DJ107" s="59">
        <f>($AS107-$AS108)*100</f>
        <v/>
      </c>
      <c r="DK107" s="59">
        <f>($AT107-$AT108)*100</f>
        <v/>
      </c>
      <c r="DL107" s="59">
        <f>($AU107-$AU108)*100</f>
        <v/>
      </c>
      <c r="DM107" s="59">
        <f>($AV107-$AV108)*100</f>
        <v/>
      </c>
      <c r="DN107" s="59">
        <f>($AW107-$AW108)*100</f>
        <v/>
      </c>
      <c r="DO107" s="59">
        <f>($AX107-$AX108)*100</f>
        <v/>
      </c>
      <c r="DP107" s="59">
        <f>($AY107-$AY108)*100</f>
        <v/>
      </c>
      <c r="DQ107" s="59">
        <f>($AZ107-$AZ108)*100</f>
        <v/>
      </c>
      <c r="DR107" s="59">
        <f>($BA107-$BA108)*100</f>
        <v/>
      </c>
      <c r="DS107" s="58">
        <f>IFERROR($N108/$N107-1,"")</f>
        <v/>
      </c>
      <c r="DT107" s="58">
        <f>IFERROR($O108/$O107-1,"")</f>
        <v/>
      </c>
      <c r="DU107" s="58">
        <f>IFERROR($P108/$P107-1,"")</f>
        <v/>
      </c>
      <c r="DV107" s="58">
        <f>IFERROR($Q108/$Q107-1,"")</f>
        <v/>
      </c>
      <c r="DW107" s="58">
        <f>IFERROR($R108/$R107-1,"")</f>
        <v/>
      </c>
      <c r="DX107" s="58">
        <f>IFERROR($S108/$S107-1,"")</f>
        <v/>
      </c>
      <c r="DY107" s="58">
        <f>IFERROR($T108/$T107-1,"")</f>
        <v/>
      </c>
      <c r="DZ107" s="58">
        <f>IFERROR($U108/$U107-1,"")</f>
        <v/>
      </c>
      <c r="EA107" s="58">
        <f>IFERROR($V108/$V107-1,"")</f>
        <v/>
      </c>
      <c r="EB107" s="58">
        <f>IFERROR($W108/$W107-1,"")</f>
        <v/>
      </c>
      <c r="EC107" s="58">
        <f>IFERROR($X108/$X107-1,"")</f>
        <v/>
      </c>
      <c r="ED107" s="58">
        <f>IFERROR($Y108/$Y107-1,"")</f>
        <v/>
      </c>
      <c r="EE107" s="58">
        <f>IFERROR($Z108/$Z107-1,"")</f>
        <v/>
      </c>
      <c r="EF107" s="58">
        <f>IFERROR($AA108/$AA107-1,"")</f>
        <v/>
      </c>
      <c r="EG107" s="58">
        <f>IFERROR($AB108/$AB107-1,"")</f>
        <v/>
      </c>
      <c r="EH107" s="58">
        <f>IFERROR($AC108/$AC107-1,"")</f>
        <v/>
      </c>
      <c r="EI107" s="58">
        <f>IFERROR($AD108/$AD107-1,"")</f>
        <v/>
      </c>
      <c r="EJ107" s="58">
        <f>IFERROR($AE108/$AE107-1,"")</f>
        <v/>
      </c>
      <c r="EK107" s="58">
        <f>IFERROR($AF108/$AF107-1,"")</f>
        <v/>
      </c>
      <c r="EL107" s="58">
        <f>IFERROR($AG108/$AG107-1,"")</f>
        <v/>
      </c>
      <c r="EM107" s="58">
        <f>IFERROR($BB107/$BB108-1,"")</f>
        <v/>
      </c>
      <c r="EN107" s="58">
        <f>IFERROR($BC107/$BC108-1,"")</f>
        <v/>
      </c>
      <c r="EO107" s="58">
        <f>IFERROR($BD107/$BD108-1,"")</f>
        <v/>
      </c>
      <c r="EP107" s="58">
        <f>IFERROR($BE107/$BE108-1,"")</f>
        <v/>
      </c>
      <c r="EQ107" s="58">
        <f>IFERROR($BF107/$BF108-1,"")</f>
        <v/>
      </c>
      <c r="ER107" s="58">
        <f>IFERROR($BG107/$BG108-1,"")</f>
        <v/>
      </c>
      <c r="ES107" s="58">
        <f>IFERROR($BH107/$BH108-1,"")</f>
        <v/>
      </c>
      <c r="ET107" s="58">
        <f>IFERROR($BI107/$BI108-1,"")</f>
        <v/>
      </c>
      <c r="EU107" s="58">
        <f>IFERROR($BJ107/$BJ108-1,"")</f>
        <v/>
      </c>
      <c r="EV107" s="58">
        <f>IFERROR($BK107/$BK108-1,"")</f>
        <v/>
      </c>
      <c r="EW107" s="58">
        <f>IFERROR($BL107/$BL108-1,"")</f>
        <v/>
      </c>
      <c r="EX107" s="58">
        <f>IFERROR($BM107/$BM108-1,"")</f>
        <v/>
      </c>
      <c r="EY107" s="58">
        <f>IFERROR($BN107/$BN108-1,"")</f>
        <v/>
      </c>
      <c r="EZ107" s="58">
        <f>IFERROR($BO107/$BO108-1,"")</f>
        <v/>
      </c>
      <c r="FA107" s="58">
        <f>IFERROR($BP107/$BP108-1,"")</f>
        <v/>
      </c>
      <c r="FB107" s="58">
        <f>IFERROR($BQ107/$BQ108-1,"")</f>
        <v/>
      </c>
      <c r="FC107" s="58">
        <f>IFERROR($BR107/$BR108-1,"")</f>
        <v/>
      </c>
      <c r="FD107" s="58">
        <f>IFERROR($BS107/$BS108-1,"")</f>
        <v/>
      </c>
      <c r="FE107" s="58">
        <f>IFERROR($BT107/$BT108-1,"")</f>
        <v/>
      </c>
      <c r="FF107" s="58">
        <f>IFERROR($BU107/$BU108-1,"")</f>
        <v/>
      </c>
      <c r="FG107" s="58">
        <f>IFERROR($BV107/$BV108-1,"")</f>
        <v/>
      </c>
      <c r="FH107" s="58">
        <f>IFERROR($BW107/$BW108-1,"")</f>
        <v/>
      </c>
      <c r="FI107" s="58">
        <f>IFERROR($BX107/$BX108-1,"")</f>
        <v/>
      </c>
      <c r="FJ107" s="59">
        <f>$BY107-$BY108</f>
        <v/>
      </c>
      <c r="FK107" s="59">
        <f>$BZ107-$BZ108</f>
        <v/>
      </c>
      <c r="FL107" s="59">
        <f>$CA107-$CA108</f>
        <v/>
      </c>
      <c r="FM107" s="59">
        <f>$CB107-$CB108</f>
        <v/>
      </c>
      <c r="FN107" s="59">
        <f>$CC107-$CC108</f>
        <v/>
      </c>
      <c r="FO107" s="59">
        <f>$CD107-$CD108</f>
        <v/>
      </c>
      <c r="FP107" s="59">
        <f>$CE107-$CE108</f>
        <v/>
      </c>
      <c r="FQ107" s="59">
        <f>$CF107-$CF108</f>
        <v/>
      </c>
      <c r="FR107" s="59">
        <f>$CG107-$CG108</f>
        <v/>
      </c>
      <c r="FS107" s="59">
        <f>$CH107-$CH108</f>
        <v/>
      </c>
      <c r="FT107" s="59">
        <f>$CI107-$CI108</f>
        <v/>
      </c>
      <c r="FU107" s="59">
        <f>$CJ107-$CJ108</f>
        <v/>
      </c>
      <c r="FV107" s="59">
        <f>$CK107-$CK108</f>
        <v/>
      </c>
      <c r="FW107" s="59">
        <f>$CL107-$CL108</f>
        <v/>
      </c>
      <c r="FX107" s="59">
        <f>$CM107-$CM108</f>
        <v/>
      </c>
      <c r="FY107" s="59">
        <f>$CN107-$CN108</f>
        <v/>
      </c>
      <c r="FZ107" s="59">
        <f>$CO107-$CO108</f>
        <v/>
      </c>
      <c r="GA107" s="59">
        <f>$CP107-$CP108</f>
        <v/>
      </c>
      <c r="GB107" s="59">
        <f>$CQ107-$CQ108</f>
        <v/>
      </c>
      <c r="GC107" s="59">
        <f>$CR107-$CR108</f>
        <v/>
      </c>
      <c r="GD107" s="59">
        <f>$CS107-$CS108</f>
        <v/>
      </c>
      <c r="GE107" s="59">
        <f>$CT107-$CT108</f>
        <v/>
      </c>
    </row>
    <row r="108">
      <c r="CU108" s="58">
        <f>IFERROR($B108/$B109-1,"")</f>
        <v/>
      </c>
      <c r="CV108" s="59">
        <f>($F108-$F109)*100</f>
        <v/>
      </c>
      <c r="CW108" s="59">
        <f>($E108-$E109)*100</f>
        <v/>
      </c>
      <c r="CX108" s="58">
        <f>IFERROR($K108/$K109-1,"")</f>
        <v/>
      </c>
      <c r="CY108" s="59">
        <f>($AH108-$AH109)*100</f>
        <v/>
      </c>
      <c r="CZ108" s="59">
        <f>($AI108-$AI109)*100</f>
        <v/>
      </c>
      <c r="DA108" s="59">
        <f>($AJ108-$AJ109)*100</f>
        <v/>
      </c>
      <c r="DB108" s="59">
        <f>($AK108-$AK109)*100</f>
        <v/>
      </c>
      <c r="DC108" s="59">
        <f>($AL108-$AL109)*100</f>
        <v/>
      </c>
      <c r="DD108" s="59">
        <f>($AM108-$AM109)*100</f>
        <v/>
      </c>
      <c r="DE108" s="59">
        <f>($AN108-$AN109)*100</f>
        <v/>
      </c>
      <c r="DF108" s="59">
        <f>($AO108-$AO109)*100</f>
        <v/>
      </c>
      <c r="DG108" s="59">
        <f>($AP108-$AP109)*100</f>
        <v/>
      </c>
      <c r="DH108" s="59">
        <f>($AQ108-$AQ109)*100</f>
        <v/>
      </c>
      <c r="DI108" s="59">
        <f>($AR108-$AR109)*100</f>
        <v/>
      </c>
      <c r="DJ108" s="59">
        <f>($AS108-$AS109)*100</f>
        <v/>
      </c>
      <c r="DK108" s="59">
        <f>($AT108-$AT109)*100</f>
        <v/>
      </c>
      <c r="DL108" s="59">
        <f>($AU108-$AU109)*100</f>
        <v/>
      </c>
      <c r="DM108" s="59">
        <f>($AV108-$AV109)*100</f>
        <v/>
      </c>
      <c r="DN108" s="59">
        <f>($AW108-$AW109)*100</f>
        <v/>
      </c>
      <c r="DO108" s="59">
        <f>($AX108-$AX109)*100</f>
        <v/>
      </c>
      <c r="DP108" s="59">
        <f>($AY108-$AY109)*100</f>
        <v/>
      </c>
      <c r="DQ108" s="59">
        <f>($AZ108-$AZ109)*100</f>
        <v/>
      </c>
      <c r="DR108" s="59">
        <f>($BA108-$BA109)*100</f>
        <v/>
      </c>
      <c r="DS108" s="58">
        <f>IFERROR($N109/$N108-1,"")</f>
        <v/>
      </c>
      <c r="DT108" s="58">
        <f>IFERROR($O109/$O108-1,"")</f>
        <v/>
      </c>
      <c r="DU108" s="58">
        <f>IFERROR($P109/$P108-1,"")</f>
        <v/>
      </c>
      <c r="DV108" s="58">
        <f>IFERROR($Q109/$Q108-1,"")</f>
        <v/>
      </c>
      <c r="DW108" s="58">
        <f>IFERROR($R109/$R108-1,"")</f>
        <v/>
      </c>
      <c r="DX108" s="58">
        <f>IFERROR($S109/$S108-1,"")</f>
        <v/>
      </c>
      <c r="DY108" s="58">
        <f>IFERROR($T109/$T108-1,"")</f>
        <v/>
      </c>
      <c r="DZ108" s="58">
        <f>IFERROR($U109/$U108-1,"")</f>
        <v/>
      </c>
      <c r="EA108" s="58">
        <f>IFERROR($V109/$V108-1,"")</f>
        <v/>
      </c>
      <c r="EB108" s="58">
        <f>IFERROR($W109/$W108-1,"")</f>
        <v/>
      </c>
      <c r="EC108" s="58">
        <f>IFERROR($X109/$X108-1,"")</f>
        <v/>
      </c>
      <c r="ED108" s="58">
        <f>IFERROR($Y109/$Y108-1,"")</f>
        <v/>
      </c>
      <c r="EE108" s="58">
        <f>IFERROR($Z109/$Z108-1,"")</f>
        <v/>
      </c>
      <c r="EF108" s="58">
        <f>IFERROR($AA109/$AA108-1,"")</f>
        <v/>
      </c>
      <c r="EG108" s="58">
        <f>IFERROR($AB109/$AB108-1,"")</f>
        <v/>
      </c>
      <c r="EH108" s="58">
        <f>IFERROR($AC109/$AC108-1,"")</f>
        <v/>
      </c>
      <c r="EI108" s="58">
        <f>IFERROR($AD109/$AD108-1,"")</f>
        <v/>
      </c>
      <c r="EJ108" s="58">
        <f>IFERROR($AE109/$AE108-1,"")</f>
        <v/>
      </c>
      <c r="EK108" s="58">
        <f>IFERROR($AF109/$AF108-1,"")</f>
        <v/>
      </c>
      <c r="EL108" s="58">
        <f>IFERROR($AG109/$AG108-1,"")</f>
        <v/>
      </c>
      <c r="EM108" s="58">
        <f>IFERROR($BB108/$BB109-1,"")</f>
        <v/>
      </c>
      <c r="EN108" s="58">
        <f>IFERROR($BC108/$BC109-1,"")</f>
        <v/>
      </c>
      <c r="EO108" s="58">
        <f>IFERROR($BD108/$BD109-1,"")</f>
        <v/>
      </c>
      <c r="EP108" s="58">
        <f>IFERROR($BE108/$BE109-1,"")</f>
        <v/>
      </c>
      <c r="EQ108" s="58">
        <f>IFERROR($BF108/$BF109-1,"")</f>
        <v/>
      </c>
      <c r="ER108" s="58">
        <f>IFERROR($BG108/$BG109-1,"")</f>
        <v/>
      </c>
      <c r="ES108" s="58">
        <f>IFERROR($BH108/$BH109-1,"")</f>
        <v/>
      </c>
      <c r="ET108" s="58">
        <f>IFERROR($BI108/$BI109-1,"")</f>
        <v/>
      </c>
      <c r="EU108" s="58">
        <f>IFERROR($BJ108/$BJ109-1,"")</f>
        <v/>
      </c>
      <c r="EV108" s="58">
        <f>IFERROR($BK108/$BK109-1,"")</f>
        <v/>
      </c>
      <c r="EW108" s="58">
        <f>IFERROR($BL108/$BL109-1,"")</f>
        <v/>
      </c>
      <c r="EX108" s="58">
        <f>IFERROR($BM108/$BM109-1,"")</f>
        <v/>
      </c>
      <c r="EY108" s="58">
        <f>IFERROR($BN108/$BN109-1,"")</f>
        <v/>
      </c>
      <c r="EZ108" s="58">
        <f>IFERROR($BO108/$BO109-1,"")</f>
        <v/>
      </c>
      <c r="FA108" s="58">
        <f>IFERROR($BP108/$BP109-1,"")</f>
        <v/>
      </c>
      <c r="FB108" s="58">
        <f>IFERROR($BQ108/$BQ109-1,"")</f>
        <v/>
      </c>
      <c r="FC108" s="58">
        <f>IFERROR($BR108/$BR109-1,"")</f>
        <v/>
      </c>
      <c r="FD108" s="58">
        <f>IFERROR($BS108/$BS109-1,"")</f>
        <v/>
      </c>
      <c r="FE108" s="58">
        <f>IFERROR($BT108/$BT109-1,"")</f>
        <v/>
      </c>
      <c r="FF108" s="58">
        <f>IFERROR($BU108/$BU109-1,"")</f>
        <v/>
      </c>
      <c r="FG108" s="58">
        <f>IFERROR($BV108/$BV109-1,"")</f>
        <v/>
      </c>
      <c r="FH108" s="58">
        <f>IFERROR($BW108/$BW109-1,"")</f>
        <v/>
      </c>
      <c r="FI108" s="58">
        <f>IFERROR($BX108/$BX109-1,"")</f>
        <v/>
      </c>
      <c r="FJ108" s="59">
        <f>$BY108-$BY109</f>
        <v/>
      </c>
      <c r="FK108" s="59">
        <f>$BZ108-$BZ109</f>
        <v/>
      </c>
      <c r="FL108" s="59">
        <f>$CA108-$CA109</f>
        <v/>
      </c>
      <c r="FM108" s="59">
        <f>$CB108-$CB109</f>
        <v/>
      </c>
      <c r="FN108" s="59">
        <f>$CC108-$CC109</f>
        <v/>
      </c>
      <c r="FO108" s="59">
        <f>$CD108-$CD109</f>
        <v/>
      </c>
      <c r="FP108" s="59">
        <f>$CE108-$CE109</f>
        <v/>
      </c>
      <c r="FQ108" s="59">
        <f>$CF108-$CF109</f>
        <v/>
      </c>
      <c r="FR108" s="59">
        <f>$CG108-$CG109</f>
        <v/>
      </c>
      <c r="FS108" s="59">
        <f>$CH108-$CH109</f>
        <v/>
      </c>
      <c r="FT108" s="59">
        <f>$CI108-$CI109</f>
        <v/>
      </c>
      <c r="FU108" s="59">
        <f>$CJ108-$CJ109</f>
        <v/>
      </c>
      <c r="FV108" s="59">
        <f>$CK108-$CK109</f>
        <v/>
      </c>
      <c r="FW108" s="59">
        <f>$CL108-$CL109</f>
        <v/>
      </c>
      <c r="FX108" s="59">
        <f>$CM108-$CM109</f>
        <v/>
      </c>
      <c r="FY108" s="59">
        <f>$CN108-$CN109</f>
        <v/>
      </c>
      <c r="FZ108" s="59">
        <f>$CO108-$CO109</f>
        <v/>
      </c>
      <c r="GA108" s="59">
        <f>$CP108-$CP109</f>
        <v/>
      </c>
      <c r="GB108" s="59">
        <f>$CQ108-$CQ109</f>
        <v/>
      </c>
      <c r="GC108" s="59">
        <f>$CR108-$CR109</f>
        <v/>
      </c>
      <c r="GD108" s="59">
        <f>$CS108-$CS109</f>
        <v/>
      </c>
      <c r="GE108" s="59">
        <f>$CT108-$CT109</f>
        <v/>
      </c>
    </row>
    <row r="109">
      <c r="CU109" s="58">
        <f>IFERROR($B109/$B110-1,"")</f>
        <v/>
      </c>
      <c r="CV109" s="59">
        <f>($F109-$F110)*100</f>
        <v/>
      </c>
      <c r="CW109" s="59">
        <f>($E109-$E110)*100</f>
        <v/>
      </c>
      <c r="CX109" s="58">
        <f>IFERROR($K109/$K110-1,"")</f>
        <v/>
      </c>
      <c r="CY109" s="59">
        <f>($AH109-$AH110)*100</f>
        <v/>
      </c>
      <c r="CZ109" s="59">
        <f>($AI109-$AI110)*100</f>
        <v/>
      </c>
      <c r="DA109" s="59">
        <f>($AJ109-$AJ110)*100</f>
        <v/>
      </c>
      <c r="DB109" s="59">
        <f>($AK109-$AK110)*100</f>
        <v/>
      </c>
      <c r="DC109" s="59">
        <f>($AL109-$AL110)*100</f>
        <v/>
      </c>
      <c r="DD109" s="59">
        <f>($AM109-$AM110)*100</f>
        <v/>
      </c>
      <c r="DE109" s="59">
        <f>($AN109-$AN110)*100</f>
        <v/>
      </c>
      <c r="DF109" s="59">
        <f>($AO109-$AO110)*100</f>
        <v/>
      </c>
      <c r="DG109" s="59">
        <f>($AP109-$AP110)*100</f>
        <v/>
      </c>
      <c r="DH109" s="59">
        <f>($AQ109-$AQ110)*100</f>
        <v/>
      </c>
      <c r="DI109" s="59">
        <f>($AR109-$AR110)*100</f>
        <v/>
      </c>
      <c r="DJ109" s="59">
        <f>($AS109-$AS110)*100</f>
        <v/>
      </c>
      <c r="DK109" s="59">
        <f>($AT109-$AT110)*100</f>
        <v/>
      </c>
      <c r="DL109" s="59">
        <f>($AU109-$AU110)*100</f>
        <v/>
      </c>
      <c r="DM109" s="59">
        <f>($AV109-$AV110)*100</f>
        <v/>
      </c>
      <c r="DN109" s="59">
        <f>($AW109-$AW110)*100</f>
        <v/>
      </c>
      <c r="DO109" s="59">
        <f>($AX109-$AX110)*100</f>
        <v/>
      </c>
      <c r="DP109" s="59">
        <f>($AY109-$AY110)*100</f>
        <v/>
      </c>
      <c r="DQ109" s="59">
        <f>($AZ109-$AZ110)*100</f>
        <v/>
      </c>
      <c r="DR109" s="59">
        <f>($BA109-$BA110)*100</f>
        <v/>
      </c>
      <c r="DS109" s="58">
        <f>IFERROR($N110/$N109-1,"")</f>
        <v/>
      </c>
      <c r="DT109" s="58">
        <f>IFERROR($O110/$O109-1,"")</f>
        <v/>
      </c>
      <c r="DU109" s="58">
        <f>IFERROR($P110/$P109-1,"")</f>
        <v/>
      </c>
      <c r="DV109" s="58">
        <f>IFERROR($Q110/$Q109-1,"")</f>
        <v/>
      </c>
      <c r="DW109" s="58">
        <f>IFERROR($R110/$R109-1,"")</f>
        <v/>
      </c>
      <c r="DX109" s="58">
        <f>IFERROR($S110/$S109-1,"")</f>
        <v/>
      </c>
      <c r="DY109" s="58">
        <f>IFERROR($T110/$T109-1,"")</f>
        <v/>
      </c>
      <c r="DZ109" s="58">
        <f>IFERROR($U110/$U109-1,"")</f>
        <v/>
      </c>
      <c r="EA109" s="58">
        <f>IFERROR($V110/$V109-1,"")</f>
        <v/>
      </c>
      <c r="EB109" s="58">
        <f>IFERROR($W110/$W109-1,"")</f>
        <v/>
      </c>
      <c r="EC109" s="58">
        <f>IFERROR($X110/$X109-1,"")</f>
        <v/>
      </c>
      <c r="ED109" s="58">
        <f>IFERROR($Y110/$Y109-1,"")</f>
        <v/>
      </c>
      <c r="EE109" s="58">
        <f>IFERROR($Z110/$Z109-1,"")</f>
        <v/>
      </c>
      <c r="EF109" s="58">
        <f>IFERROR($AA110/$AA109-1,"")</f>
        <v/>
      </c>
      <c r="EG109" s="58">
        <f>IFERROR($AB110/$AB109-1,"")</f>
        <v/>
      </c>
      <c r="EH109" s="58">
        <f>IFERROR($AC110/$AC109-1,"")</f>
        <v/>
      </c>
      <c r="EI109" s="58">
        <f>IFERROR($AD110/$AD109-1,"")</f>
        <v/>
      </c>
      <c r="EJ109" s="58">
        <f>IFERROR($AE110/$AE109-1,"")</f>
        <v/>
      </c>
      <c r="EK109" s="58">
        <f>IFERROR($AF110/$AF109-1,"")</f>
        <v/>
      </c>
      <c r="EL109" s="58">
        <f>IFERROR($AG110/$AG109-1,"")</f>
        <v/>
      </c>
      <c r="EM109" s="58">
        <f>IFERROR($BB109/$BB110-1,"")</f>
        <v/>
      </c>
      <c r="EN109" s="58">
        <f>IFERROR($BC109/$BC110-1,"")</f>
        <v/>
      </c>
      <c r="EO109" s="58">
        <f>IFERROR($BD109/$BD110-1,"")</f>
        <v/>
      </c>
      <c r="EP109" s="58">
        <f>IFERROR($BE109/$BE110-1,"")</f>
        <v/>
      </c>
      <c r="EQ109" s="58">
        <f>IFERROR($BF109/$BF110-1,"")</f>
        <v/>
      </c>
      <c r="ER109" s="58">
        <f>IFERROR($BG109/$BG110-1,"")</f>
        <v/>
      </c>
      <c r="ES109" s="58">
        <f>IFERROR($BH109/$BH110-1,"")</f>
        <v/>
      </c>
      <c r="ET109" s="58">
        <f>IFERROR($BI109/$BI110-1,"")</f>
        <v/>
      </c>
      <c r="EU109" s="58">
        <f>IFERROR($BJ109/$BJ110-1,"")</f>
        <v/>
      </c>
      <c r="EV109" s="58">
        <f>IFERROR($BK109/$BK110-1,"")</f>
        <v/>
      </c>
      <c r="EW109" s="58">
        <f>IFERROR($BL109/$BL110-1,"")</f>
        <v/>
      </c>
      <c r="EX109" s="58">
        <f>IFERROR($BM109/$BM110-1,"")</f>
        <v/>
      </c>
      <c r="EY109" s="58">
        <f>IFERROR($BN109/$BN110-1,"")</f>
        <v/>
      </c>
      <c r="EZ109" s="58">
        <f>IFERROR($BO109/$BO110-1,"")</f>
        <v/>
      </c>
      <c r="FA109" s="58">
        <f>IFERROR($BP109/$BP110-1,"")</f>
        <v/>
      </c>
      <c r="FB109" s="58">
        <f>IFERROR($BQ109/$BQ110-1,"")</f>
        <v/>
      </c>
      <c r="FC109" s="58">
        <f>IFERROR($BR109/$BR110-1,"")</f>
        <v/>
      </c>
      <c r="FD109" s="58">
        <f>IFERROR($BS109/$BS110-1,"")</f>
        <v/>
      </c>
      <c r="FE109" s="58">
        <f>IFERROR($BT109/$BT110-1,"")</f>
        <v/>
      </c>
      <c r="FF109" s="58">
        <f>IFERROR($BU109/$BU110-1,"")</f>
        <v/>
      </c>
      <c r="FG109" s="58">
        <f>IFERROR($BV109/$BV110-1,"")</f>
        <v/>
      </c>
      <c r="FH109" s="58">
        <f>IFERROR($BW109/$BW110-1,"")</f>
        <v/>
      </c>
      <c r="FI109" s="58">
        <f>IFERROR($BX109/$BX110-1,"")</f>
        <v/>
      </c>
      <c r="FJ109" s="59">
        <f>$BY109-$BY110</f>
        <v/>
      </c>
      <c r="FK109" s="59">
        <f>$BZ109-$BZ110</f>
        <v/>
      </c>
      <c r="FL109" s="59">
        <f>$CA109-$CA110</f>
        <v/>
      </c>
      <c r="FM109" s="59">
        <f>$CB109-$CB110</f>
        <v/>
      </c>
      <c r="FN109" s="59">
        <f>$CC109-$CC110</f>
        <v/>
      </c>
      <c r="FO109" s="59">
        <f>$CD109-$CD110</f>
        <v/>
      </c>
      <c r="FP109" s="59">
        <f>$CE109-$CE110</f>
        <v/>
      </c>
      <c r="FQ109" s="59">
        <f>$CF109-$CF110</f>
        <v/>
      </c>
      <c r="FR109" s="59">
        <f>$CG109-$CG110</f>
        <v/>
      </c>
      <c r="FS109" s="59">
        <f>$CH109-$CH110</f>
        <v/>
      </c>
      <c r="FT109" s="59">
        <f>$CI109-$CI110</f>
        <v/>
      </c>
      <c r="FU109" s="59">
        <f>$CJ109-$CJ110</f>
        <v/>
      </c>
      <c r="FV109" s="59">
        <f>$CK109-$CK110</f>
        <v/>
      </c>
      <c r="FW109" s="59">
        <f>$CL109-$CL110</f>
        <v/>
      </c>
      <c r="FX109" s="59">
        <f>$CM109-$CM110</f>
        <v/>
      </c>
      <c r="FY109" s="59">
        <f>$CN109-$CN110</f>
        <v/>
      </c>
      <c r="FZ109" s="59">
        <f>$CO109-$CO110</f>
        <v/>
      </c>
      <c r="GA109" s="59">
        <f>$CP109-$CP110</f>
        <v/>
      </c>
      <c r="GB109" s="59">
        <f>$CQ109-$CQ110</f>
        <v/>
      </c>
      <c r="GC109" s="59">
        <f>$CR109-$CR110</f>
        <v/>
      </c>
      <c r="GD109" s="59">
        <f>$CS109-$CS110</f>
        <v/>
      </c>
      <c r="GE109" s="59">
        <f>$CT109-$CT110</f>
        <v/>
      </c>
    </row>
    <row r="110">
      <c r="CU110" s="58">
        <f>IFERROR($B110/$B111-1,"")</f>
        <v/>
      </c>
      <c r="CV110" s="59">
        <f>($F110-$F111)*100</f>
        <v/>
      </c>
      <c r="CW110" s="59">
        <f>($E110-$E111)*100</f>
        <v/>
      </c>
      <c r="CX110" s="58">
        <f>IFERROR($K110/$K111-1,"")</f>
        <v/>
      </c>
      <c r="CY110" s="59">
        <f>($AH110-$AH111)*100</f>
        <v/>
      </c>
      <c r="CZ110" s="59">
        <f>($AI110-$AI111)*100</f>
        <v/>
      </c>
      <c r="DA110" s="59">
        <f>($AJ110-$AJ111)*100</f>
        <v/>
      </c>
      <c r="DB110" s="59">
        <f>($AK110-$AK111)*100</f>
        <v/>
      </c>
      <c r="DC110" s="59">
        <f>($AL110-$AL111)*100</f>
        <v/>
      </c>
      <c r="DD110" s="59">
        <f>($AM110-$AM111)*100</f>
        <v/>
      </c>
      <c r="DE110" s="59">
        <f>($AN110-$AN111)*100</f>
        <v/>
      </c>
      <c r="DF110" s="59">
        <f>($AO110-$AO111)*100</f>
        <v/>
      </c>
      <c r="DG110" s="59">
        <f>($AP110-$AP111)*100</f>
        <v/>
      </c>
      <c r="DH110" s="59">
        <f>($AQ110-$AQ111)*100</f>
        <v/>
      </c>
      <c r="DI110" s="59">
        <f>($AR110-$AR111)*100</f>
        <v/>
      </c>
      <c r="DJ110" s="59">
        <f>($AS110-$AS111)*100</f>
        <v/>
      </c>
      <c r="DK110" s="59">
        <f>($AT110-$AT111)*100</f>
        <v/>
      </c>
      <c r="DL110" s="59">
        <f>($AU110-$AU111)*100</f>
        <v/>
      </c>
      <c r="DM110" s="59">
        <f>($AV110-$AV111)*100</f>
        <v/>
      </c>
      <c r="DN110" s="59">
        <f>($AW110-$AW111)*100</f>
        <v/>
      </c>
      <c r="DO110" s="59">
        <f>($AX110-$AX111)*100</f>
        <v/>
      </c>
      <c r="DP110" s="59">
        <f>($AY110-$AY111)*100</f>
        <v/>
      </c>
      <c r="DQ110" s="59">
        <f>($AZ110-$AZ111)*100</f>
        <v/>
      </c>
      <c r="DR110" s="59">
        <f>($BA110-$BA111)*100</f>
        <v/>
      </c>
      <c r="DS110" s="58">
        <f>IFERROR($N111/$N110-1,"")</f>
        <v/>
      </c>
      <c r="DT110" s="58">
        <f>IFERROR($O111/$O110-1,"")</f>
        <v/>
      </c>
      <c r="DU110" s="58">
        <f>IFERROR($P111/$P110-1,"")</f>
        <v/>
      </c>
      <c r="DV110" s="58">
        <f>IFERROR($Q111/$Q110-1,"")</f>
        <v/>
      </c>
      <c r="DW110" s="58">
        <f>IFERROR($R111/$R110-1,"")</f>
        <v/>
      </c>
      <c r="DX110" s="58">
        <f>IFERROR($S111/$S110-1,"")</f>
        <v/>
      </c>
      <c r="DY110" s="58">
        <f>IFERROR($T111/$T110-1,"")</f>
        <v/>
      </c>
      <c r="DZ110" s="58">
        <f>IFERROR($U111/$U110-1,"")</f>
        <v/>
      </c>
      <c r="EA110" s="58">
        <f>IFERROR($V111/$V110-1,"")</f>
        <v/>
      </c>
      <c r="EB110" s="58">
        <f>IFERROR($W111/$W110-1,"")</f>
        <v/>
      </c>
      <c r="EC110" s="58">
        <f>IFERROR($X111/$X110-1,"")</f>
        <v/>
      </c>
      <c r="ED110" s="58">
        <f>IFERROR($Y111/$Y110-1,"")</f>
        <v/>
      </c>
      <c r="EE110" s="58">
        <f>IFERROR($Z111/$Z110-1,"")</f>
        <v/>
      </c>
      <c r="EF110" s="58">
        <f>IFERROR($AA111/$AA110-1,"")</f>
        <v/>
      </c>
      <c r="EG110" s="58">
        <f>IFERROR($AB111/$AB110-1,"")</f>
        <v/>
      </c>
      <c r="EH110" s="58">
        <f>IFERROR($AC111/$AC110-1,"")</f>
        <v/>
      </c>
      <c r="EI110" s="58">
        <f>IFERROR($AD111/$AD110-1,"")</f>
        <v/>
      </c>
      <c r="EJ110" s="58">
        <f>IFERROR($AE111/$AE110-1,"")</f>
        <v/>
      </c>
      <c r="EK110" s="58">
        <f>IFERROR($AF111/$AF110-1,"")</f>
        <v/>
      </c>
      <c r="EL110" s="58">
        <f>IFERROR($AG111/$AG110-1,"")</f>
        <v/>
      </c>
      <c r="EM110" s="58">
        <f>IFERROR($BB110/$BB111-1,"")</f>
        <v/>
      </c>
      <c r="EN110" s="58">
        <f>IFERROR($BC110/$BC111-1,"")</f>
        <v/>
      </c>
      <c r="EO110" s="58">
        <f>IFERROR($BD110/$BD111-1,"")</f>
        <v/>
      </c>
      <c r="EP110" s="58">
        <f>IFERROR($BE110/$BE111-1,"")</f>
        <v/>
      </c>
      <c r="EQ110" s="58">
        <f>IFERROR($BF110/$BF111-1,"")</f>
        <v/>
      </c>
      <c r="ER110" s="58">
        <f>IFERROR($BG110/$BG111-1,"")</f>
        <v/>
      </c>
      <c r="ES110" s="58">
        <f>IFERROR($BH110/$BH111-1,"")</f>
        <v/>
      </c>
      <c r="ET110" s="58">
        <f>IFERROR($BI110/$BI111-1,"")</f>
        <v/>
      </c>
      <c r="EU110" s="58">
        <f>IFERROR($BJ110/$BJ111-1,"")</f>
        <v/>
      </c>
      <c r="EV110" s="58">
        <f>IFERROR($BK110/$BK111-1,"")</f>
        <v/>
      </c>
      <c r="EW110" s="58">
        <f>IFERROR($BL110/$BL111-1,"")</f>
        <v/>
      </c>
      <c r="EX110" s="58">
        <f>IFERROR($BM110/$BM111-1,"")</f>
        <v/>
      </c>
      <c r="EY110" s="58">
        <f>IFERROR($BN110/$BN111-1,"")</f>
        <v/>
      </c>
      <c r="EZ110" s="58">
        <f>IFERROR($BO110/$BO111-1,"")</f>
        <v/>
      </c>
      <c r="FA110" s="58">
        <f>IFERROR($BP110/$BP111-1,"")</f>
        <v/>
      </c>
      <c r="FB110" s="58">
        <f>IFERROR($BQ110/$BQ111-1,"")</f>
        <v/>
      </c>
      <c r="FC110" s="58">
        <f>IFERROR($BR110/$BR111-1,"")</f>
        <v/>
      </c>
      <c r="FD110" s="58">
        <f>IFERROR($BS110/$BS111-1,"")</f>
        <v/>
      </c>
      <c r="FE110" s="58">
        <f>IFERROR($BT110/$BT111-1,"")</f>
        <v/>
      </c>
      <c r="FF110" s="58">
        <f>IFERROR($BU110/$BU111-1,"")</f>
        <v/>
      </c>
      <c r="FG110" s="58">
        <f>IFERROR($BV110/$BV111-1,"")</f>
        <v/>
      </c>
      <c r="FH110" s="58">
        <f>IFERROR($BW110/$BW111-1,"")</f>
        <v/>
      </c>
      <c r="FI110" s="58">
        <f>IFERROR($BX110/$BX111-1,"")</f>
        <v/>
      </c>
      <c r="FJ110" s="59">
        <f>$BY110-$BY111</f>
        <v/>
      </c>
      <c r="FK110" s="59">
        <f>$BZ110-$BZ111</f>
        <v/>
      </c>
      <c r="FL110" s="59">
        <f>$CA110-$CA111</f>
        <v/>
      </c>
      <c r="FM110" s="59">
        <f>$CB110-$CB111</f>
        <v/>
      </c>
      <c r="FN110" s="59">
        <f>$CC110-$CC111</f>
        <v/>
      </c>
      <c r="FO110" s="59">
        <f>$CD110-$CD111</f>
        <v/>
      </c>
      <c r="FP110" s="59">
        <f>$CE110-$CE111</f>
        <v/>
      </c>
      <c r="FQ110" s="59">
        <f>$CF110-$CF111</f>
        <v/>
      </c>
      <c r="FR110" s="59">
        <f>$CG110-$CG111</f>
        <v/>
      </c>
      <c r="FS110" s="59">
        <f>$CH110-$CH111</f>
        <v/>
      </c>
      <c r="FT110" s="59">
        <f>$CI110-$CI111</f>
        <v/>
      </c>
      <c r="FU110" s="59">
        <f>$CJ110-$CJ111</f>
        <v/>
      </c>
      <c r="FV110" s="59">
        <f>$CK110-$CK111</f>
        <v/>
      </c>
      <c r="FW110" s="59">
        <f>$CL110-$CL111</f>
        <v/>
      </c>
      <c r="FX110" s="59">
        <f>$CM110-$CM111</f>
        <v/>
      </c>
      <c r="FY110" s="59">
        <f>$CN110-$CN111</f>
        <v/>
      </c>
      <c r="FZ110" s="59">
        <f>$CO110-$CO111</f>
        <v/>
      </c>
      <c r="GA110" s="59">
        <f>$CP110-$CP111</f>
        <v/>
      </c>
      <c r="GB110" s="59">
        <f>$CQ110-$CQ111</f>
        <v/>
      </c>
      <c r="GC110" s="59">
        <f>$CR110-$CR111</f>
        <v/>
      </c>
      <c r="GD110" s="59">
        <f>$CS110-$CS111</f>
        <v/>
      </c>
      <c r="GE110" s="59">
        <f>$CT110-$CT111</f>
        <v/>
      </c>
    </row>
    <row r="111">
      <c r="CU111" s="58">
        <f>IFERROR($B111/$B112-1,"")</f>
        <v/>
      </c>
      <c r="CV111" s="59">
        <f>($F111-$F112)*100</f>
        <v/>
      </c>
      <c r="CW111" s="59">
        <f>($E111-$E112)*100</f>
        <v/>
      </c>
      <c r="CX111" s="58">
        <f>IFERROR($K111/$K112-1,"")</f>
        <v/>
      </c>
      <c r="CY111" s="59">
        <f>($AH111-$AH112)*100</f>
        <v/>
      </c>
      <c r="CZ111" s="59">
        <f>($AI111-$AI112)*100</f>
        <v/>
      </c>
      <c r="DA111" s="59">
        <f>($AJ111-$AJ112)*100</f>
        <v/>
      </c>
      <c r="DB111" s="59">
        <f>($AK111-$AK112)*100</f>
        <v/>
      </c>
      <c r="DC111" s="59">
        <f>($AL111-$AL112)*100</f>
        <v/>
      </c>
      <c r="DD111" s="59">
        <f>($AM111-$AM112)*100</f>
        <v/>
      </c>
      <c r="DE111" s="59">
        <f>($AN111-$AN112)*100</f>
        <v/>
      </c>
      <c r="DF111" s="59">
        <f>($AO111-$AO112)*100</f>
        <v/>
      </c>
      <c r="DG111" s="59">
        <f>($AP111-$AP112)*100</f>
        <v/>
      </c>
      <c r="DH111" s="59">
        <f>($AQ111-$AQ112)*100</f>
        <v/>
      </c>
      <c r="DI111" s="59">
        <f>($AR111-$AR112)*100</f>
        <v/>
      </c>
      <c r="DJ111" s="59">
        <f>($AS111-$AS112)*100</f>
        <v/>
      </c>
      <c r="DK111" s="59">
        <f>($AT111-$AT112)*100</f>
        <v/>
      </c>
      <c r="DL111" s="59">
        <f>($AU111-$AU112)*100</f>
        <v/>
      </c>
      <c r="DM111" s="59">
        <f>($AV111-$AV112)*100</f>
        <v/>
      </c>
      <c r="DN111" s="59">
        <f>($AW111-$AW112)*100</f>
        <v/>
      </c>
      <c r="DO111" s="59">
        <f>($AX111-$AX112)*100</f>
        <v/>
      </c>
      <c r="DP111" s="59">
        <f>($AY111-$AY112)*100</f>
        <v/>
      </c>
      <c r="DQ111" s="59">
        <f>($AZ111-$AZ112)*100</f>
        <v/>
      </c>
      <c r="DR111" s="59">
        <f>($BA111-$BA112)*100</f>
        <v/>
      </c>
      <c r="DS111" s="58">
        <f>IFERROR($N112/$N111-1,"")</f>
        <v/>
      </c>
      <c r="DT111" s="58">
        <f>IFERROR($O112/$O111-1,"")</f>
        <v/>
      </c>
      <c r="DU111" s="58">
        <f>IFERROR($P112/$P111-1,"")</f>
        <v/>
      </c>
      <c r="DV111" s="58">
        <f>IFERROR($Q112/$Q111-1,"")</f>
        <v/>
      </c>
      <c r="DW111" s="58">
        <f>IFERROR($R112/$R111-1,"")</f>
        <v/>
      </c>
      <c r="DX111" s="58">
        <f>IFERROR($S112/$S111-1,"")</f>
        <v/>
      </c>
      <c r="DY111" s="58">
        <f>IFERROR($T112/$T111-1,"")</f>
        <v/>
      </c>
      <c r="DZ111" s="58">
        <f>IFERROR($U112/$U111-1,"")</f>
        <v/>
      </c>
      <c r="EA111" s="58">
        <f>IFERROR($V112/$V111-1,"")</f>
        <v/>
      </c>
      <c r="EB111" s="58">
        <f>IFERROR($W112/$W111-1,"")</f>
        <v/>
      </c>
      <c r="EC111" s="58">
        <f>IFERROR($X112/$X111-1,"")</f>
        <v/>
      </c>
      <c r="ED111" s="58">
        <f>IFERROR($Y112/$Y111-1,"")</f>
        <v/>
      </c>
      <c r="EE111" s="58">
        <f>IFERROR($Z112/$Z111-1,"")</f>
        <v/>
      </c>
      <c r="EF111" s="58">
        <f>IFERROR($AA112/$AA111-1,"")</f>
        <v/>
      </c>
      <c r="EG111" s="58">
        <f>IFERROR($AB112/$AB111-1,"")</f>
        <v/>
      </c>
      <c r="EH111" s="58">
        <f>IFERROR($AC112/$AC111-1,"")</f>
        <v/>
      </c>
      <c r="EI111" s="58">
        <f>IFERROR($AD112/$AD111-1,"")</f>
        <v/>
      </c>
      <c r="EJ111" s="58">
        <f>IFERROR($AE112/$AE111-1,"")</f>
        <v/>
      </c>
      <c r="EK111" s="58">
        <f>IFERROR($AF112/$AF111-1,"")</f>
        <v/>
      </c>
      <c r="EL111" s="58">
        <f>IFERROR($AG112/$AG111-1,"")</f>
        <v/>
      </c>
      <c r="EM111" s="58">
        <f>IFERROR($BB111/$BB112-1,"")</f>
        <v/>
      </c>
      <c r="EN111" s="58">
        <f>IFERROR($BC111/$BC112-1,"")</f>
        <v/>
      </c>
      <c r="EO111" s="58">
        <f>IFERROR($BD111/$BD112-1,"")</f>
        <v/>
      </c>
      <c r="EP111" s="58">
        <f>IFERROR($BE111/$BE112-1,"")</f>
        <v/>
      </c>
      <c r="EQ111" s="58">
        <f>IFERROR($BF111/$BF112-1,"")</f>
        <v/>
      </c>
      <c r="ER111" s="58">
        <f>IFERROR($BG111/$BG112-1,"")</f>
        <v/>
      </c>
      <c r="ES111" s="58">
        <f>IFERROR($BH111/$BH112-1,"")</f>
        <v/>
      </c>
      <c r="ET111" s="58">
        <f>IFERROR($BI111/$BI112-1,"")</f>
        <v/>
      </c>
      <c r="EU111" s="58">
        <f>IFERROR($BJ111/$BJ112-1,"")</f>
        <v/>
      </c>
      <c r="EV111" s="58">
        <f>IFERROR($BK111/$BK112-1,"")</f>
        <v/>
      </c>
      <c r="EW111" s="58">
        <f>IFERROR($BL111/$BL112-1,"")</f>
        <v/>
      </c>
      <c r="EX111" s="58">
        <f>IFERROR($BM111/$BM112-1,"")</f>
        <v/>
      </c>
      <c r="EY111" s="58">
        <f>IFERROR($BN111/$BN112-1,"")</f>
        <v/>
      </c>
      <c r="EZ111" s="58">
        <f>IFERROR($BO111/$BO112-1,"")</f>
        <v/>
      </c>
      <c r="FA111" s="58">
        <f>IFERROR($BP111/$BP112-1,"")</f>
        <v/>
      </c>
      <c r="FB111" s="58">
        <f>IFERROR($BQ111/$BQ112-1,"")</f>
        <v/>
      </c>
      <c r="FC111" s="58">
        <f>IFERROR($BR111/$BR112-1,"")</f>
        <v/>
      </c>
      <c r="FD111" s="58">
        <f>IFERROR($BS111/$BS112-1,"")</f>
        <v/>
      </c>
      <c r="FE111" s="58">
        <f>IFERROR($BT111/$BT112-1,"")</f>
        <v/>
      </c>
      <c r="FF111" s="58">
        <f>IFERROR($BU111/$BU112-1,"")</f>
        <v/>
      </c>
      <c r="FG111" s="58">
        <f>IFERROR($BV111/$BV112-1,"")</f>
        <v/>
      </c>
      <c r="FH111" s="58">
        <f>IFERROR($BW111/$BW112-1,"")</f>
        <v/>
      </c>
      <c r="FI111" s="58">
        <f>IFERROR($BX111/$BX112-1,"")</f>
        <v/>
      </c>
      <c r="FJ111" s="59">
        <f>$BY111-$BY112</f>
        <v/>
      </c>
      <c r="FK111" s="59">
        <f>$BZ111-$BZ112</f>
        <v/>
      </c>
      <c r="FL111" s="59">
        <f>$CA111-$CA112</f>
        <v/>
      </c>
      <c r="FM111" s="59">
        <f>$CB111-$CB112</f>
        <v/>
      </c>
      <c r="FN111" s="59">
        <f>$CC111-$CC112</f>
        <v/>
      </c>
      <c r="FO111" s="59">
        <f>$CD111-$CD112</f>
        <v/>
      </c>
      <c r="FP111" s="59">
        <f>$CE111-$CE112</f>
        <v/>
      </c>
      <c r="FQ111" s="59">
        <f>$CF111-$CF112</f>
        <v/>
      </c>
      <c r="FR111" s="59">
        <f>$CG111-$CG112</f>
        <v/>
      </c>
      <c r="FS111" s="59">
        <f>$CH111-$CH112</f>
        <v/>
      </c>
      <c r="FT111" s="59">
        <f>$CI111-$CI112</f>
        <v/>
      </c>
      <c r="FU111" s="59">
        <f>$CJ111-$CJ112</f>
        <v/>
      </c>
      <c r="FV111" s="59">
        <f>$CK111-$CK112</f>
        <v/>
      </c>
      <c r="FW111" s="59">
        <f>$CL111-$CL112</f>
        <v/>
      </c>
      <c r="FX111" s="59">
        <f>$CM111-$CM112</f>
        <v/>
      </c>
      <c r="FY111" s="59">
        <f>$CN111-$CN112</f>
        <v/>
      </c>
      <c r="FZ111" s="59">
        <f>$CO111-$CO112</f>
        <v/>
      </c>
      <c r="GA111" s="59">
        <f>$CP111-$CP112</f>
        <v/>
      </c>
      <c r="GB111" s="59">
        <f>$CQ111-$CQ112</f>
        <v/>
      </c>
      <c r="GC111" s="59">
        <f>$CR111-$CR112</f>
        <v/>
      </c>
      <c r="GD111" s="59">
        <f>$CS111-$CS112</f>
        <v/>
      </c>
      <c r="GE111" s="59">
        <f>$CT111-$CT112</f>
        <v/>
      </c>
    </row>
    <row r="112">
      <c r="CU112" s="58">
        <f>IFERROR($B112/$B113-1,"")</f>
        <v/>
      </c>
      <c r="CV112" s="59">
        <f>($F112-$F113)*100</f>
        <v/>
      </c>
      <c r="CW112" s="59">
        <f>($E112-$E113)*100</f>
        <v/>
      </c>
      <c r="CX112" s="58">
        <f>IFERROR($K112/$K113-1,"")</f>
        <v/>
      </c>
      <c r="CY112" s="59">
        <f>($AH112-$AH113)*100</f>
        <v/>
      </c>
      <c r="CZ112" s="59">
        <f>($AI112-$AI113)*100</f>
        <v/>
      </c>
      <c r="DA112" s="59">
        <f>($AJ112-$AJ113)*100</f>
        <v/>
      </c>
      <c r="DB112" s="59">
        <f>($AK112-$AK113)*100</f>
        <v/>
      </c>
      <c r="DC112" s="59">
        <f>($AL112-$AL113)*100</f>
        <v/>
      </c>
      <c r="DD112" s="59">
        <f>($AM112-$AM113)*100</f>
        <v/>
      </c>
      <c r="DE112" s="59">
        <f>($AN112-$AN113)*100</f>
        <v/>
      </c>
      <c r="DF112" s="59">
        <f>($AO112-$AO113)*100</f>
        <v/>
      </c>
      <c r="DG112" s="59">
        <f>($AP112-$AP113)*100</f>
        <v/>
      </c>
      <c r="DH112" s="59">
        <f>($AQ112-$AQ113)*100</f>
        <v/>
      </c>
      <c r="DI112" s="59">
        <f>($AR112-$AR113)*100</f>
        <v/>
      </c>
      <c r="DJ112" s="59">
        <f>($AS112-$AS113)*100</f>
        <v/>
      </c>
      <c r="DK112" s="59">
        <f>($AT112-$AT113)*100</f>
        <v/>
      </c>
      <c r="DL112" s="59">
        <f>($AU112-$AU113)*100</f>
        <v/>
      </c>
      <c r="DM112" s="59">
        <f>($AV112-$AV113)*100</f>
        <v/>
      </c>
      <c r="DN112" s="59">
        <f>($AW112-$AW113)*100</f>
        <v/>
      </c>
      <c r="DO112" s="59">
        <f>($AX112-$AX113)*100</f>
        <v/>
      </c>
      <c r="DP112" s="59">
        <f>($AY112-$AY113)*100</f>
        <v/>
      </c>
      <c r="DQ112" s="59">
        <f>($AZ112-$AZ113)*100</f>
        <v/>
      </c>
      <c r="DR112" s="59">
        <f>($BA112-$BA113)*100</f>
        <v/>
      </c>
      <c r="DS112" s="58">
        <f>IFERROR($N113/$N112-1,"")</f>
        <v/>
      </c>
      <c r="DT112" s="58">
        <f>IFERROR($O113/$O112-1,"")</f>
        <v/>
      </c>
      <c r="DU112" s="58">
        <f>IFERROR($P113/$P112-1,"")</f>
        <v/>
      </c>
      <c r="DV112" s="58">
        <f>IFERROR($Q113/$Q112-1,"")</f>
        <v/>
      </c>
      <c r="DW112" s="58">
        <f>IFERROR($R113/$R112-1,"")</f>
        <v/>
      </c>
      <c r="DX112" s="58">
        <f>IFERROR($S113/$S112-1,"")</f>
        <v/>
      </c>
      <c r="DY112" s="58">
        <f>IFERROR($T113/$T112-1,"")</f>
        <v/>
      </c>
      <c r="DZ112" s="58">
        <f>IFERROR($U113/$U112-1,"")</f>
        <v/>
      </c>
      <c r="EA112" s="58">
        <f>IFERROR($V113/$V112-1,"")</f>
        <v/>
      </c>
      <c r="EB112" s="58">
        <f>IFERROR($W113/$W112-1,"")</f>
        <v/>
      </c>
      <c r="EC112" s="58">
        <f>IFERROR($X113/$X112-1,"")</f>
        <v/>
      </c>
      <c r="ED112" s="58">
        <f>IFERROR($Y113/$Y112-1,"")</f>
        <v/>
      </c>
      <c r="EE112" s="58">
        <f>IFERROR($Z113/$Z112-1,"")</f>
        <v/>
      </c>
      <c r="EF112" s="58">
        <f>IFERROR($AA113/$AA112-1,"")</f>
        <v/>
      </c>
      <c r="EG112" s="58">
        <f>IFERROR($AB113/$AB112-1,"")</f>
        <v/>
      </c>
      <c r="EH112" s="58">
        <f>IFERROR($AC113/$AC112-1,"")</f>
        <v/>
      </c>
      <c r="EI112" s="58">
        <f>IFERROR($AD113/$AD112-1,"")</f>
        <v/>
      </c>
      <c r="EJ112" s="58">
        <f>IFERROR($AE113/$AE112-1,"")</f>
        <v/>
      </c>
      <c r="EK112" s="58">
        <f>IFERROR($AF113/$AF112-1,"")</f>
        <v/>
      </c>
      <c r="EL112" s="58">
        <f>IFERROR($AG113/$AG112-1,"")</f>
        <v/>
      </c>
      <c r="EM112" s="58">
        <f>IFERROR($BB112/$BB113-1,"")</f>
        <v/>
      </c>
      <c r="EN112" s="58">
        <f>IFERROR($BC112/$BC113-1,"")</f>
        <v/>
      </c>
      <c r="EO112" s="58">
        <f>IFERROR($BD112/$BD113-1,"")</f>
        <v/>
      </c>
      <c r="EP112" s="58">
        <f>IFERROR($BE112/$BE113-1,"")</f>
        <v/>
      </c>
      <c r="EQ112" s="58">
        <f>IFERROR($BF112/$BF113-1,"")</f>
        <v/>
      </c>
      <c r="ER112" s="58">
        <f>IFERROR($BG112/$BG113-1,"")</f>
        <v/>
      </c>
      <c r="ES112" s="58">
        <f>IFERROR($BH112/$BH113-1,"")</f>
        <v/>
      </c>
      <c r="ET112" s="58">
        <f>IFERROR($BI112/$BI113-1,"")</f>
        <v/>
      </c>
      <c r="EU112" s="58">
        <f>IFERROR($BJ112/$BJ113-1,"")</f>
        <v/>
      </c>
      <c r="EV112" s="58">
        <f>IFERROR($BK112/$BK113-1,"")</f>
        <v/>
      </c>
      <c r="EW112" s="58">
        <f>IFERROR($BL112/$BL113-1,"")</f>
        <v/>
      </c>
      <c r="EX112" s="58">
        <f>IFERROR($BM112/$BM113-1,"")</f>
        <v/>
      </c>
      <c r="EY112" s="58">
        <f>IFERROR($BN112/$BN113-1,"")</f>
        <v/>
      </c>
      <c r="EZ112" s="58">
        <f>IFERROR($BO112/$BO113-1,"")</f>
        <v/>
      </c>
      <c r="FA112" s="58">
        <f>IFERROR($BP112/$BP113-1,"")</f>
        <v/>
      </c>
      <c r="FB112" s="58">
        <f>IFERROR($BQ112/$BQ113-1,"")</f>
        <v/>
      </c>
      <c r="FC112" s="58">
        <f>IFERROR($BR112/$BR113-1,"")</f>
        <v/>
      </c>
      <c r="FD112" s="58">
        <f>IFERROR($BS112/$BS113-1,"")</f>
        <v/>
      </c>
      <c r="FE112" s="58">
        <f>IFERROR($BT112/$BT113-1,"")</f>
        <v/>
      </c>
      <c r="FF112" s="58">
        <f>IFERROR($BU112/$BU113-1,"")</f>
        <v/>
      </c>
      <c r="FG112" s="58">
        <f>IFERROR($BV112/$BV113-1,"")</f>
        <v/>
      </c>
      <c r="FH112" s="58">
        <f>IFERROR($BW112/$BW113-1,"")</f>
        <v/>
      </c>
      <c r="FI112" s="58">
        <f>IFERROR($BX112/$BX113-1,"")</f>
        <v/>
      </c>
      <c r="FJ112" s="59">
        <f>$BY112-$BY113</f>
        <v/>
      </c>
      <c r="FK112" s="59">
        <f>$BZ112-$BZ113</f>
        <v/>
      </c>
      <c r="FL112" s="59">
        <f>$CA112-$CA113</f>
        <v/>
      </c>
      <c r="FM112" s="59">
        <f>$CB112-$CB113</f>
        <v/>
      </c>
      <c r="FN112" s="59">
        <f>$CC112-$CC113</f>
        <v/>
      </c>
      <c r="FO112" s="59">
        <f>$CD112-$CD113</f>
        <v/>
      </c>
      <c r="FP112" s="59">
        <f>$CE112-$CE113</f>
        <v/>
      </c>
      <c r="FQ112" s="59">
        <f>$CF112-$CF113</f>
        <v/>
      </c>
      <c r="FR112" s="59">
        <f>$CG112-$CG113</f>
        <v/>
      </c>
      <c r="FS112" s="59">
        <f>$CH112-$CH113</f>
        <v/>
      </c>
      <c r="FT112" s="59">
        <f>$CI112-$CI113</f>
        <v/>
      </c>
      <c r="FU112" s="59">
        <f>$CJ112-$CJ113</f>
        <v/>
      </c>
      <c r="FV112" s="59">
        <f>$CK112-$CK113</f>
        <v/>
      </c>
      <c r="FW112" s="59">
        <f>$CL112-$CL113</f>
        <v/>
      </c>
      <c r="FX112" s="59">
        <f>$CM112-$CM113</f>
        <v/>
      </c>
      <c r="FY112" s="59">
        <f>$CN112-$CN113</f>
        <v/>
      </c>
      <c r="FZ112" s="59">
        <f>$CO112-$CO113</f>
        <v/>
      </c>
      <c r="GA112" s="59">
        <f>$CP112-$CP113</f>
        <v/>
      </c>
      <c r="GB112" s="59">
        <f>$CQ112-$CQ113</f>
        <v/>
      </c>
      <c r="GC112" s="59">
        <f>$CR112-$CR113</f>
        <v/>
      </c>
      <c r="GD112" s="59">
        <f>$CS112-$CS113</f>
        <v/>
      </c>
      <c r="GE112" s="59">
        <f>$CT112-$CT113</f>
        <v/>
      </c>
    </row>
    <row r="113">
      <c r="CU113" s="58">
        <f>IFERROR($B113/$B114-1,"")</f>
        <v/>
      </c>
      <c r="CV113" s="59">
        <f>($F113-$F114)*100</f>
        <v/>
      </c>
      <c r="CW113" s="59">
        <f>($E113-$E114)*100</f>
        <v/>
      </c>
      <c r="CX113" s="58">
        <f>IFERROR($K113/$K114-1,"")</f>
        <v/>
      </c>
      <c r="CY113" s="59">
        <f>($AH113-$AH114)*100</f>
        <v/>
      </c>
      <c r="CZ113" s="59">
        <f>($AI113-$AI114)*100</f>
        <v/>
      </c>
      <c r="DA113" s="59">
        <f>($AJ113-$AJ114)*100</f>
        <v/>
      </c>
      <c r="DB113" s="59">
        <f>($AK113-$AK114)*100</f>
        <v/>
      </c>
      <c r="DC113" s="59">
        <f>($AL113-$AL114)*100</f>
        <v/>
      </c>
      <c r="DD113" s="59">
        <f>($AM113-$AM114)*100</f>
        <v/>
      </c>
      <c r="DE113" s="59">
        <f>($AN113-$AN114)*100</f>
        <v/>
      </c>
      <c r="DF113" s="59">
        <f>($AO113-$AO114)*100</f>
        <v/>
      </c>
      <c r="DG113" s="59">
        <f>($AP113-$AP114)*100</f>
        <v/>
      </c>
      <c r="DH113" s="59">
        <f>($AQ113-$AQ114)*100</f>
        <v/>
      </c>
      <c r="DI113" s="59">
        <f>($AR113-$AR114)*100</f>
        <v/>
      </c>
      <c r="DJ113" s="59">
        <f>($AS113-$AS114)*100</f>
        <v/>
      </c>
      <c r="DK113" s="59">
        <f>($AT113-$AT114)*100</f>
        <v/>
      </c>
      <c r="DL113" s="59">
        <f>($AU113-$AU114)*100</f>
        <v/>
      </c>
      <c r="DM113" s="59">
        <f>($AV113-$AV114)*100</f>
        <v/>
      </c>
      <c r="DN113" s="59">
        <f>($AW113-$AW114)*100</f>
        <v/>
      </c>
      <c r="DO113" s="59">
        <f>($AX113-$AX114)*100</f>
        <v/>
      </c>
      <c r="DP113" s="59">
        <f>($AY113-$AY114)*100</f>
        <v/>
      </c>
      <c r="DQ113" s="59">
        <f>($AZ113-$AZ114)*100</f>
        <v/>
      </c>
      <c r="DR113" s="59">
        <f>($BA113-$BA114)*100</f>
        <v/>
      </c>
      <c r="DS113" s="58">
        <f>IFERROR($N114/$N113-1,"")</f>
        <v/>
      </c>
      <c r="DT113" s="58">
        <f>IFERROR($O114/$O113-1,"")</f>
        <v/>
      </c>
      <c r="DU113" s="58">
        <f>IFERROR($P114/$P113-1,"")</f>
        <v/>
      </c>
      <c r="DV113" s="58">
        <f>IFERROR($Q114/$Q113-1,"")</f>
        <v/>
      </c>
      <c r="DW113" s="58">
        <f>IFERROR($R114/$R113-1,"")</f>
        <v/>
      </c>
      <c r="DX113" s="58">
        <f>IFERROR($S114/$S113-1,"")</f>
        <v/>
      </c>
      <c r="DY113" s="58">
        <f>IFERROR($T114/$T113-1,"")</f>
        <v/>
      </c>
      <c r="DZ113" s="58">
        <f>IFERROR($U114/$U113-1,"")</f>
        <v/>
      </c>
      <c r="EA113" s="58">
        <f>IFERROR($V114/$V113-1,"")</f>
        <v/>
      </c>
      <c r="EB113" s="58">
        <f>IFERROR($W114/$W113-1,"")</f>
        <v/>
      </c>
      <c r="EC113" s="58">
        <f>IFERROR($X114/$X113-1,"")</f>
        <v/>
      </c>
      <c r="ED113" s="58">
        <f>IFERROR($Y114/$Y113-1,"")</f>
        <v/>
      </c>
      <c r="EE113" s="58">
        <f>IFERROR($Z114/$Z113-1,"")</f>
        <v/>
      </c>
      <c r="EF113" s="58">
        <f>IFERROR($AA114/$AA113-1,"")</f>
        <v/>
      </c>
      <c r="EG113" s="58">
        <f>IFERROR($AB114/$AB113-1,"")</f>
        <v/>
      </c>
      <c r="EH113" s="58">
        <f>IFERROR($AC114/$AC113-1,"")</f>
        <v/>
      </c>
      <c r="EI113" s="58">
        <f>IFERROR($AD114/$AD113-1,"")</f>
        <v/>
      </c>
      <c r="EJ113" s="58">
        <f>IFERROR($AE114/$AE113-1,"")</f>
        <v/>
      </c>
      <c r="EK113" s="58">
        <f>IFERROR($AF114/$AF113-1,"")</f>
        <v/>
      </c>
      <c r="EL113" s="58">
        <f>IFERROR($AG114/$AG113-1,"")</f>
        <v/>
      </c>
      <c r="EM113" s="58">
        <f>IFERROR($BB113/$BB114-1,"")</f>
        <v/>
      </c>
      <c r="EN113" s="58">
        <f>IFERROR($BC113/$BC114-1,"")</f>
        <v/>
      </c>
      <c r="EO113" s="58">
        <f>IFERROR($BD113/$BD114-1,"")</f>
        <v/>
      </c>
      <c r="EP113" s="58">
        <f>IFERROR($BE113/$BE114-1,"")</f>
        <v/>
      </c>
      <c r="EQ113" s="58">
        <f>IFERROR($BF113/$BF114-1,"")</f>
        <v/>
      </c>
      <c r="ER113" s="58">
        <f>IFERROR($BG113/$BG114-1,"")</f>
        <v/>
      </c>
      <c r="ES113" s="58">
        <f>IFERROR($BH113/$BH114-1,"")</f>
        <v/>
      </c>
      <c r="ET113" s="58">
        <f>IFERROR($BI113/$BI114-1,"")</f>
        <v/>
      </c>
      <c r="EU113" s="58">
        <f>IFERROR($BJ113/$BJ114-1,"")</f>
        <v/>
      </c>
      <c r="EV113" s="58">
        <f>IFERROR($BK113/$BK114-1,"")</f>
        <v/>
      </c>
      <c r="EW113" s="58">
        <f>IFERROR($BL113/$BL114-1,"")</f>
        <v/>
      </c>
      <c r="EX113" s="58">
        <f>IFERROR($BM113/$BM114-1,"")</f>
        <v/>
      </c>
      <c r="EY113" s="58">
        <f>IFERROR($BN113/$BN114-1,"")</f>
        <v/>
      </c>
      <c r="EZ113" s="58">
        <f>IFERROR($BO113/$BO114-1,"")</f>
        <v/>
      </c>
      <c r="FA113" s="58">
        <f>IFERROR($BP113/$BP114-1,"")</f>
        <v/>
      </c>
      <c r="FB113" s="58">
        <f>IFERROR($BQ113/$BQ114-1,"")</f>
        <v/>
      </c>
      <c r="FC113" s="58">
        <f>IFERROR($BR113/$BR114-1,"")</f>
        <v/>
      </c>
      <c r="FD113" s="58">
        <f>IFERROR($BS113/$BS114-1,"")</f>
        <v/>
      </c>
      <c r="FE113" s="58">
        <f>IFERROR($BT113/$BT114-1,"")</f>
        <v/>
      </c>
      <c r="FF113" s="58">
        <f>IFERROR($BU113/$BU114-1,"")</f>
        <v/>
      </c>
      <c r="FG113" s="58">
        <f>IFERROR($BV113/$BV114-1,"")</f>
        <v/>
      </c>
      <c r="FH113" s="58">
        <f>IFERROR($BW113/$BW114-1,"")</f>
        <v/>
      </c>
      <c r="FI113" s="58">
        <f>IFERROR($BX113/$BX114-1,"")</f>
        <v/>
      </c>
      <c r="FJ113" s="59">
        <f>$BY113-$BY114</f>
        <v/>
      </c>
      <c r="FK113" s="59">
        <f>$BZ113-$BZ114</f>
        <v/>
      </c>
      <c r="FL113" s="59">
        <f>$CA113-$CA114</f>
        <v/>
      </c>
      <c r="FM113" s="59">
        <f>$CB113-$CB114</f>
        <v/>
      </c>
      <c r="FN113" s="59">
        <f>$CC113-$CC114</f>
        <v/>
      </c>
      <c r="FO113" s="59">
        <f>$CD113-$CD114</f>
        <v/>
      </c>
      <c r="FP113" s="59">
        <f>$CE113-$CE114</f>
        <v/>
      </c>
      <c r="FQ113" s="59">
        <f>$CF113-$CF114</f>
        <v/>
      </c>
      <c r="FR113" s="59">
        <f>$CG113-$CG114</f>
        <v/>
      </c>
      <c r="FS113" s="59">
        <f>$CH113-$CH114</f>
        <v/>
      </c>
      <c r="FT113" s="59">
        <f>$CI113-$CI114</f>
        <v/>
      </c>
      <c r="FU113" s="59">
        <f>$CJ113-$CJ114</f>
        <v/>
      </c>
      <c r="FV113" s="59">
        <f>$CK113-$CK114</f>
        <v/>
      </c>
      <c r="FW113" s="59">
        <f>$CL113-$CL114</f>
        <v/>
      </c>
      <c r="FX113" s="59">
        <f>$CM113-$CM114</f>
        <v/>
      </c>
      <c r="FY113" s="59">
        <f>$CN113-$CN114</f>
        <v/>
      </c>
      <c r="FZ113" s="59">
        <f>$CO113-$CO114</f>
        <v/>
      </c>
      <c r="GA113" s="59">
        <f>$CP113-$CP114</f>
        <v/>
      </c>
      <c r="GB113" s="59">
        <f>$CQ113-$CQ114</f>
        <v/>
      </c>
      <c r="GC113" s="59">
        <f>$CR113-$CR114</f>
        <v/>
      </c>
      <c r="GD113" s="59">
        <f>$CS113-$CS114</f>
        <v/>
      </c>
      <c r="GE113" s="59">
        <f>$CT113-$CT114</f>
        <v/>
      </c>
    </row>
    <row r="114">
      <c r="CU114" s="58">
        <f>IFERROR($B114/$B115-1,"")</f>
        <v/>
      </c>
      <c r="CV114" s="59">
        <f>($F114-$F115)*100</f>
        <v/>
      </c>
      <c r="CW114" s="59">
        <f>($E114-$E115)*100</f>
        <v/>
      </c>
      <c r="CX114" s="58">
        <f>IFERROR($K114/$K115-1,"")</f>
        <v/>
      </c>
      <c r="CY114" s="59">
        <f>($AH114-$AH115)*100</f>
        <v/>
      </c>
      <c r="CZ114" s="59">
        <f>($AI114-$AI115)*100</f>
        <v/>
      </c>
      <c r="DA114" s="59">
        <f>($AJ114-$AJ115)*100</f>
        <v/>
      </c>
      <c r="DB114" s="59">
        <f>($AK114-$AK115)*100</f>
        <v/>
      </c>
      <c r="DC114" s="59">
        <f>($AL114-$AL115)*100</f>
        <v/>
      </c>
      <c r="DD114" s="59">
        <f>($AM114-$AM115)*100</f>
        <v/>
      </c>
      <c r="DE114" s="59">
        <f>($AN114-$AN115)*100</f>
        <v/>
      </c>
      <c r="DF114" s="59">
        <f>($AO114-$AO115)*100</f>
        <v/>
      </c>
      <c r="DG114" s="59">
        <f>($AP114-$AP115)*100</f>
        <v/>
      </c>
      <c r="DH114" s="59">
        <f>($AQ114-$AQ115)*100</f>
        <v/>
      </c>
      <c r="DI114" s="59">
        <f>($AR114-$AR115)*100</f>
        <v/>
      </c>
      <c r="DJ114" s="59">
        <f>($AS114-$AS115)*100</f>
        <v/>
      </c>
      <c r="DK114" s="59">
        <f>($AT114-$AT115)*100</f>
        <v/>
      </c>
      <c r="DL114" s="59">
        <f>($AU114-$AU115)*100</f>
        <v/>
      </c>
      <c r="DM114" s="59">
        <f>($AV114-$AV115)*100</f>
        <v/>
      </c>
      <c r="DN114" s="59">
        <f>($AW114-$AW115)*100</f>
        <v/>
      </c>
      <c r="DO114" s="59">
        <f>($AX114-$AX115)*100</f>
        <v/>
      </c>
      <c r="DP114" s="59">
        <f>($AY114-$AY115)*100</f>
        <v/>
      </c>
      <c r="DQ114" s="59">
        <f>($AZ114-$AZ115)*100</f>
        <v/>
      </c>
      <c r="DR114" s="59">
        <f>($BA114-$BA115)*100</f>
        <v/>
      </c>
      <c r="DS114" s="58">
        <f>IFERROR($N115/$N114-1,"")</f>
        <v/>
      </c>
      <c r="DT114" s="58">
        <f>IFERROR($O115/$O114-1,"")</f>
        <v/>
      </c>
      <c r="DU114" s="58">
        <f>IFERROR($P115/$P114-1,"")</f>
        <v/>
      </c>
      <c r="DV114" s="58">
        <f>IFERROR($Q115/$Q114-1,"")</f>
        <v/>
      </c>
      <c r="DW114" s="58">
        <f>IFERROR($R115/$R114-1,"")</f>
        <v/>
      </c>
      <c r="DX114" s="58">
        <f>IFERROR($S115/$S114-1,"")</f>
        <v/>
      </c>
      <c r="DY114" s="58">
        <f>IFERROR($T115/$T114-1,"")</f>
        <v/>
      </c>
      <c r="DZ114" s="58">
        <f>IFERROR($U115/$U114-1,"")</f>
        <v/>
      </c>
      <c r="EA114" s="58">
        <f>IFERROR($V115/$V114-1,"")</f>
        <v/>
      </c>
      <c r="EB114" s="58">
        <f>IFERROR($W115/$W114-1,"")</f>
        <v/>
      </c>
      <c r="EC114" s="58">
        <f>IFERROR($X115/$X114-1,"")</f>
        <v/>
      </c>
      <c r="ED114" s="58">
        <f>IFERROR($Y115/$Y114-1,"")</f>
        <v/>
      </c>
      <c r="EE114" s="58">
        <f>IFERROR($Z115/$Z114-1,"")</f>
        <v/>
      </c>
      <c r="EF114" s="58">
        <f>IFERROR($AA115/$AA114-1,"")</f>
        <v/>
      </c>
      <c r="EG114" s="58">
        <f>IFERROR($AB115/$AB114-1,"")</f>
        <v/>
      </c>
      <c r="EH114" s="58">
        <f>IFERROR($AC115/$AC114-1,"")</f>
        <v/>
      </c>
      <c r="EI114" s="58">
        <f>IFERROR($AD115/$AD114-1,"")</f>
        <v/>
      </c>
      <c r="EJ114" s="58">
        <f>IFERROR($AE115/$AE114-1,"")</f>
        <v/>
      </c>
      <c r="EK114" s="58">
        <f>IFERROR($AF115/$AF114-1,"")</f>
        <v/>
      </c>
      <c r="EL114" s="58">
        <f>IFERROR($AG115/$AG114-1,"")</f>
        <v/>
      </c>
      <c r="EM114" s="58">
        <f>IFERROR($BB114/$BB115-1,"")</f>
        <v/>
      </c>
      <c r="EN114" s="58">
        <f>IFERROR($BC114/$BC115-1,"")</f>
        <v/>
      </c>
      <c r="EO114" s="58">
        <f>IFERROR($BD114/$BD115-1,"")</f>
        <v/>
      </c>
      <c r="EP114" s="58">
        <f>IFERROR($BE114/$BE115-1,"")</f>
        <v/>
      </c>
      <c r="EQ114" s="58">
        <f>IFERROR($BF114/$BF115-1,"")</f>
        <v/>
      </c>
      <c r="ER114" s="58">
        <f>IFERROR($BG114/$BG115-1,"")</f>
        <v/>
      </c>
      <c r="ES114" s="58">
        <f>IFERROR($BH114/$BH115-1,"")</f>
        <v/>
      </c>
      <c r="ET114" s="58">
        <f>IFERROR($BI114/$BI115-1,"")</f>
        <v/>
      </c>
      <c r="EU114" s="58">
        <f>IFERROR($BJ114/$BJ115-1,"")</f>
        <v/>
      </c>
      <c r="EV114" s="58">
        <f>IFERROR($BK114/$BK115-1,"")</f>
        <v/>
      </c>
      <c r="EW114" s="58">
        <f>IFERROR($BL114/$BL115-1,"")</f>
        <v/>
      </c>
      <c r="EX114" s="58">
        <f>IFERROR($BM114/$BM115-1,"")</f>
        <v/>
      </c>
      <c r="EY114" s="58">
        <f>IFERROR($BN114/$BN115-1,"")</f>
        <v/>
      </c>
      <c r="EZ114" s="58">
        <f>IFERROR($BO114/$BO115-1,"")</f>
        <v/>
      </c>
      <c r="FA114" s="58">
        <f>IFERROR($BP114/$BP115-1,"")</f>
        <v/>
      </c>
      <c r="FB114" s="58">
        <f>IFERROR($BQ114/$BQ115-1,"")</f>
        <v/>
      </c>
      <c r="FC114" s="58">
        <f>IFERROR($BR114/$BR115-1,"")</f>
        <v/>
      </c>
      <c r="FD114" s="58">
        <f>IFERROR($BS114/$BS115-1,"")</f>
        <v/>
      </c>
      <c r="FE114" s="58">
        <f>IFERROR($BT114/$BT115-1,"")</f>
        <v/>
      </c>
      <c r="FF114" s="58">
        <f>IFERROR($BU114/$BU115-1,"")</f>
        <v/>
      </c>
      <c r="FG114" s="58">
        <f>IFERROR($BV114/$BV115-1,"")</f>
        <v/>
      </c>
      <c r="FH114" s="58">
        <f>IFERROR($BW114/$BW115-1,"")</f>
        <v/>
      </c>
      <c r="FI114" s="58">
        <f>IFERROR($BX114/$BX115-1,"")</f>
        <v/>
      </c>
      <c r="FJ114" s="59">
        <f>$BY114-$BY115</f>
        <v/>
      </c>
      <c r="FK114" s="59">
        <f>$BZ114-$BZ115</f>
        <v/>
      </c>
      <c r="FL114" s="59">
        <f>$CA114-$CA115</f>
        <v/>
      </c>
      <c r="FM114" s="59">
        <f>$CB114-$CB115</f>
        <v/>
      </c>
      <c r="FN114" s="59">
        <f>$CC114-$CC115</f>
        <v/>
      </c>
      <c r="FO114" s="59">
        <f>$CD114-$CD115</f>
        <v/>
      </c>
      <c r="FP114" s="59">
        <f>$CE114-$CE115</f>
        <v/>
      </c>
      <c r="FQ114" s="59">
        <f>$CF114-$CF115</f>
        <v/>
      </c>
      <c r="FR114" s="59">
        <f>$CG114-$CG115</f>
        <v/>
      </c>
      <c r="FS114" s="59">
        <f>$CH114-$CH115</f>
        <v/>
      </c>
      <c r="FT114" s="59">
        <f>$CI114-$CI115</f>
        <v/>
      </c>
      <c r="FU114" s="59">
        <f>$CJ114-$CJ115</f>
        <v/>
      </c>
      <c r="FV114" s="59">
        <f>$CK114-$CK115</f>
        <v/>
      </c>
      <c r="FW114" s="59">
        <f>$CL114-$CL115</f>
        <v/>
      </c>
      <c r="FX114" s="59">
        <f>$CM114-$CM115</f>
        <v/>
      </c>
      <c r="FY114" s="59">
        <f>$CN114-$CN115</f>
        <v/>
      </c>
      <c r="FZ114" s="59">
        <f>$CO114-$CO115</f>
        <v/>
      </c>
      <c r="GA114" s="59">
        <f>$CP114-$CP115</f>
        <v/>
      </c>
      <c r="GB114" s="59">
        <f>$CQ114-$CQ115</f>
        <v/>
      </c>
      <c r="GC114" s="59">
        <f>$CR114-$CR115</f>
        <v/>
      </c>
      <c r="GD114" s="59">
        <f>$CS114-$CS115</f>
        <v/>
      </c>
      <c r="GE114" s="59">
        <f>$CT114-$CT115</f>
        <v/>
      </c>
    </row>
    <row r="115">
      <c r="CU115" s="58">
        <f>IFERROR($B115/$B116-1,"")</f>
        <v/>
      </c>
      <c r="CV115" s="59">
        <f>($F115-$F116)*100</f>
        <v/>
      </c>
      <c r="CW115" s="59">
        <f>($E115-$E116)*100</f>
        <v/>
      </c>
      <c r="CX115" s="58">
        <f>IFERROR($K115/$K116-1,"")</f>
        <v/>
      </c>
      <c r="CY115" s="59">
        <f>($AH115-$AH116)*100</f>
        <v/>
      </c>
      <c r="CZ115" s="59">
        <f>($AI115-$AI116)*100</f>
        <v/>
      </c>
      <c r="DA115" s="59">
        <f>($AJ115-$AJ116)*100</f>
        <v/>
      </c>
      <c r="DB115" s="59">
        <f>($AK115-$AK116)*100</f>
        <v/>
      </c>
      <c r="DC115" s="59">
        <f>($AL115-$AL116)*100</f>
        <v/>
      </c>
      <c r="DD115" s="59">
        <f>($AM115-$AM116)*100</f>
        <v/>
      </c>
      <c r="DE115" s="59">
        <f>($AN115-$AN116)*100</f>
        <v/>
      </c>
      <c r="DF115" s="59">
        <f>($AO115-$AO116)*100</f>
        <v/>
      </c>
      <c r="DG115" s="59">
        <f>($AP115-$AP116)*100</f>
        <v/>
      </c>
      <c r="DH115" s="59">
        <f>($AQ115-$AQ116)*100</f>
        <v/>
      </c>
      <c r="DI115" s="59">
        <f>($AR115-$AR116)*100</f>
        <v/>
      </c>
      <c r="DJ115" s="59">
        <f>($AS115-$AS116)*100</f>
        <v/>
      </c>
      <c r="DK115" s="59">
        <f>($AT115-$AT116)*100</f>
        <v/>
      </c>
      <c r="DL115" s="59">
        <f>($AU115-$AU116)*100</f>
        <v/>
      </c>
      <c r="DM115" s="59">
        <f>($AV115-$AV116)*100</f>
        <v/>
      </c>
      <c r="DN115" s="59">
        <f>($AW115-$AW116)*100</f>
        <v/>
      </c>
      <c r="DO115" s="59">
        <f>($AX115-$AX116)*100</f>
        <v/>
      </c>
      <c r="DP115" s="59">
        <f>($AY115-$AY116)*100</f>
        <v/>
      </c>
      <c r="DQ115" s="59">
        <f>($AZ115-$AZ116)*100</f>
        <v/>
      </c>
      <c r="DR115" s="59">
        <f>($BA115-$BA116)*100</f>
        <v/>
      </c>
      <c r="DS115" s="58">
        <f>IFERROR($N116/$N115-1,"")</f>
        <v/>
      </c>
      <c r="DT115" s="58">
        <f>IFERROR($O116/$O115-1,"")</f>
        <v/>
      </c>
      <c r="DU115" s="58">
        <f>IFERROR($P116/$P115-1,"")</f>
        <v/>
      </c>
      <c r="DV115" s="58">
        <f>IFERROR($Q116/$Q115-1,"")</f>
        <v/>
      </c>
      <c r="DW115" s="58">
        <f>IFERROR($R116/$R115-1,"")</f>
        <v/>
      </c>
      <c r="DX115" s="58">
        <f>IFERROR($S116/$S115-1,"")</f>
        <v/>
      </c>
      <c r="DY115" s="58">
        <f>IFERROR($T116/$T115-1,"")</f>
        <v/>
      </c>
      <c r="DZ115" s="58">
        <f>IFERROR($U116/$U115-1,"")</f>
        <v/>
      </c>
      <c r="EA115" s="58">
        <f>IFERROR($V116/$V115-1,"")</f>
        <v/>
      </c>
      <c r="EB115" s="58">
        <f>IFERROR($W116/$W115-1,"")</f>
        <v/>
      </c>
      <c r="EC115" s="58">
        <f>IFERROR($X116/$X115-1,"")</f>
        <v/>
      </c>
      <c r="ED115" s="58">
        <f>IFERROR($Y116/$Y115-1,"")</f>
        <v/>
      </c>
      <c r="EE115" s="58">
        <f>IFERROR($Z116/$Z115-1,"")</f>
        <v/>
      </c>
      <c r="EF115" s="58">
        <f>IFERROR($AA116/$AA115-1,"")</f>
        <v/>
      </c>
      <c r="EG115" s="58">
        <f>IFERROR($AB116/$AB115-1,"")</f>
        <v/>
      </c>
      <c r="EH115" s="58">
        <f>IFERROR($AC116/$AC115-1,"")</f>
        <v/>
      </c>
      <c r="EI115" s="58">
        <f>IFERROR($AD116/$AD115-1,"")</f>
        <v/>
      </c>
      <c r="EJ115" s="58">
        <f>IFERROR($AE116/$AE115-1,"")</f>
        <v/>
      </c>
      <c r="EK115" s="58">
        <f>IFERROR($AF116/$AF115-1,"")</f>
        <v/>
      </c>
      <c r="EL115" s="58">
        <f>IFERROR($AG116/$AG115-1,"")</f>
        <v/>
      </c>
      <c r="EM115" s="58">
        <f>IFERROR($BB115/$BB116-1,"")</f>
        <v/>
      </c>
      <c r="EN115" s="58">
        <f>IFERROR($BC115/$BC116-1,"")</f>
        <v/>
      </c>
      <c r="EO115" s="58">
        <f>IFERROR($BD115/$BD116-1,"")</f>
        <v/>
      </c>
      <c r="EP115" s="58">
        <f>IFERROR($BE115/$BE116-1,"")</f>
        <v/>
      </c>
      <c r="EQ115" s="58">
        <f>IFERROR($BF115/$BF116-1,"")</f>
        <v/>
      </c>
      <c r="ER115" s="58">
        <f>IFERROR($BG115/$BG116-1,"")</f>
        <v/>
      </c>
      <c r="ES115" s="58">
        <f>IFERROR($BH115/$BH116-1,"")</f>
        <v/>
      </c>
      <c r="ET115" s="58">
        <f>IFERROR($BI115/$BI116-1,"")</f>
        <v/>
      </c>
      <c r="EU115" s="58">
        <f>IFERROR($BJ115/$BJ116-1,"")</f>
        <v/>
      </c>
      <c r="EV115" s="58">
        <f>IFERROR($BK115/$BK116-1,"")</f>
        <v/>
      </c>
      <c r="EW115" s="58">
        <f>IFERROR($BL115/$BL116-1,"")</f>
        <v/>
      </c>
      <c r="EX115" s="58">
        <f>IFERROR($BM115/$BM116-1,"")</f>
        <v/>
      </c>
      <c r="EY115" s="58">
        <f>IFERROR($BN115/$BN116-1,"")</f>
        <v/>
      </c>
      <c r="EZ115" s="58">
        <f>IFERROR($BO115/$BO116-1,"")</f>
        <v/>
      </c>
      <c r="FA115" s="58">
        <f>IFERROR($BP115/$BP116-1,"")</f>
        <v/>
      </c>
      <c r="FB115" s="58">
        <f>IFERROR($BQ115/$BQ116-1,"")</f>
        <v/>
      </c>
      <c r="FC115" s="58">
        <f>IFERROR($BR115/$BR116-1,"")</f>
        <v/>
      </c>
      <c r="FD115" s="58">
        <f>IFERROR($BS115/$BS116-1,"")</f>
        <v/>
      </c>
      <c r="FE115" s="58">
        <f>IFERROR($BT115/$BT116-1,"")</f>
        <v/>
      </c>
      <c r="FF115" s="58">
        <f>IFERROR($BU115/$BU116-1,"")</f>
        <v/>
      </c>
      <c r="FG115" s="58">
        <f>IFERROR($BV115/$BV116-1,"")</f>
        <v/>
      </c>
      <c r="FH115" s="58">
        <f>IFERROR($BW115/$BW116-1,"")</f>
        <v/>
      </c>
      <c r="FI115" s="58">
        <f>IFERROR($BX115/$BX116-1,"")</f>
        <v/>
      </c>
      <c r="FJ115" s="59">
        <f>$BY115-$BY116</f>
        <v/>
      </c>
      <c r="FK115" s="59">
        <f>$BZ115-$BZ116</f>
        <v/>
      </c>
      <c r="FL115" s="59">
        <f>$CA115-$CA116</f>
        <v/>
      </c>
      <c r="FM115" s="59">
        <f>$CB115-$CB116</f>
        <v/>
      </c>
      <c r="FN115" s="59">
        <f>$CC115-$CC116</f>
        <v/>
      </c>
      <c r="FO115" s="59">
        <f>$CD115-$CD116</f>
        <v/>
      </c>
      <c r="FP115" s="59">
        <f>$CE115-$CE116</f>
        <v/>
      </c>
      <c r="FQ115" s="59">
        <f>$CF115-$CF116</f>
        <v/>
      </c>
      <c r="FR115" s="59">
        <f>$CG115-$CG116</f>
        <v/>
      </c>
      <c r="FS115" s="59">
        <f>$CH115-$CH116</f>
        <v/>
      </c>
      <c r="FT115" s="59">
        <f>$CI115-$CI116</f>
        <v/>
      </c>
      <c r="FU115" s="59">
        <f>$CJ115-$CJ116</f>
        <v/>
      </c>
      <c r="FV115" s="59">
        <f>$CK115-$CK116</f>
        <v/>
      </c>
      <c r="FW115" s="59">
        <f>$CL115-$CL116</f>
        <v/>
      </c>
      <c r="FX115" s="59">
        <f>$CM115-$CM116</f>
        <v/>
      </c>
      <c r="FY115" s="59">
        <f>$CN115-$CN116</f>
        <v/>
      </c>
      <c r="FZ115" s="59">
        <f>$CO115-$CO116</f>
        <v/>
      </c>
      <c r="GA115" s="59">
        <f>$CP115-$CP116</f>
        <v/>
      </c>
      <c r="GB115" s="59">
        <f>$CQ115-$CQ116</f>
        <v/>
      </c>
      <c r="GC115" s="59">
        <f>$CR115-$CR116</f>
        <v/>
      </c>
      <c r="GD115" s="59">
        <f>$CS115-$CS116</f>
        <v/>
      </c>
      <c r="GE115" s="59">
        <f>$CT115-$CT116</f>
        <v/>
      </c>
    </row>
    <row r="116">
      <c r="CU116" s="58">
        <f>IFERROR($B116/$B117-1,"")</f>
        <v/>
      </c>
      <c r="CV116" s="59">
        <f>($F116-$F117)*100</f>
        <v/>
      </c>
      <c r="CW116" s="59">
        <f>($E116-$E117)*100</f>
        <v/>
      </c>
      <c r="CX116" s="58">
        <f>IFERROR($K116/$K117-1,"")</f>
        <v/>
      </c>
      <c r="CY116" s="59">
        <f>($AH116-$AH117)*100</f>
        <v/>
      </c>
      <c r="CZ116" s="59">
        <f>($AI116-$AI117)*100</f>
        <v/>
      </c>
      <c r="DA116" s="59">
        <f>($AJ116-$AJ117)*100</f>
        <v/>
      </c>
      <c r="DB116" s="59">
        <f>($AK116-$AK117)*100</f>
        <v/>
      </c>
      <c r="DC116" s="59">
        <f>($AL116-$AL117)*100</f>
        <v/>
      </c>
      <c r="DD116" s="59">
        <f>($AM116-$AM117)*100</f>
        <v/>
      </c>
      <c r="DE116" s="59">
        <f>($AN116-$AN117)*100</f>
        <v/>
      </c>
      <c r="DF116" s="59">
        <f>($AO116-$AO117)*100</f>
        <v/>
      </c>
      <c r="DG116" s="59">
        <f>($AP116-$AP117)*100</f>
        <v/>
      </c>
      <c r="DH116" s="59">
        <f>($AQ116-$AQ117)*100</f>
        <v/>
      </c>
      <c r="DI116" s="59">
        <f>($AR116-$AR117)*100</f>
        <v/>
      </c>
      <c r="DJ116" s="59">
        <f>($AS116-$AS117)*100</f>
        <v/>
      </c>
      <c r="DK116" s="59">
        <f>($AT116-$AT117)*100</f>
        <v/>
      </c>
      <c r="DL116" s="59">
        <f>($AU116-$AU117)*100</f>
        <v/>
      </c>
      <c r="DM116" s="59">
        <f>($AV116-$AV117)*100</f>
        <v/>
      </c>
      <c r="DN116" s="59">
        <f>($AW116-$AW117)*100</f>
        <v/>
      </c>
      <c r="DO116" s="59">
        <f>($AX116-$AX117)*100</f>
        <v/>
      </c>
      <c r="DP116" s="59">
        <f>($AY116-$AY117)*100</f>
        <v/>
      </c>
      <c r="DQ116" s="59">
        <f>($AZ116-$AZ117)*100</f>
        <v/>
      </c>
      <c r="DR116" s="59">
        <f>($BA116-$BA117)*100</f>
        <v/>
      </c>
      <c r="DS116" s="58">
        <f>IFERROR($N117/$N116-1,"")</f>
        <v/>
      </c>
      <c r="DT116" s="58">
        <f>IFERROR($O117/$O116-1,"")</f>
        <v/>
      </c>
      <c r="DU116" s="58">
        <f>IFERROR($P117/$P116-1,"")</f>
        <v/>
      </c>
      <c r="DV116" s="58">
        <f>IFERROR($Q117/$Q116-1,"")</f>
        <v/>
      </c>
      <c r="DW116" s="58">
        <f>IFERROR($R117/$R116-1,"")</f>
        <v/>
      </c>
      <c r="DX116" s="58">
        <f>IFERROR($S117/$S116-1,"")</f>
        <v/>
      </c>
      <c r="DY116" s="58">
        <f>IFERROR($T117/$T116-1,"")</f>
        <v/>
      </c>
      <c r="DZ116" s="58">
        <f>IFERROR($U117/$U116-1,"")</f>
        <v/>
      </c>
      <c r="EA116" s="58">
        <f>IFERROR($V117/$V116-1,"")</f>
        <v/>
      </c>
      <c r="EB116" s="58">
        <f>IFERROR($W117/$W116-1,"")</f>
        <v/>
      </c>
      <c r="EC116" s="58">
        <f>IFERROR($X117/$X116-1,"")</f>
        <v/>
      </c>
      <c r="ED116" s="58">
        <f>IFERROR($Y117/$Y116-1,"")</f>
        <v/>
      </c>
      <c r="EE116" s="58">
        <f>IFERROR($Z117/$Z116-1,"")</f>
        <v/>
      </c>
      <c r="EF116" s="58">
        <f>IFERROR($AA117/$AA116-1,"")</f>
        <v/>
      </c>
      <c r="EG116" s="58">
        <f>IFERROR($AB117/$AB116-1,"")</f>
        <v/>
      </c>
      <c r="EH116" s="58">
        <f>IFERROR($AC117/$AC116-1,"")</f>
        <v/>
      </c>
      <c r="EI116" s="58">
        <f>IFERROR($AD117/$AD116-1,"")</f>
        <v/>
      </c>
      <c r="EJ116" s="58">
        <f>IFERROR($AE117/$AE116-1,"")</f>
        <v/>
      </c>
      <c r="EK116" s="58">
        <f>IFERROR($AF117/$AF116-1,"")</f>
        <v/>
      </c>
      <c r="EL116" s="58">
        <f>IFERROR($AG117/$AG116-1,"")</f>
        <v/>
      </c>
      <c r="EM116" s="58">
        <f>IFERROR($BB116/$BB117-1,"")</f>
        <v/>
      </c>
      <c r="EN116" s="58">
        <f>IFERROR($BC116/$BC117-1,"")</f>
        <v/>
      </c>
      <c r="EO116" s="58">
        <f>IFERROR($BD116/$BD117-1,"")</f>
        <v/>
      </c>
      <c r="EP116" s="58">
        <f>IFERROR($BE116/$BE117-1,"")</f>
        <v/>
      </c>
      <c r="EQ116" s="58">
        <f>IFERROR($BF116/$BF117-1,"")</f>
        <v/>
      </c>
      <c r="ER116" s="58">
        <f>IFERROR($BG116/$BG117-1,"")</f>
        <v/>
      </c>
      <c r="ES116" s="58">
        <f>IFERROR($BH116/$BH117-1,"")</f>
        <v/>
      </c>
      <c r="ET116" s="58">
        <f>IFERROR($BI116/$BI117-1,"")</f>
        <v/>
      </c>
      <c r="EU116" s="58">
        <f>IFERROR($BJ116/$BJ117-1,"")</f>
        <v/>
      </c>
      <c r="EV116" s="58">
        <f>IFERROR($BK116/$BK117-1,"")</f>
        <v/>
      </c>
      <c r="EW116" s="58">
        <f>IFERROR($BL116/$BL117-1,"")</f>
        <v/>
      </c>
      <c r="EX116" s="58">
        <f>IFERROR($BM116/$BM117-1,"")</f>
        <v/>
      </c>
      <c r="EY116" s="58">
        <f>IFERROR($BN116/$BN117-1,"")</f>
        <v/>
      </c>
      <c r="EZ116" s="58">
        <f>IFERROR($BO116/$BO117-1,"")</f>
        <v/>
      </c>
      <c r="FA116" s="58">
        <f>IFERROR($BP116/$BP117-1,"")</f>
        <v/>
      </c>
      <c r="FB116" s="58">
        <f>IFERROR($BQ116/$BQ117-1,"")</f>
        <v/>
      </c>
      <c r="FC116" s="58">
        <f>IFERROR($BR116/$BR117-1,"")</f>
        <v/>
      </c>
      <c r="FD116" s="58">
        <f>IFERROR($BS116/$BS117-1,"")</f>
        <v/>
      </c>
      <c r="FE116" s="58">
        <f>IFERROR($BT116/$BT117-1,"")</f>
        <v/>
      </c>
      <c r="FF116" s="58">
        <f>IFERROR($BU116/$BU117-1,"")</f>
        <v/>
      </c>
      <c r="FG116" s="58">
        <f>IFERROR($BV116/$BV117-1,"")</f>
        <v/>
      </c>
      <c r="FH116" s="58">
        <f>IFERROR($BW116/$BW117-1,"")</f>
        <v/>
      </c>
      <c r="FI116" s="58">
        <f>IFERROR($BX116/$BX117-1,"")</f>
        <v/>
      </c>
      <c r="FJ116" s="59">
        <f>$BY116-$BY117</f>
        <v/>
      </c>
      <c r="FK116" s="59">
        <f>$BZ116-$BZ117</f>
        <v/>
      </c>
      <c r="FL116" s="59">
        <f>$CA116-$CA117</f>
        <v/>
      </c>
      <c r="FM116" s="59">
        <f>$CB116-$CB117</f>
        <v/>
      </c>
      <c r="FN116" s="59">
        <f>$CC116-$CC117</f>
        <v/>
      </c>
      <c r="FO116" s="59">
        <f>$CD116-$CD117</f>
        <v/>
      </c>
      <c r="FP116" s="59">
        <f>$CE116-$CE117</f>
        <v/>
      </c>
      <c r="FQ116" s="59">
        <f>$CF116-$CF117</f>
        <v/>
      </c>
      <c r="FR116" s="59">
        <f>$CG116-$CG117</f>
        <v/>
      </c>
      <c r="FS116" s="59">
        <f>$CH116-$CH117</f>
        <v/>
      </c>
      <c r="FT116" s="59">
        <f>$CI116-$CI117</f>
        <v/>
      </c>
      <c r="FU116" s="59">
        <f>$CJ116-$CJ117</f>
        <v/>
      </c>
      <c r="FV116" s="59">
        <f>$CK116-$CK117</f>
        <v/>
      </c>
      <c r="FW116" s="59">
        <f>$CL116-$CL117</f>
        <v/>
      </c>
      <c r="FX116" s="59">
        <f>$CM116-$CM117</f>
        <v/>
      </c>
      <c r="FY116" s="59">
        <f>$CN116-$CN117</f>
        <v/>
      </c>
      <c r="FZ116" s="59">
        <f>$CO116-$CO117</f>
        <v/>
      </c>
      <c r="GA116" s="59">
        <f>$CP116-$CP117</f>
        <v/>
      </c>
      <c r="GB116" s="59">
        <f>$CQ116-$CQ117</f>
        <v/>
      </c>
      <c r="GC116" s="59">
        <f>$CR116-$CR117</f>
        <v/>
      </c>
      <c r="GD116" s="59">
        <f>$CS116-$CS117</f>
        <v/>
      </c>
      <c r="GE116" s="59">
        <f>$CT116-$CT117</f>
        <v/>
      </c>
    </row>
    <row r="117">
      <c r="CU117" s="58">
        <f>IFERROR($B117/$B118-1,"")</f>
        <v/>
      </c>
      <c r="CV117" s="59">
        <f>($F117-$F118)*100</f>
        <v/>
      </c>
      <c r="CW117" s="59">
        <f>($E117-$E118)*100</f>
        <v/>
      </c>
      <c r="CX117" s="58">
        <f>IFERROR($K117/$K118-1,"")</f>
        <v/>
      </c>
      <c r="CY117" s="59">
        <f>($AH117-$AH118)*100</f>
        <v/>
      </c>
      <c r="CZ117" s="59">
        <f>($AI117-$AI118)*100</f>
        <v/>
      </c>
      <c r="DA117" s="59">
        <f>($AJ117-$AJ118)*100</f>
        <v/>
      </c>
      <c r="DB117" s="59">
        <f>($AK117-$AK118)*100</f>
        <v/>
      </c>
      <c r="DC117" s="59">
        <f>($AL117-$AL118)*100</f>
        <v/>
      </c>
      <c r="DD117" s="59">
        <f>($AM117-$AM118)*100</f>
        <v/>
      </c>
      <c r="DE117" s="59">
        <f>($AN117-$AN118)*100</f>
        <v/>
      </c>
      <c r="DF117" s="59">
        <f>($AO117-$AO118)*100</f>
        <v/>
      </c>
      <c r="DG117" s="59">
        <f>($AP117-$AP118)*100</f>
        <v/>
      </c>
      <c r="DH117" s="59">
        <f>($AQ117-$AQ118)*100</f>
        <v/>
      </c>
      <c r="DI117" s="59">
        <f>($AR117-$AR118)*100</f>
        <v/>
      </c>
      <c r="DJ117" s="59">
        <f>($AS117-$AS118)*100</f>
        <v/>
      </c>
      <c r="DK117" s="59">
        <f>($AT117-$AT118)*100</f>
        <v/>
      </c>
      <c r="DL117" s="59">
        <f>($AU117-$AU118)*100</f>
        <v/>
      </c>
      <c r="DM117" s="59">
        <f>($AV117-$AV118)*100</f>
        <v/>
      </c>
      <c r="DN117" s="59">
        <f>($AW117-$AW118)*100</f>
        <v/>
      </c>
      <c r="DO117" s="59">
        <f>($AX117-$AX118)*100</f>
        <v/>
      </c>
      <c r="DP117" s="59">
        <f>($AY117-$AY118)*100</f>
        <v/>
      </c>
      <c r="DQ117" s="59">
        <f>($AZ117-$AZ118)*100</f>
        <v/>
      </c>
      <c r="DR117" s="59">
        <f>($BA117-$BA118)*100</f>
        <v/>
      </c>
      <c r="DS117" s="58">
        <f>IFERROR($N118/$N117-1,"")</f>
        <v/>
      </c>
      <c r="DT117" s="58">
        <f>IFERROR($O118/$O117-1,"")</f>
        <v/>
      </c>
      <c r="DU117" s="58">
        <f>IFERROR($P118/$P117-1,"")</f>
        <v/>
      </c>
      <c r="DV117" s="58">
        <f>IFERROR($Q118/$Q117-1,"")</f>
        <v/>
      </c>
      <c r="DW117" s="58">
        <f>IFERROR($R118/$R117-1,"")</f>
        <v/>
      </c>
      <c r="DX117" s="58">
        <f>IFERROR($S118/$S117-1,"")</f>
        <v/>
      </c>
      <c r="DY117" s="58">
        <f>IFERROR($T118/$T117-1,"")</f>
        <v/>
      </c>
      <c r="DZ117" s="58">
        <f>IFERROR($U118/$U117-1,"")</f>
        <v/>
      </c>
      <c r="EA117" s="58">
        <f>IFERROR($V118/$V117-1,"")</f>
        <v/>
      </c>
      <c r="EB117" s="58">
        <f>IFERROR($W118/$W117-1,"")</f>
        <v/>
      </c>
      <c r="EC117" s="58">
        <f>IFERROR($X118/$X117-1,"")</f>
        <v/>
      </c>
      <c r="ED117" s="58">
        <f>IFERROR($Y118/$Y117-1,"")</f>
        <v/>
      </c>
      <c r="EE117" s="58">
        <f>IFERROR($Z118/$Z117-1,"")</f>
        <v/>
      </c>
      <c r="EF117" s="58">
        <f>IFERROR($AA118/$AA117-1,"")</f>
        <v/>
      </c>
      <c r="EG117" s="58">
        <f>IFERROR($AB118/$AB117-1,"")</f>
        <v/>
      </c>
      <c r="EH117" s="58">
        <f>IFERROR($AC118/$AC117-1,"")</f>
        <v/>
      </c>
      <c r="EI117" s="58">
        <f>IFERROR($AD118/$AD117-1,"")</f>
        <v/>
      </c>
      <c r="EJ117" s="58">
        <f>IFERROR($AE118/$AE117-1,"")</f>
        <v/>
      </c>
      <c r="EK117" s="58">
        <f>IFERROR($AF118/$AF117-1,"")</f>
        <v/>
      </c>
      <c r="EL117" s="58">
        <f>IFERROR($AG118/$AG117-1,"")</f>
        <v/>
      </c>
      <c r="EM117" s="58">
        <f>IFERROR($BB117/$BB118-1,"")</f>
        <v/>
      </c>
      <c r="EN117" s="58">
        <f>IFERROR($BC117/$BC118-1,"")</f>
        <v/>
      </c>
      <c r="EO117" s="58">
        <f>IFERROR($BD117/$BD118-1,"")</f>
        <v/>
      </c>
      <c r="EP117" s="58">
        <f>IFERROR($BE117/$BE118-1,"")</f>
        <v/>
      </c>
      <c r="EQ117" s="58">
        <f>IFERROR($BF117/$BF118-1,"")</f>
        <v/>
      </c>
      <c r="ER117" s="58">
        <f>IFERROR($BG117/$BG118-1,"")</f>
        <v/>
      </c>
      <c r="ES117" s="58">
        <f>IFERROR($BH117/$BH118-1,"")</f>
        <v/>
      </c>
      <c r="ET117" s="58">
        <f>IFERROR($BI117/$BI118-1,"")</f>
        <v/>
      </c>
      <c r="EU117" s="58">
        <f>IFERROR($BJ117/$BJ118-1,"")</f>
        <v/>
      </c>
      <c r="EV117" s="58">
        <f>IFERROR($BK117/$BK118-1,"")</f>
        <v/>
      </c>
      <c r="EW117" s="58">
        <f>IFERROR($BL117/$BL118-1,"")</f>
        <v/>
      </c>
      <c r="EX117" s="58">
        <f>IFERROR($BM117/$BM118-1,"")</f>
        <v/>
      </c>
      <c r="EY117" s="58">
        <f>IFERROR($BN117/$BN118-1,"")</f>
        <v/>
      </c>
      <c r="EZ117" s="58">
        <f>IFERROR($BO117/$BO118-1,"")</f>
        <v/>
      </c>
      <c r="FA117" s="58">
        <f>IFERROR($BP117/$BP118-1,"")</f>
        <v/>
      </c>
      <c r="FB117" s="58">
        <f>IFERROR($BQ117/$BQ118-1,"")</f>
        <v/>
      </c>
      <c r="FC117" s="58">
        <f>IFERROR($BR117/$BR118-1,"")</f>
        <v/>
      </c>
      <c r="FD117" s="58">
        <f>IFERROR($BS117/$BS118-1,"")</f>
        <v/>
      </c>
      <c r="FE117" s="58">
        <f>IFERROR($BT117/$BT118-1,"")</f>
        <v/>
      </c>
      <c r="FF117" s="58">
        <f>IFERROR($BU117/$BU118-1,"")</f>
        <v/>
      </c>
      <c r="FG117" s="58">
        <f>IFERROR($BV117/$BV118-1,"")</f>
        <v/>
      </c>
      <c r="FH117" s="58">
        <f>IFERROR($BW117/$BW118-1,"")</f>
        <v/>
      </c>
      <c r="FI117" s="58">
        <f>IFERROR($BX117/$BX118-1,"")</f>
        <v/>
      </c>
      <c r="FJ117" s="59">
        <f>$BY117-$BY118</f>
        <v/>
      </c>
      <c r="FK117" s="59">
        <f>$BZ117-$BZ118</f>
        <v/>
      </c>
      <c r="FL117" s="59">
        <f>$CA117-$CA118</f>
        <v/>
      </c>
      <c r="FM117" s="59">
        <f>$CB117-$CB118</f>
        <v/>
      </c>
      <c r="FN117" s="59">
        <f>$CC117-$CC118</f>
        <v/>
      </c>
      <c r="FO117" s="59">
        <f>$CD117-$CD118</f>
        <v/>
      </c>
      <c r="FP117" s="59">
        <f>$CE117-$CE118</f>
        <v/>
      </c>
      <c r="FQ117" s="59">
        <f>$CF117-$CF118</f>
        <v/>
      </c>
      <c r="FR117" s="59">
        <f>$CG117-$CG118</f>
        <v/>
      </c>
      <c r="FS117" s="59">
        <f>$CH117-$CH118</f>
        <v/>
      </c>
      <c r="FT117" s="59">
        <f>$CI117-$CI118</f>
        <v/>
      </c>
      <c r="FU117" s="59">
        <f>$CJ117-$CJ118</f>
        <v/>
      </c>
      <c r="FV117" s="59">
        <f>$CK117-$CK118</f>
        <v/>
      </c>
      <c r="FW117" s="59">
        <f>$CL117-$CL118</f>
        <v/>
      </c>
      <c r="FX117" s="59">
        <f>$CM117-$CM118</f>
        <v/>
      </c>
      <c r="FY117" s="59">
        <f>$CN117-$CN118</f>
        <v/>
      </c>
      <c r="FZ117" s="59">
        <f>$CO117-$CO118</f>
        <v/>
      </c>
      <c r="GA117" s="59">
        <f>$CP117-$CP118</f>
        <v/>
      </c>
      <c r="GB117" s="59">
        <f>$CQ117-$CQ118</f>
        <v/>
      </c>
      <c r="GC117" s="59">
        <f>$CR117-$CR118</f>
        <v/>
      </c>
      <c r="GD117" s="59">
        <f>$CS117-$CS118</f>
        <v/>
      </c>
      <c r="GE117" s="59">
        <f>$CT117-$CT118</f>
        <v/>
      </c>
    </row>
    <row r="118">
      <c r="CU118" s="58">
        <f>IFERROR($B118/$B119-1,"")</f>
        <v/>
      </c>
      <c r="CV118" s="59">
        <f>($F118-$F119)*100</f>
        <v/>
      </c>
      <c r="CW118" s="59">
        <f>($E118-$E119)*100</f>
        <v/>
      </c>
      <c r="CX118" s="58">
        <f>IFERROR($K118/$K119-1,"")</f>
        <v/>
      </c>
      <c r="CY118" s="59">
        <f>($AH118-$AH119)*100</f>
        <v/>
      </c>
      <c r="CZ118" s="59">
        <f>($AI118-$AI119)*100</f>
        <v/>
      </c>
      <c r="DA118" s="59">
        <f>($AJ118-$AJ119)*100</f>
        <v/>
      </c>
      <c r="DB118" s="59">
        <f>($AK118-$AK119)*100</f>
        <v/>
      </c>
      <c r="DC118" s="59">
        <f>($AL118-$AL119)*100</f>
        <v/>
      </c>
      <c r="DD118" s="59">
        <f>($AM118-$AM119)*100</f>
        <v/>
      </c>
      <c r="DE118" s="59">
        <f>($AN118-$AN119)*100</f>
        <v/>
      </c>
      <c r="DF118" s="59">
        <f>($AO118-$AO119)*100</f>
        <v/>
      </c>
      <c r="DG118" s="59">
        <f>($AP118-$AP119)*100</f>
        <v/>
      </c>
      <c r="DH118" s="59">
        <f>($AQ118-$AQ119)*100</f>
        <v/>
      </c>
      <c r="DI118" s="59">
        <f>($AR118-$AR119)*100</f>
        <v/>
      </c>
      <c r="DJ118" s="59">
        <f>($AS118-$AS119)*100</f>
        <v/>
      </c>
      <c r="DK118" s="59">
        <f>($AT118-$AT119)*100</f>
        <v/>
      </c>
      <c r="DL118" s="59">
        <f>($AU118-$AU119)*100</f>
        <v/>
      </c>
      <c r="DM118" s="59">
        <f>($AV118-$AV119)*100</f>
        <v/>
      </c>
      <c r="DN118" s="59">
        <f>($AW118-$AW119)*100</f>
        <v/>
      </c>
      <c r="DO118" s="59">
        <f>($AX118-$AX119)*100</f>
        <v/>
      </c>
      <c r="DP118" s="59">
        <f>($AY118-$AY119)*100</f>
        <v/>
      </c>
      <c r="DQ118" s="59">
        <f>($AZ118-$AZ119)*100</f>
        <v/>
      </c>
      <c r="DR118" s="59">
        <f>($BA118-$BA119)*100</f>
        <v/>
      </c>
      <c r="DS118" s="58">
        <f>IFERROR($N119/$N118-1,"")</f>
        <v/>
      </c>
      <c r="DT118" s="58">
        <f>IFERROR($O119/$O118-1,"")</f>
        <v/>
      </c>
      <c r="DU118" s="58">
        <f>IFERROR($P119/$P118-1,"")</f>
        <v/>
      </c>
      <c r="DV118" s="58">
        <f>IFERROR($Q119/$Q118-1,"")</f>
        <v/>
      </c>
      <c r="DW118" s="58">
        <f>IFERROR($R119/$R118-1,"")</f>
        <v/>
      </c>
      <c r="DX118" s="58">
        <f>IFERROR($S119/$S118-1,"")</f>
        <v/>
      </c>
      <c r="DY118" s="58">
        <f>IFERROR($T119/$T118-1,"")</f>
        <v/>
      </c>
      <c r="DZ118" s="58">
        <f>IFERROR($U119/$U118-1,"")</f>
        <v/>
      </c>
      <c r="EA118" s="58">
        <f>IFERROR($V119/$V118-1,"")</f>
        <v/>
      </c>
      <c r="EB118" s="58">
        <f>IFERROR($W119/$W118-1,"")</f>
        <v/>
      </c>
      <c r="EC118" s="58">
        <f>IFERROR($X119/$X118-1,"")</f>
        <v/>
      </c>
      <c r="ED118" s="58">
        <f>IFERROR($Y119/$Y118-1,"")</f>
        <v/>
      </c>
      <c r="EE118" s="58">
        <f>IFERROR($Z119/$Z118-1,"")</f>
        <v/>
      </c>
      <c r="EF118" s="58">
        <f>IFERROR($AA119/$AA118-1,"")</f>
        <v/>
      </c>
      <c r="EG118" s="58">
        <f>IFERROR($AB119/$AB118-1,"")</f>
        <v/>
      </c>
      <c r="EH118" s="58">
        <f>IFERROR($AC119/$AC118-1,"")</f>
        <v/>
      </c>
      <c r="EI118" s="58">
        <f>IFERROR($AD119/$AD118-1,"")</f>
        <v/>
      </c>
      <c r="EJ118" s="58">
        <f>IFERROR($AE119/$AE118-1,"")</f>
        <v/>
      </c>
      <c r="EK118" s="58">
        <f>IFERROR($AF119/$AF118-1,"")</f>
        <v/>
      </c>
      <c r="EL118" s="58">
        <f>IFERROR($AG119/$AG118-1,"")</f>
        <v/>
      </c>
      <c r="EM118" s="58">
        <f>IFERROR($BB118/$BB119-1,"")</f>
        <v/>
      </c>
      <c r="EN118" s="58">
        <f>IFERROR($BC118/$BC119-1,"")</f>
        <v/>
      </c>
      <c r="EO118" s="58">
        <f>IFERROR($BD118/$BD119-1,"")</f>
        <v/>
      </c>
      <c r="EP118" s="58">
        <f>IFERROR($BE118/$BE119-1,"")</f>
        <v/>
      </c>
      <c r="EQ118" s="58">
        <f>IFERROR($BF118/$BF119-1,"")</f>
        <v/>
      </c>
      <c r="ER118" s="58">
        <f>IFERROR($BG118/$BG119-1,"")</f>
        <v/>
      </c>
      <c r="ES118" s="58">
        <f>IFERROR($BH118/$BH119-1,"")</f>
        <v/>
      </c>
      <c r="ET118" s="58">
        <f>IFERROR($BI118/$BI119-1,"")</f>
        <v/>
      </c>
      <c r="EU118" s="58">
        <f>IFERROR($BJ118/$BJ119-1,"")</f>
        <v/>
      </c>
      <c r="EV118" s="58">
        <f>IFERROR($BK118/$BK119-1,"")</f>
        <v/>
      </c>
      <c r="EW118" s="58">
        <f>IFERROR($BL118/$BL119-1,"")</f>
        <v/>
      </c>
      <c r="EX118" s="58">
        <f>IFERROR($BM118/$BM119-1,"")</f>
        <v/>
      </c>
      <c r="EY118" s="58">
        <f>IFERROR($BN118/$BN119-1,"")</f>
        <v/>
      </c>
      <c r="EZ118" s="58">
        <f>IFERROR($BO118/$BO119-1,"")</f>
        <v/>
      </c>
      <c r="FA118" s="58">
        <f>IFERROR($BP118/$BP119-1,"")</f>
        <v/>
      </c>
      <c r="FB118" s="58">
        <f>IFERROR($BQ118/$BQ119-1,"")</f>
        <v/>
      </c>
      <c r="FC118" s="58">
        <f>IFERROR($BR118/$BR119-1,"")</f>
        <v/>
      </c>
      <c r="FD118" s="58">
        <f>IFERROR($BS118/$BS119-1,"")</f>
        <v/>
      </c>
      <c r="FE118" s="58">
        <f>IFERROR($BT118/$BT119-1,"")</f>
        <v/>
      </c>
      <c r="FF118" s="58">
        <f>IFERROR($BU118/$BU119-1,"")</f>
        <v/>
      </c>
      <c r="FG118" s="58">
        <f>IFERROR($BV118/$BV119-1,"")</f>
        <v/>
      </c>
      <c r="FH118" s="58">
        <f>IFERROR($BW118/$BW119-1,"")</f>
        <v/>
      </c>
      <c r="FI118" s="58">
        <f>IFERROR($BX118/$BX119-1,"")</f>
        <v/>
      </c>
      <c r="FJ118" s="59">
        <f>$BY118-$BY119</f>
        <v/>
      </c>
      <c r="FK118" s="59">
        <f>$BZ118-$BZ119</f>
        <v/>
      </c>
      <c r="FL118" s="59">
        <f>$CA118-$CA119</f>
        <v/>
      </c>
      <c r="FM118" s="59">
        <f>$CB118-$CB119</f>
        <v/>
      </c>
      <c r="FN118" s="59">
        <f>$CC118-$CC119</f>
        <v/>
      </c>
      <c r="FO118" s="59">
        <f>$CD118-$CD119</f>
        <v/>
      </c>
      <c r="FP118" s="59">
        <f>$CE118-$CE119</f>
        <v/>
      </c>
      <c r="FQ118" s="59">
        <f>$CF118-$CF119</f>
        <v/>
      </c>
      <c r="FR118" s="59">
        <f>$CG118-$CG119</f>
        <v/>
      </c>
      <c r="FS118" s="59">
        <f>$CH118-$CH119</f>
        <v/>
      </c>
      <c r="FT118" s="59">
        <f>$CI118-$CI119</f>
        <v/>
      </c>
      <c r="FU118" s="59">
        <f>$CJ118-$CJ119</f>
        <v/>
      </c>
      <c r="FV118" s="59">
        <f>$CK118-$CK119</f>
        <v/>
      </c>
      <c r="FW118" s="59">
        <f>$CL118-$CL119</f>
        <v/>
      </c>
      <c r="FX118" s="59">
        <f>$CM118-$CM119</f>
        <v/>
      </c>
      <c r="FY118" s="59">
        <f>$CN118-$CN119</f>
        <v/>
      </c>
      <c r="FZ118" s="59">
        <f>$CO118-$CO119</f>
        <v/>
      </c>
      <c r="GA118" s="59">
        <f>$CP118-$CP119</f>
        <v/>
      </c>
      <c r="GB118" s="59">
        <f>$CQ118-$CQ119</f>
        <v/>
      </c>
      <c r="GC118" s="59">
        <f>$CR118-$CR119</f>
        <v/>
      </c>
      <c r="GD118" s="59">
        <f>$CS118-$CS119</f>
        <v/>
      </c>
      <c r="GE118" s="59">
        <f>$CT118-$CT119</f>
        <v/>
      </c>
    </row>
    <row r="119">
      <c r="CU119" s="58">
        <f>IFERROR($B119/$B120-1,"")</f>
        <v/>
      </c>
      <c r="CV119" s="59">
        <f>($F119-$F120)*100</f>
        <v/>
      </c>
      <c r="CW119" s="59">
        <f>($E119-$E120)*100</f>
        <v/>
      </c>
      <c r="CX119" s="58">
        <f>IFERROR($K119/$K120-1,"")</f>
        <v/>
      </c>
      <c r="CY119" s="59">
        <f>($AH119-$AH120)*100</f>
        <v/>
      </c>
      <c r="CZ119" s="59">
        <f>($AI119-$AI120)*100</f>
        <v/>
      </c>
      <c r="DA119" s="59">
        <f>($AJ119-$AJ120)*100</f>
        <v/>
      </c>
      <c r="DB119" s="59">
        <f>($AK119-$AK120)*100</f>
        <v/>
      </c>
      <c r="DC119" s="59">
        <f>($AL119-$AL120)*100</f>
        <v/>
      </c>
      <c r="DD119" s="59">
        <f>($AM119-$AM120)*100</f>
        <v/>
      </c>
      <c r="DE119" s="59">
        <f>($AN119-$AN120)*100</f>
        <v/>
      </c>
      <c r="DF119" s="59">
        <f>($AO119-$AO120)*100</f>
        <v/>
      </c>
      <c r="DG119" s="59">
        <f>($AP119-$AP120)*100</f>
        <v/>
      </c>
      <c r="DH119" s="59">
        <f>($AQ119-$AQ120)*100</f>
        <v/>
      </c>
      <c r="DI119" s="59">
        <f>($AR119-$AR120)*100</f>
        <v/>
      </c>
      <c r="DJ119" s="59">
        <f>($AS119-$AS120)*100</f>
        <v/>
      </c>
      <c r="DK119" s="59">
        <f>($AT119-$AT120)*100</f>
        <v/>
      </c>
      <c r="DL119" s="59">
        <f>($AU119-$AU120)*100</f>
        <v/>
      </c>
      <c r="DM119" s="59">
        <f>($AV119-$AV120)*100</f>
        <v/>
      </c>
      <c r="DN119" s="59">
        <f>($AW119-$AW120)*100</f>
        <v/>
      </c>
      <c r="DO119" s="59">
        <f>($AX119-$AX120)*100</f>
        <v/>
      </c>
      <c r="DP119" s="59">
        <f>($AY119-$AY120)*100</f>
        <v/>
      </c>
      <c r="DQ119" s="59">
        <f>($AZ119-$AZ120)*100</f>
        <v/>
      </c>
      <c r="DR119" s="59">
        <f>($BA119-$BA120)*100</f>
        <v/>
      </c>
      <c r="DS119" s="58">
        <f>IFERROR($N120/$N119-1,"")</f>
        <v/>
      </c>
      <c r="DT119" s="58">
        <f>IFERROR($O120/$O119-1,"")</f>
        <v/>
      </c>
      <c r="DU119" s="58">
        <f>IFERROR($P120/$P119-1,"")</f>
        <v/>
      </c>
      <c r="DV119" s="58">
        <f>IFERROR($Q120/$Q119-1,"")</f>
        <v/>
      </c>
      <c r="DW119" s="58">
        <f>IFERROR($R120/$R119-1,"")</f>
        <v/>
      </c>
      <c r="DX119" s="58">
        <f>IFERROR($S120/$S119-1,"")</f>
        <v/>
      </c>
      <c r="DY119" s="58">
        <f>IFERROR($T120/$T119-1,"")</f>
        <v/>
      </c>
      <c r="DZ119" s="58">
        <f>IFERROR($U120/$U119-1,"")</f>
        <v/>
      </c>
      <c r="EA119" s="58">
        <f>IFERROR($V120/$V119-1,"")</f>
        <v/>
      </c>
      <c r="EB119" s="58">
        <f>IFERROR($W120/$W119-1,"")</f>
        <v/>
      </c>
      <c r="EC119" s="58">
        <f>IFERROR($X120/$X119-1,"")</f>
        <v/>
      </c>
      <c r="ED119" s="58">
        <f>IFERROR($Y120/$Y119-1,"")</f>
        <v/>
      </c>
      <c r="EE119" s="58">
        <f>IFERROR($Z120/$Z119-1,"")</f>
        <v/>
      </c>
      <c r="EF119" s="58">
        <f>IFERROR($AA120/$AA119-1,"")</f>
        <v/>
      </c>
      <c r="EG119" s="58">
        <f>IFERROR($AB120/$AB119-1,"")</f>
        <v/>
      </c>
      <c r="EH119" s="58">
        <f>IFERROR($AC120/$AC119-1,"")</f>
        <v/>
      </c>
      <c r="EI119" s="58">
        <f>IFERROR($AD120/$AD119-1,"")</f>
        <v/>
      </c>
      <c r="EJ119" s="58">
        <f>IFERROR($AE120/$AE119-1,"")</f>
        <v/>
      </c>
      <c r="EK119" s="58">
        <f>IFERROR($AF120/$AF119-1,"")</f>
        <v/>
      </c>
      <c r="EL119" s="58">
        <f>IFERROR($AG120/$AG119-1,"")</f>
        <v/>
      </c>
      <c r="EM119" s="58">
        <f>IFERROR($BB119/$BB120-1,"")</f>
        <v/>
      </c>
      <c r="EN119" s="58">
        <f>IFERROR($BC119/$BC120-1,"")</f>
        <v/>
      </c>
      <c r="EO119" s="58">
        <f>IFERROR($BD119/$BD120-1,"")</f>
        <v/>
      </c>
      <c r="EP119" s="58">
        <f>IFERROR($BE119/$BE120-1,"")</f>
        <v/>
      </c>
      <c r="EQ119" s="58">
        <f>IFERROR($BF119/$BF120-1,"")</f>
        <v/>
      </c>
      <c r="ER119" s="58">
        <f>IFERROR($BG119/$BG120-1,"")</f>
        <v/>
      </c>
      <c r="ES119" s="58">
        <f>IFERROR($BH119/$BH120-1,"")</f>
        <v/>
      </c>
      <c r="ET119" s="58">
        <f>IFERROR($BI119/$BI120-1,"")</f>
        <v/>
      </c>
      <c r="EU119" s="58">
        <f>IFERROR($BJ119/$BJ120-1,"")</f>
        <v/>
      </c>
      <c r="EV119" s="58">
        <f>IFERROR($BK119/$BK120-1,"")</f>
        <v/>
      </c>
      <c r="EW119" s="58">
        <f>IFERROR($BL119/$BL120-1,"")</f>
        <v/>
      </c>
      <c r="EX119" s="58">
        <f>IFERROR($BM119/$BM120-1,"")</f>
        <v/>
      </c>
      <c r="EY119" s="58">
        <f>IFERROR($BN119/$BN120-1,"")</f>
        <v/>
      </c>
      <c r="EZ119" s="58">
        <f>IFERROR($BO119/$BO120-1,"")</f>
        <v/>
      </c>
      <c r="FA119" s="58">
        <f>IFERROR($BP119/$BP120-1,"")</f>
        <v/>
      </c>
      <c r="FB119" s="58">
        <f>IFERROR($BQ119/$BQ120-1,"")</f>
        <v/>
      </c>
      <c r="FC119" s="58">
        <f>IFERROR($BR119/$BR120-1,"")</f>
        <v/>
      </c>
      <c r="FD119" s="58">
        <f>IFERROR($BS119/$BS120-1,"")</f>
        <v/>
      </c>
      <c r="FE119" s="58">
        <f>IFERROR($BT119/$BT120-1,"")</f>
        <v/>
      </c>
      <c r="FF119" s="58">
        <f>IFERROR($BU119/$BU120-1,"")</f>
        <v/>
      </c>
      <c r="FG119" s="58">
        <f>IFERROR($BV119/$BV120-1,"")</f>
        <v/>
      </c>
      <c r="FH119" s="58">
        <f>IFERROR($BW119/$BW120-1,"")</f>
        <v/>
      </c>
      <c r="FI119" s="58">
        <f>IFERROR($BX119/$BX120-1,"")</f>
        <v/>
      </c>
      <c r="FJ119" s="59">
        <f>$BY119-$BY120</f>
        <v/>
      </c>
      <c r="FK119" s="59">
        <f>$BZ119-$BZ120</f>
        <v/>
      </c>
      <c r="FL119" s="59">
        <f>$CA119-$CA120</f>
        <v/>
      </c>
      <c r="FM119" s="59">
        <f>$CB119-$CB120</f>
        <v/>
      </c>
      <c r="FN119" s="59">
        <f>$CC119-$CC120</f>
        <v/>
      </c>
      <c r="FO119" s="59">
        <f>$CD119-$CD120</f>
        <v/>
      </c>
      <c r="FP119" s="59">
        <f>$CE119-$CE120</f>
        <v/>
      </c>
      <c r="FQ119" s="59">
        <f>$CF119-$CF120</f>
        <v/>
      </c>
      <c r="FR119" s="59">
        <f>$CG119-$CG120</f>
        <v/>
      </c>
      <c r="FS119" s="59">
        <f>$CH119-$CH120</f>
        <v/>
      </c>
      <c r="FT119" s="59">
        <f>$CI119-$CI120</f>
        <v/>
      </c>
      <c r="FU119" s="59">
        <f>$CJ119-$CJ120</f>
        <v/>
      </c>
      <c r="FV119" s="59">
        <f>$CK119-$CK120</f>
        <v/>
      </c>
      <c r="FW119" s="59">
        <f>$CL119-$CL120</f>
        <v/>
      </c>
      <c r="FX119" s="59">
        <f>$CM119-$CM120</f>
        <v/>
      </c>
      <c r="FY119" s="59">
        <f>$CN119-$CN120</f>
        <v/>
      </c>
      <c r="FZ119" s="59">
        <f>$CO119-$CO120</f>
        <v/>
      </c>
      <c r="GA119" s="59">
        <f>$CP119-$CP120</f>
        <v/>
      </c>
      <c r="GB119" s="59">
        <f>$CQ119-$CQ120</f>
        <v/>
      </c>
      <c r="GC119" s="59">
        <f>$CR119-$CR120</f>
        <v/>
      </c>
      <c r="GD119" s="59">
        <f>$CS119-$CS120</f>
        <v/>
      </c>
      <c r="GE119" s="59">
        <f>$CT119-$CT120</f>
        <v/>
      </c>
    </row>
    <row r="120">
      <c r="CU120" s="58">
        <f>IFERROR($B120/$B121-1,"")</f>
        <v/>
      </c>
      <c r="CV120" s="59">
        <f>($F120-$F121)*100</f>
        <v/>
      </c>
      <c r="CW120" s="59">
        <f>($E120-$E121)*100</f>
        <v/>
      </c>
      <c r="CX120" s="58">
        <f>IFERROR($K120/$K121-1,"")</f>
        <v/>
      </c>
      <c r="CY120" s="59">
        <f>($AH120-$AH121)*100</f>
        <v/>
      </c>
      <c r="CZ120" s="59">
        <f>($AI120-$AI121)*100</f>
        <v/>
      </c>
      <c r="DA120" s="59">
        <f>($AJ120-$AJ121)*100</f>
        <v/>
      </c>
      <c r="DB120" s="59">
        <f>($AK120-$AK121)*100</f>
        <v/>
      </c>
      <c r="DC120" s="59">
        <f>($AL120-$AL121)*100</f>
        <v/>
      </c>
      <c r="DD120" s="59">
        <f>($AM120-$AM121)*100</f>
        <v/>
      </c>
      <c r="DE120" s="59">
        <f>($AN120-$AN121)*100</f>
        <v/>
      </c>
      <c r="DF120" s="59">
        <f>($AO120-$AO121)*100</f>
        <v/>
      </c>
      <c r="DG120" s="59">
        <f>($AP120-$AP121)*100</f>
        <v/>
      </c>
      <c r="DH120" s="59">
        <f>($AQ120-$AQ121)*100</f>
        <v/>
      </c>
      <c r="DI120" s="59">
        <f>($AR120-$AR121)*100</f>
        <v/>
      </c>
      <c r="DJ120" s="59">
        <f>($AS120-$AS121)*100</f>
        <v/>
      </c>
      <c r="DK120" s="59">
        <f>($AT120-$AT121)*100</f>
        <v/>
      </c>
      <c r="DL120" s="59">
        <f>($AU120-$AU121)*100</f>
        <v/>
      </c>
      <c r="DM120" s="59">
        <f>($AV120-$AV121)*100</f>
        <v/>
      </c>
      <c r="DN120" s="59">
        <f>($AW120-$AW121)*100</f>
        <v/>
      </c>
      <c r="DO120" s="59">
        <f>($AX120-$AX121)*100</f>
        <v/>
      </c>
      <c r="DP120" s="59">
        <f>($AY120-$AY121)*100</f>
        <v/>
      </c>
      <c r="DQ120" s="59">
        <f>($AZ120-$AZ121)*100</f>
        <v/>
      </c>
      <c r="DR120" s="59">
        <f>($BA120-$BA121)*100</f>
        <v/>
      </c>
      <c r="DS120" s="58">
        <f>IFERROR($N121/$N120-1,"")</f>
        <v/>
      </c>
      <c r="DT120" s="58">
        <f>IFERROR($O121/$O120-1,"")</f>
        <v/>
      </c>
      <c r="DU120" s="58">
        <f>IFERROR($P121/$P120-1,"")</f>
        <v/>
      </c>
      <c r="DV120" s="58">
        <f>IFERROR($Q121/$Q120-1,"")</f>
        <v/>
      </c>
      <c r="DW120" s="58">
        <f>IFERROR($R121/$R120-1,"")</f>
        <v/>
      </c>
      <c r="DX120" s="58">
        <f>IFERROR($S121/$S120-1,"")</f>
        <v/>
      </c>
      <c r="DY120" s="58">
        <f>IFERROR($T121/$T120-1,"")</f>
        <v/>
      </c>
      <c r="DZ120" s="58">
        <f>IFERROR($U121/$U120-1,"")</f>
        <v/>
      </c>
      <c r="EA120" s="58">
        <f>IFERROR($V121/$V120-1,"")</f>
        <v/>
      </c>
      <c r="EB120" s="58">
        <f>IFERROR($W121/$W120-1,"")</f>
        <v/>
      </c>
      <c r="EC120" s="58">
        <f>IFERROR($X121/$X120-1,"")</f>
        <v/>
      </c>
      <c r="ED120" s="58">
        <f>IFERROR($Y121/$Y120-1,"")</f>
        <v/>
      </c>
      <c r="EE120" s="58">
        <f>IFERROR($Z121/$Z120-1,"")</f>
        <v/>
      </c>
      <c r="EF120" s="58">
        <f>IFERROR($AA121/$AA120-1,"")</f>
        <v/>
      </c>
      <c r="EG120" s="58">
        <f>IFERROR($AB121/$AB120-1,"")</f>
        <v/>
      </c>
      <c r="EH120" s="58">
        <f>IFERROR($AC121/$AC120-1,"")</f>
        <v/>
      </c>
      <c r="EI120" s="58">
        <f>IFERROR($AD121/$AD120-1,"")</f>
        <v/>
      </c>
      <c r="EJ120" s="58">
        <f>IFERROR($AE121/$AE120-1,"")</f>
        <v/>
      </c>
      <c r="EK120" s="58">
        <f>IFERROR($AF121/$AF120-1,"")</f>
        <v/>
      </c>
      <c r="EL120" s="58">
        <f>IFERROR($AG121/$AG120-1,"")</f>
        <v/>
      </c>
      <c r="EM120" s="58">
        <f>IFERROR($BB120/$BB121-1,"")</f>
        <v/>
      </c>
      <c r="EN120" s="58">
        <f>IFERROR($BC120/$BC121-1,"")</f>
        <v/>
      </c>
      <c r="EO120" s="58">
        <f>IFERROR($BD120/$BD121-1,"")</f>
        <v/>
      </c>
      <c r="EP120" s="58">
        <f>IFERROR($BE120/$BE121-1,"")</f>
        <v/>
      </c>
      <c r="EQ120" s="58">
        <f>IFERROR($BF120/$BF121-1,"")</f>
        <v/>
      </c>
      <c r="ER120" s="58">
        <f>IFERROR($BG120/$BG121-1,"")</f>
        <v/>
      </c>
      <c r="ES120" s="58">
        <f>IFERROR($BH120/$BH121-1,"")</f>
        <v/>
      </c>
      <c r="ET120" s="58">
        <f>IFERROR($BI120/$BI121-1,"")</f>
        <v/>
      </c>
      <c r="EU120" s="58">
        <f>IFERROR($BJ120/$BJ121-1,"")</f>
        <v/>
      </c>
      <c r="EV120" s="58">
        <f>IFERROR($BK120/$BK121-1,"")</f>
        <v/>
      </c>
      <c r="EW120" s="58">
        <f>IFERROR($BL120/$BL121-1,"")</f>
        <v/>
      </c>
      <c r="EX120" s="58">
        <f>IFERROR($BM120/$BM121-1,"")</f>
        <v/>
      </c>
      <c r="EY120" s="58">
        <f>IFERROR($BN120/$BN121-1,"")</f>
        <v/>
      </c>
      <c r="EZ120" s="58">
        <f>IFERROR($BO120/$BO121-1,"")</f>
        <v/>
      </c>
      <c r="FA120" s="58">
        <f>IFERROR($BP120/$BP121-1,"")</f>
        <v/>
      </c>
      <c r="FB120" s="58">
        <f>IFERROR($BQ120/$BQ121-1,"")</f>
        <v/>
      </c>
      <c r="FC120" s="58">
        <f>IFERROR($BR120/$BR121-1,"")</f>
        <v/>
      </c>
      <c r="FD120" s="58">
        <f>IFERROR($BS120/$BS121-1,"")</f>
        <v/>
      </c>
      <c r="FE120" s="58">
        <f>IFERROR($BT120/$BT121-1,"")</f>
        <v/>
      </c>
      <c r="FF120" s="58">
        <f>IFERROR($BU120/$BU121-1,"")</f>
        <v/>
      </c>
      <c r="FG120" s="58">
        <f>IFERROR($BV120/$BV121-1,"")</f>
        <v/>
      </c>
      <c r="FH120" s="58">
        <f>IFERROR($BW120/$BW121-1,"")</f>
        <v/>
      </c>
      <c r="FI120" s="58">
        <f>IFERROR($BX120/$BX121-1,"")</f>
        <v/>
      </c>
      <c r="FJ120" s="59">
        <f>$BY120-$BY121</f>
        <v/>
      </c>
      <c r="FK120" s="59">
        <f>$BZ120-$BZ121</f>
        <v/>
      </c>
      <c r="FL120" s="59">
        <f>$CA120-$CA121</f>
        <v/>
      </c>
      <c r="FM120" s="59">
        <f>$CB120-$CB121</f>
        <v/>
      </c>
      <c r="FN120" s="59">
        <f>$CC120-$CC121</f>
        <v/>
      </c>
      <c r="FO120" s="59">
        <f>$CD120-$CD121</f>
        <v/>
      </c>
      <c r="FP120" s="59">
        <f>$CE120-$CE121</f>
        <v/>
      </c>
      <c r="FQ120" s="59">
        <f>$CF120-$CF121</f>
        <v/>
      </c>
      <c r="FR120" s="59">
        <f>$CG120-$CG121</f>
        <v/>
      </c>
      <c r="FS120" s="59">
        <f>$CH120-$CH121</f>
        <v/>
      </c>
      <c r="FT120" s="59">
        <f>$CI120-$CI121</f>
        <v/>
      </c>
      <c r="FU120" s="59">
        <f>$CJ120-$CJ121</f>
        <v/>
      </c>
      <c r="FV120" s="59">
        <f>$CK120-$CK121</f>
        <v/>
      </c>
      <c r="FW120" s="59">
        <f>$CL120-$CL121</f>
        <v/>
      </c>
      <c r="FX120" s="59">
        <f>$CM120-$CM121</f>
        <v/>
      </c>
      <c r="FY120" s="59">
        <f>$CN120-$CN121</f>
        <v/>
      </c>
      <c r="FZ120" s="59">
        <f>$CO120-$CO121</f>
        <v/>
      </c>
      <c r="GA120" s="59">
        <f>$CP120-$CP121</f>
        <v/>
      </c>
      <c r="GB120" s="59">
        <f>$CQ120-$CQ121</f>
        <v/>
      </c>
      <c r="GC120" s="59">
        <f>$CR120-$CR121</f>
        <v/>
      </c>
      <c r="GD120" s="59">
        <f>$CS120-$CS121</f>
        <v/>
      </c>
      <c r="GE120" s="59">
        <f>$CT120-$CT121</f>
        <v/>
      </c>
    </row>
    <row r="121">
      <c r="CU121" s="58">
        <f>IFERROR($B121/$B122-1,"")</f>
        <v/>
      </c>
      <c r="CV121" s="59">
        <f>($F121-$F122)*100</f>
        <v/>
      </c>
      <c r="CW121" s="59">
        <f>($E121-$E122)*100</f>
        <v/>
      </c>
      <c r="CX121" s="58">
        <f>IFERROR($K121/$K122-1,"")</f>
        <v/>
      </c>
      <c r="CY121" s="59">
        <f>($AH121-$AH122)*100</f>
        <v/>
      </c>
      <c r="CZ121" s="59">
        <f>($AI121-$AI122)*100</f>
        <v/>
      </c>
      <c r="DA121" s="59">
        <f>($AJ121-$AJ122)*100</f>
        <v/>
      </c>
      <c r="DB121" s="59">
        <f>($AK121-$AK122)*100</f>
        <v/>
      </c>
      <c r="DC121" s="59">
        <f>($AL121-$AL122)*100</f>
        <v/>
      </c>
      <c r="DD121" s="59">
        <f>($AM121-$AM122)*100</f>
        <v/>
      </c>
      <c r="DE121" s="59">
        <f>($AN121-$AN122)*100</f>
        <v/>
      </c>
      <c r="DF121" s="59">
        <f>($AO121-$AO122)*100</f>
        <v/>
      </c>
      <c r="DG121" s="59">
        <f>($AP121-$AP122)*100</f>
        <v/>
      </c>
      <c r="DH121" s="59">
        <f>($AQ121-$AQ122)*100</f>
        <v/>
      </c>
      <c r="DI121" s="59">
        <f>($AR121-$AR122)*100</f>
        <v/>
      </c>
      <c r="DJ121" s="59">
        <f>($AS121-$AS122)*100</f>
        <v/>
      </c>
      <c r="DK121" s="59">
        <f>($AT121-$AT122)*100</f>
        <v/>
      </c>
      <c r="DL121" s="59">
        <f>($AU121-$AU122)*100</f>
        <v/>
      </c>
      <c r="DM121" s="59">
        <f>($AV121-$AV122)*100</f>
        <v/>
      </c>
      <c r="DN121" s="59">
        <f>($AW121-$AW122)*100</f>
        <v/>
      </c>
      <c r="DO121" s="59">
        <f>($AX121-$AX122)*100</f>
        <v/>
      </c>
      <c r="DP121" s="59">
        <f>($AY121-$AY122)*100</f>
        <v/>
      </c>
      <c r="DQ121" s="59">
        <f>($AZ121-$AZ122)*100</f>
        <v/>
      </c>
      <c r="DR121" s="59">
        <f>($BA121-$BA122)*100</f>
        <v/>
      </c>
      <c r="DS121" s="58">
        <f>IFERROR($N122/$N121-1,"")</f>
        <v/>
      </c>
      <c r="DT121" s="58">
        <f>IFERROR($O122/$O121-1,"")</f>
        <v/>
      </c>
      <c r="DU121" s="58">
        <f>IFERROR($P122/$P121-1,"")</f>
        <v/>
      </c>
      <c r="DV121" s="58">
        <f>IFERROR($Q122/$Q121-1,"")</f>
        <v/>
      </c>
      <c r="DW121" s="58">
        <f>IFERROR($R122/$R121-1,"")</f>
        <v/>
      </c>
      <c r="DX121" s="58">
        <f>IFERROR($S122/$S121-1,"")</f>
        <v/>
      </c>
      <c r="DY121" s="58">
        <f>IFERROR($T122/$T121-1,"")</f>
        <v/>
      </c>
      <c r="DZ121" s="58">
        <f>IFERROR($U122/$U121-1,"")</f>
        <v/>
      </c>
      <c r="EA121" s="58">
        <f>IFERROR($V122/$V121-1,"")</f>
        <v/>
      </c>
      <c r="EB121" s="58">
        <f>IFERROR($W122/$W121-1,"")</f>
        <v/>
      </c>
      <c r="EC121" s="58">
        <f>IFERROR($X122/$X121-1,"")</f>
        <v/>
      </c>
      <c r="ED121" s="58">
        <f>IFERROR($Y122/$Y121-1,"")</f>
        <v/>
      </c>
      <c r="EE121" s="58">
        <f>IFERROR($Z122/$Z121-1,"")</f>
        <v/>
      </c>
      <c r="EF121" s="58">
        <f>IFERROR($AA122/$AA121-1,"")</f>
        <v/>
      </c>
      <c r="EG121" s="58">
        <f>IFERROR($AB122/$AB121-1,"")</f>
        <v/>
      </c>
      <c r="EH121" s="58">
        <f>IFERROR($AC122/$AC121-1,"")</f>
        <v/>
      </c>
      <c r="EI121" s="58">
        <f>IFERROR($AD122/$AD121-1,"")</f>
        <v/>
      </c>
      <c r="EJ121" s="58">
        <f>IFERROR($AE122/$AE121-1,"")</f>
        <v/>
      </c>
      <c r="EK121" s="58">
        <f>IFERROR($AF122/$AF121-1,"")</f>
        <v/>
      </c>
      <c r="EL121" s="58">
        <f>IFERROR($AG122/$AG121-1,"")</f>
        <v/>
      </c>
      <c r="EM121" s="58">
        <f>IFERROR($BB121/$BB122-1,"")</f>
        <v/>
      </c>
      <c r="EN121" s="58">
        <f>IFERROR($BC121/$BC122-1,"")</f>
        <v/>
      </c>
      <c r="EO121" s="58">
        <f>IFERROR($BD121/$BD122-1,"")</f>
        <v/>
      </c>
      <c r="EP121" s="58">
        <f>IFERROR($BE121/$BE122-1,"")</f>
        <v/>
      </c>
      <c r="EQ121" s="58">
        <f>IFERROR($BF121/$BF122-1,"")</f>
        <v/>
      </c>
      <c r="ER121" s="58">
        <f>IFERROR($BG121/$BG122-1,"")</f>
        <v/>
      </c>
      <c r="ES121" s="58">
        <f>IFERROR($BH121/$BH122-1,"")</f>
        <v/>
      </c>
      <c r="ET121" s="58">
        <f>IFERROR($BI121/$BI122-1,"")</f>
        <v/>
      </c>
      <c r="EU121" s="58">
        <f>IFERROR($BJ121/$BJ122-1,"")</f>
        <v/>
      </c>
      <c r="EV121" s="58">
        <f>IFERROR($BK121/$BK122-1,"")</f>
        <v/>
      </c>
      <c r="EW121" s="58">
        <f>IFERROR($BL121/$BL122-1,"")</f>
        <v/>
      </c>
      <c r="EX121" s="58">
        <f>IFERROR($BM121/$BM122-1,"")</f>
        <v/>
      </c>
      <c r="EY121" s="58">
        <f>IFERROR($BN121/$BN122-1,"")</f>
        <v/>
      </c>
      <c r="EZ121" s="58">
        <f>IFERROR($BO121/$BO122-1,"")</f>
        <v/>
      </c>
      <c r="FA121" s="58">
        <f>IFERROR($BP121/$BP122-1,"")</f>
        <v/>
      </c>
      <c r="FB121" s="58">
        <f>IFERROR($BQ121/$BQ122-1,"")</f>
        <v/>
      </c>
      <c r="FC121" s="58">
        <f>IFERROR($BR121/$BR122-1,"")</f>
        <v/>
      </c>
      <c r="FD121" s="58">
        <f>IFERROR($BS121/$BS122-1,"")</f>
        <v/>
      </c>
      <c r="FE121" s="58">
        <f>IFERROR($BT121/$BT122-1,"")</f>
        <v/>
      </c>
      <c r="FF121" s="58">
        <f>IFERROR($BU121/$BU122-1,"")</f>
        <v/>
      </c>
      <c r="FG121" s="58">
        <f>IFERROR($BV121/$BV122-1,"")</f>
        <v/>
      </c>
      <c r="FH121" s="58">
        <f>IFERROR($BW121/$BW122-1,"")</f>
        <v/>
      </c>
      <c r="FI121" s="58">
        <f>IFERROR($BX121/$BX122-1,"")</f>
        <v/>
      </c>
      <c r="FJ121" s="59">
        <f>$BY121-$BY122</f>
        <v/>
      </c>
      <c r="FK121" s="59">
        <f>$BZ121-$BZ122</f>
        <v/>
      </c>
      <c r="FL121" s="59">
        <f>$CA121-$CA122</f>
        <v/>
      </c>
      <c r="FM121" s="59">
        <f>$CB121-$CB122</f>
        <v/>
      </c>
      <c r="FN121" s="59">
        <f>$CC121-$CC122</f>
        <v/>
      </c>
      <c r="FO121" s="59">
        <f>$CD121-$CD122</f>
        <v/>
      </c>
      <c r="FP121" s="59">
        <f>$CE121-$CE122</f>
        <v/>
      </c>
      <c r="FQ121" s="59">
        <f>$CF121-$CF122</f>
        <v/>
      </c>
      <c r="FR121" s="59">
        <f>$CG121-$CG122</f>
        <v/>
      </c>
      <c r="FS121" s="59">
        <f>$CH121-$CH122</f>
        <v/>
      </c>
      <c r="FT121" s="59">
        <f>$CI121-$CI122</f>
        <v/>
      </c>
      <c r="FU121" s="59">
        <f>$CJ121-$CJ122</f>
        <v/>
      </c>
      <c r="FV121" s="59">
        <f>$CK121-$CK122</f>
        <v/>
      </c>
      <c r="FW121" s="59">
        <f>$CL121-$CL122</f>
        <v/>
      </c>
      <c r="FX121" s="59">
        <f>$CM121-$CM122</f>
        <v/>
      </c>
      <c r="FY121" s="59">
        <f>$CN121-$CN122</f>
        <v/>
      </c>
      <c r="FZ121" s="59">
        <f>$CO121-$CO122</f>
        <v/>
      </c>
      <c r="GA121" s="59">
        <f>$CP121-$CP122</f>
        <v/>
      </c>
      <c r="GB121" s="59">
        <f>$CQ121-$CQ122</f>
        <v/>
      </c>
      <c r="GC121" s="59">
        <f>$CR121-$CR122</f>
        <v/>
      </c>
      <c r="GD121" s="59">
        <f>$CS121-$CS122</f>
        <v/>
      </c>
      <c r="GE121" s="59">
        <f>$CT121-$CT122</f>
        <v/>
      </c>
    </row>
    <row r="122">
      <c r="CU122" s="58">
        <f>IFERROR($B122/$B123-1,"")</f>
        <v/>
      </c>
      <c r="CV122" s="59">
        <f>($F122-$F123)*100</f>
        <v/>
      </c>
      <c r="CW122" s="59">
        <f>($E122-$E123)*100</f>
        <v/>
      </c>
      <c r="CX122" s="58">
        <f>IFERROR($K122/$K123-1,"")</f>
        <v/>
      </c>
      <c r="CY122" s="59">
        <f>($AH122-$AH123)*100</f>
        <v/>
      </c>
      <c r="CZ122" s="59">
        <f>($AI122-$AI123)*100</f>
        <v/>
      </c>
      <c r="DA122" s="59">
        <f>($AJ122-$AJ123)*100</f>
        <v/>
      </c>
      <c r="DB122" s="59">
        <f>($AK122-$AK123)*100</f>
        <v/>
      </c>
      <c r="DC122" s="59">
        <f>($AL122-$AL123)*100</f>
        <v/>
      </c>
      <c r="DD122" s="59">
        <f>($AM122-$AM123)*100</f>
        <v/>
      </c>
      <c r="DE122" s="59">
        <f>($AN122-$AN123)*100</f>
        <v/>
      </c>
      <c r="DF122" s="59">
        <f>($AO122-$AO123)*100</f>
        <v/>
      </c>
      <c r="DG122" s="59">
        <f>($AP122-$AP123)*100</f>
        <v/>
      </c>
      <c r="DH122" s="59">
        <f>($AQ122-$AQ123)*100</f>
        <v/>
      </c>
      <c r="DI122" s="59">
        <f>($AR122-$AR123)*100</f>
        <v/>
      </c>
      <c r="DJ122" s="59">
        <f>($AS122-$AS123)*100</f>
        <v/>
      </c>
      <c r="DK122" s="59">
        <f>($AT122-$AT123)*100</f>
        <v/>
      </c>
      <c r="DL122" s="59">
        <f>($AU122-$AU123)*100</f>
        <v/>
      </c>
      <c r="DM122" s="59">
        <f>($AV122-$AV123)*100</f>
        <v/>
      </c>
      <c r="DN122" s="59">
        <f>($AW122-$AW123)*100</f>
        <v/>
      </c>
      <c r="DO122" s="59">
        <f>($AX122-$AX123)*100</f>
        <v/>
      </c>
      <c r="DP122" s="59">
        <f>($AY122-$AY123)*100</f>
        <v/>
      </c>
      <c r="DQ122" s="59">
        <f>($AZ122-$AZ123)*100</f>
        <v/>
      </c>
      <c r="DR122" s="59">
        <f>($BA122-$BA123)*100</f>
        <v/>
      </c>
      <c r="DS122" s="58">
        <f>IFERROR($N123/$N122-1,"")</f>
        <v/>
      </c>
      <c r="DT122" s="58">
        <f>IFERROR($O123/$O122-1,"")</f>
        <v/>
      </c>
      <c r="DU122" s="58">
        <f>IFERROR($P123/$P122-1,"")</f>
        <v/>
      </c>
      <c r="DV122" s="58">
        <f>IFERROR($Q123/$Q122-1,"")</f>
        <v/>
      </c>
      <c r="DW122" s="58">
        <f>IFERROR($R123/$R122-1,"")</f>
        <v/>
      </c>
      <c r="DX122" s="58">
        <f>IFERROR($S123/$S122-1,"")</f>
        <v/>
      </c>
      <c r="DY122" s="58">
        <f>IFERROR($T123/$T122-1,"")</f>
        <v/>
      </c>
      <c r="DZ122" s="58">
        <f>IFERROR($U123/$U122-1,"")</f>
        <v/>
      </c>
      <c r="EA122" s="58">
        <f>IFERROR($V123/$V122-1,"")</f>
        <v/>
      </c>
      <c r="EB122" s="58">
        <f>IFERROR($W123/$W122-1,"")</f>
        <v/>
      </c>
      <c r="EC122" s="58">
        <f>IFERROR($X123/$X122-1,"")</f>
        <v/>
      </c>
      <c r="ED122" s="58">
        <f>IFERROR($Y123/$Y122-1,"")</f>
        <v/>
      </c>
      <c r="EE122" s="58">
        <f>IFERROR($Z123/$Z122-1,"")</f>
        <v/>
      </c>
      <c r="EF122" s="58">
        <f>IFERROR($AA123/$AA122-1,"")</f>
        <v/>
      </c>
      <c r="EG122" s="58">
        <f>IFERROR($AB123/$AB122-1,"")</f>
        <v/>
      </c>
      <c r="EH122" s="58">
        <f>IFERROR($AC123/$AC122-1,"")</f>
        <v/>
      </c>
      <c r="EI122" s="58">
        <f>IFERROR($AD123/$AD122-1,"")</f>
        <v/>
      </c>
      <c r="EJ122" s="58">
        <f>IFERROR($AE123/$AE122-1,"")</f>
        <v/>
      </c>
      <c r="EK122" s="58">
        <f>IFERROR($AF123/$AF122-1,"")</f>
        <v/>
      </c>
      <c r="EL122" s="58">
        <f>IFERROR($AG123/$AG122-1,"")</f>
        <v/>
      </c>
      <c r="EM122" s="58">
        <f>IFERROR($BB122/$BB123-1,"")</f>
        <v/>
      </c>
      <c r="EN122" s="58">
        <f>IFERROR($BC122/$BC123-1,"")</f>
        <v/>
      </c>
      <c r="EO122" s="58">
        <f>IFERROR($BD122/$BD123-1,"")</f>
        <v/>
      </c>
      <c r="EP122" s="58">
        <f>IFERROR($BE122/$BE123-1,"")</f>
        <v/>
      </c>
      <c r="EQ122" s="58">
        <f>IFERROR($BF122/$BF123-1,"")</f>
        <v/>
      </c>
      <c r="ER122" s="58">
        <f>IFERROR($BG122/$BG123-1,"")</f>
        <v/>
      </c>
      <c r="ES122" s="58">
        <f>IFERROR($BH122/$BH123-1,"")</f>
        <v/>
      </c>
      <c r="ET122" s="58">
        <f>IFERROR($BI122/$BI123-1,"")</f>
        <v/>
      </c>
      <c r="EU122" s="58">
        <f>IFERROR($BJ122/$BJ123-1,"")</f>
        <v/>
      </c>
      <c r="EV122" s="58">
        <f>IFERROR($BK122/$BK123-1,"")</f>
        <v/>
      </c>
      <c r="EW122" s="58">
        <f>IFERROR($BL122/$BL123-1,"")</f>
        <v/>
      </c>
      <c r="EX122" s="58">
        <f>IFERROR($BM122/$BM123-1,"")</f>
        <v/>
      </c>
      <c r="EY122" s="58">
        <f>IFERROR($BN122/$BN123-1,"")</f>
        <v/>
      </c>
      <c r="EZ122" s="58">
        <f>IFERROR($BO122/$BO123-1,"")</f>
        <v/>
      </c>
      <c r="FA122" s="58">
        <f>IFERROR($BP122/$BP123-1,"")</f>
        <v/>
      </c>
      <c r="FB122" s="58">
        <f>IFERROR($BQ122/$BQ123-1,"")</f>
        <v/>
      </c>
      <c r="FC122" s="58">
        <f>IFERROR($BR122/$BR123-1,"")</f>
        <v/>
      </c>
      <c r="FD122" s="58">
        <f>IFERROR($BS122/$BS123-1,"")</f>
        <v/>
      </c>
      <c r="FE122" s="58">
        <f>IFERROR($BT122/$BT123-1,"")</f>
        <v/>
      </c>
      <c r="FF122" s="58">
        <f>IFERROR($BU122/$BU123-1,"")</f>
        <v/>
      </c>
      <c r="FG122" s="58">
        <f>IFERROR($BV122/$BV123-1,"")</f>
        <v/>
      </c>
      <c r="FH122" s="58">
        <f>IFERROR($BW122/$BW123-1,"")</f>
        <v/>
      </c>
      <c r="FI122" s="58">
        <f>IFERROR($BX122/$BX123-1,"")</f>
        <v/>
      </c>
      <c r="FJ122" s="59">
        <f>$BY122-$BY123</f>
        <v/>
      </c>
      <c r="FK122" s="59">
        <f>$BZ122-$BZ123</f>
        <v/>
      </c>
      <c r="FL122" s="59">
        <f>$CA122-$CA123</f>
        <v/>
      </c>
      <c r="FM122" s="59">
        <f>$CB122-$CB123</f>
        <v/>
      </c>
      <c r="FN122" s="59">
        <f>$CC122-$CC123</f>
        <v/>
      </c>
      <c r="FO122" s="59">
        <f>$CD122-$CD123</f>
        <v/>
      </c>
      <c r="FP122" s="59">
        <f>$CE122-$CE123</f>
        <v/>
      </c>
      <c r="FQ122" s="59">
        <f>$CF122-$CF123</f>
        <v/>
      </c>
      <c r="FR122" s="59">
        <f>$CG122-$CG123</f>
        <v/>
      </c>
      <c r="FS122" s="59">
        <f>$CH122-$CH123</f>
        <v/>
      </c>
      <c r="FT122" s="59">
        <f>$CI122-$CI123</f>
        <v/>
      </c>
      <c r="FU122" s="59">
        <f>$CJ122-$CJ123</f>
        <v/>
      </c>
      <c r="FV122" s="59">
        <f>$CK122-$CK123</f>
        <v/>
      </c>
      <c r="FW122" s="59">
        <f>$CL122-$CL123</f>
        <v/>
      </c>
      <c r="FX122" s="59">
        <f>$CM122-$CM123</f>
        <v/>
      </c>
      <c r="FY122" s="59">
        <f>$CN122-$CN123</f>
        <v/>
      </c>
      <c r="FZ122" s="59">
        <f>$CO122-$CO123</f>
        <v/>
      </c>
      <c r="GA122" s="59">
        <f>$CP122-$CP123</f>
        <v/>
      </c>
      <c r="GB122" s="59">
        <f>$CQ122-$CQ123</f>
        <v/>
      </c>
      <c r="GC122" s="59">
        <f>$CR122-$CR123</f>
        <v/>
      </c>
      <c r="GD122" s="59">
        <f>$CS122-$CS123</f>
        <v/>
      </c>
      <c r="GE122" s="59">
        <f>$CT122-$CT123</f>
        <v/>
      </c>
    </row>
    <row r="123">
      <c r="CU123" s="58">
        <f>IFERROR($B123/$B124-1,"")</f>
        <v/>
      </c>
      <c r="CV123" s="59">
        <f>($F123-$F124)*100</f>
        <v/>
      </c>
      <c r="CW123" s="59">
        <f>($E123-$E124)*100</f>
        <v/>
      </c>
      <c r="CX123" s="58">
        <f>IFERROR($K123/$K124-1,"")</f>
        <v/>
      </c>
      <c r="CY123" s="59">
        <f>($AH123-$AH124)*100</f>
        <v/>
      </c>
      <c r="CZ123" s="59">
        <f>($AI123-$AI124)*100</f>
        <v/>
      </c>
      <c r="DA123" s="59">
        <f>($AJ123-$AJ124)*100</f>
        <v/>
      </c>
      <c r="DB123" s="59">
        <f>($AK123-$AK124)*100</f>
        <v/>
      </c>
      <c r="DC123" s="59">
        <f>($AL123-$AL124)*100</f>
        <v/>
      </c>
      <c r="DD123" s="59">
        <f>($AM123-$AM124)*100</f>
        <v/>
      </c>
      <c r="DE123" s="59">
        <f>($AN123-$AN124)*100</f>
        <v/>
      </c>
      <c r="DF123" s="59">
        <f>($AO123-$AO124)*100</f>
        <v/>
      </c>
      <c r="DG123" s="59">
        <f>($AP123-$AP124)*100</f>
        <v/>
      </c>
      <c r="DH123" s="59">
        <f>($AQ123-$AQ124)*100</f>
        <v/>
      </c>
      <c r="DI123" s="59">
        <f>($AR123-$AR124)*100</f>
        <v/>
      </c>
      <c r="DJ123" s="59">
        <f>($AS123-$AS124)*100</f>
        <v/>
      </c>
      <c r="DK123" s="59">
        <f>($AT123-$AT124)*100</f>
        <v/>
      </c>
      <c r="DL123" s="59">
        <f>($AU123-$AU124)*100</f>
        <v/>
      </c>
      <c r="DM123" s="59">
        <f>($AV123-$AV124)*100</f>
        <v/>
      </c>
      <c r="DN123" s="59">
        <f>($AW123-$AW124)*100</f>
        <v/>
      </c>
      <c r="DO123" s="59">
        <f>($AX123-$AX124)*100</f>
        <v/>
      </c>
      <c r="DP123" s="59">
        <f>($AY123-$AY124)*100</f>
        <v/>
      </c>
      <c r="DQ123" s="59">
        <f>($AZ123-$AZ124)*100</f>
        <v/>
      </c>
      <c r="DR123" s="59">
        <f>($BA123-$BA124)*100</f>
        <v/>
      </c>
      <c r="DS123" s="58">
        <f>IFERROR($N124/$N123-1,"")</f>
        <v/>
      </c>
      <c r="DT123" s="58">
        <f>IFERROR($O124/$O123-1,"")</f>
        <v/>
      </c>
      <c r="DU123" s="58">
        <f>IFERROR($P124/$P123-1,"")</f>
        <v/>
      </c>
      <c r="DV123" s="58">
        <f>IFERROR($Q124/$Q123-1,"")</f>
        <v/>
      </c>
      <c r="DW123" s="58">
        <f>IFERROR($R124/$R123-1,"")</f>
        <v/>
      </c>
      <c r="DX123" s="58">
        <f>IFERROR($S124/$S123-1,"")</f>
        <v/>
      </c>
      <c r="DY123" s="58">
        <f>IFERROR($T124/$T123-1,"")</f>
        <v/>
      </c>
      <c r="DZ123" s="58">
        <f>IFERROR($U124/$U123-1,"")</f>
        <v/>
      </c>
      <c r="EA123" s="58">
        <f>IFERROR($V124/$V123-1,"")</f>
        <v/>
      </c>
      <c r="EB123" s="58">
        <f>IFERROR($W124/$W123-1,"")</f>
        <v/>
      </c>
      <c r="EC123" s="58">
        <f>IFERROR($X124/$X123-1,"")</f>
        <v/>
      </c>
      <c r="ED123" s="58">
        <f>IFERROR($Y124/$Y123-1,"")</f>
        <v/>
      </c>
      <c r="EE123" s="58">
        <f>IFERROR($Z124/$Z123-1,"")</f>
        <v/>
      </c>
      <c r="EF123" s="58">
        <f>IFERROR($AA124/$AA123-1,"")</f>
        <v/>
      </c>
      <c r="EG123" s="58">
        <f>IFERROR($AB124/$AB123-1,"")</f>
        <v/>
      </c>
      <c r="EH123" s="58">
        <f>IFERROR($AC124/$AC123-1,"")</f>
        <v/>
      </c>
      <c r="EI123" s="58">
        <f>IFERROR($AD124/$AD123-1,"")</f>
        <v/>
      </c>
      <c r="EJ123" s="58">
        <f>IFERROR($AE124/$AE123-1,"")</f>
        <v/>
      </c>
      <c r="EK123" s="58">
        <f>IFERROR($AF124/$AF123-1,"")</f>
        <v/>
      </c>
      <c r="EL123" s="58">
        <f>IFERROR($AG124/$AG123-1,"")</f>
        <v/>
      </c>
      <c r="EM123" s="58">
        <f>IFERROR($BB123/$BB124-1,"")</f>
        <v/>
      </c>
      <c r="EN123" s="58">
        <f>IFERROR($BC123/$BC124-1,"")</f>
        <v/>
      </c>
      <c r="EO123" s="58">
        <f>IFERROR($BD123/$BD124-1,"")</f>
        <v/>
      </c>
      <c r="EP123" s="58">
        <f>IFERROR($BE123/$BE124-1,"")</f>
        <v/>
      </c>
      <c r="EQ123" s="58">
        <f>IFERROR($BF123/$BF124-1,"")</f>
        <v/>
      </c>
      <c r="ER123" s="58">
        <f>IFERROR($BG123/$BG124-1,"")</f>
        <v/>
      </c>
      <c r="ES123" s="58">
        <f>IFERROR($BH123/$BH124-1,"")</f>
        <v/>
      </c>
      <c r="ET123" s="58">
        <f>IFERROR($BI123/$BI124-1,"")</f>
        <v/>
      </c>
      <c r="EU123" s="58">
        <f>IFERROR($BJ123/$BJ124-1,"")</f>
        <v/>
      </c>
      <c r="EV123" s="58">
        <f>IFERROR($BK123/$BK124-1,"")</f>
        <v/>
      </c>
      <c r="EW123" s="58">
        <f>IFERROR($BL123/$BL124-1,"")</f>
        <v/>
      </c>
      <c r="EX123" s="58">
        <f>IFERROR($BM123/$BM124-1,"")</f>
        <v/>
      </c>
      <c r="EY123" s="58">
        <f>IFERROR($BN123/$BN124-1,"")</f>
        <v/>
      </c>
      <c r="EZ123" s="58">
        <f>IFERROR($BO123/$BO124-1,"")</f>
        <v/>
      </c>
      <c r="FA123" s="58">
        <f>IFERROR($BP123/$BP124-1,"")</f>
        <v/>
      </c>
      <c r="FB123" s="58">
        <f>IFERROR($BQ123/$BQ124-1,"")</f>
        <v/>
      </c>
      <c r="FC123" s="58">
        <f>IFERROR($BR123/$BR124-1,"")</f>
        <v/>
      </c>
      <c r="FD123" s="58">
        <f>IFERROR($BS123/$BS124-1,"")</f>
        <v/>
      </c>
      <c r="FE123" s="58">
        <f>IFERROR($BT123/$BT124-1,"")</f>
        <v/>
      </c>
      <c r="FF123" s="58">
        <f>IFERROR($BU123/$BU124-1,"")</f>
        <v/>
      </c>
      <c r="FG123" s="58">
        <f>IFERROR($BV123/$BV124-1,"")</f>
        <v/>
      </c>
      <c r="FH123" s="58">
        <f>IFERROR($BW123/$BW124-1,"")</f>
        <v/>
      </c>
      <c r="FI123" s="58">
        <f>IFERROR($BX123/$BX124-1,"")</f>
        <v/>
      </c>
      <c r="FJ123" s="59">
        <f>$BY123-$BY124</f>
        <v/>
      </c>
      <c r="FK123" s="59">
        <f>$BZ123-$BZ124</f>
        <v/>
      </c>
      <c r="FL123" s="59">
        <f>$CA123-$CA124</f>
        <v/>
      </c>
      <c r="FM123" s="59">
        <f>$CB123-$CB124</f>
        <v/>
      </c>
      <c r="FN123" s="59">
        <f>$CC123-$CC124</f>
        <v/>
      </c>
      <c r="FO123" s="59">
        <f>$CD123-$CD124</f>
        <v/>
      </c>
      <c r="FP123" s="59">
        <f>$CE123-$CE124</f>
        <v/>
      </c>
      <c r="FQ123" s="59">
        <f>$CF123-$CF124</f>
        <v/>
      </c>
      <c r="FR123" s="59">
        <f>$CG123-$CG124</f>
        <v/>
      </c>
      <c r="FS123" s="59">
        <f>$CH123-$CH124</f>
        <v/>
      </c>
      <c r="FT123" s="59">
        <f>$CI123-$CI124</f>
        <v/>
      </c>
      <c r="FU123" s="59">
        <f>$CJ123-$CJ124</f>
        <v/>
      </c>
      <c r="FV123" s="59">
        <f>$CK123-$CK124</f>
        <v/>
      </c>
      <c r="FW123" s="59">
        <f>$CL123-$CL124</f>
        <v/>
      </c>
      <c r="FX123" s="59">
        <f>$CM123-$CM124</f>
        <v/>
      </c>
      <c r="FY123" s="59">
        <f>$CN123-$CN124</f>
        <v/>
      </c>
      <c r="FZ123" s="59">
        <f>$CO123-$CO124</f>
        <v/>
      </c>
      <c r="GA123" s="59">
        <f>$CP123-$CP124</f>
        <v/>
      </c>
      <c r="GB123" s="59">
        <f>$CQ123-$CQ124</f>
        <v/>
      </c>
      <c r="GC123" s="59">
        <f>$CR123-$CR124</f>
        <v/>
      </c>
      <c r="GD123" s="59">
        <f>$CS123-$CS124</f>
        <v/>
      </c>
      <c r="GE123" s="59">
        <f>$CT123-$CT124</f>
        <v/>
      </c>
    </row>
    <row r="124">
      <c r="CU124" s="58">
        <f>IFERROR($B124/$B125-1,"")</f>
        <v/>
      </c>
      <c r="CV124" s="59">
        <f>($F124-$F125)*100</f>
        <v/>
      </c>
      <c r="CW124" s="59">
        <f>($E124-$E125)*100</f>
        <v/>
      </c>
      <c r="CX124" s="58">
        <f>IFERROR($K124/$K125-1,"")</f>
        <v/>
      </c>
      <c r="CY124" s="59">
        <f>($AH124-$AH125)*100</f>
        <v/>
      </c>
      <c r="CZ124" s="59">
        <f>($AI124-$AI125)*100</f>
        <v/>
      </c>
      <c r="DA124" s="59">
        <f>($AJ124-$AJ125)*100</f>
        <v/>
      </c>
      <c r="DB124" s="59">
        <f>($AK124-$AK125)*100</f>
        <v/>
      </c>
      <c r="DC124" s="59">
        <f>($AL124-$AL125)*100</f>
        <v/>
      </c>
      <c r="DD124" s="59">
        <f>($AM124-$AM125)*100</f>
        <v/>
      </c>
      <c r="DE124" s="59">
        <f>($AN124-$AN125)*100</f>
        <v/>
      </c>
      <c r="DF124" s="59">
        <f>($AO124-$AO125)*100</f>
        <v/>
      </c>
      <c r="DG124" s="59">
        <f>($AP124-$AP125)*100</f>
        <v/>
      </c>
      <c r="DH124" s="59">
        <f>($AQ124-$AQ125)*100</f>
        <v/>
      </c>
      <c r="DI124" s="59">
        <f>($AR124-$AR125)*100</f>
        <v/>
      </c>
      <c r="DJ124" s="59">
        <f>($AS124-$AS125)*100</f>
        <v/>
      </c>
      <c r="DK124" s="59">
        <f>($AT124-$AT125)*100</f>
        <v/>
      </c>
      <c r="DL124" s="59">
        <f>($AU124-$AU125)*100</f>
        <v/>
      </c>
      <c r="DM124" s="59">
        <f>($AV124-$AV125)*100</f>
        <v/>
      </c>
      <c r="DN124" s="59">
        <f>($AW124-$AW125)*100</f>
        <v/>
      </c>
      <c r="DO124" s="59">
        <f>($AX124-$AX125)*100</f>
        <v/>
      </c>
      <c r="DP124" s="59">
        <f>($AY124-$AY125)*100</f>
        <v/>
      </c>
      <c r="DQ124" s="59">
        <f>($AZ124-$AZ125)*100</f>
        <v/>
      </c>
      <c r="DR124" s="59">
        <f>($BA124-$BA125)*100</f>
        <v/>
      </c>
      <c r="DS124" s="58">
        <f>IFERROR($N125/$N124-1,"")</f>
        <v/>
      </c>
      <c r="DT124" s="58">
        <f>IFERROR($O125/$O124-1,"")</f>
        <v/>
      </c>
      <c r="DU124" s="58">
        <f>IFERROR($P125/$P124-1,"")</f>
        <v/>
      </c>
      <c r="DV124" s="58">
        <f>IFERROR($Q125/$Q124-1,"")</f>
        <v/>
      </c>
      <c r="DW124" s="58">
        <f>IFERROR($R125/$R124-1,"")</f>
        <v/>
      </c>
      <c r="DX124" s="58">
        <f>IFERROR($S125/$S124-1,"")</f>
        <v/>
      </c>
      <c r="DY124" s="58">
        <f>IFERROR($T125/$T124-1,"")</f>
        <v/>
      </c>
      <c r="DZ124" s="58">
        <f>IFERROR($U125/$U124-1,"")</f>
        <v/>
      </c>
      <c r="EA124" s="58">
        <f>IFERROR($V125/$V124-1,"")</f>
        <v/>
      </c>
      <c r="EB124" s="58">
        <f>IFERROR($W125/$W124-1,"")</f>
        <v/>
      </c>
      <c r="EC124" s="58">
        <f>IFERROR($X125/$X124-1,"")</f>
        <v/>
      </c>
      <c r="ED124" s="58">
        <f>IFERROR($Y125/$Y124-1,"")</f>
        <v/>
      </c>
      <c r="EE124" s="58">
        <f>IFERROR($Z125/$Z124-1,"")</f>
        <v/>
      </c>
      <c r="EF124" s="58">
        <f>IFERROR($AA125/$AA124-1,"")</f>
        <v/>
      </c>
      <c r="EG124" s="58">
        <f>IFERROR($AB125/$AB124-1,"")</f>
        <v/>
      </c>
      <c r="EH124" s="58">
        <f>IFERROR($AC125/$AC124-1,"")</f>
        <v/>
      </c>
      <c r="EI124" s="58">
        <f>IFERROR($AD125/$AD124-1,"")</f>
        <v/>
      </c>
      <c r="EJ124" s="58">
        <f>IFERROR($AE125/$AE124-1,"")</f>
        <v/>
      </c>
      <c r="EK124" s="58">
        <f>IFERROR($AF125/$AF124-1,"")</f>
        <v/>
      </c>
      <c r="EL124" s="58">
        <f>IFERROR($AG125/$AG124-1,"")</f>
        <v/>
      </c>
      <c r="EM124" s="58">
        <f>IFERROR($BB124/$BB125-1,"")</f>
        <v/>
      </c>
      <c r="EN124" s="58">
        <f>IFERROR($BC124/$BC125-1,"")</f>
        <v/>
      </c>
      <c r="EO124" s="58">
        <f>IFERROR($BD124/$BD125-1,"")</f>
        <v/>
      </c>
      <c r="EP124" s="58">
        <f>IFERROR($BE124/$BE125-1,"")</f>
        <v/>
      </c>
      <c r="EQ124" s="58">
        <f>IFERROR($BF124/$BF125-1,"")</f>
        <v/>
      </c>
      <c r="ER124" s="58">
        <f>IFERROR($BG124/$BG125-1,"")</f>
        <v/>
      </c>
      <c r="ES124" s="58">
        <f>IFERROR($BH124/$BH125-1,"")</f>
        <v/>
      </c>
      <c r="ET124" s="58">
        <f>IFERROR($BI124/$BI125-1,"")</f>
        <v/>
      </c>
      <c r="EU124" s="58">
        <f>IFERROR($BJ124/$BJ125-1,"")</f>
        <v/>
      </c>
      <c r="EV124" s="58">
        <f>IFERROR($BK124/$BK125-1,"")</f>
        <v/>
      </c>
      <c r="EW124" s="58">
        <f>IFERROR($BL124/$BL125-1,"")</f>
        <v/>
      </c>
      <c r="EX124" s="58">
        <f>IFERROR($BM124/$BM125-1,"")</f>
        <v/>
      </c>
      <c r="EY124" s="58">
        <f>IFERROR($BN124/$BN125-1,"")</f>
        <v/>
      </c>
      <c r="EZ124" s="58">
        <f>IFERROR($BO124/$BO125-1,"")</f>
        <v/>
      </c>
      <c r="FA124" s="58">
        <f>IFERROR($BP124/$BP125-1,"")</f>
        <v/>
      </c>
      <c r="FB124" s="58">
        <f>IFERROR($BQ124/$BQ125-1,"")</f>
        <v/>
      </c>
      <c r="FC124" s="58">
        <f>IFERROR($BR124/$BR125-1,"")</f>
        <v/>
      </c>
      <c r="FD124" s="58">
        <f>IFERROR($BS124/$BS125-1,"")</f>
        <v/>
      </c>
      <c r="FE124" s="58">
        <f>IFERROR($BT124/$BT125-1,"")</f>
        <v/>
      </c>
      <c r="FF124" s="58">
        <f>IFERROR($BU124/$BU125-1,"")</f>
        <v/>
      </c>
      <c r="FG124" s="58">
        <f>IFERROR($BV124/$BV125-1,"")</f>
        <v/>
      </c>
      <c r="FH124" s="58">
        <f>IFERROR($BW124/$BW125-1,"")</f>
        <v/>
      </c>
      <c r="FI124" s="58">
        <f>IFERROR($BX124/$BX125-1,"")</f>
        <v/>
      </c>
      <c r="FJ124" s="59">
        <f>$BY124-$BY125</f>
        <v/>
      </c>
      <c r="FK124" s="59">
        <f>$BZ124-$BZ125</f>
        <v/>
      </c>
      <c r="FL124" s="59">
        <f>$CA124-$CA125</f>
        <v/>
      </c>
      <c r="FM124" s="59">
        <f>$CB124-$CB125</f>
        <v/>
      </c>
      <c r="FN124" s="59">
        <f>$CC124-$CC125</f>
        <v/>
      </c>
      <c r="FO124" s="59">
        <f>$CD124-$CD125</f>
        <v/>
      </c>
      <c r="FP124" s="59">
        <f>$CE124-$CE125</f>
        <v/>
      </c>
      <c r="FQ124" s="59">
        <f>$CF124-$CF125</f>
        <v/>
      </c>
      <c r="FR124" s="59">
        <f>$CG124-$CG125</f>
        <v/>
      </c>
      <c r="FS124" s="59">
        <f>$CH124-$CH125</f>
        <v/>
      </c>
      <c r="FT124" s="59">
        <f>$CI124-$CI125</f>
        <v/>
      </c>
      <c r="FU124" s="59">
        <f>$CJ124-$CJ125</f>
        <v/>
      </c>
      <c r="FV124" s="59">
        <f>$CK124-$CK125</f>
        <v/>
      </c>
      <c r="FW124" s="59">
        <f>$CL124-$CL125</f>
        <v/>
      </c>
      <c r="FX124" s="59">
        <f>$CM124-$CM125</f>
        <v/>
      </c>
      <c r="FY124" s="59">
        <f>$CN124-$CN125</f>
        <v/>
      </c>
      <c r="FZ124" s="59">
        <f>$CO124-$CO125</f>
        <v/>
      </c>
      <c r="GA124" s="59">
        <f>$CP124-$CP125</f>
        <v/>
      </c>
      <c r="GB124" s="59">
        <f>$CQ124-$CQ125</f>
        <v/>
      </c>
      <c r="GC124" s="59">
        <f>$CR124-$CR125</f>
        <v/>
      </c>
      <c r="GD124" s="59">
        <f>$CS124-$CS125</f>
        <v/>
      </c>
      <c r="GE124" s="59">
        <f>$CT124-$CT125</f>
        <v/>
      </c>
    </row>
    <row r="125">
      <c r="CU125" s="58">
        <f>IFERROR($B125/$B126-1,"")</f>
        <v/>
      </c>
      <c r="CV125" s="59">
        <f>($F125-$F126)*100</f>
        <v/>
      </c>
      <c r="CW125" s="59">
        <f>($E125-$E126)*100</f>
        <v/>
      </c>
      <c r="CX125" s="58">
        <f>IFERROR($K125/$K126-1,"")</f>
        <v/>
      </c>
      <c r="CY125" s="59">
        <f>($AH125-$AH126)*100</f>
        <v/>
      </c>
      <c r="CZ125" s="59">
        <f>($AI125-$AI126)*100</f>
        <v/>
      </c>
      <c r="DA125" s="59">
        <f>($AJ125-$AJ126)*100</f>
        <v/>
      </c>
      <c r="DB125" s="59">
        <f>($AK125-$AK126)*100</f>
        <v/>
      </c>
      <c r="DC125" s="59">
        <f>($AL125-$AL126)*100</f>
        <v/>
      </c>
      <c r="DD125" s="59">
        <f>($AM125-$AM126)*100</f>
        <v/>
      </c>
      <c r="DE125" s="59">
        <f>($AN125-$AN126)*100</f>
        <v/>
      </c>
      <c r="DF125" s="59">
        <f>($AO125-$AO126)*100</f>
        <v/>
      </c>
      <c r="DG125" s="59">
        <f>($AP125-$AP126)*100</f>
        <v/>
      </c>
      <c r="DH125" s="59">
        <f>($AQ125-$AQ126)*100</f>
        <v/>
      </c>
      <c r="DI125" s="59">
        <f>($AR125-$AR126)*100</f>
        <v/>
      </c>
      <c r="DJ125" s="59">
        <f>($AS125-$AS126)*100</f>
        <v/>
      </c>
      <c r="DK125" s="59">
        <f>($AT125-$AT126)*100</f>
        <v/>
      </c>
      <c r="DL125" s="59">
        <f>($AU125-$AU126)*100</f>
        <v/>
      </c>
      <c r="DM125" s="59">
        <f>($AV125-$AV126)*100</f>
        <v/>
      </c>
      <c r="DN125" s="59">
        <f>($AW125-$AW126)*100</f>
        <v/>
      </c>
      <c r="DO125" s="59">
        <f>($AX125-$AX126)*100</f>
        <v/>
      </c>
      <c r="DP125" s="59">
        <f>($AY125-$AY126)*100</f>
        <v/>
      </c>
      <c r="DQ125" s="59">
        <f>($AZ125-$AZ126)*100</f>
        <v/>
      </c>
      <c r="DR125" s="59">
        <f>($BA125-$BA126)*100</f>
        <v/>
      </c>
      <c r="DS125" s="58">
        <f>IFERROR($N126/$N125-1,"")</f>
        <v/>
      </c>
      <c r="DT125" s="58">
        <f>IFERROR($O126/$O125-1,"")</f>
        <v/>
      </c>
      <c r="DU125" s="58">
        <f>IFERROR($P126/$P125-1,"")</f>
        <v/>
      </c>
      <c r="DV125" s="58">
        <f>IFERROR($Q126/$Q125-1,"")</f>
        <v/>
      </c>
      <c r="DW125" s="58">
        <f>IFERROR($R126/$R125-1,"")</f>
        <v/>
      </c>
      <c r="DX125" s="58">
        <f>IFERROR($S126/$S125-1,"")</f>
        <v/>
      </c>
      <c r="DY125" s="58">
        <f>IFERROR($T126/$T125-1,"")</f>
        <v/>
      </c>
      <c r="DZ125" s="58">
        <f>IFERROR($U126/$U125-1,"")</f>
        <v/>
      </c>
      <c r="EA125" s="58">
        <f>IFERROR($V126/$V125-1,"")</f>
        <v/>
      </c>
      <c r="EB125" s="58">
        <f>IFERROR($W126/$W125-1,"")</f>
        <v/>
      </c>
      <c r="EC125" s="58">
        <f>IFERROR($X126/$X125-1,"")</f>
        <v/>
      </c>
      <c r="ED125" s="58">
        <f>IFERROR($Y126/$Y125-1,"")</f>
        <v/>
      </c>
      <c r="EE125" s="58">
        <f>IFERROR($Z126/$Z125-1,"")</f>
        <v/>
      </c>
      <c r="EF125" s="58">
        <f>IFERROR($AA126/$AA125-1,"")</f>
        <v/>
      </c>
      <c r="EG125" s="58">
        <f>IFERROR($AB126/$AB125-1,"")</f>
        <v/>
      </c>
      <c r="EH125" s="58">
        <f>IFERROR($AC126/$AC125-1,"")</f>
        <v/>
      </c>
      <c r="EI125" s="58">
        <f>IFERROR($AD126/$AD125-1,"")</f>
        <v/>
      </c>
      <c r="EJ125" s="58">
        <f>IFERROR($AE126/$AE125-1,"")</f>
        <v/>
      </c>
      <c r="EK125" s="58">
        <f>IFERROR($AF126/$AF125-1,"")</f>
        <v/>
      </c>
      <c r="EL125" s="58">
        <f>IFERROR($AG126/$AG125-1,"")</f>
        <v/>
      </c>
      <c r="EM125" s="58">
        <f>IFERROR($BB125/$BB126-1,"")</f>
        <v/>
      </c>
      <c r="EN125" s="58">
        <f>IFERROR($BC125/$BC126-1,"")</f>
        <v/>
      </c>
      <c r="EO125" s="58">
        <f>IFERROR($BD125/$BD126-1,"")</f>
        <v/>
      </c>
      <c r="EP125" s="58">
        <f>IFERROR($BE125/$BE126-1,"")</f>
        <v/>
      </c>
      <c r="EQ125" s="58">
        <f>IFERROR($BF125/$BF126-1,"")</f>
        <v/>
      </c>
      <c r="ER125" s="58">
        <f>IFERROR($BG125/$BG126-1,"")</f>
        <v/>
      </c>
      <c r="ES125" s="58">
        <f>IFERROR($BH125/$BH126-1,"")</f>
        <v/>
      </c>
      <c r="ET125" s="58">
        <f>IFERROR($BI125/$BI126-1,"")</f>
        <v/>
      </c>
      <c r="EU125" s="58">
        <f>IFERROR($BJ125/$BJ126-1,"")</f>
        <v/>
      </c>
      <c r="EV125" s="58">
        <f>IFERROR($BK125/$BK126-1,"")</f>
        <v/>
      </c>
      <c r="EW125" s="58">
        <f>IFERROR($BL125/$BL126-1,"")</f>
        <v/>
      </c>
      <c r="EX125" s="58">
        <f>IFERROR($BM125/$BM126-1,"")</f>
        <v/>
      </c>
      <c r="EY125" s="58">
        <f>IFERROR($BN125/$BN126-1,"")</f>
        <v/>
      </c>
      <c r="EZ125" s="58">
        <f>IFERROR($BO125/$BO126-1,"")</f>
        <v/>
      </c>
      <c r="FA125" s="58">
        <f>IFERROR($BP125/$BP126-1,"")</f>
        <v/>
      </c>
      <c r="FB125" s="58">
        <f>IFERROR($BQ125/$BQ126-1,"")</f>
        <v/>
      </c>
      <c r="FC125" s="58">
        <f>IFERROR($BR125/$BR126-1,"")</f>
        <v/>
      </c>
      <c r="FD125" s="58">
        <f>IFERROR($BS125/$BS126-1,"")</f>
        <v/>
      </c>
      <c r="FE125" s="58">
        <f>IFERROR($BT125/$BT126-1,"")</f>
        <v/>
      </c>
      <c r="FF125" s="58">
        <f>IFERROR($BU125/$BU126-1,"")</f>
        <v/>
      </c>
      <c r="FG125" s="58">
        <f>IFERROR($BV125/$BV126-1,"")</f>
        <v/>
      </c>
      <c r="FH125" s="58">
        <f>IFERROR($BW125/$BW126-1,"")</f>
        <v/>
      </c>
      <c r="FI125" s="58">
        <f>IFERROR($BX125/$BX126-1,"")</f>
        <v/>
      </c>
      <c r="FJ125" s="59">
        <f>$BY125-$BY126</f>
        <v/>
      </c>
      <c r="FK125" s="59">
        <f>$BZ125-$BZ126</f>
        <v/>
      </c>
      <c r="FL125" s="59">
        <f>$CA125-$CA126</f>
        <v/>
      </c>
      <c r="FM125" s="59">
        <f>$CB125-$CB126</f>
        <v/>
      </c>
      <c r="FN125" s="59">
        <f>$CC125-$CC126</f>
        <v/>
      </c>
      <c r="FO125" s="59">
        <f>$CD125-$CD126</f>
        <v/>
      </c>
      <c r="FP125" s="59">
        <f>$CE125-$CE126</f>
        <v/>
      </c>
      <c r="FQ125" s="59">
        <f>$CF125-$CF126</f>
        <v/>
      </c>
      <c r="FR125" s="59">
        <f>$CG125-$CG126</f>
        <v/>
      </c>
      <c r="FS125" s="59">
        <f>$CH125-$CH126</f>
        <v/>
      </c>
      <c r="FT125" s="59">
        <f>$CI125-$CI126</f>
        <v/>
      </c>
      <c r="FU125" s="59">
        <f>$CJ125-$CJ126</f>
        <v/>
      </c>
      <c r="FV125" s="59">
        <f>$CK125-$CK126</f>
        <v/>
      </c>
      <c r="FW125" s="59">
        <f>$CL125-$CL126</f>
        <v/>
      </c>
      <c r="FX125" s="59">
        <f>$CM125-$CM126</f>
        <v/>
      </c>
      <c r="FY125" s="59">
        <f>$CN125-$CN126</f>
        <v/>
      </c>
      <c r="FZ125" s="59">
        <f>$CO125-$CO126</f>
        <v/>
      </c>
      <c r="GA125" s="59">
        <f>$CP125-$CP126</f>
        <v/>
      </c>
      <c r="GB125" s="59">
        <f>$CQ125-$CQ126</f>
        <v/>
      </c>
      <c r="GC125" s="59">
        <f>$CR125-$CR126</f>
        <v/>
      </c>
      <c r="GD125" s="59">
        <f>$CS125-$CS126</f>
        <v/>
      </c>
      <c r="GE125" s="59">
        <f>$CT125-$CT126</f>
        <v/>
      </c>
    </row>
    <row r="126">
      <c r="CU126" s="58">
        <f>IFERROR($B126/$B127-1,"")</f>
        <v/>
      </c>
      <c r="CV126" s="59">
        <f>($F126-$F127)*100</f>
        <v/>
      </c>
      <c r="CW126" s="59">
        <f>($E126-$E127)*100</f>
        <v/>
      </c>
      <c r="CX126" s="58">
        <f>IFERROR($K126/$K127-1,"")</f>
        <v/>
      </c>
      <c r="CY126" s="59">
        <f>($AH126-$AH127)*100</f>
        <v/>
      </c>
      <c r="CZ126" s="59">
        <f>($AI126-$AI127)*100</f>
        <v/>
      </c>
      <c r="DA126" s="59">
        <f>($AJ126-$AJ127)*100</f>
        <v/>
      </c>
      <c r="DB126" s="59">
        <f>($AK126-$AK127)*100</f>
        <v/>
      </c>
      <c r="DC126" s="59">
        <f>($AL126-$AL127)*100</f>
        <v/>
      </c>
      <c r="DD126" s="59">
        <f>($AM126-$AM127)*100</f>
        <v/>
      </c>
      <c r="DE126" s="59">
        <f>($AN126-$AN127)*100</f>
        <v/>
      </c>
      <c r="DF126" s="59">
        <f>($AO126-$AO127)*100</f>
        <v/>
      </c>
      <c r="DG126" s="59">
        <f>($AP126-$AP127)*100</f>
        <v/>
      </c>
      <c r="DH126" s="59">
        <f>($AQ126-$AQ127)*100</f>
        <v/>
      </c>
      <c r="DI126" s="59">
        <f>($AR126-$AR127)*100</f>
        <v/>
      </c>
      <c r="DJ126" s="59">
        <f>($AS126-$AS127)*100</f>
        <v/>
      </c>
      <c r="DK126" s="59">
        <f>($AT126-$AT127)*100</f>
        <v/>
      </c>
      <c r="DL126" s="59">
        <f>($AU126-$AU127)*100</f>
        <v/>
      </c>
      <c r="DM126" s="59">
        <f>($AV126-$AV127)*100</f>
        <v/>
      </c>
      <c r="DN126" s="59">
        <f>($AW126-$AW127)*100</f>
        <v/>
      </c>
      <c r="DO126" s="59">
        <f>($AX126-$AX127)*100</f>
        <v/>
      </c>
      <c r="DP126" s="59">
        <f>($AY126-$AY127)*100</f>
        <v/>
      </c>
      <c r="DQ126" s="59">
        <f>($AZ126-$AZ127)*100</f>
        <v/>
      </c>
      <c r="DR126" s="59">
        <f>($BA126-$BA127)*100</f>
        <v/>
      </c>
      <c r="DS126" s="58">
        <f>IFERROR($N127/$N126-1,"")</f>
        <v/>
      </c>
      <c r="DT126" s="58">
        <f>IFERROR($O127/$O126-1,"")</f>
        <v/>
      </c>
      <c r="DU126" s="58">
        <f>IFERROR($P127/$P126-1,"")</f>
        <v/>
      </c>
      <c r="DV126" s="58">
        <f>IFERROR($Q127/$Q126-1,"")</f>
        <v/>
      </c>
      <c r="DW126" s="58">
        <f>IFERROR($R127/$R126-1,"")</f>
        <v/>
      </c>
      <c r="DX126" s="58">
        <f>IFERROR($S127/$S126-1,"")</f>
        <v/>
      </c>
      <c r="DY126" s="58">
        <f>IFERROR($T127/$T126-1,"")</f>
        <v/>
      </c>
      <c r="DZ126" s="58">
        <f>IFERROR($U127/$U126-1,"")</f>
        <v/>
      </c>
      <c r="EA126" s="58">
        <f>IFERROR($V127/$V126-1,"")</f>
        <v/>
      </c>
      <c r="EB126" s="58">
        <f>IFERROR($W127/$W126-1,"")</f>
        <v/>
      </c>
      <c r="EC126" s="58">
        <f>IFERROR($X127/$X126-1,"")</f>
        <v/>
      </c>
      <c r="ED126" s="58">
        <f>IFERROR($Y127/$Y126-1,"")</f>
        <v/>
      </c>
      <c r="EE126" s="58">
        <f>IFERROR($Z127/$Z126-1,"")</f>
        <v/>
      </c>
      <c r="EF126" s="58">
        <f>IFERROR($AA127/$AA126-1,"")</f>
        <v/>
      </c>
      <c r="EG126" s="58">
        <f>IFERROR($AB127/$AB126-1,"")</f>
        <v/>
      </c>
      <c r="EH126" s="58">
        <f>IFERROR($AC127/$AC126-1,"")</f>
        <v/>
      </c>
      <c r="EI126" s="58">
        <f>IFERROR($AD127/$AD126-1,"")</f>
        <v/>
      </c>
      <c r="EJ126" s="58">
        <f>IFERROR($AE127/$AE126-1,"")</f>
        <v/>
      </c>
      <c r="EK126" s="58">
        <f>IFERROR($AF127/$AF126-1,"")</f>
        <v/>
      </c>
      <c r="EL126" s="58">
        <f>IFERROR($AG127/$AG126-1,"")</f>
        <v/>
      </c>
      <c r="EM126" s="58">
        <f>IFERROR($BB126/$BB127-1,"")</f>
        <v/>
      </c>
      <c r="EN126" s="58">
        <f>IFERROR($BC126/$BC127-1,"")</f>
        <v/>
      </c>
      <c r="EO126" s="58">
        <f>IFERROR($BD126/$BD127-1,"")</f>
        <v/>
      </c>
      <c r="EP126" s="58">
        <f>IFERROR($BE126/$BE127-1,"")</f>
        <v/>
      </c>
      <c r="EQ126" s="58">
        <f>IFERROR($BF126/$BF127-1,"")</f>
        <v/>
      </c>
      <c r="ER126" s="58">
        <f>IFERROR($BG126/$BG127-1,"")</f>
        <v/>
      </c>
      <c r="ES126" s="58">
        <f>IFERROR($BH126/$BH127-1,"")</f>
        <v/>
      </c>
      <c r="ET126" s="58">
        <f>IFERROR($BI126/$BI127-1,"")</f>
        <v/>
      </c>
      <c r="EU126" s="58">
        <f>IFERROR($BJ126/$BJ127-1,"")</f>
        <v/>
      </c>
      <c r="EV126" s="58">
        <f>IFERROR($BK126/$BK127-1,"")</f>
        <v/>
      </c>
      <c r="EW126" s="58">
        <f>IFERROR($BL126/$BL127-1,"")</f>
        <v/>
      </c>
      <c r="EX126" s="58">
        <f>IFERROR($BM126/$BM127-1,"")</f>
        <v/>
      </c>
      <c r="EY126" s="58">
        <f>IFERROR($BN126/$BN127-1,"")</f>
        <v/>
      </c>
      <c r="EZ126" s="58">
        <f>IFERROR($BO126/$BO127-1,"")</f>
        <v/>
      </c>
      <c r="FA126" s="58">
        <f>IFERROR($BP126/$BP127-1,"")</f>
        <v/>
      </c>
      <c r="FB126" s="58">
        <f>IFERROR($BQ126/$BQ127-1,"")</f>
        <v/>
      </c>
      <c r="FC126" s="58">
        <f>IFERROR($BR126/$BR127-1,"")</f>
        <v/>
      </c>
      <c r="FD126" s="58">
        <f>IFERROR($BS126/$BS127-1,"")</f>
        <v/>
      </c>
      <c r="FE126" s="58">
        <f>IFERROR($BT126/$BT127-1,"")</f>
        <v/>
      </c>
      <c r="FF126" s="58">
        <f>IFERROR($BU126/$BU127-1,"")</f>
        <v/>
      </c>
      <c r="FG126" s="58">
        <f>IFERROR($BV126/$BV127-1,"")</f>
        <v/>
      </c>
      <c r="FH126" s="58">
        <f>IFERROR($BW126/$BW127-1,"")</f>
        <v/>
      </c>
      <c r="FI126" s="58">
        <f>IFERROR($BX126/$BX127-1,"")</f>
        <v/>
      </c>
      <c r="FJ126" s="59">
        <f>$BY126-$BY127</f>
        <v/>
      </c>
      <c r="FK126" s="59">
        <f>$BZ126-$BZ127</f>
        <v/>
      </c>
      <c r="FL126" s="59">
        <f>$CA126-$CA127</f>
        <v/>
      </c>
      <c r="FM126" s="59">
        <f>$CB126-$CB127</f>
        <v/>
      </c>
      <c r="FN126" s="59">
        <f>$CC126-$CC127</f>
        <v/>
      </c>
      <c r="FO126" s="59">
        <f>$CD126-$CD127</f>
        <v/>
      </c>
      <c r="FP126" s="59">
        <f>$CE126-$CE127</f>
        <v/>
      </c>
      <c r="FQ126" s="59">
        <f>$CF126-$CF127</f>
        <v/>
      </c>
      <c r="FR126" s="59">
        <f>$CG126-$CG127</f>
        <v/>
      </c>
      <c r="FS126" s="59">
        <f>$CH126-$CH127</f>
        <v/>
      </c>
      <c r="FT126" s="59">
        <f>$CI126-$CI127</f>
        <v/>
      </c>
      <c r="FU126" s="59">
        <f>$CJ126-$CJ127</f>
        <v/>
      </c>
      <c r="FV126" s="59">
        <f>$CK126-$CK127</f>
        <v/>
      </c>
      <c r="FW126" s="59">
        <f>$CL126-$CL127</f>
        <v/>
      </c>
      <c r="FX126" s="59">
        <f>$CM126-$CM127</f>
        <v/>
      </c>
      <c r="FY126" s="59">
        <f>$CN126-$CN127</f>
        <v/>
      </c>
      <c r="FZ126" s="59">
        <f>$CO126-$CO127</f>
        <v/>
      </c>
      <c r="GA126" s="59">
        <f>$CP126-$CP127</f>
        <v/>
      </c>
      <c r="GB126" s="59">
        <f>$CQ126-$CQ127</f>
        <v/>
      </c>
      <c r="GC126" s="59">
        <f>$CR126-$CR127</f>
        <v/>
      </c>
      <c r="GD126" s="59">
        <f>$CS126-$CS127</f>
        <v/>
      </c>
      <c r="GE126" s="59">
        <f>$CT126-$CT127</f>
        <v/>
      </c>
    </row>
    <row r="127">
      <c r="CU127" s="58">
        <f>IFERROR($B127/$B128-1,"")</f>
        <v/>
      </c>
      <c r="CV127" s="59">
        <f>($F127-$F128)*100</f>
        <v/>
      </c>
      <c r="CW127" s="59">
        <f>($E127-$E128)*100</f>
        <v/>
      </c>
      <c r="CX127" s="58">
        <f>IFERROR($K127/$K128-1,"")</f>
        <v/>
      </c>
      <c r="CY127" s="59">
        <f>($AH127-$AH128)*100</f>
        <v/>
      </c>
      <c r="CZ127" s="59">
        <f>($AI127-$AI128)*100</f>
        <v/>
      </c>
      <c r="DA127" s="59">
        <f>($AJ127-$AJ128)*100</f>
        <v/>
      </c>
      <c r="DB127" s="59">
        <f>($AK127-$AK128)*100</f>
        <v/>
      </c>
      <c r="DC127" s="59">
        <f>($AL127-$AL128)*100</f>
        <v/>
      </c>
      <c r="DD127" s="59">
        <f>($AM127-$AM128)*100</f>
        <v/>
      </c>
      <c r="DE127" s="59">
        <f>($AN127-$AN128)*100</f>
        <v/>
      </c>
      <c r="DF127" s="59">
        <f>($AO127-$AO128)*100</f>
        <v/>
      </c>
      <c r="DG127" s="59">
        <f>($AP127-$AP128)*100</f>
        <v/>
      </c>
      <c r="DH127" s="59">
        <f>($AQ127-$AQ128)*100</f>
        <v/>
      </c>
      <c r="DI127" s="59">
        <f>($AR127-$AR128)*100</f>
        <v/>
      </c>
      <c r="DJ127" s="59">
        <f>($AS127-$AS128)*100</f>
        <v/>
      </c>
      <c r="DK127" s="59">
        <f>($AT127-$AT128)*100</f>
        <v/>
      </c>
      <c r="DL127" s="59">
        <f>($AU127-$AU128)*100</f>
        <v/>
      </c>
      <c r="DM127" s="59">
        <f>($AV127-$AV128)*100</f>
        <v/>
      </c>
      <c r="DN127" s="59">
        <f>($AW127-$AW128)*100</f>
        <v/>
      </c>
      <c r="DO127" s="59">
        <f>($AX127-$AX128)*100</f>
        <v/>
      </c>
      <c r="DP127" s="59">
        <f>($AY127-$AY128)*100</f>
        <v/>
      </c>
      <c r="DQ127" s="59">
        <f>($AZ127-$AZ128)*100</f>
        <v/>
      </c>
      <c r="DR127" s="59">
        <f>($BA127-$BA128)*100</f>
        <v/>
      </c>
      <c r="DS127" s="58">
        <f>IFERROR($N128/$N127-1,"")</f>
        <v/>
      </c>
      <c r="DT127" s="58">
        <f>IFERROR($O128/$O127-1,"")</f>
        <v/>
      </c>
      <c r="DU127" s="58">
        <f>IFERROR($P128/$P127-1,"")</f>
        <v/>
      </c>
      <c r="DV127" s="58">
        <f>IFERROR($Q128/$Q127-1,"")</f>
        <v/>
      </c>
      <c r="DW127" s="58">
        <f>IFERROR($R128/$R127-1,"")</f>
        <v/>
      </c>
      <c r="DX127" s="58">
        <f>IFERROR($S128/$S127-1,"")</f>
        <v/>
      </c>
      <c r="DY127" s="58">
        <f>IFERROR($T128/$T127-1,"")</f>
        <v/>
      </c>
      <c r="DZ127" s="58">
        <f>IFERROR($U128/$U127-1,"")</f>
        <v/>
      </c>
      <c r="EA127" s="58">
        <f>IFERROR($V128/$V127-1,"")</f>
        <v/>
      </c>
      <c r="EB127" s="58">
        <f>IFERROR($W128/$W127-1,"")</f>
        <v/>
      </c>
      <c r="EC127" s="58">
        <f>IFERROR($X128/$X127-1,"")</f>
        <v/>
      </c>
      <c r="ED127" s="58">
        <f>IFERROR($Y128/$Y127-1,"")</f>
        <v/>
      </c>
      <c r="EE127" s="58">
        <f>IFERROR($Z128/$Z127-1,"")</f>
        <v/>
      </c>
      <c r="EF127" s="58">
        <f>IFERROR($AA128/$AA127-1,"")</f>
        <v/>
      </c>
      <c r="EG127" s="58">
        <f>IFERROR($AB128/$AB127-1,"")</f>
        <v/>
      </c>
      <c r="EH127" s="58">
        <f>IFERROR($AC128/$AC127-1,"")</f>
        <v/>
      </c>
      <c r="EI127" s="58">
        <f>IFERROR($AD128/$AD127-1,"")</f>
        <v/>
      </c>
      <c r="EJ127" s="58">
        <f>IFERROR($AE128/$AE127-1,"")</f>
        <v/>
      </c>
      <c r="EK127" s="58">
        <f>IFERROR($AF128/$AF127-1,"")</f>
        <v/>
      </c>
      <c r="EL127" s="58">
        <f>IFERROR($AG128/$AG127-1,"")</f>
        <v/>
      </c>
      <c r="EM127" s="58">
        <f>IFERROR($BB127/$BB128-1,"")</f>
        <v/>
      </c>
      <c r="EN127" s="58">
        <f>IFERROR($BC127/$BC128-1,"")</f>
        <v/>
      </c>
      <c r="EO127" s="58">
        <f>IFERROR($BD127/$BD128-1,"")</f>
        <v/>
      </c>
      <c r="EP127" s="58">
        <f>IFERROR($BE127/$BE128-1,"")</f>
        <v/>
      </c>
      <c r="EQ127" s="58">
        <f>IFERROR($BF127/$BF128-1,"")</f>
        <v/>
      </c>
      <c r="ER127" s="58">
        <f>IFERROR($BG127/$BG128-1,"")</f>
        <v/>
      </c>
      <c r="ES127" s="58">
        <f>IFERROR($BH127/$BH128-1,"")</f>
        <v/>
      </c>
      <c r="ET127" s="58">
        <f>IFERROR($BI127/$BI128-1,"")</f>
        <v/>
      </c>
      <c r="EU127" s="58">
        <f>IFERROR($BJ127/$BJ128-1,"")</f>
        <v/>
      </c>
      <c r="EV127" s="58">
        <f>IFERROR($BK127/$BK128-1,"")</f>
        <v/>
      </c>
      <c r="EW127" s="58">
        <f>IFERROR($BL127/$BL128-1,"")</f>
        <v/>
      </c>
      <c r="EX127" s="58">
        <f>IFERROR($BM127/$BM128-1,"")</f>
        <v/>
      </c>
      <c r="EY127" s="58">
        <f>IFERROR($BN127/$BN128-1,"")</f>
        <v/>
      </c>
      <c r="EZ127" s="58">
        <f>IFERROR($BO127/$BO128-1,"")</f>
        <v/>
      </c>
      <c r="FA127" s="58">
        <f>IFERROR($BP127/$BP128-1,"")</f>
        <v/>
      </c>
      <c r="FB127" s="58">
        <f>IFERROR($BQ127/$BQ128-1,"")</f>
        <v/>
      </c>
      <c r="FC127" s="58">
        <f>IFERROR($BR127/$BR128-1,"")</f>
        <v/>
      </c>
      <c r="FD127" s="58">
        <f>IFERROR($BS127/$BS128-1,"")</f>
        <v/>
      </c>
      <c r="FE127" s="58">
        <f>IFERROR($BT127/$BT128-1,"")</f>
        <v/>
      </c>
      <c r="FF127" s="58">
        <f>IFERROR($BU127/$BU128-1,"")</f>
        <v/>
      </c>
      <c r="FG127" s="58">
        <f>IFERROR($BV127/$BV128-1,"")</f>
        <v/>
      </c>
      <c r="FH127" s="58">
        <f>IFERROR($BW127/$BW128-1,"")</f>
        <v/>
      </c>
      <c r="FI127" s="58">
        <f>IFERROR($BX127/$BX128-1,"")</f>
        <v/>
      </c>
      <c r="FJ127" s="59">
        <f>$BY127-$BY128</f>
        <v/>
      </c>
      <c r="FK127" s="59">
        <f>$BZ127-$BZ128</f>
        <v/>
      </c>
      <c r="FL127" s="59">
        <f>$CA127-$CA128</f>
        <v/>
      </c>
      <c r="FM127" s="59">
        <f>$CB127-$CB128</f>
        <v/>
      </c>
      <c r="FN127" s="59">
        <f>$CC127-$CC128</f>
        <v/>
      </c>
      <c r="FO127" s="59">
        <f>$CD127-$CD128</f>
        <v/>
      </c>
      <c r="FP127" s="59">
        <f>$CE127-$CE128</f>
        <v/>
      </c>
      <c r="FQ127" s="59">
        <f>$CF127-$CF128</f>
        <v/>
      </c>
      <c r="FR127" s="59">
        <f>$CG127-$CG128</f>
        <v/>
      </c>
      <c r="FS127" s="59">
        <f>$CH127-$CH128</f>
        <v/>
      </c>
      <c r="FT127" s="59">
        <f>$CI127-$CI128</f>
        <v/>
      </c>
      <c r="FU127" s="59">
        <f>$CJ127-$CJ128</f>
        <v/>
      </c>
      <c r="FV127" s="59">
        <f>$CK127-$CK128</f>
        <v/>
      </c>
      <c r="FW127" s="59">
        <f>$CL127-$CL128</f>
        <v/>
      </c>
      <c r="FX127" s="59">
        <f>$CM127-$CM128</f>
        <v/>
      </c>
      <c r="FY127" s="59">
        <f>$CN127-$CN128</f>
        <v/>
      </c>
      <c r="FZ127" s="59">
        <f>$CO127-$CO128</f>
        <v/>
      </c>
      <c r="GA127" s="59">
        <f>$CP127-$CP128</f>
        <v/>
      </c>
      <c r="GB127" s="59">
        <f>$CQ127-$CQ128</f>
        <v/>
      </c>
      <c r="GC127" s="59">
        <f>$CR127-$CR128</f>
        <v/>
      </c>
      <c r="GD127" s="59">
        <f>$CS127-$CS128</f>
        <v/>
      </c>
      <c r="GE127" s="59">
        <f>$CT127-$CT128</f>
        <v/>
      </c>
    </row>
    <row r="128">
      <c r="CU128" s="58">
        <f>IFERROR($B128/$B129-1,"")</f>
        <v/>
      </c>
      <c r="CV128" s="59">
        <f>($F128-$F129)*100</f>
        <v/>
      </c>
      <c r="CW128" s="59">
        <f>($E128-$E129)*100</f>
        <v/>
      </c>
      <c r="CX128" s="58">
        <f>IFERROR($K128/$K129-1,"")</f>
        <v/>
      </c>
      <c r="CY128" s="59">
        <f>($AH128-$AH129)*100</f>
        <v/>
      </c>
      <c r="CZ128" s="59">
        <f>($AI128-$AI129)*100</f>
        <v/>
      </c>
      <c r="DA128" s="59">
        <f>($AJ128-$AJ129)*100</f>
        <v/>
      </c>
      <c r="DB128" s="59">
        <f>($AK128-$AK129)*100</f>
        <v/>
      </c>
      <c r="DC128" s="59">
        <f>($AL128-$AL129)*100</f>
        <v/>
      </c>
      <c r="DD128" s="59">
        <f>($AM128-$AM129)*100</f>
        <v/>
      </c>
      <c r="DE128" s="59">
        <f>($AN128-$AN129)*100</f>
        <v/>
      </c>
      <c r="DF128" s="59">
        <f>($AO128-$AO129)*100</f>
        <v/>
      </c>
      <c r="DG128" s="59">
        <f>($AP128-$AP129)*100</f>
        <v/>
      </c>
      <c r="DH128" s="59">
        <f>($AQ128-$AQ129)*100</f>
        <v/>
      </c>
      <c r="DI128" s="59">
        <f>($AR128-$AR129)*100</f>
        <v/>
      </c>
      <c r="DJ128" s="59">
        <f>($AS128-$AS129)*100</f>
        <v/>
      </c>
      <c r="DK128" s="59">
        <f>($AT128-$AT129)*100</f>
        <v/>
      </c>
      <c r="DL128" s="59">
        <f>($AU128-$AU129)*100</f>
        <v/>
      </c>
      <c r="DM128" s="59">
        <f>($AV128-$AV129)*100</f>
        <v/>
      </c>
      <c r="DN128" s="59">
        <f>($AW128-$AW129)*100</f>
        <v/>
      </c>
      <c r="DO128" s="59">
        <f>($AX128-$AX129)*100</f>
        <v/>
      </c>
      <c r="DP128" s="59">
        <f>($AY128-$AY129)*100</f>
        <v/>
      </c>
      <c r="DQ128" s="59">
        <f>($AZ128-$AZ129)*100</f>
        <v/>
      </c>
      <c r="DR128" s="59">
        <f>($BA128-$BA129)*100</f>
        <v/>
      </c>
      <c r="DS128" s="58">
        <f>IFERROR($N129/$N128-1,"")</f>
        <v/>
      </c>
      <c r="DT128" s="58">
        <f>IFERROR($O129/$O128-1,"")</f>
        <v/>
      </c>
      <c r="DU128" s="58">
        <f>IFERROR($P129/$P128-1,"")</f>
        <v/>
      </c>
      <c r="DV128" s="58">
        <f>IFERROR($Q129/$Q128-1,"")</f>
        <v/>
      </c>
      <c r="DW128" s="58">
        <f>IFERROR($R129/$R128-1,"")</f>
        <v/>
      </c>
      <c r="DX128" s="58">
        <f>IFERROR($S129/$S128-1,"")</f>
        <v/>
      </c>
      <c r="DY128" s="58">
        <f>IFERROR($T129/$T128-1,"")</f>
        <v/>
      </c>
      <c r="DZ128" s="58">
        <f>IFERROR($U129/$U128-1,"")</f>
        <v/>
      </c>
      <c r="EA128" s="58">
        <f>IFERROR($V129/$V128-1,"")</f>
        <v/>
      </c>
      <c r="EB128" s="58">
        <f>IFERROR($W129/$W128-1,"")</f>
        <v/>
      </c>
      <c r="EC128" s="58">
        <f>IFERROR($X129/$X128-1,"")</f>
        <v/>
      </c>
      <c r="ED128" s="58">
        <f>IFERROR($Y129/$Y128-1,"")</f>
        <v/>
      </c>
      <c r="EE128" s="58">
        <f>IFERROR($Z129/$Z128-1,"")</f>
        <v/>
      </c>
      <c r="EF128" s="58">
        <f>IFERROR($AA129/$AA128-1,"")</f>
        <v/>
      </c>
      <c r="EG128" s="58">
        <f>IFERROR($AB129/$AB128-1,"")</f>
        <v/>
      </c>
      <c r="EH128" s="58">
        <f>IFERROR($AC129/$AC128-1,"")</f>
        <v/>
      </c>
      <c r="EI128" s="58">
        <f>IFERROR($AD129/$AD128-1,"")</f>
        <v/>
      </c>
      <c r="EJ128" s="58">
        <f>IFERROR($AE129/$AE128-1,"")</f>
        <v/>
      </c>
      <c r="EK128" s="58">
        <f>IFERROR($AF129/$AF128-1,"")</f>
        <v/>
      </c>
      <c r="EL128" s="58">
        <f>IFERROR($AG129/$AG128-1,"")</f>
        <v/>
      </c>
      <c r="EM128" s="58">
        <f>IFERROR($BB128/$BB129-1,"")</f>
        <v/>
      </c>
      <c r="EN128" s="58">
        <f>IFERROR($BC128/$BC129-1,"")</f>
        <v/>
      </c>
      <c r="EO128" s="58">
        <f>IFERROR($BD128/$BD129-1,"")</f>
        <v/>
      </c>
      <c r="EP128" s="58">
        <f>IFERROR($BE128/$BE129-1,"")</f>
        <v/>
      </c>
      <c r="EQ128" s="58">
        <f>IFERROR($BF128/$BF129-1,"")</f>
        <v/>
      </c>
      <c r="ER128" s="58">
        <f>IFERROR($BG128/$BG129-1,"")</f>
        <v/>
      </c>
      <c r="ES128" s="58">
        <f>IFERROR($BH128/$BH129-1,"")</f>
        <v/>
      </c>
      <c r="ET128" s="58">
        <f>IFERROR($BI128/$BI129-1,"")</f>
        <v/>
      </c>
      <c r="EU128" s="58">
        <f>IFERROR($BJ128/$BJ129-1,"")</f>
        <v/>
      </c>
      <c r="EV128" s="58">
        <f>IFERROR($BK128/$BK129-1,"")</f>
        <v/>
      </c>
      <c r="EW128" s="58">
        <f>IFERROR($BL128/$BL129-1,"")</f>
        <v/>
      </c>
      <c r="EX128" s="58">
        <f>IFERROR($BM128/$BM129-1,"")</f>
        <v/>
      </c>
      <c r="EY128" s="58">
        <f>IFERROR($BN128/$BN129-1,"")</f>
        <v/>
      </c>
      <c r="EZ128" s="58">
        <f>IFERROR($BO128/$BO129-1,"")</f>
        <v/>
      </c>
      <c r="FA128" s="58">
        <f>IFERROR($BP128/$BP129-1,"")</f>
        <v/>
      </c>
      <c r="FB128" s="58">
        <f>IFERROR($BQ128/$BQ129-1,"")</f>
        <v/>
      </c>
      <c r="FC128" s="58">
        <f>IFERROR($BR128/$BR129-1,"")</f>
        <v/>
      </c>
      <c r="FD128" s="58">
        <f>IFERROR($BS128/$BS129-1,"")</f>
        <v/>
      </c>
      <c r="FE128" s="58">
        <f>IFERROR($BT128/$BT129-1,"")</f>
        <v/>
      </c>
      <c r="FF128" s="58">
        <f>IFERROR($BU128/$BU129-1,"")</f>
        <v/>
      </c>
      <c r="FG128" s="58">
        <f>IFERROR($BV128/$BV129-1,"")</f>
        <v/>
      </c>
      <c r="FH128" s="58">
        <f>IFERROR($BW128/$BW129-1,"")</f>
        <v/>
      </c>
      <c r="FI128" s="58">
        <f>IFERROR($BX128/$BX129-1,"")</f>
        <v/>
      </c>
      <c r="FJ128" s="59">
        <f>$BY128-$BY129</f>
        <v/>
      </c>
      <c r="FK128" s="59">
        <f>$BZ128-$BZ129</f>
        <v/>
      </c>
      <c r="FL128" s="59">
        <f>$CA128-$CA129</f>
        <v/>
      </c>
      <c r="FM128" s="59">
        <f>$CB128-$CB129</f>
        <v/>
      </c>
      <c r="FN128" s="59">
        <f>$CC128-$CC129</f>
        <v/>
      </c>
      <c r="FO128" s="59">
        <f>$CD128-$CD129</f>
        <v/>
      </c>
      <c r="FP128" s="59">
        <f>$CE128-$CE129</f>
        <v/>
      </c>
      <c r="FQ128" s="59">
        <f>$CF128-$CF129</f>
        <v/>
      </c>
      <c r="FR128" s="59">
        <f>$CG128-$CG129</f>
        <v/>
      </c>
      <c r="FS128" s="59">
        <f>$CH128-$CH129</f>
        <v/>
      </c>
      <c r="FT128" s="59">
        <f>$CI128-$CI129</f>
        <v/>
      </c>
      <c r="FU128" s="59">
        <f>$CJ128-$CJ129</f>
        <v/>
      </c>
      <c r="FV128" s="59">
        <f>$CK128-$CK129</f>
        <v/>
      </c>
      <c r="FW128" s="59">
        <f>$CL128-$CL129</f>
        <v/>
      </c>
      <c r="FX128" s="59">
        <f>$CM128-$CM129</f>
        <v/>
      </c>
      <c r="FY128" s="59">
        <f>$CN128-$CN129</f>
        <v/>
      </c>
      <c r="FZ128" s="59">
        <f>$CO128-$CO129</f>
        <v/>
      </c>
      <c r="GA128" s="59">
        <f>$CP128-$CP129</f>
        <v/>
      </c>
      <c r="GB128" s="59">
        <f>$CQ128-$CQ129</f>
        <v/>
      </c>
      <c r="GC128" s="59">
        <f>$CR128-$CR129</f>
        <v/>
      </c>
      <c r="GD128" s="59">
        <f>$CS128-$CS129</f>
        <v/>
      </c>
      <c r="GE128" s="59">
        <f>$CT128-$CT129</f>
        <v/>
      </c>
    </row>
    <row r="129">
      <c r="CU129" s="58">
        <f>IFERROR($B129/$B130-1,"")</f>
        <v/>
      </c>
      <c r="CV129" s="59">
        <f>($F129-$F130)*100</f>
        <v/>
      </c>
      <c r="CW129" s="59">
        <f>($E129-$E130)*100</f>
        <v/>
      </c>
      <c r="CX129" s="58">
        <f>IFERROR($K129/$K130-1,"")</f>
        <v/>
      </c>
      <c r="CY129" s="59">
        <f>($AH129-$AH130)*100</f>
        <v/>
      </c>
      <c r="CZ129" s="59">
        <f>($AI129-$AI130)*100</f>
        <v/>
      </c>
      <c r="DA129" s="59">
        <f>($AJ129-$AJ130)*100</f>
        <v/>
      </c>
      <c r="DB129" s="59">
        <f>($AK129-$AK130)*100</f>
        <v/>
      </c>
      <c r="DC129" s="59">
        <f>($AL129-$AL130)*100</f>
        <v/>
      </c>
      <c r="DD129" s="59">
        <f>($AM129-$AM130)*100</f>
        <v/>
      </c>
      <c r="DE129" s="59">
        <f>($AN129-$AN130)*100</f>
        <v/>
      </c>
      <c r="DF129" s="59">
        <f>($AO129-$AO130)*100</f>
        <v/>
      </c>
      <c r="DG129" s="59">
        <f>($AP129-$AP130)*100</f>
        <v/>
      </c>
      <c r="DH129" s="59">
        <f>($AQ129-$AQ130)*100</f>
        <v/>
      </c>
      <c r="DI129" s="59">
        <f>($AR129-$AR130)*100</f>
        <v/>
      </c>
      <c r="DJ129" s="59">
        <f>($AS129-$AS130)*100</f>
        <v/>
      </c>
      <c r="DK129" s="59">
        <f>($AT129-$AT130)*100</f>
        <v/>
      </c>
      <c r="DL129" s="59">
        <f>($AU129-$AU130)*100</f>
        <v/>
      </c>
      <c r="DM129" s="59">
        <f>($AV129-$AV130)*100</f>
        <v/>
      </c>
      <c r="DN129" s="59">
        <f>($AW129-$AW130)*100</f>
        <v/>
      </c>
      <c r="DO129" s="59">
        <f>($AX129-$AX130)*100</f>
        <v/>
      </c>
      <c r="DP129" s="59">
        <f>($AY129-$AY130)*100</f>
        <v/>
      </c>
      <c r="DQ129" s="59">
        <f>($AZ129-$AZ130)*100</f>
        <v/>
      </c>
      <c r="DR129" s="59">
        <f>($BA129-$BA130)*100</f>
        <v/>
      </c>
      <c r="DS129" s="58">
        <f>IFERROR($N130/$N129-1,"")</f>
        <v/>
      </c>
      <c r="DT129" s="58">
        <f>IFERROR($O130/$O129-1,"")</f>
        <v/>
      </c>
      <c r="DU129" s="58">
        <f>IFERROR($P130/$P129-1,"")</f>
        <v/>
      </c>
      <c r="DV129" s="58">
        <f>IFERROR($Q130/$Q129-1,"")</f>
        <v/>
      </c>
      <c r="DW129" s="58">
        <f>IFERROR($R130/$R129-1,"")</f>
        <v/>
      </c>
      <c r="DX129" s="58">
        <f>IFERROR($S130/$S129-1,"")</f>
        <v/>
      </c>
      <c r="DY129" s="58">
        <f>IFERROR($T130/$T129-1,"")</f>
        <v/>
      </c>
      <c r="DZ129" s="58">
        <f>IFERROR($U130/$U129-1,"")</f>
        <v/>
      </c>
      <c r="EA129" s="58">
        <f>IFERROR($V130/$V129-1,"")</f>
        <v/>
      </c>
      <c r="EB129" s="58">
        <f>IFERROR($W130/$W129-1,"")</f>
        <v/>
      </c>
      <c r="EC129" s="58">
        <f>IFERROR($X130/$X129-1,"")</f>
        <v/>
      </c>
      <c r="ED129" s="58">
        <f>IFERROR($Y130/$Y129-1,"")</f>
        <v/>
      </c>
      <c r="EE129" s="58">
        <f>IFERROR($Z130/$Z129-1,"")</f>
        <v/>
      </c>
      <c r="EF129" s="58">
        <f>IFERROR($AA130/$AA129-1,"")</f>
        <v/>
      </c>
      <c r="EG129" s="58">
        <f>IFERROR($AB130/$AB129-1,"")</f>
        <v/>
      </c>
      <c r="EH129" s="58">
        <f>IFERROR($AC130/$AC129-1,"")</f>
        <v/>
      </c>
      <c r="EI129" s="58">
        <f>IFERROR($AD130/$AD129-1,"")</f>
        <v/>
      </c>
      <c r="EJ129" s="58">
        <f>IFERROR($AE130/$AE129-1,"")</f>
        <v/>
      </c>
      <c r="EK129" s="58">
        <f>IFERROR($AF130/$AF129-1,"")</f>
        <v/>
      </c>
      <c r="EL129" s="58">
        <f>IFERROR($AG130/$AG129-1,"")</f>
        <v/>
      </c>
      <c r="EM129" s="58">
        <f>IFERROR($BB129/$BB130-1,"")</f>
        <v/>
      </c>
      <c r="EN129" s="58">
        <f>IFERROR($BC129/$BC130-1,"")</f>
        <v/>
      </c>
      <c r="EO129" s="58">
        <f>IFERROR($BD129/$BD130-1,"")</f>
        <v/>
      </c>
      <c r="EP129" s="58">
        <f>IFERROR($BE129/$BE130-1,"")</f>
        <v/>
      </c>
      <c r="EQ129" s="58">
        <f>IFERROR($BF129/$BF130-1,"")</f>
        <v/>
      </c>
      <c r="ER129" s="58">
        <f>IFERROR($BG129/$BG130-1,"")</f>
        <v/>
      </c>
      <c r="ES129" s="58">
        <f>IFERROR($BH129/$BH130-1,"")</f>
        <v/>
      </c>
      <c r="ET129" s="58">
        <f>IFERROR($BI129/$BI130-1,"")</f>
        <v/>
      </c>
      <c r="EU129" s="58">
        <f>IFERROR($BJ129/$BJ130-1,"")</f>
        <v/>
      </c>
      <c r="EV129" s="58">
        <f>IFERROR($BK129/$BK130-1,"")</f>
        <v/>
      </c>
      <c r="EW129" s="58">
        <f>IFERROR($BL129/$BL130-1,"")</f>
        <v/>
      </c>
      <c r="EX129" s="58">
        <f>IFERROR($BM129/$BM130-1,"")</f>
        <v/>
      </c>
      <c r="EY129" s="58">
        <f>IFERROR($BN129/$BN130-1,"")</f>
        <v/>
      </c>
      <c r="EZ129" s="58">
        <f>IFERROR($BO129/$BO130-1,"")</f>
        <v/>
      </c>
      <c r="FA129" s="58">
        <f>IFERROR($BP129/$BP130-1,"")</f>
        <v/>
      </c>
      <c r="FB129" s="58">
        <f>IFERROR($BQ129/$BQ130-1,"")</f>
        <v/>
      </c>
      <c r="FC129" s="58">
        <f>IFERROR($BR129/$BR130-1,"")</f>
        <v/>
      </c>
      <c r="FD129" s="58">
        <f>IFERROR($BS129/$BS130-1,"")</f>
        <v/>
      </c>
      <c r="FE129" s="58">
        <f>IFERROR($BT129/$BT130-1,"")</f>
        <v/>
      </c>
      <c r="FF129" s="58">
        <f>IFERROR($BU129/$BU130-1,"")</f>
        <v/>
      </c>
      <c r="FG129" s="58">
        <f>IFERROR($BV129/$BV130-1,"")</f>
        <v/>
      </c>
      <c r="FH129" s="58">
        <f>IFERROR($BW129/$BW130-1,"")</f>
        <v/>
      </c>
      <c r="FI129" s="58">
        <f>IFERROR($BX129/$BX130-1,"")</f>
        <v/>
      </c>
      <c r="FJ129" s="59">
        <f>$BY129-$BY130</f>
        <v/>
      </c>
      <c r="FK129" s="59">
        <f>$BZ129-$BZ130</f>
        <v/>
      </c>
      <c r="FL129" s="59">
        <f>$CA129-$CA130</f>
        <v/>
      </c>
      <c r="FM129" s="59">
        <f>$CB129-$CB130</f>
        <v/>
      </c>
      <c r="FN129" s="59">
        <f>$CC129-$CC130</f>
        <v/>
      </c>
      <c r="FO129" s="59">
        <f>$CD129-$CD130</f>
        <v/>
      </c>
      <c r="FP129" s="59">
        <f>$CE129-$CE130</f>
        <v/>
      </c>
      <c r="FQ129" s="59">
        <f>$CF129-$CF130</f>
        <v/>
      </c>
      <c r="FR129" s="59">
        <f>$CG129-$CG130</f>
        <v/>
      </c>
      <c r="FS129" s="59">
        <f>$CH129-$CH130</f>
        <v/>
      </c>
      <c r="FT129" s="59">
        <f>$CI129-$CI130</f>
        <v/>
      </c>
      <c r="FU129" s="59">
        <f>$CJ129-$CJ130</f>
        <v/>
      </c>
      <c r="FV129" s="59">
        <f>$CK129-$CK130</f>
        <v/>
      </c>
      <c r="FW129" s="59">
        <f>$CL129-$CL130</f>
        <v/>
      </c>
      <c r="FX129" s="59">
        <f>$CM129-$CM130</f>
        <v/>
      </c>
      <c r="FY129" s="59">
        <f>$CN129-$CN130</f>
        <v/>
      </c>
      <c r="FZ129" s="59">
        <f>$CO129-$CO130</f>
        <v/>
      </c>
      <c r="GA129" s="59">
        <f>$CP129-$CP130</f>
        <v/>
      </c>
      <c r="GB129" s="59">
        <f>$CQ129-$CQ130</f>
        <v/>
      </c>
      <c r="GC129" s="59">
        <f>$CR129-$CR130</f>
        <v/>
      </c>
      <c r="GD129" s="59">
        <f>$CS129-$CS130</f>
        <v/>
      </c>
      <c r="GE129" s="59">
        <f>$CT129-$CT130</f>
        <v/>
      </c>
    </row>
    <row r="130">
      <c r="CU130" s="58">
        <f>IFERROR($B130/$B131-1,"")</f>
        <v/>
      </c>
      <c r="CV130" s="59">
        <f>($F130-$F131)*100</f>
        <v/>
      </c>
      <c r="CW130" s="59">
        <f>($E130-$E131)*100</f>
        <v/>
      </c>
      <c r="CX130" s="58">
        <f>IFERROR($K130/$K131-1,"")</f>
        <v/>
      </c>
      <c r="CY130" s="59">
        <f>($AH130-$AH131)*100</f>
        <v/>
      </c>
      <c r="CZ130" s="59">
        <f>($AI130-$AI131)*100</f>
        <v/>
      </c>
      <c r="DA130" s="59">
        <f>($AJ130-$AJ131)*100</f>
        <v/>
      </c>
      <c r="DB130" s="59">
        <f>($AK130-$AK131)*100</f>
        <v/>
      </c>
      <c r="DC130" s="59">
        <f>($AL130-$AL131)*100</f>
        <v/>
      </c>
      <c r="DD130" s="59">
        <f>($AM130-$AM131)*100</f>
        <v/>
      </c>
      <c r="DE130" s="59">
        <f>($AN130-$AN131)*100</f>
        <v/>
      </c>
      <c r="DF130" s="59">
        <f>($AO130-$AO131)*100</f>
        <v/>
      </c>
      <c r="DG130" s="59">
        <f>($AP130-$AP131)*100</f>
        <v/>
      </c>
      <c r="DH130" s="59">
        <f>($AQ130-$AQ131)*100</f>
        <v/>
      </c>
      <c r="DI130" s="59">
        <f>($AR130-$AR131)*100</f>
        <v/>
      </c>
      <c r="DJ130" s="59">
        <f>($AS130-$AS131)*100</f>
        <v/>
      </c>
      <c r="DK130" s="59">
        <f>($AT130-$AT131)*100</f>
        <v/>
      </c>
      <c r="DL130" s="59">
        <f>($AU130-$AU131)*100</f>
        <v/>
      </c>
      <c r="DM130" s="59">
        <f>($AV130-$AV131)*100</f>
        <v/>
      </c>
      <c r="DN130" s="59">
        <f>($AW130-$AW131)*100</f>
        <v/>
      </c>
      <c r="DO130" s="59">
        <f>($AX130-$AX131)*100</f>
        <v/>
      </c>
      <c r="DP130" s="59">
        <f>($AY130-$AY131)*100</f>
        <v/>
      </c>
      <c r="DQ130" s="59">
        <f>($AZ130-$AZ131)*100</f>
        <v/>
      </c>
      <c r="DR130" s="59">
        <f>($BA130-$BA131)*100</f>
        <v/>
      </c>
      <c r="DS130" s="58">
        <f>IFERROR($N131/$N130-1,"")</f>
        <v/>
      </c>
      <c r="DT130" s="58">
        <f>IFERROR($O131/$O130-1,"")</f>
        <v/>
      </c>
      <c r="DU130" s="58">
        <f>IFERROR($P131/$P130-1,"")</f>
        <v/>
      </c>
      <c r="DV130" s="58">
        <f>IFERROR($Q131/$Q130-1,"")</f>
        <v/>
      </c>
      <c r="DW130" s="58">
        <f>IFERROR($R131/$R130-1,"")</f>
        <v/>
      </c>
      <c r="DX130" s="58">
        <f>IFERROR($S131/$S130-1,"")</f>
        <v/>
      </c>
      <c r="DY130" s="58">
        <f>IFERROR($T131/$T130-1,"")</f>
        <v/>
      </c>
      <c r="DZ130" s="58">
        <f>IFERROR($U131/$U130-1,"")</f>
        <v/>
      </c>
      <c r="EA130" s="58">
        <f>IFERROR($V131/$V130-1,"")</f>
        <v/>
      </c>
      <c r="EB130" s="58">
        <f>IFERROR($W131/$W130-1,"")</f>
        <v/>
      </c>
      <c r="EC130" s="58">
        <f>IFERROR($X131/$X130-1,"")</f>
        <v/>
      </c>
      <c r="ED130" s="58">
        <f>IFERROR($Y131/$Y130-1,"")</f>
        <v/>
      </c>
      <c r="EE130" s="58">
        <f>IFERROR($Z131/$Z130-1,"")</f>
        <v/>
      </c>
      <c r="EF130" s="58">
        <f>IFERROR($AA131/$AA130-1,"")</f>
        <v/>
      </c>
      <c r="EG130" s="58">
        <f>IFERROR($AB131/$AB130-1,"")</f>
        <v/>
      </c>
      <c r="EH130" s="58">
        <f>IFERROR($AC131/$AC130-1,"")</f>
        <v/>
      </c>
      <c r="EI130" s="58">
        <f>IFERROR($AD131/$AD130-1,"")</f>
        <v/>
      </c>
      <c r="EJ130" s="58">
        <f>IFERROR($AE131/$AE130-1,"")</f>
        <v/>
      </c>
      <c r="EK130" s="58">
        <f>IFERROR($AF131/$AF130-1,"")</f>
        <v/>
      </c>
      <c r="EL130" s="58">
        <f>IFERROR($AG131/$AG130-1,"")</f>
        <v/>
      </c>
      <c r="EM130" s="58">
        <f>IFERROR($BB130/$BB131-1,"")</f>
        <v/>
      </c>
      <c r="EN130" s="58">
        <f>IFERROR($BC130/$BC131-1,"")</f>
        <v/>
      </c>
      <c r="EO130" s="58">
        <f>IFERROR($BD130/$BD131-1,"")</f>
        <v/>
      </c>
      <c r="EP130" s="58">
        <f>IFERROR($BE130/$BE131-1,"")</f>
        <v/>
      </c>
      <c r="EQ130" s="58">
        <f>IFERROR($BF130/$BF131-1,"")</f>
        <v/>
      </c>
      <c r="ER130" s="58">
        <f>IFERROR($BG130/$BG131-1,"")</f>
        <v/>
      </c>
      <c r="ES130" s="58">
        <f>IFERROR($BH130/$BH131-1,"")</f>
        <v/>
      </c>
      <c r="ET130" s="58">
        <f>IFERROR($BI130/$BI131-1,"")</f>
        <v/>
      </c>
      <c r="EU130" s="58">
        <f>IFERROR($BJ130/$BJ131-1,"")</f>
        <v/>
      </c>
      <c r="EV130" s="58">
        <f>IFERROR($BK130/$BK131-1,"")</f>
        <v/>
      </c>
      <c r="EW130" s="58">
        <f>IFERROR($BL130/$BL131-1,"")</f>
        <v/>
      </c>
      <c r="EX130" s="58">
        <f>IFERROR($BM130/$BM131-1,"")</f>
        <v/>
      </c>
      <c r="EY130" s="58">
        <f>IFERROR($BN130/$BN131-1,"")</f>
        <v/>
      </c>
      <c r="EZ130" s="58">
        <f>IFERROR($BO130/$BO131-1,"")</f>
        <v/>
      </c>
      <c r="FA130" s="58">
        <f>IFERROR($BP130/$BP131-1,"")</f>
        <v/>
      </c>
      <c r="FB130" s="58">
        <f>IFERROR($BQ130/$BQ131-1,"")</f>
        <v/>
      </c>
      <c r="FC130" s="58">
        <f>IFERROR($BR130/$BR131-1,"")</f>
        <v/>
      </c>
      <c r="FD130" s="58">
        <f>IFERROR($BS130/$BS131-1,"")</f>
        <v/>
      </c>
      <c r="FE130" s="58">
        <f>IFERROR($BT130/$BT131-1,"")</f>
        <v/>
      </c>
      <c r="FF130" s="58">
        <f>IFERROR($BU130/$BU131-1,"")</f>
        <v/>
      </c>
      <c r="FG130" s="58">
        <f>IFERROR($BV130/$BV131-1,"")</f>
        <v/>
      </c>
      <c r="FH130" s="58">
        <f>IFERROR($BW130/$BW131-1,"")</f>
        <v/>
      </c>
      <c r="FI130" s="58">
        <f>IFERROR($BX130/$BX131-1,"")</f>
        <v/>
      </c>
      <c r="FJ130" s="59">
        <f>$BY130-$BY131</f>
        <v/>
      </c>
      <c r="FK130" s="59">
        <f>$BZ130-$BZ131</f>
        <v/>
      </c>
      <c r="FL130" s="59">
        <f>$CA130-$CA131</f>
        <v/>
      </c>
      <c r="FM130" s="59">
        <f>$CB130-$CB131</f>
        <v/>
      </c>
      <c r="FN130" s="59">
        <f>$CC130-$CC131</f>
        <v/>
      </c>
      <c r="FO130" s="59">
        <f>$CD130-$CD131</f>
        <v/>
      </c>
      <c r="FP130" s="59">
        <f>$CE130-$CE131</f>
        <v/>
      </c>
      <c r="FQ130" s="59">
        <f>$CF130-$CF131</f>
        <v/>
      </c>
      <c r="FR130" s="59">
        <f>$CG130-$CG131</f>
        <v/>
      </c>
      <c r="FS130" s="59">
        <f>$CH130-$CH131</f>
        <v/>
      </c>
      <c r="FT130" s="59">
        <f>$CI130-$CI131</f>
        <v/>
      </c>
      <c r="FU130" s="59">
        <f>$CJ130-$CJ131</f>
        <v/>
      </c>
      <c r="FV130" s="59">
        <f>$CK130-$CK131</f>
        <v/>
      </c>
      <c r="FW130" s="59">
        <f>$CL130-$CL131</f>
        <v/>
      </c>
      <c r="FX130" s="59">
        <f>$CM130-$CM131</f>
        <v/>
      </c>
      <c r="FY130" s="59">
        <f>$CN130-$CN131</f>
        <v/>
      </c>
      <c r="FZ130" s="59">
        <f>$CO130-$CO131</f>
        <v/>
      </c>
      <c r="GA130" s="59">
        <f>$CP130-$CP131</f>
        <v/>
      </c>
      <c r="GB130" s="59">
        <f>$CQ130-$CQ131</f>
        <v/>
      </c>
      <c r="GC130" s="59">
        <f>$CR130-$CR131</f>
        <v/>
      </c>
      <c r="GD130" s="59">
        <f>$CS130-$CS131</f>
        <v/>
      </c>
      <c r="GE130" s="59">
        <f>$CT130-$CT131</f>
        <v/>
      </c>
    </row>
    <row r="131">
      <c r="CU131" s="58">
        <f>IFERROR($B131/$B132-1,"")</f>
        <v/>
      </c>
      <c r="CV131" s="59">
        <f>($F131-$F132)*100</f>
        <v/>
      </c>
      <c r="CW131" s="59">
        <f>($E131-$E132)*100</f>
        <v/>
      </c>
      <c r="CX131" s="58">
        <f>IFERROR($K131/$K132-1,"")</f>
        <v/>
      </c>
      <c r="CY131" s="59">
        <f>($AH131-$AH132)*100</f>
        <v/>
      </c>
      <c r="CZ131" s="59">
        <f>($AI131-$AI132)*100</f>
        <v/>
      </c>
      <c r="DA131" s="59">
        <f>($AJ131-$AJ132)*100</f>
        <v/>
      </c>
      <c r="DB131" s="59">
        <f>($AK131-$AK132)*100</f>
        <v/>
      </c>
      <c r="DC131" s="59">
        <f>($AL131-$AL132)*100</f>
        <v/>
      </c>
      <c r="DD131" s="59">
        <f>($AM131-$AM132)*100</f>
        <v/>
      </c>
      <c r="DE131" s="59">
        <f>($AN131-$AN132)*100</f>
        <v/>
      </c>
      <c r="DF131" s="59">
        <f>($AO131-$AO132)*100</f>
        <v/>
      </c>
      <c r="DG131" s="59">
        <f>($AP131-$AP132)*100</f>
        <v/>
      </c>
      <c r="DH131" s="59">
        <f>($AQ131-$AQ132)*100</f>
        <v/>
      </c>
      <c r="DI131" s="59">
        <f>($AR131-$AR132)*100</f>
        <v/>
      </c>
      <c r="DJ131" s="59">
        <f>($AS131-$AS132)*100</f>
        <v/>
      </c>
      <c r="DK131" s="59">
        <f>($AT131-$AT132)*100</f>
        <v/>
      </c>
      <c r="DL131" s="59">
        <f>($AU131-$AU132)*100</f>
        <v/>
      </c>
      <c r="DM131" s="59">
        <f>($AV131-$AV132)*100</f>
        <v/>
      </c>
      <c r="DN131" s="59">
        <f>($AW131-$AW132)*100</f>
        <v/>
      </c>
      <c r="DO131" s="59">
        <f>($AX131-$AX132)*100</f>
        <v/>
      </c>
      <c r="DP131" s="59">
        <f>($AY131-$AY132)*100</f>
        <v/>
      </c>
      <c r="DQ131" s="59">
        <f>($AZ131-$AZ132)*100</f>
        <v/>
      </c>
      <c r="DR131" s="59">
        <f>($BA131-$BA132)*100</f>
        <v/>
      </c>
      <c r="DS131" s="58">
        <f>IFERROR($N132/$N131-1,"")</f>
        <v/>
      </c>
      <c r="DT131" s="58">
        <f>IFERROR($O132/$O131-1,"")</f>
        <v/>
      </c>
      <c r="DU131" s="58">
        <f>IFERROR($P132/$P131-1,"")</f>
        <v/>
      </c>
      <c r="DV131" s="58">
        <f>IFERROR($Q132/$Q131-1,"")</f>
        <v/>
      </c>
      <c r="DW131" s="58">
        <f>IFERROR($R132/$R131-1,"")</f>
        <v/>
      </c>
      <c r="DX131" s="58">
        <f>IFERROR($S132/$S131-1,"")</f>
        <v/>
      </c>
      <c r="DY131" s="58">
        <f>IFERROR($T132/$T131-1,"")</f>
        <v/>
      </c>
      <c r="DZ131" s="58">
        <f>IFERROR($U132/$U131-1,"")</f>
        <v/>
      </c>
      <c r="EA131" s="58">
        <f>IFERROR($V132/$V131-1,"")</f>
        <v/>
      </c>
      <c r="EB131" s="58">
        <f>IFERROR($W132/$W131-1,"")</f>
        <v/>
      </c>
      <c r="EC131" s="58">
        <f>IFERROR($X132/$X131-1,"")</f>
        <v/>
      </c>
      <c r="ED131" s="58">
        <f>IFERROR($Y132/$Y131-1,"")</f>
        <v/>
      </c>
      <c r="EE131" s="58">
        <f>IFERROR($Z132/$Z131-1,"")</f>
        <v/>
      </c>
      <c r="EF131" s="58">
        <f>IFERROR($AA132/$AA131-1,"")</f>
        <v/>
      </c>
      <c r="EG131" s="58">
        <f>IFERROR($AB132/$AB131-1,"")</f>
        <v/>
      </c>
      <c r="EH131" s="58">
        <f>IFERROR($AC132/$AC131-1,"")</f>
        <v/>
      </c>
      <c r="EI131" s="58">
        <f>IFERROR($AD132/$AD131-1,"")</f>
        <v/>
      </c>
      <c r="EJ131" s="58">
        <f>IFERROR($AE132/$AE131-1,"")</f>
        <v/>
      </c>
      <c r="EK131" s="58">
        <f>IFERROR($AF132/$AF131-1,"")</f>
        <v/>
      </c>
      <c r="EL131" s="58">
        <f>IFERROR($AG132/$AG131-1,"")</f>
        <v/>
      </c>
      <c r="EM131" s="58">
        <f>IFERROR($BB131/$BB132-1,"")</f>
        <v/>
      </c>
      <c r="EN131" s="58">
        <f>IFERROR($BC131/$BC132-1,"")</f>
        <v/>
      </c>
      <c r="EO131" s="58">
        <f>IFERROR($BD131/$BD132-1,"")</f>
        <v/>
      </c>
      <c r="EP131" s="58">
        <f>IFERROR($BE131/$BE132-1,"")</f>
        <v/>
      </c>
      <c r="EQ131" s="58">
        <f>IFERROR($BF131/$BF132-1,"")</f>
        <v/>
      </c>
      <c r="ER131" s="58">
        <f>IFERROR($BG131/$BG132-1,"")</f>
        <v/>
      </c>
      <c r="ES131" s="58">
        <f>IFERROR($BH131/$BH132-1,"")</f>
        <v/>
      </c>
      <c r="ET131" s="58">
        <f>IFERROR($BI131/$BI132-1,"")</f>
        <v/>
      </c>
      <c r="EU131" s="58">
        <f>IFERROR($BJ131/$BJ132-1,"")</f>
        <v/>
      </c>
      <c r="EV131" s="58">
        <f>IFERROR($BK131/$BK132-1,"")</f>
        <v/>
      </c>
      <c r="EW131" s="58">
        <f>IFERROR($BL131/$BL132-1,"")</f>
        <v/>
      </c>
      <c r="EX131" s="58">
        <f>IFERROR($BM131/$BM132-1,"")</f>
        <v/>
      </c>
      <c r="EY131" s="58">
        <f>IFERROR($BN131/$BN132-1,"")</f>
        <v/>
      </c>
      <c r="EZ131" s="58">
        <f>IFERROR($BO131/$BO132-1,"")</f>
        <v/>
      </c>
      <c r="FA131" s="58">
        <f>IFERROR($BP131/$BP132-1,"")</f>
        <v/>
      </c>
      <c r="FB131" s="58">
        <f>IFERROR($BQ131/$BQ132-1,"")</f>
        <v/>
      </c>
      <c r="FC131" s="58">
        <f>IFERROR($BR131/$BR132-1,"")</f>
        <v/>
      </c>
      <c r="FD131" s="58">
        <f>IFERROR($BS131/$BS132-1,"")</f>
        <v/>
      </c>
      <c r="FE131" s="58">
        <f>IFERROR($BT131/$BT132-1,"")</f>
        <v/>
      </c>
      <c r="FF131" s="58">
        <f>IFERROR($BU131/$BU132-1,"")</f>
        <v/>
      </c>
      <c r="FG131" s="58">
        <f>IFERROR($BV131/$BV132-1,"")</f>
        <v/>
      </c>
      <c r="FH131" s="58">
        <f>IFERROR($BW131/$BW132-1,"")</f>
        <v/>
      </c>
      <c r="FI131" s="58">
        <f>IFERROR($BX131/$BX132-1,"")</f>
        <v/>
      </c>
      <c r="FJ131" s="59">
        <f>$BY131-$BY132</f>
        <v/>
      </c>
      <c r="FK131" s="59">
        <f>$BZ131-$BZ132</f>
        <v/>
      </c>
      <c r="FL131" s="59">
        <f>$CA131-$CA132</f>
        <v/>
      </c>
      <c r="FM131" s="59">
        <f>$CB131-$CB132</f>
        <v/>
      </c>
      <c r="FN131" s="59">
        <f>$CC131-$CC132</f>
        <v/>
      </c>
      <c r="FO131" s="59">
        <f>$CD131-$CD132</f>
        <v/>
      </c>
      <c r="FP131" s="59">
        <f>$CE131-$CE132</f>
        <v/>
      </c>
      <c r="FQ131" s="59">
        <f>$CF131-$CF132</f>
        <v/>
      </c>
      <c r="FR131" s="59">
        <f>$CG131-$CG132</f>
        <v/>
      </c>
      <c r="FS131" s="59">
        <f>$CH131-$CH132</f>
        <v/>
      </c>
      <c r="FT131" s="59">
        <f>$CI131-$CI132</f>
        <v/>
      </c>
      <c r="FU131" s="59">
        <f>$CJ131-$CJ132</f>
        <v/>
      </c>
      <c r="FV131" s="59">
        <f>$CK131-$CK132</f>
        <v/>
      </c>
      <c r="FW131" s="59">
        <f>$CL131-$CL132</f>
        <v/>
      </c>
      <c r="FX131" s="59">
        <f>$CM131-$CM132</f>
        <v/>
      </c>
      <c r="FY131" s="59">
        <f>$CN131-$CN132</f>
        <v/>
      </c>
      <c r="FZ131" s="59">
        <f>$CO131-$CO132</f>
        <v/>
      </c>
      <c r="GA131" s="59">
        <f>$CP131-$CP132</f>
        <v/>
      </c>
      <c r="GB131" s="59">
        <f>$CQ131-$CQ132</f>
        <v/>
      </c>
      <c r="GC131" s="59">
        <f>$CR131-$CR132</f>
        <v/>
      </c>
      <c r="GD131" s="59">
        <f>$CS131-$CS132</f>
        <v/>
      </c>
      <c r="GE131" s="59">
        <f>$CT131-$CT132</f>
        <v/>
      </c>
    </row>
    <row r="132">
      <c r="CU132" s="58">
        <f>IFERROR($B132/$B133-1,"")</f>
        <v/>
      </c>
      <c r="CV132" s="59">
        <f>($F132-$F133)*100</f>
        <v/>
      </c>
      <c r="CW132" s="59">
        <f>($E132-$E133)*100</f>
        <v/>
      </c>
      <c r="CX132" s="58">
        <f>IFERROR($K132/$K133-1,"")</f>
        <v/>
      </c>
      <c r="CY132" s="59">
        <f>($AH132-$AH133)*100</f>
        <v/>
      </c>
      <c r="CZ132" s="59">
        <f>($AI132-$AI133)*100</f>
        <v/>
      </c>
      <c r="DA132" s="59">
        <f>($AJ132-$AJ133)*100</f>
        <v/>
      </c>
      <c r="DB132" s="59">
        <f>($AK132-$AK133)*100</f>
        <v/>
      </c>
      <c r="DC132" s="59">
        <f>($AL132-$AL133)*100</f>
        <v/>
      </c>
      <c r="DD132" s="59">
        <f>($AM132-$AM133)*100</f>
        <v/>
      </c>
      <c r="DE132" s="59">
        <f>($AN132-$AN133)*100</f>
        <v/>
      </c>
      <c r="DF132" s="59">
        <f>($AO132-$AO133)*100</f>
        <v/>
      </c>
      <c r="DG132" s="59">
        <f>($AP132-$AP133)*100</f>
        <v/>
      </c>
      <c r="DH132" s="59">
        <f>($AQ132-$AQ133)*100</f>
        <v/>
      </c>
      <c r="DI132" s="59">
        <f>($AR132-$AR133)*100</f>
        <v/>
      </c>
      <c r="DJ132" s="59">
        <f>($AS132-$AS133)*100</f>
        <v/>
      </c>
      <c r="DK132" s="59">
        <f>($AT132-$AT133)*100</f>
        <v/>
      </c>
      <c r="DL132" s="59">
        <f>($AU132-$AU133)*100</f>
        <v/>
      </c>
      <c r="DM132" s="59">
        <f>($AV132-$AV133)*100</f>
        <v/>
      </c>
      <c r="DN132" s="59">
        <f>($AW132-$AW133)*100</f>
        <v/>
      </c>
      <c r="DO132" s="59">
        <f>($AX132-$AX133)*100</f>
        <v/>
      </c>
      <c r="DP132" s="59">
        <f>($AY132-$AY133)*100</f>
        <v/>
      </c>
      <c r="DQ132" s="59">
        <f>($AZ132-$AZ133)*100</f>
        <v/>
      </c>
      <c r="DR132" s="59">
        <f>($BA132-$BA133)*100</f>
        <v/>
      </c>
      <c r="DS132" s="58">
        <f>IFERROR($N133/$N132-1,"")</f>
        <v/>
      </c>
      <c r="DT132" s="58">
        <f>IFERROR($O133/$O132-1,"")</f>
        <v/>
      </c>
      <c r="DU132" s="58">
        <f>IFERROR($P133/$P132-1,"")</f>
        <v/>
      </c>
      <c r="DV132" s="58">
        <f>IFERROR($Q133/$Q132-1,"")</f>
        <v/>
      </c>
      <c r="DW132" s="58">
        <f>IFERROR($R133/$R132-1,"")</f>
        <v/>
      </c>
      <c r="DX132" s="58">
        <f>IFERROR($S133/$S132-1,"")</f>
        <v/>
      </c>
      <c r="DY132" s="58">
        <f>IFERROR($T133/$T132-1,"")</f>
        <v/>
      </c>
      <c r="DZ132" s="58">
        <f>IFERROR($U133/$U132-1,"")</f>
        <v/>
      </c>
      <c r="EA132" s="58">
        <f>IFERROR($V133/$V132-1,"")</f>
        <v/>
      </c>
      <c r="EB132" s="58">
        <f>IFERROR($W133/$W132-1,"")</f>
        <v/>
      </c>
      <c r="EC132" s="58">
        <f>IFERROR($X133/$X132-1,"")</f>
        <v/>
      </c>
      <c r="ED132" s="58">
        <f>IFERROR($Y133/$Y132-1,"")</f>
        <v/>
      </c>
      <c r="EE132" s="58">
        <f>IFERROR($Z133/$Z132-1,"")</f>
        <v/>
      </c>
      <c r="EF132" s="58">
        <f>IFERROR($AA133/$AA132-1,"")</f>
        <v/>
      </c>
      <c r="EG132" s="58">
        <f>IFERROR($AB133/$AB132-1,"")</f>
        <v/>
      </c>
      <c r="EH132" s="58">
        <f>IFERROR($AC133/$AC132-1,"")</f>
        <v/>
      </c>
      <c r="EI132" s="58">
        <f>IFERROR($AD133/$AD132-1,"")</f>
        <v/>
      </c>
      <c r="EJ132" s="58">
        <f>IFERROR($AE133/$AE132-1,"")</f>
        <v/>
      </c>
      <c r="EK132" s="58">
        <f>IFERROR($AF133/$AF132-1,"")</f>
        <v/>
      </c>
      <c r="EL132" s="58">
        <f>IFERROR($AG133/$AG132-1,"")</f>
        <v/>
      </c>
      <c r="EM132" s="58">
        <f>IFERROR($BB132/$BB133-1,"")</f>
        <v/>
      </c>
      <c r="EN132" s="58">
        <f>IFERROR($BC132/$BC133-1,"")</f>
        <v/>
      </c>
      <c r="EO132" s="58">
        <f>IFERROR($BD132/$BD133-1,"")</f>
        <v/>
      </c>
      <c r="EP132" s="58">
        <f>IFERROR($BE132/$BE133-1,"")</f>
        <v/>
      </c>
      <c r="EQ132" s="58">
        <f>IFERROR($BF132/$BF133-1,"")</f>
        <v/>
      </c>
      <c r="ER132" s="58">
        <f>IFERROR($BG132/$BG133-1,"")</f>
        <v/>
      </c>
      <c r="ES132" s="58">
        <f>IFERROR($BH132/$BH133-1,"")</f>
        <v/>
      </c>
      <c r="ET132" s="58">
        <f>IFERROR($BI132/$BI133-1,"")</f>
        <v/>
      </c>
      <c r="EU132" s="58">
        <f>IFERROR($BJ132/$BJ133-1,"")</f>
        <v/>
      </c>
      <c r="EV132" s="58">
        <f>IFERROR($BK132/$BK133-1,"")</f>
        <v/>
      </c>
      <c r="EW132" s="58">
        <f>IFERROR($BL132/$BL133-1,"")</f>
        <v/>
      </c>
      <c r="EX132" s="58">
        <f>IFERROR($BM132/$BM133-1,"")</f>
        <v/>
      </c>
      <c r="EY132" s="58">
        <f>IFERROR($BN132/$BN133-1,"")</f>
        <v/>
      </c>
      <c r="EZ132" s="58">
        <f>IFERROR($BO132/$BO133-1,"")</f>
        <v/>
      </c>
      <c r="FA132" s="58">
        <f>IFERROR($BP132/$BP133-1,"")</f>
        <v/>
      </c>
      <c r="FB132" s="58">
        <f>IFERROR($BQ132/$BQ133-1,"")</f>
        <v/>
      </c>
      <c r="FC132" s="58">
        <f>IFERROR($BR132/$BR133-1,"")</f>
        <v/>
      </c>
      <c r="FD132" s="58">
        <f>IFERROR($BS132/$BS133-1,"")</f>
        <v/>
      </c>
      <c r="FE132" s="58">
        <f>IFERROR($BT132/$BT133-1,"")</f>
        <v/>
      </c>
      <c r="FF132" s="58">
        <f>IFERROR($BU132/$BU133-1,"")</f>
        <v/>
      </c>
      <c r="FG132" s="58">
        <f>IFERROR($BV132/$BV133-1,"")</f>
        <v/>
      </c>
      <c r="FH132" s="58">
        <f>IFERROR($BW132/$BW133-1,"")</f>
        <v/>
      </c>
      <c r="FI132" s="58">
        <f>IFERROR($BX132/$BX133-1,"")</f>
        <v/>
      </c>
      <c r="FJ132" s="59">
        <f>$BY132-$BY133</f>
        <v/>
      </c>
      <c r="FK132" s="59">
        <f>$BZ132-$BZ133</f>
        <v/>
      </c>
      <c r="FL132" s="59">
        <f>$CA132-$CA133</f>
        <v/>
      </c>
      <c r="FM132" s="59">
        <f>$CB132-$CB133</f>
        <v/>
      </c>
      <c r="FN132" s="59">
        <f>$CC132-$CC133</f>
        <v/>
      </c>
      <c r="FO132" s="59">
        <f>$CD132-$CD133</f>
        <v/>
      </c>
      <c r="FP132" s="59">
        <f>$CE132-$CE133</f>
        <v/>
      </c>
      <c r="FQ132" s="59">
        <f>$CF132-$CF133</f>
        <v/>
      </c>
      <c r="FR132" s="59">
        <f>$CG132-$CG133</f>
        <v/>
      </c>
      <c r="FS132" s="59">
        <f>$CH132-$CH133</f>
        <v/>
      </c>
      <c r="FT132" s="59">
        <f>$CI132-$CI133</f>
        <v/>
      </c>
      <c r="FU132" s="59">
        <f>$CJ132-$CJ133</f>
        <v/>
      </c>
      <c r="FV132" s="59">
        <f>$CK132-$CK133</f>
        <v/>
      </c>
      <c r="FW132" s="59">
        <f>$CL132-$CL133</f>
        <v/>
      </c>
      <c r="FX132" s="59">
        <f>$CM132-$CM133</f>
        <v/>
      </c>
      <c r="FY132" s="59">
        <f>$CN132-$CN133</f>
        <v/>
      </c>
      <c r="FZ132" s="59">
        <f>$CO132-$CO133</f>
        <v/>
      </c>
      <c r="GA132" s="59">
        <f>$CP132-$CP133</f>
        <v/>
      </c>
      <c r="GB132" s="59">
        <f>$CQ132-$CQ133</f>
        <v/>
      </c>
      <c r="GC132" s="59">
        <f>$CR132-$CR133</f>
        <v/>
      </c>
      <c r="GD132" s="59">
        <f>$CS132-$CS133</f>
        <v/>
      </c>
      <c r="GE132" s="59">
        <f>$CT132-$CT133</f>
        <v/>
      </c>
    </row>
    <row r="133">
      <c r="CU133" s="58">
        <f>IFERROR($B133/$B134-1,"")</f>
        <v/>
      </c>
      <c r="CV133" s="59">
        <f>($F133-$F134)*100</f>
        <v/>
      </c>
      <c r="CW133" s="59">
        <f>($E133-$E134)*100</f>
        <v/>
      </c>
      <c r="CX133" s="58">
        <f>IFERROR($K133/$K134-1,"")</f>
        <v/>
      </c>
      <c r="CY133" s="59">
        <f>($AH133-$AH134)*100</f>
        <v/>
      </c>
      <c r="CZ133" s="59">
        <f>($AI133-$AI134)*100</f>
        <v/>
      </c>
      <c r="DA133" s="59">
        <f>($AJ133-$AJ134)*100</f>
        <v/>
      </c>
      <c r="DB133" s="59">
        <f>($AK133-$AK134)*100</f>
        <v/>
      </c>
      <c r="DC133" s="59">
        <f>($AL133-$AL134)*100</f>
        <v/>
      </c>
      <c r="DD133" s="59">
        <f>($AM133-$AM134)*100</f>
        <v/>
      </c>
      <c r="DE133" s="59">
        <f>($AN133-$AN134)*100</f>
        <v/>
      </c>
      <c r="DF133" s="59">
        <f>($AO133-$AO134)*100</f>
        <v/>
      </c>
      <c r="DG133" s="59">
        <f>($AP133-$AP134)*100</f>
        <v/>
      </c>
      <c r="DH133" s="59">
        <f>($AQ133-$AQ134)*100</f>
        <v/>
      </c>
      <c r="DI133" s="59">
        <f>($AR133-$AR134)*100</f>
        <v/>
      </c>
      <c r="DJ133" s="59">
        <f>($AS133-$AS134)*100</f>
        <v/>
      </c>
      <c r="DK133" s="59">
        <f>($AT133-$AT134)*100</f>
        <v/>
      </c>
      <c r="DL133" s="59">
        <f>($AU133-$AU134)*100</f>
        <v/>
      </c>
      <c r="DM133" s="59">
        <f>($AV133-$AV134)*100</f>
        <v/>
      </c>
      <c r="DN133" s="59">
        <f>($AW133-$AW134)*100</f>
        <v/>
      </c>
      <c r="DO133" s="59">
        <f>($AX133-$AX134)*100</f>
        <v/>
      </c>
      <c r="DP133" s="59">
        <f>($AY133-$AY134)*100</f>
        <v/>
      </c>
      <c r="DQ133" s="59">
        <f>($AZ133-$AZ134)*100</f>
        <v/>
      </c>
      <c r="DR133" s="59">
        <f>($BA133-$BA134)*100</f>
        <v/>
      </c>
      <c r="DS133" s="58">
        <f>IFERROR($N134/$N133-1,"")</f>
        <v/>
      </c>
      <c r="DT133" s="58">
        <f>IFERROR($O134/$O133-1,"")</f>
        <v/>
      </c>
      <c r="DU133" s="58">
        <f>IFERROR($P134/$P133-1,"")</f>
        <v/>
      </c>
      <c r="DV133" s="58">
        <f>IFERROR($Q134/$Q133-1,"")</f>
        <v/>
      </c>
      <c r="DW133" s="58">
        <f>IFERROR($R134/$R133-1,"")</f>
        <v/>
      </c>
      <c r="DX133" s="58">
        <f>IFERROR($S134/$S133-1,"")</f>
        <v/>
      </c>
      <c r="DY133" s="58">
        <f>IFERROR($T134/$T133-1,"")</f>
        <v/>
      </c>
      <c r="DZ133" s="58">
        <f>IFERROR($U134/$U133-1,"")</f>
        <v/>
      </c>
      <c r="EA133" s="58">
        <f>IFERROR($V134/$V133-1,"")</f>
        <v/>
      </c>
      <c r="EB133" s="58">
        <f>IFERROR($W134/$W133-1,"")</f>
        <v/>
      </c>
      <c r="EC133" s="58">
        <f>IFERROR($X134/$X133-1,"")</f>
        <v/>
      </c>
      <c r="ED133" s="58">
        <f>IFERROR($Y134/$Y133-1,"")</f>
        <v/>
      </c>
      <c r="EE133" s="58">
        <f>IFERROR($Z134/$Z133-1,"")</f>
        <v/>
      </c>
      <c r="EF133" s="58">
        <f>IFERROR($AA134/$AA133-1,"")</f>
        <v/>
      </c>
      <c r="EG133" s="58">
        <f>IFERROR($AB134/$AB133-1,"")</f>
        <v/>
      </c>
      <c r="EH133" s="58">
        <f>IFERROR($AC134/$AC133-1,"")</f>
        <v/>
      </c>
      <c r="EI133" s="58">
        <f>IFERROR($AD134/$AD133-1,"")</f>
        <v/>
      </c>
      <c r="EJ133" s="58">
        <f>IFERROR($AE134/$AE133-1,"")</f>
        <v/>
      </c>
      <c r="EK133" s="58">
        <f>IFERROR($AF134/$AF133-1,"")</f>
        <v/>
      </c>
      <c r="EL133" s="58">
        <f>IFERROR($AG134/$AG133-1,"")</f>
        <v/>
      </c>
      <c r="EM133" s="58">
        <f>IFERROR($BB133/$BB134-1,"")</f>
        <v/>
      </c>
      <c r="EN133" s="58">
        <f>IFERROR($BC133/$BC134-1,"")</f>
        <v/>
      </c>
      <c r="EO133" s="58">
        <f>IFERROR($BD133/$BD134-1,"")</f>
        <v/>
      </c>
      <c r="EP133" s="58">
        <f>IFERROR($BE133/$BE134-1,"")</f>
        <v/>
      </c>
      <c r="EQ133" s="58">
        <f>IFERROR($BF133/$BF134-1,"")</f>
        <v/>
      </c>
      <c r="ER133" s="58">
        <f>IFERROR($BG133/$BG134-1,"")</f>
        <v/>
      </c>
      <c r="ES133" s="58">
        <f>IFERROR($BH133/$BH134-1,"")</f>
        <v/>
      </c>
      <c r="ET133" s="58">
        <f>IFERROR($BI133/$BI134-1,"")</f>
        <v/>
      </c>
      <c r="EU133" s="58">
        <f>IFERROR($BJ133/$BJ134-1,"")</f>
        <v/>
      </c>
      <c r="EV133" s="58">
        <f>IFERROR($BK133/$BK134-1,"")</f>
        <v/>
      </c>
      <c r="EW133" s="58">
        <f>IFERROR($BL133/$BL134-1,"")</f>
        <v/>
      </c>
      <c r="EX133" s="58">
        <f>IFERROR($BM133/$BM134-1,"")</f>
        <v/>
      </c>
      <c r="EY133" s="58">
        <f>IFERROR($BN133/$BN134-1,"")</f>
        <v/>
      </c>
      <c r="EZ133" s="58">
        <f>IFERROR($BO133/$BO134-1,"")</f>
        <v/>
      </c>
      <c r="FA133" s="58">
        <f>IFERROR($BP133/$BP134-1,"")</f>
        <v/>
      </c>
      <c r="FB133" s="58">
        <f>IFERROR($BQ133/$BQ134-1,"")</f>
        <v/>
      </c>
      <c r="FC133" s="58">
        <f>IFERROR($BR133/$BR134-1,"")</f>
        <v/>
      </c>
      <c r="FD133" s="58">
        <f>IFERROR($BS133/$BS134-1,"")</f>
        <v/>
      </c>
      <c r="FE133" s="58">
        <f>IFERROR($BT133/$BT134-1,"")</f>
        <v/>
      </c>
      <c r="FF133" s="58">
        <f>IFERROR($BU133/$BU134-1,"")</f>
        <v/>
      </c>
      <c r="FG133" s="58">
        <f>IFERROR($BV133/$BV134-1,"")</f>
        <v/>
      </c>
      <c r="FH133" s="58">
        <f>IFERROR($BW133/$BW134-1,"")</f>
        <v/>
      </c>
      <c r="FI133" s="58">
        <f>IFERROR($BX133/$BX134-1,"")</f>
        <v/>
      </c>
      <c r="FJ133" s="59">
        <f>$BY133-$BY134</f>
        <v/>
      </c>
      <c r="FK133" s="59">
        <f>$BZ133-$BZ134</f>
        <v/>
      </c>
      <c r="FL133" s="59">
        <f>$CA133-$CA134</f>
        <v/>
      </c>
      <c r="FM133" s="59">
        <f>$CB133-$CB134</f>
        <v/>
      </c>
      <c r="FN133" s="59">
        <f>$CC133-$CC134</f>
        <v/>
      </c>
      <c r="FO133" s="59">
        <f>$CD133-$CD134</f>
        <v/>
      </c>
      <c r="FP133" s="59">
        <f>$CE133-$CE134</f>
        <v/>
      </c>
      <c r="FQ133" s="59">
        <f>$CF133-$CF134</f>
        <v/>
      </c>
      <c r="FR133" s="59">
        <f>$CG133-$CG134</f>
        <v/>
      </c>
      <c r="FS133" s="59">
        <f>$CH133-$CH134</f>
        <v/>
      </c>
      <c r="FT133" s="59">
        <f>$CI133-$CI134</f>
        <v/>
      </c>
      <c r="FU133" s="59">
        <f>$CJ133-$CJ134</f>
        <v/>
      </c>
      <c r="FV133" s="59">
        <f>$CK133-$CK134</f>
        <v/>
      </c>
      <c r="FW133" s="59">
        <f>$CL133-$CL134</f>
        <v/>
      </c>
      <c r="FX133" s="59">
        <f>$CM133-$CM134</f>
        <v/>
      </c>
      <c r="FY133" s="59">
        <f>$CN133-$CN134</f>
        <v/>
      </c>
      <c r="FZ133" s="59">
        <f>$CO133-$CO134</f>
        <v/>
      </c>
      <c r="GA133" s="59">
        <f>$CP133-$CP134</f>
        <v/>
      </c>
      <c r="GB133" s="59">
        <f>$CQ133-$CQ134</f>
        <v/>
      </c>
      <c r="GC133" s="59">
        <f>$CR133-$CR134</f>
        <v/>
      </c>
      <c r="GD133" s="59">
        <f>$CS133-$CS134</f>
        <v/>
      </c>
      <c r="GE133" s="59">
        <f>$CT133-$CT134</f>
        <v/>
      </c>
    </row>
    <row r="134">
      <c r="CU134" s="58">
        <f>IFERROR($B134/$B135-1,"")</f>
        <v/>
      </c>
      <c r="CV134" s="59">
        <f>($F134-$F135)*100</f>
        <v/>
      </c>
      <c r="CW134" s="59">
        <f>($E134-$E135)*100</f>
        <v/>
      </c>
      <c r="CX134" s="58">
        <f>IFERROR($K134/$K135-1,"")</f>
        <v/>
      </c>
      <c r="CY134" s="59">
        <f>($AH134-$AH135)*100</f>
        <v/>
      </c>
      <c r="CZ134" s="59">
        <f>($AI134-$AI135)*100</f>
        <v/>
      </c>
      <c r="DA134" s="59">
        <f>($AJ134-$AJ135)*100</f>
        <v/>
      </c>
      <c r="DB134" s="59">
        <f>($AK134-$AK135)*100</f>
        <v/>
      </c>
      <c r="DC134" s="59">
        <f>($AL134-$AL135)*100</f>
        <v/>
      </c>
      <c r="DD134" s="59">
        <f>($AM134-$AM135)*100</f>
        <v/>
      </c>
      <c r="DE134" s="59">
        <f>($AN134-$AN135)*100</f>
        <v/>
      </c>
      <c r="DF134" s="59">
        <f>($AO134-$AO135)*100</f>
        <v/>
      </c>
      <c r="DG134" s="59">
        <f>($AP134-$AP135)*100</f>
        <v/>
      </c>
      <c r="DH134" s="59">
        <f>($AQ134-$AQ135)*100</f>
        <v/>
      </c>
      <c r="DI134" s="59">
        <f>($AR134-$AR135)*100</f>
        <v/>
      </c>
      <c r="DJ134" s="59">
        <f>($AS134-$AS135)*100</f>
        <v/>
      </c>
      <c r="DK134" s="59">
        <f>($AT134-$AT135)*100</f>
        <v/>
      </c>
      <c r="DL134" s="59">
        <f>($AU134-$AU135)*100</f>
        <v/>
      </c>
      <c r="DM134" s="59">
        <f>($AV134-$AV135)*100</f>
        <v/>
      </c>
      <c r="DN134" s="59">
        <f>($AW134-$AW135)*100</f>
        <v/>
      </c>
      <c r="DO134" s="59">
        <f>($AX134-$AX135)*100</f>
        <v/>
      </c>
      <c r="DP134" s="59">
        <f>($AY134-$AY135)*100</f>
        <v/>
      </c>
      <c r="DQ134" s="59">
        <f>($AZ134-$AZ135)*100</f>
        <v/>
      </c>
      <c r="DR134" s="59">
        <f>($BA134-$BA135)*100</f>
        <v/>
      </c>
      <c r="DS134" s="58">
        <f>IFERROR($N135/$N134-1,"")</f>
        <v/>
      </c>
      <c r="DT134" s="58">
        <f>IFERROR($O135/$O134-1,"")</f>
        <v/>
      </c>
      <c r="DU134" s="58">
        <f>IFERROR($P135/$P134-1,"")</f>
        <v/>
      </c>
      <c r="DV134" s="58">
        <f>IFERROR($Q135/$Q134-1,"")</f>
        <v/>
      </c>
      <c r="DW134" s="58">
        <f>IFERROR($R135/$R134-1,"")</f>
        <v/>
      </c>
      <c r="DX134" s="58">
        <f>IFERROR($S135/$S134-1,"")</f>
        <v/>
      </c>
      <c r="DY134" s="58">
        <f>IFERROR($T135/$T134-1,"")</f>
        <v/>
      </c>
      <c r="DZ134" s="58">
        <f>IFERROR($U135/$U134-1,"")</f>
        <v/>
      </c>
      <c r="EA134" s="58">
        <f>IFERROR($V135/$V134-1,"")</f>
        <v/>
      </c>
      <c r="EB134" s="58">
        <f>IFERROR($W135/$W134-1,"")</f>
        <v/>
      </c>
      <c r="EC134" s="58">
        <f>IFERROR($X135/$X134-1,"")</f>
        <v/>
      </c>
      <c r="ED134" s="58">
        <f>IFERROR($Y135/$Y134-1,"")</f>
        <v/>
      </c>
      <c r="EE134" s="58">
        <f>IFERROR($Z135/$Z134-1,"")</f>
        <v/>
      </c>
      <c r="EF134" s="58">
        <f>IFERROR($AA135/$AA134-1,"")</f>
        <v/>
      </c>
      <c r="EG134" s="58">
        <f>IFERROR($AB135/$AB134-1,"")</f>
        <v/>
      </c>
      <c r="EH134" s="58">
        <f>IFERROR($AC135/$AC134-1,"")</f>
        <v/>
      </c>
      <c r="EI134" s="58">
        <f>IFERROR($AD135/$AD134-1,"")</f>
        <v/>
      </c>
      <c r="EJ134" s="58">
        <f>IFERROR($AE135/$AE134-1,"")</f>
        <v/>
      </c>
      <c r="EK134" s="58">
        <f>IFERROR($AF135/$AF134-1,"")</f>
        <v/>
      </c>
      <c r="EL134" s="58">
        <f>IFERROR($AG135/$AG134-1,"")</f>
        <v/>
      </c>
      <c r="EM134" s="58">
        <f>IFERROR($BB134/$BB135-1,"")</f>
        <v/>
      </c>
      <c r="EN134" s="58">
        <f>IFERROR($BC134/$BC135-1,"")</f>
        <v/>
      </c>
      <c r="EO134" s="58">
        <f>IFERROR($BD134/$BD135-1,"")</f>
        <v/>
      </c>
      <c r="EP134" s="58">
        <f>IFERROR($BE134/$BE135-1,"")</f>
        <v/>
      </c>
      <c r="EQ134" s="58">
        <f>IFERROR($BF134/$BF135-1,"")</f>
        <v/>
      </c>
      <c r="ER134" s="58">
        <f>IFERROR($BG134/$BG135-1,"")</f>
        <v/>
      </c>
      <c r="ES134" s="58">
        <f>IFERROR($BH134/$BH135-1,"")</f>
        <v/>
      </c>
      <c r="ET134" s="58">
        <f>IFERROR($BI134/$BI135-1,"")</f>
        <v/>
      </c>
      <c r="EU134" s="58">
        <f>IFERROR($BJ134/$BJ135-1,"")</f>
        <v/>
      </c>
      <c r="EV134" s="58">
        <f>IFERROR($BK134/$BK135-1,"")</f>
        <v/>
      </c>
      <c r="EW134" s="58">
        <f>IFERROR($BL134/$BL135-1,"")</f>
        <v/>
      </c>
      <c r="EX134" s="58">
        <f>IFERROR($BM134/$BM135-1,"")</f>
        <v/>
      </c>
      <c r="EY134" s="58">
        <f>IFERROR($BN134/$BN135-1,"")</f>
        <v/>
      </c>
      <c r="EZ134" s="58">
        <f>IFERROR($BO134/$BO135-1,"")</f>
        <v/>
      </c>
      <c r="FA134" s="58">
        <f>IFERROR($BP134/$BP135-1,"")</f>
        <v/>
      </c>
      <c r="FB134" s="58">
        <f>IFERROR($BQ134/$BQ135-1,"")</f>
        <v/>
      </c>
      <c r="FC134" s="58">
        <f>IFERROR($BR134/$BR135-1,"")</f>
        <v/>
      </c>
      <c r="FD134" s="58">
        <f>IFERROR($BS134/$BS135-1,"")</f>
        <v/>
      </c>
      <c r="FE134" s="58">
        <f>IFERROR($BT134/$BT135-1,"")</f>
        <v/>
      </c>
      <c r="FF134" s="58">
        <f>IFERROR($BU134/$BU135-1,"")</f>
        <v/>
      </c>
      <c r="FG134" s="58">
        <f>IFERROR($BV134/$BV135-1,"")</f>
        <v/>
      </c>
      <c r="FH134" s="58">
        <f>IFERROR($BW134/$BW135-1,"")</f>
        <v/>
      </c>
      <c r="FI134" s="58">
        <f>IFERROR($BX134/$BX135-1,"")</f>
        <v/>
      </c>
      <c r="FJ134" s="59">
        <f>$BY134-$BY135</f>
        <v/>
      </c>
      <c r="FK134" s="59">
        <f>$BZ134-$BZ135</f>
        <v/>
      </c>
      <c r="FL134" s="59">
        <f>$CA134-$CA135</f>
        <v/>
      </c>
      <c r="FM134" s="59">
        <f>$CB134-$CB135</f>
        <v/>
      </c>
      <c r="FN134" s="59">
        <f>$CC134-$CC135</f>
        <v/>
      </c>
      <c r="FO134" s="59">
        <f>$CD134-$CD135</f>
        <v/>
      </c>
      <c r="FP134" s="59">
        <f>$CE134-$CE135</f>
        <v/>
      </c>
      <c r="FQ134" s="59">
        <f>$CF134-$CF135</f>
        <v/>
      </c>
      <c r="FR134" s="59">
        <f>$CG134-$CG135</f>
        <v/>
      </c>
      <c r="FS134" s="59">
        <f>$CH134-$CH135</f>
        <v/>
      </c>
      <c r="FT134" s="59">
        <f>$CI134-$CI135</f>
        <v/>
      </c>
      <c r="FU134" s="59">
        <f>$CJ134-$CJ135</f>
        <v/>
      </c>
      <c r="FV134" s="59">
        <f>$CK134-$CK135</f>
        <v/>
      </c>
      <c r="FW134" s="59">
        <f>$CL134-$CL135</f>
        <v/>
      </c>
      <c r="FX134" s="59">
        <f>$CM134-$CM135</f>
        <v/>
      </c>
      <c r="FY134" s="59">
        <f>$CN134-$CN135</f>
        <v/>
      </c>
      <c r="FZ134" s="59">
        <f>$CO134-$CO135</f>
        <v/>
      </c>
      <c r="GA134" s="59">
        <f>$CP134-$CP135</f>
        <v/>
      </c>
      <c r="GB134" s="59">
        <f>$CQ134-$CQ135</f>
        <v/>
      </c>
      <c r="GC134" s="59">
        <f>$CR134-$CR135</f>
        <v/>
      </c>
      <c r="GD134" s="59">
        <f>$CS134-$CS135</f>
        <v/>
      </c>
      <c r="GE134" s="59">
        <f>$CT134-$CT135</f>
        <v/>
      </c>
    </row>
    <row r="135">
      <c r="CU135" s="58">
        <f>IFERROR($B135/$B136-1,"")</f>
        <v/>
      </c>
      <c r="CV135" s="59">
        <f>($F135-$F136)*100</f>
        <v/>
      </c>
      <c r="CW135" s="59">
        <f>($E135-$E136)*100</f>
        <v/>
      </c>
      <c r="CX135" s="58">
        <f>IFERROR($K135/$K136-1,"")</f>
        <v/>
      </c>
      <c r="CY135" s="59">
        <f>($AH135-$AH136)*100</f>
        <v/>
      </c>
      <c r="CZ135" s="59">
        <f>($AI135-$AI136)*100</f>
        <v/>
      </c>
      <c r="DA135" s="59">
        <f>($AJ135-$AJ136)*100</f>
        <v/>
      </c>
      <c r="DB135" s="59">
        <f>($AK135-$AK136)*100</f>
        <v/>
      </c>
      <c r="DC135" s="59">
        <f>($AL135-$AL136)*100</f>
        <v/>
      </c>
      <c r="DD135" s="59">
        <f>($AM135-$AM136)*100</f>
        <v/>
      </c>
      <c r="DE135" s="59">
        <f>($AN135-$AN136)*100</f>
        <v/>
      </c>
      <c r="DF135" s="59">
        <f>($AO135-$AO136)*100</f>
        <v/>
      </c>
      <c r="DG135" s="59">
        <f>($AP135-$AP136)*100</f>
        <v/>
      </c>
      <c r="DH135" s="59">
        <f>($AQ135-$AQ136)*100</f>
        <v/>
      </c>
      <c r="DI135" s="59">
        <f>($AR135-$AR136)*100</f>
        <v/>
      </c>
      <c r="DJ135" s="59">
        <f>($AS135-$AS136)*100</f>
        <v/>
      </c>
      <c r="DK135" s="59">
        <f>($AT135-$AT136)*100</f>
        <v/>
      </c>
      <c r="DL135" s="59">
        <f>($AU135-$AU136)*100</f>
        <v/>
      </c>
      <c r="DM135" s="59">
        <f>($AV135-$AV136)*100</f>
        <v/>
      </c>
      <c r="DN135" s="59">
        <f>($AW135-$AW136)*100</f>
        <v/>
      </c>
      <c r="DO135" s="59">
        <f>($AX135-$AX136)*100</f>
        <v/>
      </c>
      <c r="DP135" s="59">
        <f>($AY135-$AY136)*100</f>
        <v/>
      </c>
      <c r="DQ135" s="59">
        <f>($AZ135-$AZ136)*100</f>
        <v/>
      </c>
      <c r="DR135" s="59">
        <f>($BA135-$BA136)*100</f>
        <v/>
      </c>
      <c r="DS135" s="58">
        <f>IFERROR($N136/$N135-1,"")</f>
        <v/>
      </c>
      <c r="DT135" s="58">
        <f>IFERROR($O136/$O135-1,"")</f>
        <v/>
      </c>
      <c r="DU135" s="58">
        <f>IFERROR($P136/$P135-1,"")</f>
        <v/>
      </c>
      <c r="DV135" s="58">
        <f>IFERROR($Q136/$Q135-1,"")</f>
        <v/>
      </c>
      <c r="DW135" s="58">
        <f>IFERROR($R136/$R135-1,"")</f>
        <v/>
      </c>
      <c r="DX135" s="58">
        <f>IFERROR($S136/$S135-1,"")</f>
        <v/>
      </c>
      <c r="DY135" s="58">
        <f>IFERROR($T136/$T135-1,"")</f>
        <v/>
      </c>
      <c r="DZ135" s="58">
        <f>IFERROR($U136/$U135-1,"")</f>
        <v/>
      </c>
      <c r="EA135" s="58">
        <f>IFERROR($V136/$V135-1,"")</f>
        <v/>
      </c>
      <c r="EB135" s="58">
        <f>IFERROR($W136/$W135-1,"")</f>
        <v/>
      </c>
      <c r="EC135" s="58">
        <f>IFERROR($X136/$X135-1,"")</f>
        <v/>
      </c>
      <c r="ED135" s="58">
        <f>IFERROR($Y136/$Y135-1,"")</f>
        <v/>
      </c>
      <c r="EE135" s="58">
        <f>IFERROR($Z136/$Z135-1,"")</f>
        <v/>
      </c>
      <c r="EF135" s="58">
        <f>IFERROR($AA136/$AA135-1,"")</f>
        <v/>
      </c>
      <c r="EG135" s="58">
        <f>IFERROR($AB136/$AB135-1,"")</f>
        <v/>
      </c>
      <c r="EH135" s="58">
        <f>IFERROR($AC136/$AC135-1,"")</f>
        <v/>
      </c>
      <c r="EI135" s="58">
        <f>IFERROR($AD136/$AD135-1,"")</f>
        <v/>
      </c>
      <c r="EJ135" s="58">
        <f>IFERROR($AE136/$AE135-1,"")</f>
        <v/>
      </c>
      <c r="EK135" s="58">
        <f>IFERROR($AF136/$AF135-1,"")</f>
        <v/>
      </c>
      <c r="EL135" s="58">
        <f>IFERROR($AG136/$AG135-1,"")</f>
        <v/>
      </c>
      <c r="EM135" s="58">
        <f>IFERROR($BB135/$BB136-1,"")</f>
        <v/>
      </c>
      <c r="EN135" s="58">
        <f>IFERROR($BC135/$BC136-1,"")</f>
        <v/>
      </c>
      <c r="EO135" s="58">
        <f>IFERROR($BD135/$BD136-1,"")</f>
        <v/>
      </c>
      <c r="EP135" s="58">
        <f>IFERROR($BE135/$BE136-1,"")</f>
        <v/>
      </c>
      <c r="EQ135" s="58">
        <f>IFERROR($BF135/$BF136-1,"")</f>
        <v/>
      </c>
      <c r="ER135" s="58">
        <f>IFERROR($BG135/$BG136-1,"")</f>
        <v/>
      </c>
      <c r="ES135" s="58">
        <f>IFERROR($BH135/$BH136-1,"")</f>
        <v/>
      </c>
      <c r="ET135" s="58">
        <f>IFERROR($BI135/$BI136-1,"")</f>
        <v/>
      </c>
      <c r="EU135" s="58">
        <f>IFERROR($BJ135/$BJ136-1,"")</f>
        <v/>
      </c>
      <c r="EV135" s="58">
        <f>IFERROR($BK135/$BK136-1,"")</f>
        <v/>
      </c>
      <c r="EW135" s="58">
        <f>IFERROR($BL135/$BL136-1,"")</f>
        <v/>
      </c>
      <c r="EX135" s="58">
        <f>IFERROR($BM135/$BM136-1,"")</f>
        <v/>
      </c>
      <c r="EY135" s="58">
        <f>IFERROR($BN135/$BN136-1,"")</f>
        <v/>
      </c>
      <c r="EZ135" s="58">
        <f>IFERROR($BO135/$BO136-1,"")</f>
        <v/>
      </c>
      <c r="FA135" s="58">
        <f>IFERROR($BP135/$BP136-1,"")</f>
        <v/>
      </c>
      <c r="FB135" s="58">
        <f>IFERROR($BQ135/$BQ136-1,"")</f>
        <v/>
      </c>
      <c r="FC135" s="58">
        <f>IFERROR($BR135/$BR136-1,"")</f>
        <v/>
      </c>
      <c r="FD135" s="58">
        <f>IFERROR($BS135/$BS136-1,"")</f>
        <v/>
      </c>
      <c r="FE135" s="58">
        <f>IFERROR($BT135/$BT136-1,"")</f>
        <v/>
      </c>
      <c r="FF135" s="58">
        <f>IFERROR($BU135/$BU136-1,"")</f>
        <v/>
      </c>
      <c r="FG135" s="58">
        <f>IFERROR($BV135/$BV136-1,"")</f>
        <v/>
      </c>
      <c r="FH135" s="58">
        <f>IFERROR($BW135/$BW136-1,"")</f>
        <v/>
      </c>
      <c r="FI135" s="58">
        <f>IFERROR($BX135/$BX136-1,"")</f>
        <v/>
      </c>
      <c r="FJ135" s="59">
        <f>$BY135-$BY136</f>
        <v/>
      </c>
      <c r="FK135" s="59">
        <f>$BZ135-$BZ136</f>
        <v/>
      </c>
      <c r="FL135" s="59">
        <f>$CA135-$CA136</f>
        <v/>
      </c>
      <c r="FM135" s="59">
        <f>$CB135-$CB136</f>
        <v/>
      </c>
      <c r="FN135" s="59">
        <f>$CC135-$CC136</f>
        <v/>
      </c>
      <c r="FO135" s="59">
        <f>$CD135-$CD136</f>
        <v/>
      </c>
      <c r="FP135" s="59">
        <f>$CE135-$CE136</f>
        <v/>
      </c>
      <c r="FQ135" s="59">
        <f>$CF135-$CF136</f>
        <v/>
      </c>
      <c r="FR135" s="59">
        <f>$CG135-$CG136</f>
        <v/>
      </c>
      <c r="FS135" s="59">
        <f>$CH135-$CH136</f>
        <v/>
      </c>
      <c r="FT135" s="59">
        <f>$CI135-$CI136</f>
        <v/>
      </c>
      <c r="FU135" s="59">
        <f>$CJ135-$CJ136</f>
        <v/>
      </c>
      <c r="FV135" s="59">
        <f>$CK135-$CK136</f>
        <v/>
      </c>
      <c r="FW135" s="59">
        <f>$CL135-$CL136</f>
        <v/>
      </c>
      <c r="FX135" s="59">
        <f>$CM135-$CM136</f>
        <v/>
      </c>
      <c r="FY135" s="59">
        <f>$CN135-$CN136</f>
        <v/>
      </c>
      <c r="FZ135" s="59">
        <f>$CO135-$CO136</f>
        <v/>
      </c>
      <c r="GA135" s="59">
        <f>$CP135-$CP136</f>
        <v/>
      </c>
      <c r="GB135" s="59">
        <f>$CQ135-$CQ136</f>
        <v/>
      </c>
      <c r="GC135" s="59">
        <f>$CR135-$CR136</f>
        <v/>
      </c>
      <c r="GD135" s="59">
        <f>$CS135-$CS136</f>
        <v/>
      </c>
      <c r="GE135" s="59">
        <f>$CT135-$CT136</f>
        <v/>
      </c>
    </row>
    <row r="136">
      <c r="CU136" s="58">
        <f>IFERROR($B136/$B137-1,"")</f>
        <v/>
      </c>
      <c r="CV136" s="59">
        <f>($F136-$F137)*100</f>
        <v/>
      </c>
      <c r="CW136" s="59">
        <f>($E136-$E137)*100</f>
        <v/>
      </c>
      <c r="CX136" s="58">
        <f>IFERROR($K136/$K137-1,"")</f>
        <v/>
      </c>
      <c r="CY136" s="59">
        <f>($AH136-$AH137)*100</f>
        <v/>
      </c>
      <c r="CZ136" s="59">
        <f>($AI136-$AI137)*100</f>
        <v/>
      </c>
      <c r="DA136" s="59">
        <f>($AJ136-$AJ137)*100</f>
        <v/>
      </c>
      <c r="DB136" s="59">
        <f>($AK136-$AK137)*100</f>
        <v/>
      </c>
      <c r="DC136" s="59">
        <f>($AL136-$AL137)*100</f>
        <v/>
      </c>
      <c r="DD136" s="59">
        <f>($AM136-$AM137)*100</f>
        <v/>
      </c>
      <c r="DE136" s="59">
        <f>($AN136-$AN137)*100</f>
        <v/>
      </c>
      <c r="DF136" s="59">
        <f>($AO136-$AO137)*100</f>
        <v/>
      </c>
      <c r="DG136" s="59">
        <f>($AP136-$AP137)*100</f>
        <v/>
      </c>
      <c r="DH136" s="59">
        <f>($AQ136-$AQ137)*100</f>
        <v/>
      </c>
      <c r="DI136" s="59">
        <f>($AR136-$AR137)*100</f>
        <v/>
      </c>
      <c r="DJ136" s="59">
        <f>($AS136-$AS137)*100</f>
        <v/>
      </c>
      <c r="DK136" s="59">
        <f>($AT136-$AT137)*100</f>
        <v/>
      </c>
      <c r="DL136" s="59">
        <f>($AU136-$AU137)*100</f>
        <v/>
      </c>
      <c r="DM136" s="59">
        <f>($AV136-$AV137)*100</f>
        <v/>
      </c>
      <c r="DN136" s="59">
        <f>($AW136-$AW137)*100</f>
        <v/>
      </c>
      <c r="DO136" s="59">
        <f>($AX136-$AX137)*100</f>
        <v/>
      </c>
      <c r="DP136" s="59">
        <f>($AY136-$AY137)*100</f>
        <v/>
      </c>
      <c r="DQ136" s="59">
        <f>($AZ136-$AZ137)*100</f>
        <v/>
      </c>
      <c r="DR136" s="59">
        <f>($BA136-$BA137)*100</f>
        <v/>
      </c>
      <c r="DS136" s="58">
        <f>IFERROR($N137/$N136-1,"")</f>
        <v/>
      </c>
      <c r="DT136" s="58">
        <f>IFERROR($O137/$O136-1,"")</f>
        <v/>
      </c>
      <c r="DU136" s="58">
        <f>IFERROR($P137/$P136-1,"")</f>
        <v/>
      </c>
      <c r="DV136" s="58">
        <f>IFERROR($Q137/$Q136-1,"")</f>
        <v/>
      </c>
      <c r="DW136" s="58">
        <f>IFERROR($R137/$R136-1,"")</f>
        <v/>
      </c>
      <c r="DX136" s="58">
        <f>IFERROR($S137/$S136-1,"")</f>
        <v/>
      </c>
      <c r="DY136" s="58">
        <f>IFERROR($T137/$T136-1,"")</f>
        <v/>
      </c>
      <c r="DZ136" s="58">
        <f>IFERROR($U137/$U136-1,"")</f>
        <v/>
      </c>
      <c r="EA136" s="58">
        <f>IFERROR($V137/$V136-1,"")</f>
        <v/>
      </c>
      <c r="EB136" s="58">
        <f>IFERROR($W137/$W136-1,"")</f>
        <v/>
      </c>
      <c r="EC136" s="58">
        <f>IFERROR($X137/$X136-1,"")</f>
        <v/>
      </c>
      <c r="ED136" s="58">
        <f>IFERROR($Y137/$Y136-1,"")</f>
        <v/>
      </c>
      <c r="EE136" s="58">
        <f>IFERROR($Z137/$Z136-1,"")</f>
        <v/>
      </c>
      <c r="EF136" s="58">
        <f>IFERROR($AA137/$AA136-1,"")</f>
        <v/>
      </c>
      <c r="EG136" s="58">
        <f>IFERROR($AB137/$AB136-1,"")</f>
        <v/>
      </c>
      <c r="EH136" s="58">
        <f>IFERROR($AC137/$AC136-1,"")</f>
        <v/>
      </c>
      <c r="EI136" s="58">
        <f>IFERROR($AD137/$AD136-1,"")</f>
        <v/>
      </c>
      <c r="EJ136" s="58">
        <f>IFERROR($AE137/$AE136-1,"")</f>
        <v/>
      </c>
      <c r="EK136" s="58">
        <f>IFERROR($AF137/$AF136-1,"")</f>
        <v/>
      </c>
      <c r="EL136" s="58">
        <f>IFERROR($AG137/$AG136-1,"")</f>
        <v/>
      </c>
      <c r="EM136" s="58">
        <f>IFERROR($BB136/$BB137-1,"")</f>
        <v/>
      </c>
      <c r="EN136" s="58">
        <f>IFERROR($BC136/$BC137-1,"")</f>
        <v/>
      </c>
      <c r="EO136" s="58">
        <f>IFERROR($BD136/$BD137-1,"")</f>
        <v/>
      </c>
      <c r="EP136" s="58">
        <f>IFERROR($BE136/$BE137-1,"")</f>
        <v/>
      </c>
      <c r="EQ136" s="58">
        <f>IFERROR($BF136/$BF137-1,"")</f>
        <v/>
      </c>
      <c r="ER136" s="58">
        <f>IFERROR($BG136/$BG137-1,"")</f>
        <v/>
      </c>
      <c r="ES136" s="58">
        <f>IFERROR($BH136/$BH137-1,"")</f>
        <v/>
      </c>
      <c r="ET136" s="58">
        <f>IFERROR($BI136/$BI137-1,"")</f>
        <v/>
      </c>
      <c r="EU136" s="58">
        <f>IFERROR($BJ136/$BJ137-1,"")</f>
        <v/>
      </c>
      <c r="EV136" s="58">
        <f>IFERROR($BK136/$BK137-1,"")</f>
        <v/>
      </c>
      <c r="EW136" s="58">
        <f>IFERROR($BL136/$BL137-1,"")</f>
        <v/>
      </c>
      <c r="EX136" s="58">
        <f>IFERROR($BM136/$BM137-1,"")</f>
        <v/>
      </c>
      <c r="EY136" s="58">
        <f>IFERROR($BN136/$BN137-1,"")</f>
        <v/>
      </c>
      <c r="EZ136" s="58">
        <f>IFERROR($BO136/$BO137-1,"")</f>
        <v/>
      </c>
      <c r="FA136" s="58">
        <f>IFERROR($BP136/$BP137-1,"")</f>
        <v/>
      </c>
      <c r="FB136" s="58">
        <f>IFERROR($BQ136/$BQ137-1,"")</f>
        <v/>
      </c>
      <c r="FC136" s="58">
        <f>IFERROR($BR136/$BR137-1,"")</f>
        <v/>
      </c>
      <c r="FD136" s="58">
        <f>IFERROR($BS136/$BS137-1,"")</f>
        <v/>
      </c>
      <c r="FE136" s="58">
        <f>IFERROR($BT136/$BT137-1,"")</f>
        <v/>
      </c>
      <c r="FF136" s="58">
        <f>IFERROR($BU136/$BU137-1,"")</f>
        <v/>
      </c>
      <c r="FG136" s="58">
        <f>IFERROR($BV136/$BV137-1,"")</f>
        <v/>
      </c>
      <c r="FH136" s="58">
        <f>IFERROR($BW136/$BW137-1,"")</f>
        <v/>
      </c>
      <c r="FI136" s="58">
        <f>IFERROR($BX136/$BX137-1,"")</f>
        <v/>
      </c>
      <c r="FJ136" s="59">
        <f>$BY136-$BY137</f>
        <v/>
      </c>
      <c r="FK136" s="59">
        <f>$BZ136-$BZ137</f>
        <v/>
      </c>
      <c r="FL136" s="59">
        <f>$CA136-$CA137</f>
        <v/>
      </c>
      <c r="FM136" s="59">
        <f>$CB136-$CB137</f>
        <v/>
      </c>
      <c r="FN136" s="59">
        <f>$CC136-$CC137</f>
        <v/>
      </c>
      <c r="FO136" s="59">
        <f>$CD136-$CD137</f>
        <v/>
      </c>
      <c r="FP136" s="59">
        <f>$CE136-$CE137</f>
        <v/>
      </c>
      <c r="FQ136" s="59">
        <f>$CF136-$CF137</f>
        <v/>
      </c>
      <c r="FR136" s="59">
        <f>$CG136-$CG137</f>
        <v/>
      </c>
      <c r="FS136" s="59">
        <f>$CH136-$CH137</f>
        <v/>
      </c>
      <c r="FT136" s="59">
        <f>$CI136-$CI137</f>
        <v/>
      </c>
      <c r="FU136" s="59">
        <f>$CJ136-$CJ137</f>
        <v/>
      </c>
      <c r="FV136" s="59">
        <f>$CK136-$CK137</f>
        <v/>
      </c>
      <c r="FW136" s="59">
        <f>$CL136-$CL137</f>
        <v/>
      </c>
      <c r="FX136" s="59">
        <f>$CM136-$CM137</f>
        <v/>
      </c>
      <c r="FY136" s="59">
        <f>$CN136-$CN137</f>
        <v/>
      </c>
      <c r="FZ136" s="59">
        <f>$CO136-$CO137</f>
        <v/>
      </c>
      <c r="GA136" s="59">
        <f>$CP136-$CP137</f>
        <v/>
      </c>
      <c r="GB136" s="59">
        <f>$CQ136-$CQ137</f>
        <v/>
      </c>
      <c r="GC136" s="59">
        <f>$CR136-$CR137</f>
        <v/>
      </c>
      <c r="GD136" s="59">
        <f>$CS136-$CS137</f>
        <v/>
      </c>
      <c r="GE136" s="59">
        <f>$CT136-$CT137</f>
        <v/>
      </c>
    </row>
    <row r="137">
      <c r="CU137" s="58">
        <f>IFERROR($B137/$B138-1,"")</f>
        <v/>
      </c>
      <c r="CV137" s="59">
        <f>($F137-$F138)*100</f>
        <v/>
      </c>
      <c r="CW137" s="59">
        <f>($E137-$E138)*100</f>
        <v/>
      </c>
      <c r="CX137" s="58">
        <f>IFERROR($K137/$K138-1,"")</f>
        <v/>
      </c>
      <c r="CY137" s="59">
        <f>($AH137-$AH138)*100</f>
        <v/>
      </c>
      <c r="CZ137" s="59">
        <f>($AI137-$AI138)*100</f>
        <v/>
      </c>
      <c r="DA137" s="59">
        <f>($AJ137-$AJ138)*100</f>
        <v/>
      </c>
      <c r="DB137" s="59">
        <f>($AK137-$AK138)*100</f>
        <v/>
      </c>
      <c r="DC137" s="59">
        <f>($AL137-$AL138)*100</f>
        <v/>
      </c>
      <c r="DD137" s="59">
        <f>($AM137-$AM138)*100</f>
        <v/>
      </c>
      <c r="DE137" s="59">
        <f>($AN137-$AN138)*100</f>
        <v/>
      </c>
      <c r="DF137" s="59">
        <f>($AO137-$AO138)*100</f>
        <v/>
      </c>
      <c r="DG137" s="59">
        <f>($AP137-$AP138)*100</f>
        <v/>
      </c>
      <c r="DH137" s="59">
        <f>($AQ137-$AQ138)*100</f>
        <v/>
      </c>
      <c r="DI137" s="59">
        <f>($AR137-$AR138)*100</f>
        <v/>
      </c>
      <c r="DJ137" s="59">
        <f>($AS137-$AS138)*100</f>
        <v/>
      </c>
      <c r="DK137" s="59">
        <f>($AT137-$AT138)*100</f>
        <v/>
      </c>
      <c r="DL137" s="59">
        <f>($AU137-$AU138)*100</f>
        <v/>
      </c>
      <c r="DM137" s="59">
        <f>($AV137-$AV138)*100</f>
        <v/>
      </c>
      <c r="DN137" s="59">
        <f>($AW137-$AW138)*100</f>
        <v/>
      </c>
      <c r="DO137" s="59">
        <f>($AX137-$AX138)*100</f>
        <v/>
      </c>
      <c r="DP137" s="59">
        <f>($AY137-$AY138)*100</f>
        <v/>
      </c>
      <c r="DQ137" s="59">
        <f>($AZ137-$AZ138)*100</f>
        <v/>
      </c>
      <c r="DR137" s="59">
        <f>($BA137-$BA138)*100</f>
        <v/>
      </c>
      <c r="DS137" s="58">
        <f>IFERROR($N138/$N137-1,"")</f>
        <v/>
      </c>
      <c r="DT137" s="58">
        <f>IFERROR($O138/$O137-1,"")</f>
        <v/>
      </c>
      <c r="DU137" s="58">
        <f>IFERROR($P138/$P137-1,"")</f>
        <v/>
      </c>
      <c r="DV137" s="58">
        <f>IFERROR($Q138/$Q137-1,"")</f>
        <v/>
      </c>
      <c r="DW137" s="58">
        <f>IFERROR($R138/$R137-1,"")</f>
        <v/>
      </c>
      <c r="DX137" s="58">
        <f>IFERROR($S138/$S137-1,"")</f>
        <v/>
      </c>
      <c r="DY137" s="58">
        <f>IFERROR($T138/$T137-1,"")</f>
        <v/>
      </c>
      <c r="DZ137" s="58">
        <f>IFERROR($U138/$U137-1,"")</f>
        <v/>
      </c>
      <c r="EA137" s="58">
        <f>IFERROR($V138/$V137-1,"")</f>
        <v/>
      </c>
      <c r="EB137" s="58">
        <f>IFERROR($W138/$W137-1,"")</f>
        <v/>
      </c>
      <c r="EC137" s="58">
        <f>IFERROR($X138/$X137-1,"")</f>
        <v/>
      </c>
      <c r="ED137" s="58">
        <f>IFERROR($Y138/$Y137-1,"")</f>
        <v/>
      </c>
      <c r="EE137" s="58">
        <f>IFERROR($Z138/$Z137-1,"")</f>
        <v/>
      </c>
      <c r="EF137" s="58">
        <f>IFERROR($AA138/$AA137-1,"")</f>
        <v/>
      </c>
      <c r="EG137" s="58">
        <f>IFERROR($AB138/$AB137-1,"")</f>
        <v/>
      </c>
      <c r="EH137" s="58">
        <f>IFERROR($AC138/$AC137-1,"")</f>
        <v/>
      </c>
      <c r="EI137" s="58">
        <f>IFERROR($AD138/$AD137-1,"")</f>
        <v/>
      </c>
      <c r="EJ137" s="58">
        <f>IFERROR($AE138/$AE137-1,"")</f>
        <v/>
      </c>
      <c r="EK137" s="58">
        <f>IFERROR($AF138/$AF137-1,"")</f>
        <v/>
      </c>
      <c r="EL137" s="58">
        <f>IFERROR($AG138/$AG137-1,"")</f>
        <v/>
      </c>
      <c r="EM137" s="58">
        <f>IFERROR($BB137/$BB138-1,"")</f>
        <v/>
      </c>
      <c r="EN137" s="58">
        <f>IFERROR($BC137/$BC138-1,"")</f>
        <v/>
      </c>
      <c r="EO137" s="58">
        <f>IFERROR($BD137/$BD138-1,"")</f>
        <v/>
      </c>
      <c r="EP137" s="58">
        <f>IFERROR($BE137/$BE138-1,"")</f>
        <v/>
      </c>
      <c r="EQ137" s="58">
        <f>IFERROR($BF137/$BF138-1,"")</f>
        <v/>
      </c>
      <c r="ER137" s="58">
        <f>IFERROR($BG137/$BG138-1,"")</f>
        <v/>
      </c>
      <c r="ES137" s="58">
        <f>IFERROR($BH137/$BH138-1,"")</f>
        <v/>
      </c>
      <c r="ET137" s="58">
        <f>IFERROR($BI137/$BI138-1,"")</f>
        <v/>
      </c>
      <c r="EU137" s="58">
        <f>IFERROR($BJ137/$BJ138-1,"")</f>
        <v/>
      </c>
      <c r="EV137" s="58">
        <f>IFERROR($BK137/$BK138-1,"")</f>
        <v/>
      </c>
      <c r="EW137" s="58">
        <f>IFERROR($BL137/$BL138-1,"")</f>
        <v/>
      </c>
      <c r="EX137" s="58">
        <f>IFERROR($BM137/$BM138-1,"")</f>
        <v/>
      </c>
      <c r="EY137" s="58">
        <f>IFERROR($BN137/$BN138-1,"")</f>
        <v/>
      </c>
      <c r="EZ137" s="58">
        <f>IFERROR($BO137/$BO138-1,"")</f>
        <v/>
      </c>
      <c r="FA137" s="58">
        <f>IFERROR($BP137/$BP138-1,"")</f>
        <v/>
      </c>
      <c r="FB137" s="58">
        <f>IFERROR($BQ137/$BQ138-1,"")</f>
        <v/>
      </c>
      <c r="FC137" s="58">
        <f>IFERROR($BR137/$BR138-1,"")</f>
        <v/>
      </c>
      <c r="FD137" s="58">
        <f>IFERROR($BS137/$BS138-1,"")</f>
        <v/>
      </c>
      <c r="FE137" s="58">
        <f>IFERROR($BT137/$BT138-1,"")</f>
        <v/>
      </c>
      <c r="FF137" s="58">
        <f>IFERROR($BU137/$BU138-1,"")</f>
        <v/>
      </c>
      <c r="FG137" s="58">
        <f>IFERROR($BV137/$BV138-1,"")</f>
        <v/>
      </c>
      <c r="FH137" s="58">
        <f>IFERROR($BW137/$BW138-1,"")</f>
        <v/>
      </c>
      <c r="FI137" s="58">
        <f>IFERROR($BX137/$BX138-1,"")</f>
        <v/>
      </c>
      <c r="FJ137" s="59">
        <f>$BY137-$BY138</f>
        <v/>
      </c>
      <c r="FK137" s="59">
        <f>$BZ137-$BZ138</f>
        <v/>
      </c>
      <c r="FL137" s="59">
        <f>$CA137-$CA138</f>
        <v/>
      </c>
      <c r="FM137" s="59">
        <f>$CB137-$CB138</f>
        <v/>
      </c>
      <c r="FN137" s="59">
        <f>$CC137-$CC138</f>
        <v/>
      </c>
      <c r="FO137" s="59">
        <f>$CD137-$CD138</f>
        <v/>
      </c>
      <c r="FP137" s="59">
        <f>$CE137-$CE138</f>
        <v/>
      </c>
      <c r="FQ137" s="59">
        <f>$CF137-$CF138</f>
        <v/>
      </c>
      <c r="FR137" s="59">
        <f>$CG137-$CG138</f>
        <v/>
      </c>
      <c r="FS137" s="59">
        <f>$CH137-$CH138</f>
        <v/>
      </c>
      <c r="FT137" s="59">
        <f>$CI137-$CI138</f>
        <v/>
      </c>
      <c r="FU137" s="59">
        <f>$CJ137-$CJ138</f>
        <v/>
      </c>
      <c r="FV137" s="59">
        <f>$CK137-$CK138</f>
        <v/>
      </c>
      <c r="FW137" s="59">
        <f>$CL137-$CL138</f>
        <v/>
      </c>
      <c r="FX137" s="59">
        <f>$CM137-$CM138</f>
        <v/>
      </c>
      <c r="FY137" s="59">
        <f>$CN137-$CN138</f>
        <v/>
      </c>
      <c r="FZ137" s="59">
        <f>$CO137-$CO138</f>
        <v/>
      </c>
      <c r="GA137" s="59">
        <f>$CP137-$CP138</f>
        <v/>
      </c>
      <c r="GB137" s="59">
        <f>$CQ137-$CQ138</f>
        <v/>
      </c>
      <c r="GC137" s="59">
        <f>$CR137-$CR138</f>
        <v/>
      </c>
      <c r="GD137" s="59">
        <f>$CS137-$CS138</f>
        <v/>
      </c>
      <c r="GE137" s="59">
        <f>$CT137-$CT138</f>
        <v/>
      </c>
    </row>
    <row r="138">
      <c r="CU138" s="58">
        <f>IFERROR($B138/$B139-1,"")</f>
        <v/>
      </c>
      <c r="CV138" s="59">
        <f>($F138-$F139)*100</f>
        <v/>
      </c>
      <c r="CW138" s="59">
        <f>($E138-$E139)*100</f>
        <v/>
      </c>
      <c r="CX138" s="58">
        <f>IFERROR($K138/$K139-1,"")</f>
        <v/>
      </c>
      <c r="CY138" s="59">
        <f>($AH138-$AH139)*100</f>
        <v/>
      </c>
      <c r="CZ138" s="59">
        <f>($AI138-$AI139)*100</f>
        <v/>
      </c>
      <c r="DA138" s="59">
        <f>($AJ138-$AJ139)*100</f>
        <v/>
      </c>
      <c r="DB138" s="59">
        <f>($AK138-$AK139)*100</f>
        <v/>
      </c>
      <c r="DC138" s="59">
        <f>($AL138-$AL139)*100</f>
        <v/>
      </c>
      <c r="DD138" s="59">
        <f>($AM138-$AM139)*100</f>
        <v/>
      </c>
      <c r="DE138" s="59">
        <f>($AN138-$AN139)*100</f>
        <v/>
      </c>
      <c r="DF138" s="59">
        <f>($AO138-$AO139)*100</f>
        <v/>
      </c>
      <c r="DG138" s="59">
        <f>($AP138-$AP139)*100</f>
        <v/>
      </c>
      <c r="DH138" s="59">
        <f>($AQ138-$AQ139)*100</f>
        <v/>
      </c>
      <c r="DI138" s="59">
        <f>($AR138-$AR139)*100</f>
        <v/>
      </c>
      <c r="DJ138" s="59">
        <f>($AS138-$AS139)*100</f>
        <v/>
      </c>
      <c r="DK138" s="59">
        <f>($AT138-$AT139)*100</f>
        <v/>
      </c>
      <c r="DL138" s="59">
        <f>($AU138-$AU139)*100</f>
        <v/>
      </c>
      <c r="DM138" s="59">
        <f>($AV138-$AV139)*100</f>
        <v/>
      </c>
      <c r="DN138" s="59">
        <f>($AW138-$AW139)*100</f>
        <v/>
      </c>
      <c r="DO138" s="59">
        <f>($AX138-$AX139)*100</f>
        <v/>
      </c>
      <c r="DP138" s="59">
        <f>($AY138-$AY139)*100</f>
        <v/>
      </c>
      <c r="DQ138" s="59">
        <f>($AZ138-$AZ139)*100</f>
        <v/>
      </c>
      <c r="DR138" s="59">
        <f>($BA138-$BA139)*100</f>
        <v/>
      </c>
      <c r="DS138" s="58">
        <f>IFERROR($N139/$N138-1,"")</f>
        <v/>
      </c>
      <c r="DT138" s="58">
        <f>IFERROR($O139/$O138-1,"")</f>
        <v/>
      </c>
      <c r="DU138" s="58">
        <f>IFERROR($P139/$P138-1,"")</f>
        <v/>
      </c>
      <c r="DV138" s="58">
        <f>IFERROR($Q139/$Q138-1,"")</f>
        <v/>
      </c>
      <c r="DW138" s="58">
        <f>IFERROR($R139/$R138-1,"")</f>
        <v/>
      </c>
      <c r="DX138" s="58">
        <f>IFERROR($S139/$S138-1,"")</f>
        <v/>
      </c>
      <c r="DY138" s="58">
        <f>IFERROR($T139/$T138-1,"")</f>
        <v/>
      </c>
      <c r="DZ138" s="58">
        <f>IFERROR($U139/$U138-1,"")</f>
        <v/>
      </c>
      <c r="EA138" s="58">
        <f>IFERROR($V139/$V138-1,"")</f>
        <v/>
      </c>
      <c r="EB138" s="58">
        <f>IFERROR($W139/$W138-1,"")</f>
        <v/>
      </c>
      <c r="EC138" s="58">
        <f>IFERROR($X139/$X138-1,"")</f>
        <v/>
      </c>
      <c r="ED138" s="58">
        <f>IFERROR($Y139/$Y138-1,"")</f>
        <v/>
      </c>
      <c r="EE138" s="58">
        <f>IFERROR($Z139/$Z138-1,"")</f>
        <v/>
      </c>
      <c r="EF138" s="58">
        <f>IFERROR($AA139/$AA138-1,"")</f>
        <v/>
      </c>
      <c r="EG138" s="58">
        <f>IFERROR($AB139/$AB138-1,"")</f>
        <v/>
      </c>
      <c r="EH138" s="58">
        <f>IFERROR($AC139/$AC138-1,"")</f>
        <v/>
      </c>
      <c r="EI138" s="58">
        <f>IFERROR($AD139/$AD138-1,"")</f>
        <v/>
      </c>
      <c r="EJ138" s="58">
        <f>IFERROR($AE139/$AE138-1,"")</f>
        <v/>
      </c>
      <c r="EK138" s="58">
        <f>IFERROR($AF139/$AF138-1,"")</f>
        <v/>
      </c>
      <c r="EL138" s="58">
        <f>IFERROR($AG139/$AG138-1,"")</f>
        <v/>
      </c>
      <c r="EM138" s="58">
        <f>IFERROR($BB138/$BB139-1,"")</f>
        <v/>
      </c>
      <c r="EN138" s="58">
        <f>IFERROR($BC138/$BC139-1,"")</f>
        <v/>
      </c>
      <c r="EO138" s="58">
        <f>IFERROR($BD138/$BD139-1,"")</f>
        <v/>
      </c>
      <c r="EP138" s="58">
        <f>IFERROR($BE138/$BE139-1,"")</f>
        <v/>
      </c>
      <c r="EQ138" s="58">
        <f>IFERROR($BF138/$BF139-1,"")</f>
        <v/>
      </c>
      <c r="ER138" s="58">
        <f>IFERROR($BG138/$BG139-1,"")</f>
        <v/>
      </c>
      <c r="ES138" s="58">
        <f>IFERROR($BH138/$BH139-1,"")</f>
        <v/>
      </c>
      <c r="ET138" s="58">
        <f>IFERROR($BI138/$BI139-1,"")</f>
        <v/>
      </c>
      <c r="EU138" s="58">
        <f>IFERROR($BJ138/$BJ139-1,"")</f>
        <v/>
      </c>
      <c r="EV138" s="58">
        <f>IFERROR($BK138/$BK139-1,"")</f>
        <v/>
      </c>
      <c r="EW138" s="58">
        <f>IFERROR($BL138/$BL139-1,"")</f>
        <v/>
      </c>
      <c r="EX138" s="58">
        <f>IFERROR($BM138/$BM139-1,"")</f>
        <v/>
      </c>
      <c r="EY138" s="58">
        <f>IFERROR($BN138/$BN139-1,"")</f>
        <v/>
      </c>
      <c r="EZ138" s="58">
        <f>IFERROR($BO138/$BO139-1,"")</f>
        <v/>
      </c>
      <c r="FA138" s="58">
        <f>IFERROR($BP138/$BP139-1,"")</f>
        <v/>
      </c>
      <c r="FB138" s="58">
        <f>IFERROR($BQ138/$BQ139-1,"")</f>
        <v/>
      </c>
      <c r="FC138" s="58">
        <f>IFERROR($BR138/$BR139-1,"")</f>
        <v/>
      </c>
      <c r="FD138" s="58">
        <f>IFERROR($BS138/$BS139-1,"")</f>
        <v/>
      </c>
      <c r="FE138" s="58">
        <f>IFERROR($BT138/$BT139-1,"")</f>
        <v/>
      </c>
      <c r="FF138" s="58">
        <f>IFERROR($BU138/$BU139-1,"")</f>
        <v/>
      </c>
      <c r="FG138" s="58">
        <f>IFERROR($BV138/$BV139-1,"")</f>
        <v/>
      </c>
      <c r="FH138" s="58">
        <f>IFERROR($BW138/$BW139-1,"")</f>
        <v/>
      </c>
      <c r="FI138" s="58">
        <f>IFERROR($BX138/$BX139-1,"")</f>
        <v/>
      </c>
      <c r="FJ138" s="59">
        <f>$BY138-$BY139</f>
        <v/>
      </c>
      <c r="FK138" s="59">
        <f>$BZ138-$BZ139</f>
        <v/>
      </c>
      <c r="FL138" s="59">
        <f>$CA138-$CA139</f>
        <v/>
      </c>
      <c r="FM138" s="59">
        <f>$CB138-$CB139</f>
        <v/>
      </c>
      <c r="FN138" s="59">
        <f>$CC138-$CC139</f>
        <v/>
      </c>
      <c r="FO138" s="59">
        <f>$CD138-$CD139</f>
        <v/>
      </c>
      <c r="FP138" s="59">
        <f>$CE138-$CE139</f>
        <v/>
      </c>
      <c r="FQ138" s="59">
        <f>$CF138-$CF139</f>
        <v/>
      </c>
      <c r="FR138" s="59">
        <f>$CG138-$CG139</f>
        <v/>
      </c>
      <c r="FS138" s="59">
        <f>$CH138-$CH139</f>
        <v/>
      </c>
      <c r="FT138" s="59">
        <f>$CI138-$CI139</f>
        <v/>
      </c>
      <c r="FU138" s="59">
        <f>$CJ138-$CJ139</f>
        <v/>
      </c>
      <c r="FV138" s="59">
        <f>$CK138-$CK139</f>
        <v/>
      </c>
      <c r="FW138" s="59">
        <f>$CL138-$CL139</f>
        <v/>
      </c>
      <c r="FX138" s="59">
        <f>$CM138-$CM139</f>
        <v/>
      </c>
      <c r="FY138" s="59">
        <f>$CN138-$CN139</f>
        <v/>
      </c>
      <c r="FZ138" s="59">
        <f>$CO138-$CO139</f>
        <v/>
      </c>
      <c r="GA138" s="59">
        <f>$CP138-$CP139</f>
        <v/>
      </c>
      <c r="GB138" s="59">
        <f>$CQ138-$CQ139</f>
        <v/>
      </c>
      <c r="GC138" s="59">
        <f>$CR138-$CR139</f>
        <v/>
      </c>
      <c r="GD138" s="59">
        <f>$CS138-$CS139</f>
        <v/>
      </c>
      <c r="GE138" s="59">
        <f>$CT138-$CT139</f>
        <v/>
      </c>
    </row>
    <row r="139">
      <c r="CU139" s="58">
        <f>IFERROR($B139/$B140-1,"")</f>
        <v/>
      </c>
      <c r="CV139" s="59">
        <f>($F139-$F140)*100</f>
        <v/>
      </c>
      <c r="CW139" s="59">
        <f>($E139-$E140)*100</f>
        <v/>
      </c>
      <c r="CX139" s="58">
        <f>IFERROR($K139/$K140-1,"")</f>
        <v/>
      </c>
      <c r="CY139" s="59">
        <f>($AH139-$AH140)*100</f>
        <v/>
      </c>
      <c r="CZ139" s="59">
        <f>($AI139-$AI140)*100</f>
        <v/>
      </c>
      <c r="DA139" s="59">
        <f>($AJ139-$AJ140)*100</f>
        <v/>
      </c>
      <c r="DB139" s="59">
        <f>($AK139-$AK140)*100</f>
        <v/>
      </c>
      <c r="DC139" s="59">
        <f>($AL139-$AL140)*100</f>
        <v/>
      </c>
      <c r="DD139" s="59">
        <f>($AM139-$AM140)*100</f>
        <v/>
      </c>
      <c r="DE139" s="59">
        <f>($AN139-$AN140)*100</f>
        <v/>
      </c>
      <c r="DF139" s="59">
        <f>($AO139-$AO140)*100</f>
        <v/>
      </c>
      <c r="DG139" s="59">
        <f>($AP139-$AP140)*100</f>
        <v/>
      </c>
      <c r="DH139" s="59">
        <f>($AQ139-$AQ140)*100</f>
        <v/>
      </c>
      <c r="DI139" s="59">
        <f>($AR139-$AR140)*100</f>
        <v/>
      </c>
      <c r="DJ139" s="59">
        <f>($AS139-$AS140)*100</f>
        <v/>
      </c>
      <c r="DK139" s="59">
        <f>($AT139-$AT140)*100</f>
        <v/>
      </c>
      <c r="DL139" s="59">
        <f>($AU139-$AU140)*100</f>
        <v/>
      </c>
      <c r="DM139" s="59">
        <f>($AV139-$AV140)*100</f>
        <v/>
      </c>
      <c r="DN139" s="59">
        <f>($AW139-$AW140)*100</f>
        <v/>
      </c>
      <c r="DO139" s="59">
        <f>($AX139-$AX140)*100</f>
        <v/>
      </c>
      <c r="DP139" s="59">
        <f>($AY139-$AY140)*100</f>
        <v/>
      </c>
      <c r="DQ139" s="59">
        <f>($AZ139-$AZ140)*100</f>
        <v/>
      </c>
      <c r="DR139" s="59">
        <f>($BA139-$BA140)*100</f>
        <v/>
      </c>
      <c r="DS139" s="58">
        <f>IFERROR($N140/$N139-1,"")</f>
        <v/>
      </c>
      <c r="DT139" s="58">
        <f>IFERROR($O140/$O139-1,"")</f>
        <v/>
      </c>
      <c r="DU139" s="58">
        <f>IFERROR($P140/$P139-1,"")</f>
        <v/>
      </c>
      <c r="DV139" s="58">
        <f>IFERROR($Q140/$Q139-1,"")</f>
        <v/>
      </c>
      <c r="DW139" s="58">
        <f>IFERROR($R140/$R139-1,"")</f>
        <v/>
      </c>
      <c r="DX139" s="58">
        <f>IFERROR($S140/$S139-1,"")</f>
        <v/>
      </c>
      <c r="DY139" s="58">
        <f>IFERROR($T140/$T139-1,"")</f>
        <v/>
      </c>
      <c r="DZ139" s="58">
        <f>IFERROR($U140/$U139-1,"")</f>
        <v/>
      </c>
      <c r="EA139" s="58">
        <f>IFERROR($V140/$V139-1,"")</f>
        <v/>
      </c>
      <c r="EB139" s="58">
        <f>IFERROR($W140/$W139-1,"")</f>
        <v/>
      </c>
      <c r="EC139" s="58">
        <f>IFERROR($X140/$X139-1,"")</f>
        <v/>
      </c>
      <c r="ED139" s="58">
        <f>IFERROR($Y140/$Y139-1,"")</f>
        <v/>
      </c>
      <c r="EE139" s="58">
        <f>IFERROR($Z140/$Z139-1,"")</f>
        <v/>
      </c>
      <c r="EF139" s="58">
        <f>IFERROR($AA140/$AA139-1,"")</f>
        <v/>
      </c>
      <c r="EG139" s="58">
        <f>IFERROR($AB140/$AB139-1,"")</f>
        <v/>
      </c>
      <c r="EH139" s="58">
        <f>IFERROR($AC140/$AC139-1,"")</f>
        <v/>
      </c>
      <c r="EI139" s="58">
        <f>IFERROR($AD140/$AD139-1,"")</f>
        <v/>
      </c>
      <c r="EJ139" s="58">
        <f>IFERROR($AE140/$AE139-1,"")</f>
        <v/>
      </c>
      <c r="EK139" s="58">
        <f>IFERROR($AF140/$AF139-1,"")</f>
        <v/>
      </c>
      <c r="EL139" s="58">
        <f>IFERROR($AG140/$AG139-1,"")</f>
        <v/>
      </c>
      <c r="EM139" s="58">
        <f>IFERROR($BB139/$BB140-1,"")</f>
        <v/>
      </c>
      <c r="EN139" s="58">
        <f>IFERROR($BC139/$BC140-1,"")</f>
        <v/>
      </c>
      <c r="EO139" s="58">
        <f>IFERROR($BD139/$BD140-1,"")</f>
        <v/>
      </c>
      <c r="EP139" s="58">
        <f>IFERROR($BE139/$BE140-1,"")</f>
        <v/>
      </c>
      <c r="EQ139" s="58">
        <f>IFERROR($BF139/$BF140-1,"")</f>
        <v/>
      </c>
      <c r="ER139" s="58">
        <f>IFERROR($BG139/$BG140-1,"")</f>
        <v/>
      </c>
      <c r="ES139" s="58">
        <f>IFERROR($BH139/$BH140-1,"")</f>
        <v/>
      </c>
      <c r="ET139" s="58">
        <f>IFERROR($BI139/$BI140-1,"")</f>
        <v/>
      </c>
      <c r="EU139" s="58">
        <f>IFERROR($BJ139/$BJ140-1,"")</f>
        <v/>
      </c>
      <c r="EV139" s="58">
        <f>IFERROR($BK139/$BK140-1,"")</f>
        <v/>
      </c>
      <c r="EW139" s="58">
        <f>IFERROR($BL139/$BL140-1,"")</f>
        <v/>
      </c>
      <c r="EX139" s="58">
        <f>IFERROR($BM139/$BM140-1,"")</f>
        <v/>
      </c>
      <c r="EY139" s="58">
        <f>IFERROR($BN139/$BN140-1,"")</f>
        <v/>
      </c>
      <c r="EZ139" s="58">
        <f>IFERROR($BO139/$BO140-1,"")</f>
        <v/>
      </c>
      <c r="FA139" s="58">
        <f>IFERROR($BP139/$BP140-1,"")</f>
        <v/>
      </c>
      <c r="FB139" s="58">
        <f>IFERROR($BQ139/$BQ140-1,"")</f>
        <v/>
      </c>
      <c r="FC139" s="58">
        <f>IFERROR($BR139/$BR140-1,"")</f>
        <v/>
      </c>
      <c r="FD139" s="58">
        <f>IFERROR($BS139/$BS140-1,"")</f>
        <v/>
      </c>
      <c r="FE139" s="58">
        <f>IFERROR($BT139/$BT140-1,"")</f>
        <v/>
      </c>
      <c r="FF139" s="58">
        <f>IFERROR($BU139/$BU140-1,"")</f>
        <v/>
      </c>
      <c r="FG139" s="58">
        <f>IFERROR($BV139/$BV140-1,"")</f>
        <v/>
      </c>
      <c r="FH139" s="58">
        <f>IFERROR($BW139/$BW140-1,"")</f>
        <v/>
      </c>
      <c r="FI139" s="58">
        <f>IFERROR($BX139/$BX140-1,"")</f>
        <v/>
      </c>
      <c r="FJ139" s="59">
        <f>$BY139-$BY140</f>
        <v/>
      </c>
      <c r="FK139" s="59">
        <f>$BZ139-$BZ140</f>
        <v/>
      </c>
      <c r="FL139" s="59">
        <f>$CA139-$CA140</f>
        <v/>
      </c>
      <c r="FM139" s="59">
        <f>$CB139-$CB140</f>
        <v/>
      </c>
      <c r="FN139" s="59">
        <f>$CC139-$CC140</f>
        <v/>
      </c>
      <c r="FO139" s="59">
        <f>$CD139-$CD140</f>
        <v/>
      </c>
      <c r="FP139" s="59">
        <f>$CE139-$CE140</f>
        <v/>
      </c>
      <c r="FQ139" s="59">
        <f>$CF139-$CF140</f>
        <v/>
      </c>
      <c r="FR139" s="59">
        <f>$CG139-$CG140</f>
        <v/>
      </c>
      <c r="FS139" s="59">
        <f>$CH139-$CH140</f>
        <v/>
      </c>
      <c r="FT139" s="59">
        <f>$CI139-$CI140</f>
        <v/>
      </c>
      <c r="FU139" s="59">
        <f>$CJ139-$CJ140</f>
        <v/>
      </c>
      <c r="FV139" s="59">
        <f>$CK139-$CK140</f>
        <v/>
      </c>
      <c r="FW139" s="59">
        <f>$CL139-$CL140</f>
        <v/>
      </c>
      <c r="FX139" s="59">
        <f>$CM139-$CM140</f>
        <v/>
      </c>
      <c r="FY139" s="59">
        <f>$CN139-$CN140</f>
        <v/>
      </c>
      <c r="FZ139" s="59">
        <f>$CO139-$CO140</f>
        <v/>
      </c>
      <c r="GA139" s="59">
        <f>$CP139-$CP140</f>
        <v/>
      </c>
      <c r="GB139" s="59">
        <f>$CQ139-$CQ140</f>
        <v/>
      </c>
      <c r="GC139" s="59">
        <f>$CR139-$CR140</f>
        <v/>
      </c>
      <c r="GD139" s="59">
        <f>$CS139-$CS140</f>
        <v/>
      </c>
      <c r="GE139" s="59">
        <f>$CT139-$CT140</f>
        <v/>
      </c>
    </row>
    <row r="140">
      <c r="CU140" s="58">
        <f>IFERROR($B140/$B141-1,"")</f>
        <v/>
      </c>
      <c r="CV140" s="59">
        <f>($F140-$F141)*100</f>
        <v/>
      </c>
      <c r="CW140" s="59">
        <f>($E140-$E141)*100</f>
        <v/>
      </c>
      <c r="CX140" s="58">
        <f>IFERROR($K140/$K141-1,"")</f>
        <v/>
      </c>
      <c r="CY140" s="59">
        <f>($AH140-$AH141)*100</f>
        <v/>
      </c>
      <c r="CZ140" s="59">
        <f>($AI140-$AI141)*100</f>
        <v/>
      </c>
      <c r="DA140" s="59">
        <f>($AJ140-$AJ141)*100</f>
        <v/>
      </c>
      <c r="DB140" s="59">
        <f>($AK140-$AK141)*100</f>
        <v/>
      </c>
      <c r="DC140" s="59">
        <f>($AL140-$AL141)*100</f>
        <v/>
      </c>
      <c r="DD140" s="59">
        <f>($AM140-$AM141)*100</f>
        <v/>
      </c>
      <c r="DE140" s="59">
        <f>($AN140-$AN141)*100</f>
        <v/>
      </c>
      <c r="DF140" s="59">
        <f>($AO140-$AO141)*100</f>
        <v/>
      </c>
      <c r="DG140" s="59">
        <f>($AP140-$AP141)*100</f>
        <v/>
      </c>
      <c r="DH140" s="59">
        <f>($AQ140-$AQ141)*100</f>
        <v/>
      </c>
      <c r="DI140" s="59">
        <f>($AR140-$AR141)*100</f>
        <v/>
      </c>
      <c r="DJ140" s="59">
        <f>($AS140-$AS141)*100</f>
        <v/>
      </c>
      <c r="DK140" s="59">
        <f>($AT140-$AT141)*100</f>
        <v/>
      </c>
      <c r="DL140" s="59">
        <f>($AU140-$AU141)*100</f>
        <v/>
      </c>
      <c r="DM140" s="59">
        <f>($AV140-$AV141)*100</f>
        <v/>
      </c>
      <c r="DN140" s="59">
        <f>($AW140-$AW141)*100</f>
        <v/>
      </c>
      <c r="DO140" s="59">
        <f>($AX140-$AX141)*100</f>
        <v/>
      </c>
      <c r="DP140" s="59">
        <f>($AY140-$AY141)*100</f>
        <v/>
      </c>
      <c r="DQ140" s="59">
        <f>($AZ140-$AZ141)*100</f>
        <v/>
      </c>
      <c r="DR140" s="59">
        <f>($BA140-$BA141)*100</f>
        <v/>
      </c>
      <c r="DS140" s="58">
        <f>IFERROR($N141/$N140-1,"")</f>
        <v/>
      </c>
      <c r="DT140" s="58">
        <f>IFERROR($O141/$O140-1,"")</f>
        <v/>
      </c>
      <c r="DU140" s="58">
        <f>IFERROR($P141/$P140-1,"")</f>
        <v/>
      </c>
      <c r="DV140" s="58">
        <f>IFERROR($Q141/$Q140-1,"")</f>
        <v/>
      </c>
      <c r="DW140" s="58">
        <f>IFERROR($R141/$R140-1,"")</f>
        <v/>
      </c>
      <c r="DX140" s="58">
        <f>IFERROR($S141/$S140-1,"")</f>
        <v/>
      </c>
      <c r="DY140" s="58">
        <f>IFERROR($T141/$T140-1,"")</f>
        <v/>
      </c>
      <c r="DZ140" s="58">
        <f>IFERROR($U141/$U140-1,"")</f>
        <v/>
      </c>
      <c r="EA140" s="58">
        <f>IFERROR($V141/$V140-1,"")</f>
        <v/>
      </c>
      <c r="EB140" s="58">
        <f>IFERROR($W141/$W140-1,"")</f>
        <v/>
      </c>
      <c r="EC140" s="58">
        <f>IFERROR($X141/$X140-1,"")</f>
        <v/>
      </c>
      <c r="ED140" s="58">
        <f>IFERROR($Y141/$Y140-1,"")</f>
        <v/>
      </c>
      <c r="EE140" s="58">
        <f>IFERROR($Z141/$Z140-1,"")</f>
        <v/>
      </c>
      <c r="EF140" s="58">
        <f>IFERROR($AA141/$AA140-1,"")</f>
        <v/>
      </c>
      <c r="EG140" s="58">
        <f>IFERROR($AB141/$AB140-1,"")</f>
        <v/>
      </c>
      <c r="EH140" s="58">
        <f>IFERROR($AC141/$AC140-1,"")</f>
        <v/>
      </c>
      <c r="EI140" s="58">
        <f>IFERROR($AD141/$AD140-1,"")</f>
        <v/>
      </c>
      <c r="EJ140" s="58">
        <f>IFERROR($AE141/$AE140-1,"")</f>
        <v/>
      </c>
      <c r="EK140" s="58">
        <f>IFERROR($AF141/$AF140-1,"")</f>
        <v/>
      </c>
      <c r="EL140" s="58">
        <f>IFERROR($AG141/$AG140-1,"")</f>
        <v/>
      </c>
      <c r="EM140" s="58">
        <f>IFERROR($BB140/$BB141-1,"")</f>
        <v/>
      </c>
      <c r="EN140" s="58">
        <f>IFERROR($BC140/$BC141-1,"")</f>
        <v/>
      </c>
      <c r="EO140" s="58">
        <f>IFERROR($BD140/$BD141-1,"")</f>
        <v/>
      </c>
      <c r="EP140" s="58">
        <f>IFERROR($BE140/$BE141-1,"")</f>
        <v/>
      </c>
      <c r="EQ140" s="58">
        <f>IFERROR($BF140/$BF141-1,"")</f>
        <v/>
      </c>
      <c r="ER140" s="58">
        <f>IFERROR($BG140/$BG141-1,"")</f>
        <v/>
      </c>
      <c r="ES140" s="58">
        <f>IFERROR($BH140/$BH141-1,"")</f>
        <v/>
      </c>
      <c r="ET140" s="58">
        <f>IFERROR($BI140/$BI141-1,"")</f>
        <v/>
      </c>
      <c r="EU140" s="58">
        <f>IFERROR($BJ140/$BJ141-1,"")</f>
        <v/>
      </c>
      <c r="EV140" s="58">
        <f>IFERROR($BK140/$BK141-1,"")</f>
        <v/>
      </c>
      <c r="EW140" s="58">
        <f>IFERROR($BL140/$BL141-1,"")</f>
        <v/>
      </c>
      <c r="EX140" s="58">
        <f>IFERROR($BM140/$BM141-1,"")</f>
        <v/>
      </c>
      <c r="EY140" s="58">
        <f>IFERROR($BN140/$BN141-1,"")</f>
        <v/>
      </c>
      <c r="EZ140" s="58">
        <f>IFERROR($BO140/$BO141-1,"")</f>
        <v/>
      </c>
      <c r="FA140" s="58">
        <f>IFERROR($BP140/$BP141-1,"")</f>
        <v/>
      </c>
      <c r="FB140" s="58">
        <f>IFERROR($BQ140/$BQ141-1,"")</f>
        <v/>
      </c>
      <c r="FC140" s="58">
        <f>IFERROR($BR140/$BR141-1,"")</f>
        <v/>
      </c>
      <c r="FD140" s="58">
        <f>IFERROR($BS140/$BS141-1,"")</f>
        <v/>
      </c>
      <c r="FE140" s="58">
        <f>IFERROR($BT140/$BT141-1,"")</f>
        <v/>
      </c>
      <c r="FF140" s="58">
        <f>IFERROR($BU140/$BU141-1,"")</f>
        <v/>
      </c>
      <c r="FG140" s="58">
        <f>IFERROR($BV140/$BV141-1,"")</f>
        <v/>
      </c>
      <c r="FH140" s="58">
        <f>IFERROR($BW140/$BW141-1,"")</f>
        <v/>
      </c>
      <c r="FI140" s="58">
        <f>IFERROR($BX140/$BX141-1,"")</f>
        <v/>
      </c>
      <c r="FJ140" s="59">
        <f>$BY140-$BY141</f>
        <v/>
      </c>
      <c r="FK140" s="59">
        <f>$BZ140-$BZ141</f>
        <v/>
      </c>
      <c r="FL140" s="59">
        <f>$CA140-$CA141</f>
        <v/>
      </c>
      <c r="FM140" s="59">
        <f>$CB140-$CB141</f>
        <v/>
      </c>
      <c r="FN140" s="59">
        <f>$CC140-$CC141</f>
        <v/>
      </c>
      <c r="FO140" s="59">
        <f>$CD140-$CD141</f>
        <v/>
      </c>
      <c r="FP140" s="59">
        <f>$CE140-$CE141</f>
        <v/>
      </c>
      <c r="FQ140" s="59">
        <f>$CF140-$CF141</f>
        <v/>
      </c>
      <c r="FR140" s="59">
        <f>$CG140-$CG141</f>
        <v/>
      </c>
      <c r="FS140" s="59">
        <f>$CH140-$CH141</f>
        <v/>
      </c>
      <c r="FT140" s="59">
        <f>$CI140-$CI141</f>
        <v/>
      </c>
      <c r="FU140" s="59">
        <f>$CJ140-$CJ141</f>
        <v/>
      </c>
      <c r="FV140" s="59">
        <f>$CK140-$CK141</f>
        <v/>
      </c>
      <c r="FW140" s="59">
        <f>$CL140-$CL141</f>
        <v/>
      </c>
      <c r="FX140" s="59">
        <f>$CM140-$CM141</f>
        <v/>
      </c>
      <c r="FY140" s="59">
        <f>$CN140-$CN141</f>
        <v/>
      </c>
      <c r="FZ140" s="59">
        <f>$CO140-$CO141</f>
        <v/>
      </c>
      <c r="GA140" s="59">
        <f>$CP140-$CP141</f>
        <v/>
      </c>
      <c r="GB140" s="59">
        <f>$CQ140-$CQ141</f>
        <v/>
      </c>
      <c r="GC140" s="59">
        <f>$CR140-$CR141</f>
        <v/>
      </c>
      <c r="GD140" s="59">
        <f>$CS140-$CS141</f>
        <v/>
      </c>
      <c r="GE140" s="59">
        <f>$CT140-$CT141</f>
        <v/>
      </c>
    </row>
    <row r="141">
      <c r="CU141" s="58">
        <f>IFERROR($B141/$B142-1,"")</f>
        <v/>
      </c>
      <c r="CV141" s="59">
        <f>($F141-$F142)*100</f>
        <v/>
      </c>
      <c r="CW141" s="59">
        <f>($E141-$E142)*100</f>
        <v/>
      </c>
      <c r="CX141" s="58">
        <f>IFERROR($K141/$K142-1,"")</f>
        <v/>
      </c>
      <c r="CY141" s="59">
        <f>($AH141-$AH142)*100</f>
        <v/>
      </c>
      <c r="CZ141" s="59">
        <f>($AI141-$AI142)*100</f>
        <v/>
      </c>
      <c r="DA141" s="59">
        <f>($AJ141-$AJ142)*100</f>
        <v/>
      </c>
      <c r="DB141" s="59">
        <f>($AK141-$AK142)*100</f>
        <v/>
      </c>
      <c r="DC141" s="59">
        <f>($AL141-$AL142)*100</f>
        <v/>
      </c>
      <c r="DD141" s="59">
        <f>($AM141-$AM142)*100</f>
        <v/>
      </c>
      <c r="DE141" s="59">
        <f>($AN141-$AN142)*100</f>
        <v/>
      </c>
      <c r="DF141" s="59">
        <f>($AO141-$AO142)*100</f>
        <v/>
      </c>
      <c r="DG141" s="59">
        <f>($AP141-$AP142)*100</f>
        <v/>
      </c>
      <c r="DH141" s="59">
        <f>($AQ141-$AQ142)*100</f>
        <v/>
      </c>
      <c r="DI141" s="59">
        <f>($AR141-$AR142)*100</f>
        <v/>
      </c>
      <c r="DJ141" s="59">
        <f>($AS141-$AS142)*100</f>
        <v/>
      </c>
      <c r="DK141" s="59">
        <f>($AT141-$AT142)*100</f>
        <v/>
      </c>
      <c r="DL141" s="59">
        <f>($AU141-$AU142)*100</f>
        <v/>
      </c>
      <c r="DM141" s="59">
        <f>($AV141-$AV142)*100</f>
        <v/>
      </c>
      <c r="DN141" s="59">
        <f>($AW141-$AW142)*100</f>
        <v/>
      </c>
      <c r="DO141" s="59">
        <f>($AX141-$AX142)*100</f>
        <v/>
      </c>
      <c r="DP141" s="59">
        <f>($AY141-$AY142)*100</f>
        <v/>
      </c>
      <c r="DQ141" s="59">
        <f>($AZ141-$AZ142)*100</f>
        <v/>
      </c>
      <c r="DR141" s="59">
        <f>($BA141-$BA142)*100</f>
        <v/>
      </c>
      <c r="DS141" s="58">
        <f>IFERROR($N142/$N141-1,"")</f>
        <v/>
      </c>
      <c r="DT141" s="58">
        <f>IFERROR($O142/$O141-1,"")</f>
        <v/>
      </c>
      <c r="DU141" s="58">
        <f>IFERROR($P142/$P141-1,"")</f>
        <v/>
      </c>
      <c r="DV141" s="58">
        <f>IFERROR($Q142/$Q141-1,"")</f>
        <v/>
      </c>
      <c r="DW141" s="58">
        <f>IFERROR($R142/$R141-1,"")</f>
        <v/>
      </c>
      <c r="DX141" s="58">
        <f>IFERROR($S142/$S141-1,"")</f>
        <v/>
      </c>
      <c r="DY141" s="58">
        <f>IFERROR($T142/$T141-1,"")</f>
        <v/>
      </c>
      <c r="DZ141" s="58">
        <f>IFERROR($U142/$U141-1,"")</f>
        <v/>
      </c>
      <c r="EA141" s="58">
        <f>IFERROR($V142/$V141-1,"")</f>
        <v/>
      </c>
      <c r="EB141" s="58">
        <f>IFERROR($W142/$W141-1,"")</f>
        <v/>
      </c>
      <c r="EC141" s="58">
        <f>IFERROR($X142/$X141-1,"")</f>
        <v/>
      </c>
      <c r="ED141" s="58">
        <f>IFERROR($Y142/$Y141-1,"")</f>
        <v/>
      </c>
      <c r="EE141" s="58">
        <f>IFERROR($Z142/$Z141-1,"")</f>
        <v/>
      </c>
      <c r="EF141" s="58">
        <f>IFERROR($AA142/$AA141-1,"")</f>
        <v/>
      </c>
      <c r="EG141" s="58">
        <f>IFERROR($AB142/$AB141-1,"")</f>
        <v/>
      </c>
      <c r="EH141" s="58">
        <f>IFERROR($AC142/$AC141-1,"")</f>
        <v/>
      </c>
      <c r="EI141" s="58">
        <f>IFERROR($AD142/$AD141-1,"")</f>
        <v/>
      </c>
      <c r="EJ141" s="58">
        <f>IFERROR($AE142/$AE141-1,"")</f>
        <v/>
      </c>
      <c r="EK141" s="58">
        <f>IFERROR($AF142/$AF141-1,"")</f>
        <v/>
      </c>
      <c r="EL141" s="58">
        <f>IFERROR($AG142/$AG141-1,"")</f>
        <v/>
      </c>
      <c r="EM141" s="58">
        <f>IFERROR($BB141/$BB142-1,"")</f>
        <v/>
      </c>
      <c r="EN141" s="58">
        <f>IFERROR($BC141/$BC142-1,"")</f>
        <v/>
      </c>
      <c r="EO141" s="58">
        <f>IFERROR($BD141/$BD142-1,"")</f>
        <v/>
      </c>
      <c r="EP141" s="58">
        <f>IFERROR($BE141/$BE142-1,"")</f>
        <v/>
      </c>
      <c r="EQ141" s="58">
        <f>IFERROR($BF141/$BF142-1,"")</f>
        <v/>
      </c>
      <c r="ER141" s="58">
        <f>IFERROR($BG141/$BG142-1,"")</f>
        <v/>
      </c>
      <c r="ES141" s="58">
        <f>IFERROR($BH141/$BH142-1,"")</f>
        <v/>
      </c>
      <c r="ET141" s="58">
        <f>IFERROR($BI141/$BI142-1,"")</f>
        <v/>
      </c>
      <c r="EU141" s="58">
        <f>IFERROR($BJ141/$BJ142-1,"")</f>
        <v/>
      </c>
      <c r="EV141" s="58">
        <f>IFERROR($BK141/$BK142-1,"")</f>
        <v/>
      </c>
      <c r="EW141" s="58">
        <f>IFERROR($BL141/$BL142-1,"")</f>
        <v/>
      </c>
      <c r="EX141" s="58">
        <f>IFERROR($BM141/$BM142-1,"")</f>
        <v/>
      </c>
      <c r="EY141" s="58">
        <f>IFERROR($BN141/$BN142-1,"")</f>
        <v/>
      </c>
      <c r="EZ141" s="58">
        <f>IFERROR($BO141/$BO142-1,"")</f>
        <v/>
      </c>
      <c r="FA141" s="58">
        <f>IFERROR($BP141/$BP142-1,"")</f>
        <v/>
      </c>
      <c r="FB141" s="58">
        <f>IFERROR($BQ141/$BQ142-1,"")</f>
        <v/>
      </c>
      <c r="FC141" s="58">
        <f>IFERROR($BR141/$BR142-1,"")</f>
        <v/>
      </c>
      <c r="FD141" s="58">
        <f>IFERROR($BS141/$BS142-1,"")</f>
        <v/>
      </c>
      <c r="FE141" s="58">
        <f>IFERROR($BT141/$BT142-1,"")</f>
        <v/>
      </c>
      <c r="FF141" s="58">
        <f>IFERROR($BU141/$BU142-1,"")</f>
        <v/>
      </c>
      <c r="FG141" s="58">
        <f>IFERROR($BV141/$BV142-1,"")</f>
        <v/>
      </c>
      <c r="FH141" s="58">
        <f>IFERROR($BW141/$BW142-1,"")</f>
        <v/>
      </c>
      <c r="FI141" s="58">
        <f>IFERROR($BX141/$BX142-1,"")</f>
        <v/>
      </c>
      <c r="FJ141" s="59">
        <f>$BY141-$BY142</f>
        <v/>
      </c>
      <c r="FK141" s="59">
        <f>$BZ141-$BZ142</f>
        <v/>
      </c>
      <c r="FL141" s="59">
        <f>$CA141-$CA142</f>
        <v/>
      </c>
      <c r="FM141" s="59">
        <f>$CB141-$CB142</f>
        <v/>
      </c>
      <c r="FN141" s="59">
        <f>$CC141-$CC142</f>
        <v/>
      </c>
      <c r="FO141" s="59">
        <f>$CD141-$CD142</f>
        <v/>
      </c>
      <c r="FP141" s="59">
        <f>$CE141-$CE142</f>
        <v/>
      </c>
      <c r="FQ141" s="59">
        <f>$CF141-$CF142</f>
        <v/>
      </c>
      <c r="FR141" s="59">
        <f>$CG141-$CG142</f>
        <v/>
      </c>
      <c r="FS141" s="59">
        <f>$CH141-$CH142</f>
        <v/>
      </c>
      <c r="FT141" s="59">
        <f>$CI141-$CI142</f>
        <v/>
      </c>
      <c r="FU141" s="59">
        <f>$CJ141-$CJ142</f>
        <v/>
      </c>
      <c r="FV141" s="59">
        <f>$CK141-$CK142</f>
        <v/>
      </c>
      <c r="FW141" s="59">
        <f>$CL141-$CL142</f>
        <v/>
      </c>
      <c r="FX141" s="59">
        <f>$CM141-$CM142</f>
        <v/>
      </c>
      <c r="FY141" s="59">
        <f>$CN141-$CN142</f>
        <v/>
      </c>
      <c r="FZ141" s="59">
        <f>$CO141-$CO142</f>
        <v/>
      </c>
      <c r="GA141" s="59">
        <f>$CP141-$CP142</f>
        <v/>
      </c>
      <c r="GB141" s="59">
        <f>$CQ141-$CQ142</f>
        <v/>
      </c>
      <c r="GC141" s="59">
        <f>$CR141-$CR142</f>
        <v/>
      </c>
      <c r="GD141" s="59">
        <f>$CS141-$CS142</f>
        <v/>
      </c>
      <c r="GE141" s="59">
        <f>$CT141-$CT142</f>
        <v/>
      </c>
    </row>
    <row r="142">
      <c r="CU142" s="58">
        <f>IFERROR($B142/$B143-1,"")</f>
        <v/>
      </c>
      <c r="CV142" s="59">
        <f>($F142-$F143)*100</f>
        <v/>
      </c>
      <c r="CW142" s="59">
        <f>($E142-$E143)*100</f>
        <v/>
      </c>
      <c r="CX142" s="58">
        <f>IFERROR($K142/$K143-1,"")</f>
        <v/>
      </c>
      <c r="CY142" s="59">
        <f>($AH142-$AH143)*100</f>
        <v/>
      </c>
      <c r="CZ142" s="59">
        <f>($AI142-$AI143)*100</f>
        <v/>
      </c>
      <c r="DA142" s="59">
        <f>($AJ142-$AJ143)*100</f>
        <v/>
      </c>
      <c r="DB142" s="59">
        <f>($AK142-$AK143)*100</f>
        <v/>
      </c>
      <c r="DC142" s="59">
        <f>($AL142-$AL143)*100</f>
        <v/>
      </c>
      <c r="DD142" s="59">
        <f>($AM142-$AM143)*100</f>
        <v/>
      </c>
      <c r="DE142" s="59">
        <f>($AN142-$AN143)*100</f>
        <v/>
      </c>
      <c r="DF142" s="59">
        <f>($AO142-$AO143)*100</f>
        <v/>
      </c>
      <c r="DG142" s="59">
        <f>($AP142-$AP143)*100</f>
        <v/>
      </c>
      <c r="DH142" s="59">
        <f>($AQ142-$AQ143)*100</f>
        <v/>
      </c>
      <c r="DI142" s="59">
        <f>($AR142-$AR143)*100</f>
        <v/>
      </c>
      <c r="DJ142" s="59">
        <f>($AS142-$AS143)*100</f>
        <v/>
      </c>
      <c r="DK142" s="59">
        <f>($AT142-$AT143)*100</f>
        <v/>
      </c>
      <c r="DL142" s="59">
        <f>($AU142-$AU143)*100</f>
        <v/>
      </c>
      <c r="DM142" s="59">
        <f>($AV142-$AV143)*100</f>
        <v/>
      </c>
      <c r="DN142" s="59">
        <f>($AW142-$AW143)*100</f>
        <v/>
      </c>
      <c r="DO142" s="59">
        <f>($AX142-$AX143)*100</f>
        <v/>
      </c>
      <c r="DP142" s="59">
        <f>($AY142-$AY143)*100</f>
        <v/>
      </c>
      <c r="DQ142" s="59">
        <f>($AZ142-$AZ143)*100</f>
        <v/>
      </c>
      <c r="DR142" s="59">
        <f>($BA142-$BA143)*100</f>
        <v/>
      </c>
      <c r="DS142" s="58">
        <f>IFERROR($N143/$N142-1,"")</f>
        <v/>
      </c>
      <c r="DT142" s="58">
        <f>IFERROR($O143/$O142-1,"")</f>
        <v/>
      </c>
      <c r="DU142" s="58">
        <f>IFERROR($P143/$P142-1,"")</f>
        <v/>
      </c>
      <c r="DV142" s="58">
        <f>IFERROR($Q143/$Q142-1,"")</f>
        <v/>
      </c>
      <c r="DW142" s="58">
        <f>IFERROR($R143/$R142-1,"")</f>
        <v/>
      </c>
      <c r="DX142" s="58">
        <f>IFERROR($S143/$S142-1,"")</f>
        <v/>
      </c>
      <c r="DY142" s="58">
        <f>IFERROR($T143/$T142-1,"")</f>
        <v/>
      </c>
      <c r="DZ142" s="58">
        <f>IFERROR($U143/$U142-1,"")</f>
        <v/>
      </c>
      <c r="EA142" s="58">
        <f>IFERROR($V143/$V142-1,"")</f>
        <v/>
      </c>
      <c r="EB142" s="58">
        <f>IFERROR($W143/$W142-1,"")</f>
        <v/>
      </c>
      <c r="EC142" s="58">
        <f>IFERROR($X143/$X142-1,"")</f>
        <v/>
      </c>
      <c r="ED142" s="58">
        <f>IFERROR($Y143/$Y142-1,"")</f>
        <v/>
      </c>
      <c r="EE142" s="58">
        <f>IFERROR($Z143/$Z142-1,"")</f>
        <v/>
      </c>
      <c r="EF142" s="58">
        <f>IFERROR($AA143/$AA142-1,"")</f>
        <v/>
      </c>
      <c r="EG142" s="58">
        <f>IFERROR($AB143/$AB142-1,"")</f>
        <v/>
      </c>
      <c r="EH142" s="58">
        <f>IFERROR($AC143/$AC142-1,"")</f>
        <v/>
      </c>
      <c r="EI142" s="58">
        <f>IFERROR($AD143/$AD142-1,"")</f>
        <v/>
      </c>
      <c r="EJ142" s="58">
        <f>IFERROR($AE143/$AE142-1,"")</f>
        <v/>
      </c>
      <c r="EK142" s="58">
        <f>IFERROR($AF143/$AF142-1,"")</f>
        <v/>
      </c>
      <c r="EL142" s="58">
        <f>IFERROR($AG143/$AG142-1,"")</f>
        <v/>
      </c>
      <c r="EM142" s="58">
        <f>IFERROR($BB142/$BB143-1,"")</f>
        <v/>
      </c>
      <c r="EN142" s="58">
        <f>IFERROR($BC142/$BC143-1,"")</f>
        <v/>
      </c>
      <c r="EO142" s="58">
        <f>IFERROR($BD142/$BD143-1,"")</f>
        <v/>
      </c>
      <c r="EP142" s="58">
        <f>IFERROR($BE142/$BE143-1,"")</f>
        <v/>
      </c>
      <c r="EQ142" s="58">
        <f>IFERROR($BF142/$BF143-1,"")</f>
        <v/>
      </c>
      <c r="ER142" s="58">
        <f>IFERROR($BG142/$BG143-1,"")</f>
        <v/>
      </c>
      <c r="ES142" s="58">
        <f>IFERROR($BH142/$BH143-1,"")</f>
        <v/>
      </c>
      <c r="ET142" s="58">
        <f>IFERROR($BI142/$BI143-1,"")</f>
        <v/>
      </c>
      <c r="EU142" s="58">
        <f>IFERROR($BJ142/$BJ143-1,"")</f>
        <v/>
      </c>
      <c r="EV142" s="58">
        <f>IFERROR($BK142/$BK143-1,"")</f>
        <v/>
      </c>
      <c r="EW142" s="58">
        <f>IFERROR($BL142/$BL143-1,"")</f>
        <v/>
      </c>
      <c r="EX142" s="58">
        <f>IFERROR($BM142/$BM143-1,"")</f>
        <v/>
      </c>
      <c r="EY142" s="58">
        <f>IFERROR($BN142/$BN143-1,"")</f>
        <v/>
      </c>
      <c r="EZ142" s="58">
        <f>IFERROR($BO142/$BO143-1,"")</f>
        <v/>
      </c>
      <c r="FA142" s="58">
        <f>IFERROR($BP142/$BP143-1,"")</f>
        <v/>
      </c>
      <c r="FB142" s="58">
        <f>IFERROR($BQ142/$BQ143-1,"")</f>
        <v/>
      </c>
      <c r="FC142" s="58">
        <f>IFERROR($BR142/$BR143-1,"")</f>
        <v/>
      </c>
      <c r="FD142" s="58">
        <f>IFERROR($BS142/$BS143-1,"")</f>
        <v/>
      </c>
      <c r="FE142" s="58">
        <f>IFERROR($BT142/$BT143-1,"")</f>
        <v/>
      </c>
      <c r="FF142" s="58">
        <f>IFERROR($BU142/$BU143-1,"")</f>
        <v/>
      </c>
      <c r="FG142" s="58">
        <f>IFERROR($BV142/$BV143-1,"")</f>
        <v/>
      </c>
      <c r="FH142" s="58">
        <f>IFERROR($BW142/$BW143-1,"")</f>
        <v/>
      </c>
      <c r="FI142" s="58">
        <f>IFERROR($BX142/$BX143-1,"")</f>
        <v/>
      </c>
      <c r="FJ142" s="59">
        <f>$BY142-$BY143</f>
        <v/>
      </c>
      <c r="FK142" s="59">
        <f>$BZ142-$BZ143</f>
        <v/>
      </c>
      <c r="FL142" s="59">
        <f>$CA142-$CA143</f>
        <v/>
      </c>
      <c r="FM142" s="59">
        <f>$CB142-$CB143</f>
        <v/>
      </c>
      <c r="FN142" s="59">
        <f>$CC142-$CC143</f>
        <v/>
      </c>
      <c r="FO142" s="59">
        <f>$CD142-$CD143</f>
        <v/>
      </c>
      <c r="FP142" s="59">
        <f>$CE142-$CE143</f>
        <v/>
      </c>
      <c r="FQ142" s="59">
        <f>$CF142-$CF143</f>
        <v/>
      </c>
      <c r="FR142" s="59">
        <f>$CG142-$CG143</f>
        <v/>
      </c>
      <c r="FS142" s="59">
        <f>$CH142-$CH143</f>
        <v/>
      </c>
      <c r="FT142" s="59">
        <f>$CI142-$CI143</f>
        <v/>
      </c>
      <c r="FU142" s="59">
        <f>$CJ142-$CJ143</f>
        <v/>
      </c>
      <c r="FV142" s="59">
        <f>$CK142-$CK143</f>
        <v/>
      </c>
      <c r="FW142" s="59">
        <f>$CL142-$CL143</f>
        <v/>
      </c>
      <c r="FX142" s="59">
        <f>$CM142-$CM143</f>
        <v/>
      </c>
      <c r="FY142" s="59">
        <f>$CN142-$CN143</f>
        <v/>
      </c>
      <c r="FZ142" s="59">
        <f>$CO142-$CO143</f>
        <v/>
      </c>
      <c r="GA142" s="59">
        <f>$CP142-$CP143</f>
        <v/>
      </c>
      <c r="GB142" s="59">
        <f>$CQ142-$CQ143</f>
        <v/>
      </c>
      <c r="GC142" s="59">
        <f>$CR142-$CR143</f>
        <v/>
      </c>
      <c r="GD142" s="59">
        <f>$CS142-$CS143</f>
        <v/>
      </c>
      <c r="GE142" s="59">
        <f>$CT142-$CT143</f>
        <v/>
      </c>
    </row>
    <row r="143">
      <c r="CU143" s="58">
        <f>IFERROR($B143/$B144-1,"")</f>
        <v/>
      </c>
      <c r="CV143" s="59">
        <f>($F143-$F144)*100</f>
        <v/>
      </c>
      <c r="CW143" s="59">
        <f>($E143-$E144)*100</f>
        <v/>
      </c>
      <c r="CX143" s="58">
        <f>IFERROR($K143/$K144-1,"")</f>
        <v/>
      </c>
      <c r="CY143" s="59">
        <f>($AH143-$AH144)*100</f>
        <v/>
      </c>
      <c r="CZ143" s="59">
        <f>($AI143-$AI144)*100</f>
        <v/>
      </c>
      <c r="DA143" s="59">
        <f>($AJ143-$AJ144)*100</f>
        <v/>
      </c>
      <c r="DB143" s="59">
        <f>($AK143-$AK144)*100</f>
        <v/>
      </c>
      <c r="DC143" s="59">
        <f>($AL143-$AL144)*100</f>
        <v/>
      </c>
      <c r="DD143" s="59">
        <f>($AM143-$AM144)*100</f>
        <v/>
      </c>
      <c r="DE143" s="59">
        <f>($AN143-$AN144)*100</f>
        <v/>
      </c>
      <c r="DF143" s="59">
        <f>($AO143-$AO144)*100</f>
        <v/>
      </c>
      <c r="DG143" s="59">
        <f>($AP143-$AP144)*100</f>
        <v/>
      </c>
      <c r="DH143" s="59">
        <f>($AQ143-$AQ144)*100</f>
        <v/>
      </c>
      <c r="DI143" s="59">
        <f>($AR143-$AR144)*100</f>
        <v/>
      </c>
      <c r="DJ143" s="59">
        <f>($AS143-$AS144)*100</f>
        <v/>
      </c>
      <c r="DK143" s="59">
        <f>($AT143-$AT144)*100</f>
        <v/>
      </c>
      <c r="DL143" s="59">
        <f>($AU143-$AU144)*100</f>
        <v/>
      </c>
      <c r="DM143" s="59">
        <f>($AV143-$AV144)*100</f>
        <v/>
      </c>
      <c r="DN143" s="59">
        <f>($AW143-$AW144)*100</f>
        <v/>
      </c>
      <c r="DO143" s="59">
        <f>($AX143-$AX144)*100</f>
        <v/>
      </c>
      <c r="DP143" s="59">
        <f>($AY143-$AY144)*100</f>
        <v/>
      </c>
      <c r="DQ143" s="59">
        <f>($AZ143-$AZ144)*100</f>
        <v/>
      </c>
      <c r="DR143" s="59">
        <f>($BA143-$BA144)*100</f>
        <v/>
      </c>
      <c r="DS143" s="58">
        <f>IFERROR($N144/$N143-1,"")</f>
        <v/>
      </c>
      <c r="DT143" s="58">
        <f>IFERROR($O144/$O143-1,"")</f>
        <v/>
      </c>
      <c r="DU143" s="58">
        <f>IFERROR($P144/$P143-1,"")</f>
        <v/>
      </c>
      <c r="DV143" s="58">
        <f>IFERROR($Q144/$Q143-1,"")</f>
        <v/>
      </c>
      <c r="DW143" s="58">
        <f>IFERROR($R144/$R143-1,"")</f>
        <v/>
      </c>
      <c r="DX143" s="58">
        <f>IFERROR($S144/$S143-1,"")</f>
        <v/>
      </c>
      <c r="DY143" s="58">
        <f>IFERROR($T144/$T143-1,"")</f>
        <v/>
      </c>
      <c r="DZ143" s="58">
        <f>IFERROR($U144/$U143-1,"")</f>
        <v/>
      </c>
      <c r="EA143" s="58">
        <f>IFERROR($V144/$V143-1,"")</f>
        <v/>
      </c>
      <c r="EB143" s="58">
        <f>IFERROR($W144/$W143-1,"")</f>
        <v/>
      </c>
      <c r="EC143" s="58">
        <f>IFERROR($X144/$X143-1,"")</f>
        <v/>
      </c>
      <c r="ED143" s="58">
        <f>IFERROR($Y144/$Y143-1,"")</f>
        <v/>
      </c>
      <c r="EE143" s="58">
        <f>IFERROR($Z144/$Z143-1,"")</f>
        <v/>
      </c>
      <c r="EF143" s="58">
        <f>IFERROR($AA144/$AA143-1,"")</f>
        <v/>
      </c>
      <c r="EG143" s="58">
        <f>IFERROR($AB144/$AB143-1,"")</f>
        <v/>
      </c>
      <c r="EH143" s="58">
        <f>IFERROR($AC144/$AC143-1,"")</f>
        <v/>
      </c>
      <c r="EI143" s="58">
        <f>IFERROR($AD144/$AD143-1,"")</f>
        <v/>
      </c>
      <c r="EJ143" s="58">
        <f>IFERROR($AE144/$AE143-1,"")</f>
        <v/>
      </c>
      <c r="EK143" s="58">
        <f>IFERROR($AF144/$AF143-1,"")</f>
        <v/>
      </c>
      <c r="EL143" s="58">
        <f>IFERROR($AG144/$AG143-1,"")</f>
        <v/>
      </c>
      <c r="EM143" s="58">
        <f>IFERROR($BB143/$BB144-1,"")</f>
        <v/>
      </c>
      <c r="EN143" s="58">
        <f>IFERROR($BC143/$BC144-1,"")</f>
        <v/>
      </c>
      <c r="EO143" s="58">
        <f>IFERROR($BD143/$BD144-1,"")</f>
        <v/>
      </c>
      <c r="EP143" s="58">
        <f>IFERROR($BE143/$BE144-1,"")</f>
        <v/>
      </c>
      <c r="EQ143" s="58">
        <f>IFERROR($BF143/$BF144-1,"")</f>
        <v/>
      </c>
      <c r="ER143" s="58">
        <f>IFERROR($BG143/$BG144-1,"")</f>
        <v/>
      </c>
      <c r="ES143" s="58">
        <f>IFERROR($BH143/$BH144-1,"")</f>
        <v/>
      </c>
      <c r="ET143" s="58">
        <f>IFERROR($BI143/$BI144-1,"")</f>
        <v/>
      </c>
      <c r="EU143" s="58">
        <f>IFERROR($BJ143/$BJ144-1,"")</f>
        <v/>
      </c>
      <c r="EV143" s="58">
        <f>IFERROR($BK143/$BK144-1,"")</f>
        <v/>
      </c>
      <c r="EW143" s="58">
        <f>IFERROR($BL143/$BL144-1,"")</f>
        <v/>
      </c>
      <c r="EX143" s="58">
        <f>IFERROR($BM143/$BM144-1,"")</f>
        <v/>
      </c>
      <c r="EY143" s="58">
        <f>IFERROR($BN143/$BN144-1,"")</f>
        <v/>
      </c>
      <c r="EZ143" s="58">
        <f>IFERROR($BO143/$BO144-1,"")</f>
        <v/>
      </c>
      <c r="FA143" s="58">
        <f>IFERROR($BP143/$BP144-1,"")</f>
        <v/>
      </c>
      <c r="FB143" s="58">
        <f>IFERROR($BQ143/$BQ144-1,"")</f>
        <v/>
      </c>
      <c r="FC143" s="58">
        <f>IFERROR($BR143/$BR144-1,"")</f>
        <v/>
      </c>
      <c r="FD143" s="58">
        <f>IFERROR($BS143/$BS144-1,"")</f>
        <v/>
      </c>
      <c r="FE143" s="58">
        <f>IFERROR($BT143/$BT144-1,"")</f>
        <v/>
      </c>
      <c r="FF143" s="58">
        <f>IFERROR($BU143/$BU144-1,"")</f>
        <v/>
      </c>
      <c r="FG143" s="58">
        <f>IFERROR($BV143/$BV144-1,"")</f>
        <v/>
      </c>
      <c r="FH143" s="58">
        <f>IFERROR($BW143/$BW144-1,"")</f>
        <v/>
      </c>
      <c r="FI143" s="58">
        <f>IFERROR($BX143/$BX144-1,"")</f>
        <v/>
      </c>
      <c r="FJ143" s="59">
        <f>$BY143-$BY144</f>
        <v/>
      </c>
      <c r="FK143" s="59">
        <f>$BZ143-$BZ144</f>
        <v/>
      </c>
      <c r="FL143" s="59">
        <f>$CA143-$CA144</f>
        <v/>
      </c>
      <c r="FM143" s="59">
        <f>$CB143-$CB144</f>
        <v/>
      </c>
      <c r="FN143" s="59">
        <f>$CC143-$CC144</f>
        <v/>
      </c>
      <c r="FO143" s="59">
        <f>$CD143-$CD144</f>
        <v/>
      </c>
      <c r="FP143" s="59">
        <f>$CE143-$CE144</f>
        <v/>
      </c>
      <c r="FQ143" s="59">
        <f>$CF143-$CF144</f>
        <v/>
      </c>
      <c r="FR143" s="59">
        <f>$CG143-$CG144</f>
        <v/>
      </c>
      <c r="FS143" s="59">
        <f>$CH143-$CH144</f>
        <v/>
      </c>
      <c r="FT143" s="59">
        <f>$CI143-$CI144</f>
        <v/>
      </c>
      <c r="FU143" s="59">
        <f>$CJ143-$CJ144</f>
        <v/>
      </c>
      <c r="FV143" s="59">
        <f>$CK143-$CK144</f>
        <v/>
      </c>
      <c r="FW143" s="59">
        <f>$CL143-$CL144</f>
        <v/>
      </c>
      <c r="FX143" s="59">
        <f>$CM143-$CM144</f>
        <v/>
      </c>
      <c r="FY143" s="59">
        <f>$CN143-$CN144</f>
        <v/>
      </c>
      <c r="FZ143" s="59">
        <f>$CO143-$CO144</f>
        <v/>
      </c>
      <c r="GA143" s="59">
        <f>$CP143-$CP144</f>
        <v/>
      </c>
      <c r="GB143" s="59">
        <f>$CQ143-$CQ144</f>
        <v/>
      </c>
      <c r="GC143" s="59">
        <f>$CR143-$CR144</f>
        <v/>
      </c>
      <c r="GD143" s="59">
        <f>$CS143-$CS144</f>
        <v/>
      </c>
      <c r="GE143" s="59">
        <f>$CT143-$CT144</f>
        <v/>
      </c>
    </row>
    <row r="144">
      <c r="CU144" s="58">
        <f>IFERROR($B144/$B145-1,"")</f>
        <v/>
      </c>
      <c r="CV144" s="59">
        <f>($F144-$F145)*100</f>
        <v/>
      </c>
      <c r="CW144" s="59">
        <f>($E144-$E145)*100</f>
        <v/>
      </c>
      <c r="CX144" s="58">
        <f>IFERROR($K144/$K145-1,"")</f>
        <v/>
      </c>
      <c r="CY144" s="59">
        <f>($AH144-$AH145)*100</f>
        <v/>
      </c>
      <c r="CZ144" s="59">
        <f>($AI144-$AI145)*100</f>
        <v/>
      </c>
      <c r="DA144" s="59">
        <f>($AJ144-$AJ145)*100</f>
        <v/>
      </c>
      <c r="DB144" s="59">
        <f>($AK144-$AK145)*100</f>
        <v/>
      </c>
      <c r="DC144" s="59">
        <f>($AL144-$AL145)*100</f>
        <v/>
      </c>
      <c r="DD144" s="59">
        <f>($AM144-$AM145)*100</f>
        <v/>
      </c>
      <c r="DE144" s="59">
        <f>($AN144-$AN145)*100</f>
        <v/>
      </c>
      <c r="DF144" s="59">
        <f>($AO144-$AO145)*100</f>
        <v/>
      </c>
      <c r="DG144" s="59">
        <f>($AP144-$AP145)*100</f>
        <v/>
      </c>
      <c r="DH144" s="59">
        <f>($AQ144-$AQ145)*100</f>
        <v/>
      </c>
      <c r="DI144" s="59">
        <f>($AR144-$AR145)*100</f>
        <v/>
      </c>
      <c r="DJ144" s="59">
        <f>($AS144-$AS145)*100</f>
        <v/>
      </c>
      <c r="DK144" s="59">
        <f>($AT144-$AT145)*100</f>
        <v/>
      </c>
      <c r="DL144" s="59">
        <f>($AU144-$AU145)*100</f>
        <v/>
      </c>
      <c r="DM144" s="59">
        <f>($AV144-$AV145)*100</f>
        <v/>
      </c>
      <c r="DN144" s="59">
        <f>($AW144-$AW145)*100</f>
        <v/>
      </c>
      <c r="DO144" s="59">
        <f>($AX144-$AX145)*100</f>
        <v/>
      </c>
      <c r="DP144" s="59">
        <f>($AY144-$AY145)*100</f>
        <v/>
      </c>
      <c r="DQ144" s="59">
        <f>($AZ144-$AZ145)*100</f>
        <v/>
      </c>
      <c r="DR144" s="59">
        <f>($BA144-$BA145)*100</f>
        <v/>
      </c>
      <c r="DS144" s="58">
        <f>IFERROR($N145/$N144-1,"")</f>
        <v/>
      </c>
      <c r="DT144" s="58">
        <f>IFERROR($O145/$O144-1,"")</f>
        <v/>
      </c>
      <c r="DU144" s="58">
        <f>IFERROR($P145/$P144-1,"")</f>
        <v/>
      </c>
      <c r="DV144" s="58">
        <f>IFERROR($Q145/$Q144-1,"")</f>
        <v/>
      </c>
      <c r="DW144" s="58">
        <f>IFERROR($R145/$R144-1,"")</f>
        <v/>
      </c>
      <c r="DX144" s="58">
        <f>IFERROR($S145/$S144-1,"")</f>
        <v/>
      </c>
      <c r="DY144" s="58">
        <f>IFERROR($T145/$T144-1,"")</f>
        <v/>
      </c>
      <c r="DZ144" s="58">
        <f>IFERROR($U145/$U144-1,"")</f>
        <v/>
      </c>
      <c r="EA144" s="58">
        <f>IFERROR($V145/$V144-1,"")</f>
        <v/>
      </c>
      <c r="EB144" s="58">
        <f>IFERROR($W145/$W144-1,"")</f>
        <v/>
      </c>
      <c r="EC144" s="58">
        <f>IFERROR($X145/$X144-1,"")</f>
        <v/>
      </c>
      <c r="ED144" s="58">
        <f>IFERROR($Y145/$Y144-1,"")</f>
        <v/>
      </c>
      <c r="EE144" s="58">
        <f>IFERROR($Z145/$Z144-1,"")</f>
        <v/>
      </c>
      <c r="EF144" s="58">
        <f>IFERROR($AA145/$AA144-1,"")</f>
        <v/>
      </c>
      <c r="EG144" s="58">
        <f>IFERROR($AB145/$AB144-1,"")</f>
        <v/>
      </c>
      <c r="EH144" s="58">
        <f>IFERROR($AC145/$AC144-1,"")</f>
        <v/>
      </c>
      <c r="EI144" s="58">
        <f>IFERROR($AD145/$AD144-1,"")</f>
        <v/>
      </c>
      <c r="EJ144" s="58">
        <f>IFERROR($AE145/$AE144-1,"")</f>
        <v/>
      </c>
      <c r="EK144" s="58">
        <f>IFERROR($AF145/$AF144-1,"")</f>
        <v/>
      </c>
      <c r="EL144" s="58">
        <f>IFERROR($AG145/$AG144-1,"")</f>
        <v/>
      </c>
      <c r="EM144" s="58">
        <f>IFERROR($BB144/$BB145-1,"")</f>
        <v/>
      </c>
      <c r="EN144" s="58">
        <f>IFERROR($BC144/$BC145-1,"")</f>
        <v/>
      </c>
      <c r="EO144" s="58">
        <f>IFERROR($BD144/$BD145-1,"")</f>
        <v/>
      </c>
      <c r="EP144" s="58">
        <f>IFERROR($BE144/$BE145-1,"")</f>
        <v/>
      </c>
      <c r="EQ144" s="58">
        <f>IFERROR($BF144/$BF145-1,"")</f>
        <v/>
      </c>
      <c r="ER144" s="58">
        <f>IFERROR($BG144/$BG145-1,"")</f>
        <v/>
      </c>
      <c r="ES144" s="58">
        <f>IFERROR($BH144/$BH145-1,"")</f>
        <v/>
      </c>
      <c r="ET144" s="58">
        <f>IFERROR($BI144/$BI145-1,"")</f>
        <v/>
      </c>
      <c r="EU144" s="58">
        <f>IFERROR($BJ144/$BJ145-1,"")</f>
        <v/>
      </c>
      <c r="EV144" s="58">
        <f>IFERROR($BK144/$BK145-1,"")</f>
        <v/>
      </c>
      <c r="EW144" s="58">
        <f>IFERROR($BL144/$BL145-1,"")</f>
        <v/>
      </c>
      <c r="EX144" s="58">
        <f>IFERROR($BM144/$BM145-1,"")</f>
        <v/>
      </c>
      <c r="EY144" s="58">
        <f>IFERROR($BN144/$BN145-1,"")</f>
        <v/>
      </c>
      <c r="EZ144" s="58">
        <f>IFERROR($BO144/$BO145-1,"")</f>
        <v/>
      </c>
      <c r="FA144" s="58">
        <f>IFERROR($BP144/$BP145-1,"")</f>
        <v/>
      </c>
      <c r="FB144" s="58">
        <f>IFERROR($BQ144/$BQ145-1,"")</f>
        <v/>
      </c>
      <c r="FC144" s="58">
        <f>IFERROR($BR144/$BR145-1,"")</f>
        <v/>
      </c>
      <c r="FD144" s="58">
        <f>IFERROR($BS144/$BS145-1,"")</f>
        <v/>
      </c>
      <c r="FE144" s="58">
        <f>IFERROR($BT144/$BT145-1,"")</f>
        <v/>
      </c>
      <c r="FF144" s="58">
        <f>IFERROR($BU144/$BU145-1,"")</f>
        <v/>
      </c>
      <c r="FG144" s="58">
        <f>IFERROR($BV144/$BV145-1,"")</f>
        <v/>
      </c>
      <c r="FH144" s="58">
        <f>IFERROR($BW144/$BW145-1,"")</f>
        <v/>
      </c>
      <c r="FI144" s="58">
        <f>IFERROR($BX144/$BX145-1,"")</f>
        <v/>
      </c>
      <c r="FJ144" s="59">
        <f>$BY144-$BY145</f>
        <v/>
      </c>
      <c r="FK144" s="59">
        <f>$BZ144-$BZ145</f>
        <v/>
      </c>
      <c r="FL144" s="59">
        <f>$CA144-$CA145</f>
        <v/>
      </c>
      <c r="FM144" s="59">
        <f>$CB144-$CB145</f>
        <v/>
      </c>
      <c r="FN144" s="59">
        <f>$CC144-$CC145</f>
        <v/>
      </c>
      <c r="FO144" s="59">
        <f>$CD144-$CD145</f>
        <v/>
      </c>
      <c r="FP144" s="59">
        <f>$CE144-$CE145</f>
        <v/>
      </c>
      <c r="FQ144" s="59">
        <f>$CF144-$CF145</f>
        <v/>
      </c>
      <c r="FR144" s="59">
        <f>$CG144-$CG145</f>
        <v/>
      </c>
      <c r="FS144" s="59">
        <f>$CH144-$CH145</f>
        <v/>
      </c>
      <c r="FT144" s="59">
        <f>$CI144-$CI145</f>
        <v/>
      </c>
      <c r="FU144" s="59">
        <f>$CJ144-$CJ145</f>
        <v/>
      </c>
      <c r="FV144" s="59">
        <f>$CK144-$CK145</f>
        <v/>
      </c>
      <c r="FW144" s="59">
        <f>$CL144-$CL145</f>
        <v/>
      </c>
      <c r="FX144" s="59">
        <f>$CM144-$CM145</f>
        <v/>
      </c>
      <c r="FY144" s="59">
        <f>$CN144-$CN145</f>
        <v/>
      </c>
      <c r="FZ144" s="59">
        <f>$CO144-$CO145</f>
        <v/>
      </c>
      <c r="GA144" s="59">
        <f>$CP144-$CP145</f>
        <v/>
      </c>
      <c r="GB144" s="59">
        <f>$CQ144-$CQ145</f>
        <v/>
      </c>
      <c r="GC144" s="59">
        <f>$CR144-$CR145</f>
        <v/>
      </c>
      <c r="GD144" s="59">
        <f>$CS144-$CS145</f>
        <v/>
      </c>
      <c r="GE144" s="59">
        <f>$CT144-$CT145</f>
        <v/>
      </c>
    </row>
    <row r="145">
      <c r="CU145" s="58">
        <f>IFERROR($B145/$B146-1,"")</f>
        <v/>
      </c>
      <c r="CV145" s="59">
        <f>($F145-$F146)*100</f>
        <v/>
      </c>
      <c r="CW145" s="59">
        <f>($E145-$E146)*100</f>
        <v/>
      </c>
      <c r="CX145" s="58">
        <f>IFERROR($K145/$K146-1,"")</f>
        <v/>
      </c>
      <c r="CY145" s="59">
        <f>($AH145-$AH146)*100</f>
        <v/>
      </c>
      <c r="CZ145" s="59">
        <f>($AI145-$AI146)*100</f>
        <v/>
      </c>
      <c r="DA145" s="59">
        <f>($AJ145-$AJ146)*100</f>
        <v/>
      </c>
      <c r="DB145" s="59">
        <f>($AK145-$AK146)*100</f>
        <v/>
      </c>
      <c r="DC145" s="59">
        <f>($AL145-$AL146)*100</f>
        <v/>
      </c>
      <c r="DD145" s="59">
        <f>($AM145-$AM146)*100</f>
        <v/>
      </c>
      <c r="DE145" s="59">
        <f>($AN145-$AN146)*100</f>
        <v/>
      </c>
      <c r="DF145" s="59">
        <f>($AO145-$AO146)*100</f>
        <v/>
      </c>
      <c r="DG145" s="59">
        <f>($AP145-$AP146)*100</f>
        <v/>
      </c>
      <c r="DH145" s="59">
        <f>($AQ145-$AQ146)*100</f>
        <v/>
      </c>
      <c r="DI145" s="59">
        <f>($AR145-$AR146)*100</f>
        <v/>
      </c>
      <c r="DJ145" s="59">
        <f>($AS145-$AS146)*100</f>
        <v/>
      </c>
      <c r="DK145" s="59">
        <f>($AT145-$AT146)*100</f>
        <v/>
      </c>
      <c r="DL145" s="59">
        <f>($AU145-$AU146)*100</f>
        <v/>
      </c>
      <c r="DM145" s="59">
        <f>($AV145-$AV146)*100</f>
        <v/>
      </c>
      <c r="DN145" s="59">
        <f>($AW145-$AW146)*100</f>
        <v/>
      </c>
      <c r="DO145" s="59">
        <f>($AX145-$AX146)*100</f>
        <v/>
      </c>
      <c r="DP145" s="59">
        <f>($AY145-$AY146)*100</f>
        <v/>
      </c>
      <c r="DQ145" s="59">
        <f>($AZ145-$AZ146)*100</f>
        <v/>
      </c>
      <c r="DR145" s="59">
        <f>($BA145-$BA146)*100</f>
        <v/>
      </c>
      <c r="DS145" s="58">
        <f>IFERROR($N146/$N145-1,"")</f>
        <v/>
      </c>
      <c r="DT145" s="58">
        <f>IFERROR($O146/$O145-1,"")</f>
        <v/>
      </c>
      <c r="DU145" s="58">
        <f>IFERROR($P146/$P145-1,"")</f>
        <v/>
      </c>
      <c r="DV145" s="58">
        <f>IFERROR($Q146/$Q145-1,"")</f>
        <v/>
      </c>
      <c r="DW145" s="58">
        <f>IFERROR($R146/$R145-1,"")</f>
        <v/>
      </c>
      <c r="DX145" s="58">
        <f>IFERROR($S146/$S145-1,"")</f>
        <v/>
      </c>
      <c r="DY145" s="58">
        <f>IFERROR($T146/$T145-1,"")</f>
        <v/>
      </c>
      <c r="DZ145" s="58">
        <f>IFERROR($U146/$U145-1,"")</f>
        <v/>
      </c>
      <c r="EA145" s="58">
        <f>IFERROR($V146/$V145-1,"")</f>
        <v/>
      </c>
      <c r="EB145" s="58">
        <f>IFERROR($W146/$W145-1,"")</f>
        <v/>
      </c>
      <c r="EC145" s="58">
        <f>IFERROR($X146/$X145-1,"")</f>
        <v/>
      </c>
      <c r="ED145" s="58">
        <f>IFERROR($Y146/$Y145-1,"")</f>
        <v/>
      </c>
      <c r="EE145" s="58">
        <f>IFERROR($Z146/$Z145-1,"")</f>
        <v/>
      </c>
      <c r="EF145" s="58">
        <f>IFERROR($AA146/$AA145-1,"")</f>
        <v/>
      </c>
      <c r="EG145" s="58">
        <f>IFERROR($AB146/$AB145-1,"")</f>
        <v/>
      </c>
      <c r="EH145" s="58">
        <f>IFERROR($AC146/$AC145-1,"")</f>
        <v/>
      </c>
      <c r="EI145" s="58">
        <f>IFERROR($AD146/$AD145-1,"")</f>
        <v/>
      </c>
      <c r="EJ145" s="58">
        <f>IFERROR($AE146/$AE145-1,"")</f>
        <v/>
      </c>
      <c r="EK145" s="58">
        <f>IFERROR($AF146/$AF145-1,"")</f>
        <v/>
      </c>
      <c r="EL145" s="58">
        <f>IFERROR($AG146/$AG145-1,"")</f>
        <v/>
      </c>
      <c r="EM145" s="58">
        <f>IFERROR($BB145/$BB146-1,"")</f>
        <v/>
      </c>
      <c r="EN145" s="58">
        <f>IFERROR($BC145/$BC146-1,"")</f>
        <v/>
      </c>
      <c r="EO145" s="58">
        <f>IFERROR($BD145/$BD146-1,"")</f>
        <v/>
      </c>
      <c r="EP145" s="58">
        <f>IFERROR($BE145/$BE146-1,"")</f>
        <v/>
      </c>
      <c r="EQ145" s="58">
        <f>IFERROR($BF145/$BF146-1,"")</f>
        <v/>
      </c>
      <c r="ER145" s="58">
        <f>IFERROR($BG145/$BG146-1,"")</f>
        <v/>
      </c>
      <c r="ES145" s="58">
        <f>IFERROR($BH145/$BH146-1,"")</f>
        <v/>
      </c>
      <c r="ET145" s="58">
        <f>IFERROR($BI145/$BI146-1,"")</f>
        <v/>
      </c>
      <c r="EU145" s="58">
        <f>IFERROR($BJ145/$BJ146-1,"")</f>
        <v/>
      </c>
      <c r="EV145" s="58">
        <f>IFERROR($BK145/$BK146-1,"")</f>
        <v/>
      </c>
      <c r="EW145" s="58">
        <f>IFERROR($BL145/$BL146-1,"")</f>
        <v/>
      </c>
      <c r="EX145" s="58">
        <f>IFERROR($BM145/$BM146-1,"")</f>
        <v/>
      </c>
      <c r="EY145" s="58">
        <f>IFERROR($BN145/$BN146-1,"")</f>
        <v/>
      </c>
      <c r="EZ145" s="58">
        <f>IFERROR($BO145/$BO146-1,"")</f>
        <v/>
      </c>
      <c r="FA145" s="58">
        <f>IFERROR($BP145/$BP146-1,"")</f>
        <v/>
      </c>
      <c r="FB145" s="58">
        <f>IFERROR($BQ145/$BQ146-1,"")</f>
        <v/>
      </c>
      <c r="FC145" s="58">
        <f>IFERROR($BR145/$BR146-1,"")</f>
        <v/>
      </c>
      <c r="FD145" s="58">
        <f>IFERROR($BS145/$BS146-1,"")</f>
        <v/>
      </c>
      <c r="FE145" s="58">
        <f>IFERROR($BT145/$BT146-1,"")</f>
        <v/>
      </c>
      <c r="FF145" s="58">
        <f>IFERROR($BU145/$BU146-1,"")</f>
        <v/>
      </c>
      <c r="FG145" s="58">
        <f>IFERROR($BV145/$BV146-1,"")</f>
        <v/>
      </c>
      <c r="FH145" s="58">
        <f>IFERROR($BW145/$BW146-1,"")</f>
        <v/>
      </c>
      <c r="FI145" s="58">
        <f>IFERROR($BX145/$BX146-1,"")</f>
        <v/>
      </c>
      <c r="FJ145" s="59">
        <f>$BY145-$BY146</f>
        <v/>
      </c>
      <c r="FK145" s="59">
        <f>$BZ145-$BZ146</f>
        <v/>
      </c>
      <c r="FL145" s="59">
        <f>$CA145-$CA146</f>
        <v/>
      </c>
      <c r="FM145" s="59">
        <f>$CB145-$CB146</f>
        <v/>
      </c>
      <c r="FN145" s="59">
        <f>$CC145-$CC146</f>
        <v/>
      </c>
      <c r="FO145" s="59">
        <f>$CD145-$CD146</f>
        <v/>
      </c>
      <c r="FP145" s="59">
        <f>$CE145-$CE146</f>
        <v/>
      </c>
      <c r="FQ145" s="59">
        <f>$CF145-$CF146</f>
        <v/>
      </c>
      <c r="FR145" s="59">
        <f>$CG145-$CG146</f>
        <v/>
      </c>
      <c r="FS145" s="59">
        <f>$CH145-$CH146</f>
        <v/>
      </c>
      <c r="FT145" s="59">
        <f>$CI145-$CI146</f>
        <v/>
      </c>
      <c r="FU145" s="59">
        <f>$CJ145-$CJ146</f>
        <v/>
      </c>
      <c r="FV145" s="59">
        <f>$CK145-$CK146</f>
        <v/>
      </c>
      <c r="FW145" s="59">
        <f>$CL145-$CL146</f>
        <v/>
      </c>
      <c r="FX145" s="59">
        <f>$CM145-$CM146</f>
        <v/>
      </c>
      <c r="FY145" s="59">
        <f>$CN145-$CN146</f>
        <v/>
      </c>
      <c r="FZ145" s="59">
        <f>$CO145-$CO146</f>
        <v/>
      </c>
      <c r="GA145" s="59">
        <f>$CP145-$CP146</f>
        <v/>
      </c>
      <c r="GB145" s="59">
        <f>$CQ145-$CQ146</f>
        <v/>
      </c>
      <c r="GC145" s="59">
        <f>$CR145-$CR146</f>
        <v/>
      </c>
      <c r="GD145" s="59">
        <f>$CS145-$CS146</f>
        <v/>
      </c>
      <c r="GE145" s="59">
        <f>$CT145-$CT146</f>
        <v/>
      </c>
    </row>
    <row r="146">
      <c r="CU146" s="58">
        <f>IFERROR($B146/$B147-1,"")</f>
        <v/>
      </c>
      <c r="CV146" s="59">
        <f>($F146-$F147)*100</f>
        <v/>
      </c>
      <c r="CW146" s="59">
        <f>($E146-$E147)*100</f>
        <v/>
      </c>
      <c r="CX146" s="58">
        <f>IFERROR($K146/$K147-1,"")</f>
        <v/>
      </c>
      <c r="CY146" s="59">
        <f>($AH146-$AH147)*100</f>
        <v/>
      </c>
      <c r="CZ146" s="59">
        <f>($AI146-$AI147)*100</f>
        <v/>
      </c>
      <c r="DA146" s="59">
        <f>($AJ146-$AJ147)*100</f>
        <v/>
      </c>
      <c r="DB146" s="59">
        <f>($AK146-$AK147)*100</f>
        <v/>
      </c>
      <c r="DC146" s="59">
        <f>($AL146-$AL147)*100</f>
        <v/>
      </c>
      <c r="DD146" s="59">
        <f>($AM146-$AM147)*100</f>
        <v/>
      </c>
      <c r="DE146" s="59">
        <f>($AN146-$AN147)*100</f>
        <v/>
      </c>
      <c r="DF146" s="59">
        <f>($AO146-$AO147)*100</f>
        <v/>
      </c>
      <c r="DG146" s="59">
        <f>($AP146-$AP147)*100</f>
        <v/>
      </c>
      <c r="DH146" s="59">
        <f>($AQ146-$AQ147)*100</f>
        <v/>
      </c>
      <c r="DI146" s="59">
        <f>($AR146-$AR147)*100</f>
        <v/>
      </c>
      <c r="DJ146" s="59">
        <f>($AS146-$AS147)*100</f>
        <v/>
      </c>
      <c r="DK146" s="59">
        <f>($AT146-$AT147)*100</f>
        <v/>
      </c>
      <c r="DL146" s="59">
        <f>($AU146-$AU147)*100</f>
        <v/>
      </c>
      <c r="DM146" s="59">
        <f>($AV146-$AV147)*100</f>
        <v/>
      </c>
      <c r="DN146" s="59">
        <f>($AW146-$AW147)*100</f>
        <v/>
      </c>
      <c r="DO146" s="59">
        <f>($AX146-$AX147)*100</f>
        <v/>
      </c>
      <c r="DP146" s="59">
        <f>($AY146-$AY147)*100</f>
        <v/>
      </c>
      <c r="DQ146" s="59">
        <f>($AZ146-$AZ147)*100</f>
        <v/>
      </c>
      <c r="DR146" s="59">
        <f>($BA146-$BA147)*100</f>
        <v/>
      </c>
      <c r="DS146" s="58">
        <f>IFERROR($N147/$N146-1,"")</f>
        <v/>
      </c>
      <c r="DT146" s="58">
        <f>IFERROR($O147/$O146-1,"")</f>
        <v/>
      </c>
      <c r="DU146" s="58">
        <f>IFERROR($P147/$P146-1,"")</f>
        <v/>
      </c>
      <c r="DV146" s="58">
        <f>IFERROR($Q147/$Q146-1,"")</f>
        <v/>
      </c>
      <c r="DW146" s="58">
        <f>IFERROR($R147/$R146-1,"")</f>
        <v/>
      </c>
      <c r="DX146" s="58">
        <f>IFERROR($S147/$S146-1,"")</f>
        <v/>
      </c>
      <c r="DY146" s="58">
        <f>IFERROR($T147/$T146-1,"")</f>
        <v/>
      </c>
      <c r="DZ146" s="58">
        <f>IFERROR($U147/$U146-1,"")</f>
        <v/>
      </c>
      <c r="EA146" s="58">
        <f>IFERROR($V147/$V146-1,"")</f>
        <v/>
      </c>
      <c r="EB146" s="58">
        <f>IFERROR($W147/$W146-1,"")</f>
        <v/>
      </c>
      <c r="EC146" s="58">
        <f>IFERROR($X147/$X146-1,"")</f>
        <v/>
      </c>
      <c r="ED146" s="58">
        <f>IFERROR($Y147/$Y146-1,"")</f>
        <v/>
      </c>
      <c r="EE146" s="58">
        <f>IFERROR($Z147/$Z146-1,"")</f>
        <v/>
      </c>
      <c r="EF146" s="58">
        <f>IFERROR($AA147/$AA146-1,"")</f>
        <v/>
      </c>
      <c r="EG146" s="58">
        <f>IFERROR($AB147/$AB146-1,"")</f>
        <v/>
      </c>
      <c r="EH146" s="58">
        <f>IFERROR($AC147/$AC146-1,"")</f>
        <v/>
      </c>
      <c r="EI146" s="58">
        <f>IFERROR($AD147/$AD146-1,"")</f>
        <v/>
      </c>
      <c r="EJ146" s="58">
        <f>IFERROR($AE147/$AE146-1,"")</f>
        <v/>
      </c>
      <c r="EK146" s="58">
        <f>IFERROR($AF147/$AF146-1,"")</f>
        <v/>
      </c>
      <c r="EL146" s="58">
        <f>IFERROR($AG147/$AG146-1,"")</f>
        <v/>
      </c>
      <c r="EM146" s="58">
        <f>IFERROR($BB146/$BB147-1,"")</f>
        <v/>
      </c>
      <c r="EN146" s="58">
        <f>IFERROR($BC146/$BC147-1,"")</f>
        <v/>
      </c>
      <c r="EO146" s="58">
        <f>IFERROR($BD146/$BD147-1,"")</f>
        <v/>
      </c>
      <c r="EP146" s="58">
        <f>IFERROR($BE146/$BE147-1,"")</f>
        <v/>
      </c>
      <c r="EQ146" s="58">
        <f>IFERROR($BF146/$BF147-1,"")</f>
        <v/>
      </c>
      <c r="ER146" s="58">
        <f>IFERROR($BG146/$BG147-1,"")</f>
        <v/>
      </c>
      <c r="ES146" s="58">
        <f>IFERROR($BH146/$BH147-1,"")</f>
        <v/>
      </c>
      <c r="ET146" s="58">
        <f>IFERROR($BI146/$BI147-1,"")</f>
        <v/>
      </c>
      <c r="EU146" s="58">
        <f>IFERROR($BJ146/$BJ147-1,"")</f>
        <v/>
      </c>
      <c r="EV146" s="58">
        <f>IFERROR($BK146/$BK147-1,"")</f>
        <v/>
      </c>
      <c r="EW146" s="58">
        <f>IFERROR($BL146/$BL147-1,"")</f>
        <v/>
      </c>
      <c r="EX146" s="58">
        <f>IFERROR($BM146/$BM147-1,"")</f>
        <v/>
      </c>
      <c r="EY146" s="58">
        <f>IFERROR($BN146/$BN147-1,"")</f>
        <v/>
      </c>
      <c r="EZ146" s="58">
        <f>IFERROR($BO146/$BO147-1,"")</f>
        <v/>
      </c>
      <c r="FA146" s="58">
        <f>IFERROR($BP146/$BP147-1,"")</f>
        <v/>
      </c>
      <c r="FB146" s="58">
        <f>IFERROR($BQ146/$BQ147-1,"")</f>
        <v/>
      </c>
      <c r="FC146" s="58">
        <f>IFERROR($BR146/$BR147-1,"")</f>
        <v/>
      </c>
      <c r="FD146" s="58">
        <f>IFERROR($BS146/$BS147-1,"")</f>
        <v/>
      </c>
      <c r="FE146" s="58">
        <f>IFERROR($BT146/$BT147-1,"")</f>
        <v/>
      </c>
      <c r="FF146" s="58">
        <f>IFERROR($BU146/$BU147-1,"")</f>
        <v/>
      </c>
      <c r="FG146" s="58">
        <f>IFERROR($BV146/$BV147-1,"")</f>
        <v/>
      </c>
      <c r="FH146" s="58">
        <f>IFERROR($BW146/$BW147-1,"")</f>
        <v/>
      </c>
      <c r="FI146" s="58">
        <f>IFERROR($BX146/$BX147-1,"")</f>
        <v/>
      </c>
      <c r="FJ146" s="59">
        <f>$BY146-$BY147</f>
        <v/>
      </c>
      <c r="FK146" s="59">
        <f>$BZ146-$BZ147</f>
        <v/>
      </c>
      <c r="FL146" s="59">
        <f>$CA146-$CA147</f>
        <v/>
      </c>
      <c r="FM146" s="59">
        <f>$CB146-$CB147</f>
        <v/>
      </c>
      <c r="FN146" s="59">
        <f>$CC146-$CC147</f>
        <v/>
      </c>
      <c r="FO146" s="59">
        <f>$CD146-$CD147</f>
        <v/>
      </c>
      <c r="FP146" s="59">
        <f>$CE146-$CE147</f>
        <v/>
      </c>
      <c r="FQ146" s="59">
        <f>$CF146-$CF147</f>
        <v/>
      </c>
      <c r="FR146" s="59">
        <f>$CG146-$CG147</f>
        <v/>
      </c>
      <c r="FS146" s="59">
        <f>$CH146-$CH147</f>
        <v/>
      </c>
      <c r="FT146" s="59">
        <f>$CI146-$CI147</f>
        <v/>
      </c>
      <c r="FU146" s="59">
        <f>$CJ146-$CJ147</f>
        <v/>
      </c>
      <c r="FV146" s="59">
        <f>$CK146-$CK147</f>
        <v/>
      </c>
      <c r="FW146" s="59">
        <f>$CL146-$CL147</f>
        <v/>
      </c>
      <c r="FX146" s="59">
        <f>$CM146-$CM147</f>
        <v/>
      </c>
      <c r="FY146" s="59">
        <f>$CN146-$CN147</f>
        <v/>
      </c>
      <c r="FZ146" s="59">
        <f>$CO146-$CO147</f>
        <v/>
      </c>
      <c r="GA146" s="59">
        <f>$CP146-$CP147</f>
        <v/>
      </c>
      <c r="GB146" s="59">
        <f>$CQ146-$CQ147</f>
        <v/>
      </c>
      <c r="GC146" s="59">
        <f>$CR146-$CR147</f>
        <v/>
      </c>
      <c r="GD146" s="59">
        <f>$CS146-$CS147</f>
        <v/>
      </c>
      <c r="GE146" s="59">
        <f>$CT146-$CT147</f>
        <v/>
      </c>
    </row>
    <row r="147">
      <c r="CU147" s="58">
        <f>IFERROR($B147/$B148-1,"")</f>
        <v/>
      </c>
      <c r="CV147" s="59">
        <f>($F147-$F148)*100</f>
        <v/>
      </c>
      <c r="CW147" s="59">
        <f>($E147-$E148)*100</f>
        <v/>
      </c>
      <c r="CX147" s="58">
        <f>IFERROR($K147/$K148-1,"")</f>
        <v/>
      </c>
      <c r="CY147" s="59">
        <f>($AH147-$AH148)*100</f>
        <v/>
      </c>
      <c r="CZ147" s="59">
        <f>($AI147-$AI148)*100</f>
        <v/>
      </c>
      <c r="DA147" s="59">
        <f>($AJ147-$AJ148)*100</f>
        <v/>
      </c>
      <c r="DB147" s="59">
        <f>($AK147-$AK148)*100</f>
        <v/>
      </c>
      <c r="DC147" s="59">
        <f>($AL147-$AL148)*100</f>
        <v/>
      </c>
      <c r="DD147" s="59">
        <f>($AM147-$AM148)*100</f>
        <v/>
      </c>
      <c r="DE147" s="59">
        <f>($AN147-$AN148)*100</f>
        <v/>
      </c>
      <c r="DF147" s="59">
        <f>($AO147-$AO148)*100</f>
        <v/>
      </c>
      <c r="DG147" s="59">
        <f>($AP147-$AP148)*100</f>
        <v/>
      </c>
      <c r="DH147" s="59">
        <f>($AQ147-$AQ148)*100</f>
        <v/>
      </c>
      <c r="DI147" s="59">
        <f>($AR147-$AR148)*100</f>
        <v/>
      </c>
      <c r="DJ147" s="59">
        <f>($AS147-$AS148)*100</f>
        <v/>
      </c>
      <c r="DK147" s="59">
        <f>($AT147-$AT148)*100</f>
        <v/>
      </c>
      <c r="DL147" s="59">
        <f>($AU147-$AU148)*100</f>
        <v/>
      </c>
      <c r="DM147" s="59">
        <f>($AV147-$AV148)*100</f>
        <v/>
      </c>
      <c r="DN147" s="59">
        <f>($AW147-$AW148)*100</f>
        <v/>
      </c>
      <c r="DO147" s="59">
        <f>($AX147-$AX148)*100</f>
        <v/>
      </c>
      <c r="DP147" s="59">
        <f>($AY147-$AY148)*100</f>
        <v/>
      </c>
      <c r="DQ147" s="59">
        <f>($AZ147-$AZ148)*100</f>
        <v/>
      </c>
      <c r="DR147" s="59">
        <f>($BA147-$BA148)*100</f>
        <v/>
      </c>
      <c r="DS147" s="58">
        <f>IFERROR($N148/$N147-1,"")</f>
        <v/>
      </c>
      <c r="DT147" s="58">
        <f>IFERROR($O148/$O147-1,"")</f>
        <v/>
      </c>
      <c r="DU147" s="58">
        <f>IFERROR($P148/$P147-1,"")</f>
        <v/>
      </c>
      <c r="DV147" s="58">
        <f>IFERROR($Q148/$Q147-1,"")</f>
        <v/>
      </c>
      <c r="DW147" s="58">
        <f>IFERROR($R148/$R147-1,"")</f>
        <v/>
      </c>
      <c r="DX147" s="58">
        <f>IFERROR($S148/$S147-1,"")</f>
        <v/>
      </c>
      <c r="DY147" s="58">
        <f>IFERROR($T148/$T147-1,"")</f>
        <v/>
      </c>
      <c r="DZ147" s="58">
        <f>IFERROR($U148/$U147-1,"")</f>
        <v/>
      </c>
      <c r="EA147" s="58">
        <f>IFERROR($V148/$V147-1,"")</f>
        <v/>
      </c>
      <c r="EB147" s="58">
        <f>IFERROR($W148/$W147-1,"")</f>
        <v/>
      </c>
      <c r="EC147" s="58">
        <f>IFERROR($X148/$X147-1,"")</f>
        <v/>
      </c>
      <c r="ED147" s="58">
        <f>IFERROR($Y148/$Y147-1,"")</f>
        <v/>
      </c>
      <c r="EE147" s="58">
        <f>IFERROR($Z148/$Z147-1,"")</f>
        <v/>
      </c>
      <c r="EF147" s="58">
        <f>IFERROR($AA148/$AA147-1,"")</f>
        <v/>
      </c>
      <c r="EG147" s="58">
        <f>IFERROR($AB148/$AB147-1,"")</f>
        <v/>
      </c>
      <c r="EH147" s="58">
        <f>IFERROR($AC148/$AC147-1,"")</f>
        <v/>
      </c>
      <c r="EI147" s="58">
        <f>IFERROR($AD148/$AD147-1,"")</f>
        <v/>
      </c>
      <c r="EJ147" s="58">
        <f>IFERROR($AE148/$AE147-1,"")</f>
        <v/>
      </c>
      <c r="EK147" s="58">
        <f>IFERROR($AF148/$AF147-1,"")</f>
        <v/>
      </c>
      <c r="EL147" s="58">
        <f>IFERROR($AG148/$AG147-1,"")</f>
        <v/>
      </c>
      <c r="EM147" s="58">
        <f>IFERROR($BB147/$BB148-1,"")</f>
        <v/>
      </c>
      <c r="EN147" s="58">
        <f>IFERROR($BC147/$BC148-1,"")</f>
        <v/>
      </c>
      <c r="EO147" s="58">
        <f>IFERROR($BD147/$BD148-1,"")</f>
        <v/>
      </c>
      <c r="EP147" s="58">
        <f>IFERROR($BE147/$BE148-1,"")</f>
        <v/>
      </c>
      <c r="EQ147" s="58">
        <f>IFERROR($BF147/$BF148-1,"")</f>
        <v/>
      </c>
      <c r="ER147" s="58">
        <f>IFERROR($BG147/$BG148-1,"")</f>
        <v/>
      </c>
      <c r="ES147" s="58">
        <f>IFERROR($BH147/$BH148-1,"")</f>
        <v/>
      </c>
      <c r="ET147" s="58">
        <f>IFERROR($BI147/$BI148-1,"")</f>
        <v/>
      </c>
      <c r="EU147" s="58">
        <f>IFERROR($BJ147/$BJ148-1,"")</f>
        <v/>
      </c>
      <c r="EV147" s="58">
        <f>IFERROR($BK147/$BK148-1,"")</f>
        <v/>
      </c>
      <c r="EW147" s="58">
        <f>IFERROR($BL147/$BL148-1,"")</f>
        <v/>
      </c>
      <c r="EX147" s="58">
        <f>IFERROR($BM147/$BM148-1,"")</f>
        <v/>
      </c>
      <c r="EY147" s="58">
        <f>IFERROR($BN147/$BN148-1,"")</f>
        <v/>
      </c>
      <c r="EZ147" s="58">
        <f>IFERROR($BO147/$BO148-1,"")</f>
        <v/>
      </c>
      <c r="FA147" s="58">
        <f>IFERROR($BP147/$BP148-1,"")</f>
        <v/>
      </c>
      <c r="FB147" s="58">
        <f>IFERROR($BQ147/$BQ148-1,"")</f>
        <v/>
      </c>
      <c r="FC147" s="58">
        <f>IFERROR($BR147/$BR148-1,"")</f>
        <v/>
      </c>
      <c r="FD147" s="58">
        <f>IFERROR($BS147/$BS148-1,"")</f>
        <v/>
      </c>
      <c r="FE147" s="58">
        <f>IFERROR($BT147/$BT148-1,"")</f>
        <v/>
      </c>
      <c r="FF147" s="58">
        <f>IFERROR($BU147/$BU148-1,"")</f>
        <v/>
      </c>
      <c r="FG147" s="58">
        <f>IFERROR($BV147/$BV148-1,"")</f>
        <v/>
      </c>
      <c r="FH147" s="58">
        <f>IFERROR($BW147/$BW148-1,"")</f>
        <v/>
      </c>
      <c r="FI147" s="58">
        <f>IFERROR($BX147/$BX148-1,"")</f>
        <v/>
      </c>
      <c r="FJ147" s="59">
        <f>$BY147-$BY148</f>
        <v/>
      </c>
      <c r="FK147" s="59">
        <f>$BZ147-$BZ148</f>
        <v/>
      </c>
      <c r="FL147" s="59">
        <f>$CA147-$CA148</f>
        <v/>
      </c>
      <c r="FM147" s="59">
        <f>$CB147-$CB148</f>
        <v/>
      </c>
      <c r="FN147" s="59">
        <f>$CC147-$CC148</f>
        <v/>
      </c>
      <c r="FO147" s="59">
        <f>$CD147-$CD148</f>
        <v/>
      </c>
      <c r="FP147" s="59">
        <f>$CE147-$CE148</f>
        <v/>
      </c>
      <c r="FQ147" s="59">
        <f>$CF147-$CF148</f>
        <v/>
      </c>
      <c r="FR147" s="59">
        <f>$CG147-$CG148</f>
        <v/>
      </c>
      <c r="FS147" s="59">
        <f>$CH147-$CH148</f>
        <v/>
      </c>
      <c r="FT147" s="59">
        <f>$CI147-$CI148</f>
        <v/>
      </c>
      <c r="FU147" s="59">
        <f>$CJ147-$CJ148</f>
        <v/>
      </c>
      <c r="FV147" s="59">
        <f>$CK147-$CK148</f>
        <v/>
      </c>
      <c r="FW147" s="59">
        <f>$CL147-$CL148</f>
        <v/>
      </c>
      <c r="FX147" s="59">
        <f>$CM147-$CM148</f>
        <v/>
      </c>
      <c r="FY147" s="59">
        <f>$CN147-$CN148</f>
        <v/>
      </c>
      <c r="FZ147" s="59">
        <f>$CO147-$CO148</f>
        <v/>
      </c>
      <c r="GA147" s="59">
        <f>$CP147-$CP148</f>
        <v/>
      </c>
      <c r="GB147" s="59">
        <f>$CQ147-$CQ148</f>
        <v/>
      </c>
      <c r="GC147" s="59">
        <f>$CR147-$CR148</f>
        <v/>
      </c>
      <c r="GD147" s="59">
        <f>$CS147-$CS148</f>
        <v/>
      </c>
      <c r="GE147" s="59">
        <f>$CT147-$CT148</f>
        <v/>
      </c>
    </row>
    <row r="148">
      <c r="CU148" s="58">
        <f>IFERROR($B148/$B149-1,"")</f>
        <v/>
      </c>
      <c r="CV148" s="59">
        <f>($F148-$F149)*100</f>
        <v/>
      </c>
      <c r="CW148" s="59">
        <f>($E148-$E149)*100</f>
        <v/>
      </c>
      <c r="CX148" s="58">
        <f>IFERROR($K148/$K149-1,"")</f>
        <v/>
      </c>
      <c r="CY148" s="59">
        <f>($AH148-$AH149)*100</f>
        <v/>
      </c>
      <c r="CZ148" s="59">
        <f>($AI148-$AI149)*100</f>
        <v/>
      </c>
      <c r="DA148" s="59">
        <f>($AJ148-$AJ149)*100</f>
        <v/>
      </c>
      <c r="DB148" s="59">
        <f>($AK148-$AK149)*100</f>
        <v/>
      </c>
      <c r="DC148" s="59">
        <f>($AL148-$AL149)*100</f>
        <v/>
      </c>
      <c r="DD148" s="59">
        <f>($AM148-$AM149)*100</f>
        <v/>
      </c>
      <c r="DE148" s="59">
        <f>($AN148-$AN149)*100</f>
        <v/>
      </c>
      <c r="DF148" s="59">
        <f>($AO148-$AO149)*100</f>
        <v/>
      </c>
      <c r="DG148" s="59">
        <f>($AP148-$AP149)*100</f>
        <v/>
      </c>
      <c r="DH148" s="59">
        <f>($AQ148-$AQ149)*100</f>
        <v/>
      </c>
      <c r="DI148" s="59">
        <f>($AR148-$AR149)*100</f>
        <v/>
      </c>
      <c r="DJ148" s="59">
        <f>($AS148-$AS149)*100</f>
        <v/>
      </c>
      <c r="DK148" s="59">
        <f>($AT148-$AT149)*100</f>
        <v/>
      </c>
      <c r="DL148" s="59">
        <f>($AU148-$AU149)*100</f>
        <v/>
      </c>
      <c r="DM148" s="59">
        <f>($AV148-$AV149)*100</f>
        <v/>
      </c>
      <c r="DN148" s="59">
        <f>($AW148-$AW149)*100</f>
        <v/>
      </c>
      <c r="DO148" s="59">
        <f>($AX148-$AX149)*100</f>
        <v/>
      </c>
      <c r="DP148" s="59">
        <f>($AY148-$AY149)*100</f>
        <v/>
      </c>
      <c r="DQ148" s="59">
        <f>($AZ148-$AZ149)*100</f>
        <v/>
      </c>
      <c r="DR148" s="59">
        <f>($BA148-$BA149)*100</f>
        <v/>
      </c>
      <c r="DS148" s="58">
        <f>IFERROR($N149/$N148-1,"")</f>
        <v/>
      </c>
      <c r="DT148" s="58">
        <f>IFERROR($O149/$O148-1,"")</f>
        <v/>
      </c>
      <c r="DU148" s="58">
        <f>IFERROR($P149/$P148-1,"")</f>
        <v/>
      </c>
      <c r="DV148" s="58">
        <f>IFERROR($Q149/$Q148-1,"")</f>
        <v/>
      </c>
      <c r="DW148" s="58">
        <f>IFERROR($R149/$R148-1,"")</f>
        <v/>
      </c>
      <c r="DX148" s="58">
        <f>IFERROR($S149/$S148-1,"")</f>
        <v/>
      </c>
      <c r="DY148" s="58">
        <f>IFERROR($T149/$T148-1,"")</f>
        <v/>
      </c>
      <c r="DZ148" s="58">
        <f>IFERROR($U149/$U148-1,"")</f>
        <v/>
      </c>
      <c r="EA148" s="58">
        <f>IFERROR($V149/$V148-1,"")</f>
        <v/>
      </c>
      <c r="EB148" s="58">
        <f>IFERROR($W149/$W148-1,"")</f>
        <v/>
      </c>
      <c r="EC148" s="58">
        <f>IFERROR($X149/$X148-1,"")</f>
        <v/>
      </c>
      <c r="ED148" s="58">
        <f>IFERROR($Y149/$Y148-1,"")</f>
        <v/>
      </c>
      <c r="EE148" s="58">
        <f>IFERROR($Z149/$Z148-1,"")</f>
        <v/>
      </c>
      <c r="EF148" s="58">
        <f>IFERROR($AA149/$AA148-1,"")</f>
        <v/>
      </c>
      <c r="EG148" s="58">
        <f>IFERROR($AB149/$AB148-1,"")</f>
        <v/>
      </c>
      <c r="EH148" s="58">
        <f>IFERROR($AC149/$AC148-1,"")</f>
        <v/>
      </c>
      <c r="EI148" s="58">
        <f>IFERROR($AD149/$AD148-1,"")</f>
        <v/>
      </c>
      <c r="EJ148" s="58">
        <f>IFERROR($AE149/$AE148-1,"")</f>
        <v/>
      </c>
      <c r="EK148" s="58">
        <f>IFERROR($AF149/$AF148-1,"")</f>
        <v/>
      </c>
      <c r="EL148" s="58">
        <f>IFERROR($AG149/$AG148-1,"")</f>
        <v/>
      </c>
      <c r="EM148" s="58">
        <f>IFERROR($BB148/$BB149-1,"")</f>
        <v/>
      </c>
      <c r="EN148" s="58">
        <f>IFERROR($BC148/$BC149-1,"")</f>
        <v/>
      </c>
      <c r="EO148" s="58">
        <f>IFERROR($BD148/$BD149-1,"")</f>
        <v/>
      </c>
      <c r="EP148" s="58">
        <f>IFERROR($BE148/$BE149-1,"")</f>
        <v/>
      </c>
      <c r="EQ148" s="58">
        <f>IFERROR($BF148/$BF149-1,"")</f>
        <v/>
      </c>
      <c r="ER148" s="58">
        <f>IFERROR($BG148/$BG149-1,"")</f>
        <v/>
      </c>
      <c r="ES148" s="58">
        <f>IFERROR($BH148/$BH149-1,"")</f>
        <v/>
      </c>
      <c r="ET148" s="58">
        <f>IFERROR($BI148/$BI149-1,"")</f>
        <v/>
      </c>
      <c r="EU148" s="58">
        <f>IFERROR($BJ148/$BJ149-1,"")</f>
        <v/>
      </c>
      <c r="EV148" s="58">
        <f>IFERROR($BK148/$BK149-1,"")</f>
        <v/>
      </c>
      <c r="EW148" s="58">
        <f>IFERROR($BL148/$BL149-1,"")</f>
        <v/>
      </c>
      <c r="EX148" s="58">
        <f>IFERROR($BM148/$BM149-1,"")</f>
        <v/>
      </c>
      <c r="EY148" s="58">
        <f>IFERROR($BN148/$BN149-1,"")</f>
        <v/>
      </c>
      <c r="EZ148" s="58">
        <f>IFERROR($BO148/$BO149-1,"")</f>
        <v/>
      </c>
      <c r="FA148" s="58">
        <f>IFERROR($BP148/$BP149-1,"")</f>
        <v/>
      </c>
      <c r="FB148" s="58">
        <f>IFERROR($BQ148/$BQ149-1,"")</f>
        <v/>
      </c>
      <c r="FC148" s="58">
        <f>IFERROR($BR148/$BR149-1,"")</f>
        <v/>
      </c>
      <c r="FD148" s="58">
        <f>IFERROR($BS148/$BS149-1,"")</f>
        <v/>
      </c>
      <c r="FE148" s="58">
        <f>IFERROR($BT148/$BT149-1,"")</f>
        <v/>
      </c>
      <c r="FF148" s="58">
        <f>IFERROR($BU148/$BU149-1,"")</f>
        <v/>
      </c>
      <c r="FG148" s="58">
        <f>IFERROR($BV148/$BV149-1,"")</f>
        <v/>
      </c>
      <c r="FH148" s="58">
        <f>IFERROR($BW148/$BW149-1,"")</f>
        <v/>
      </c>
      <c r="FI148" s="58">
        <f>IFERROR($BX148/$BX149-1,"")</f>
        <v/>
      </c>
      <c r="FJ148" s="59">
        <f>$BY148-$BY149</f>
        <v/>
      </c>
      <c r="FK148" s="59">
        <f>$BZ148-$BZ149</f>
        <v/>
      </c>
      <c r="FL148" s="59">
        <f>$CA148-$CA149</f>
        <v/>
      </c>
      <c r="FM148" s="59">
        <f>$CB148-$CB149</f>
        <v/>
      </c>
      <c r="FN148" s="59">
        <f>$CC148-$CC149</f>
        <v/>
      </c>
      <c r="FO148" s="59">
        <f>$CD148-$CD149</f>
        <v/>
      </c>
      <c r="FP148" s="59">
        <f>$CE148-$CE149</f>
        <v/>
      </c>
      <c r="FQ148" s="59">
        <f>$CF148-$CF149</f>
        <v/>
      </c>
      <c r="FR148" s="59">
        <f>$CG148-$CG149</f>
        <v/>
      </c>
      <c r="FS148" s="59">
        <f>$CH148-$CH149</f>
        <v/>
      </c>
      <c r="FT148" s="59">
        <f>$CI148-$CI149</f>
        <v/>
      </c>
      <c r="FU148" s="59">
        <f>$CJ148-$CJ149</f>
        <v/>
      </c>
      <c r="FV148" s="59">
        <f>$CK148-$CK149</f>
        <v/>
      </c>
      <c r="FW148" s="59">
        <f>$CL148-$CL149</f>
        <v/>
      </c>
      <c r="FX148" s="59">
        <f>$CM148-$CM149</f>
        <v/>
      </c>
      <c r="FY148" s="59">
        <f>$CN148-$CN149</f>
        <v/>
      </c>
      <c r="FZ148" s="59">
        <f>$CO148-$CO149</f>
        <v/>
      </c>
      <c r="GA148" s="59">
        <f>$CP148-$CP149</f>
        <v/>
      </c>
      <c r="GB148" s="59">
        <f>$CQ148-$CQ149</f>
        <v/>
      </c>
      <c r="GC148" s="59">
        <f>$CR148-$CR149</f>
        <v/>
      </c>
      <c r="GD148" s="59">
        <f>$CS148-$CS149</f>
        <v/>
      </c>
      <c r="GE148" s="59">
        <f>$CT148-$CT149</f>
        <v/>
      </c>
    </row>
    <row r="149">
      <c r="CU149" s="58">
        <f>IFERROR($B149/$B150-1,"")</f>
        <v/>
      </c>
      <c r="CV149" s="59">
        <f>($F149-$F150)*100</f>
        <v/>
      </c>
      <c r="CW149" s="59">
        <f>($E149-$E150)*100</f>
        <v/>
      </c>
      <c r="CX149" s="58">
        <f>IFERROR($K149/$K150-1,"")</f>
        <v/>
      </c>
      <c r="CY149" s="59">
        <f>($AH149-$AH150)*100</f>
        <v/>
      </c>
      <c r="CZ149" s="59">
        <f>($AI149-$AI150)*100</f>
        <v/>
      </c>
      <c r="DA149" s="59">
        <f>($AJ149-$AJ150)*100</f>
        <v/>
      </c>
      <c r="DB149" s="59">
        <f>($AK149-$AK150)*100</f>
        <v/>
      </c>
      <c r="DC149" s="59">
        <f>($AL149-$AL150)*100</f>
        <v/>
      </c>
      <c r="DD149" s="59">
        <f>($AM149-$AM150)*100</f>
        <v/>
      </c>
      <c r="DE149" s="59">
        <f>($AN149-$AN150)*100</f>
        <v/>
      </c>
      <c r="DF149" s="59">
        <f>($AO149-$AO150)*100</f>
        <v/>
      </c>
      <c r="DG149" s="59">
        <f>($AP149-$AP150)*100</f>
        <v/>
      </c>
      <c r="DH149" s="59">
        <f>($AQ149-$AQ150)*100</f>
        <v/>
      </c>
      <c r="DI149" s="59">
        <f>($AR149-$AR150)*100</f>
        <v/>
      </c>
      <c r="DJ149" s="59">
        <f>($AS149-$AS150)*100</f>
        <v/>
      </c>
      <c r="DK149" s="59">
        <f>($AT149-$AT150)*100</f>
        <v/>
      </c>
      <c r="DL149" s="59">
        <f>($AU149-$AU150)*100</f>
        <v/>
      </c>
      <c r="DM149" s="59">
        <f>($AV149-$AV150)*100</f>
        <v/>
      </c>
      <c r="DN149" s="59">
        <f>($AW149-$AW150)*100</f>
        <v/>
      </c>
      <c r="DO149" s="59">
        <f>($AX149-$AX150)*100</f>
        <v/>
      </c>
      <c r="DP149" s="59">
        <f>($AY149-$AY150)*100</f>
        <v/>
      </c>
      <c r="DQ149" s="59">
        <f>($AZ149-$AZ150)*100</f>
        <v/>
      </c>
      <c r="DR149" s="59">
        <f>($BA149-$BA150)*100</f>
        <v/>
      </c>
      <c r="DS149" s="58">
        <f>IFERROR($N150/$N149-1,"")</f>
        <v/>
      </c>
      <c r="DT149" s="58">
        <f>IFERROR($O150/$O149-1,"")</f>
        <v/>
      </c>
      <c r="DU149" s="58">
        <f>IFERROR($P150/$P149-1,"")</f>
        <v/>
      </c>
      <c r="DV149" s="58">
        <f>IFERROR($Q150/$Q149-1,"")</f>
        <v/>
      </c>
      <c r="DW149" s="58">
        <f>IFERROR($R150/$R149-1,"")</f>
        <v/>
      </c>
      <c r="DX149" s="58">
        <f>IFERROR($S150/$S149-1,"")</f>
        <v/>
      </c>
      <c r="DY149" s="58">
        <f>IFERROR($T150/$T149-1,"")</f>
        <v/>
      </c>
      <c r="DZ149" s="58">
        <f>IFERROR($U150/$U149-1,"")</f>
        <v/>
      </c>
      <c r="EA149" s="58">
        <f>IFERROR($V150/$V149-1,"")</f>
        <v/>
      </c>
      <c r="EB149" s="58">
        <f>IFERROR($W150/$W149-1,"")</f>
        <v/>
      </c>
      <c r="EC149" s="58">
        <f>IFERROR($X150/$X149-1,"")</f>
        <v/>
      </c>
      <c r="ED149" s="58">
        <f>IFERROR($Y150/$Y149-1,"")</f>
        <v/>
      </c>
      <c r="EE149" s="58">
        <f>IFERROR($Z150/$Z149-1,"")</f>
        <v/>
      </c>
      <c r="EF149" s="58">
        <f>IFERROR($AA150/$AA149-1,"")</f>
        <v/>
      </c>
      <c r="EG149" s="58">
        <f>IFERROR($AB150/$AB149-1,"")</f>
        <v/>
      </c>
      <c r="EH149" s="58">
        <f>IFERROR($AC150/$AC149-1,"")</f>
        <v/>
      </c>
      <c r="EI149" s="58">
        <f>IFERROR($AD150/$AD149-1,"")</f>
        <v/>
      </c>
      <c r="EJ149" s="58">
        <f>IFERROR($AE150/$AE149-1,"")</f>
        <v/>
      </c>
      <c r="EK149" s="58">
        <f>IFERROR($AF150/$AF149-1,"")</f>
        <v/>
      </c>
      <c r="EL149" s="58">
        <f>IFERROR($AG150/$AG149-1,"")</f>
        <v/>
      </c>
      <c r="EM149" s="58">
        <f>IFERROR($BB149/$BB150-1,"")</f>
        <v/>
      </c>
      <c r="EN149" s="58">
        <f>IFERROR($BC149/$BC150-1,"")</f>
        <v/>
      </c>
      <c r="EO149" s="58">
        <f>IFERROR($BD149/$BD150-1,"")</f>
        <v/>
      </c>
      <c r="EP149" s="58">
        <f>IFERROR($BE149/$BE150-1,"")</f>
        <v/>
      </c>
      <c r="EQ149" s="58">
        <f>IFERROR($BF149/$BF150-1,"")</f>
        <v/>
      </c>
      <c r="ER149" s="58">
        <f>IFERROR($BG149/$BG150-1,"")</f>
        <v/>
      </c>
      <c r="ES149" s="58">
        <f>IFERROR($BH149/$BH150-1,"")</f>
        <v/>
      </c>
      <c r="ET149" s="58">
        <f>IFERROR($BI149/$BI150-1,"")</f>
        <v/>
      </c>
      <c r="EU149" s="58">
        <f>IFERROR($BJ149/$BJ150-1,"")</f>
        <v/>
      </c>
      <c r="EV149" s="58">
        <f>IFERROR($BK149/$BK150-1,"")</f>
        <v/>
      </c>
      <c r="EW149" s="58">
        <f>IFERROR($BL149/$BL150-1,"")</f>
        <v/>
      </c>
      <c r="EX149" s="58">
        <f>IFERROR($BM149/$BM150-1,"")</f>
        <v/>
      </c>
      <c r="EY149" s="58">
        <f>IFERROR($BN149/$BN150-1,"")</f>
        <v/>
      </c>
      <c r="EZ149" s="58">
        <f>IFERROR($BO149/$BO150-1,"")</f>
        <v/>
      </c>
      <c r="FA149" s="58">
        <f>IFERROR($BP149/$BP150-1,"")</f>
        <v/>
      </c>
      <c r="FB149" s="58">
        <f>IFERROR($BQ149/$BQ150-1,"")</f>
        <v/>
      </c>
      <c r="FC149" s="58">
        <f>IFERROR($BR149/$BR150-1,"")</f>
        <v/>
      </c>
      <c r="FD149" s="58">
        <f>IFERROR($BS149/$BS150-1,"")</f>
        <v/>
      </c>
      <c r="FE149" s="58">
        <f>IFERROR($BT149/$BT150-1,"")</f>
        <v/>
      </c>
      <c r="FF149" s="58">
        <f>IFERROR($BU149/$BU150-1,"")</f>
        <v/>
      </c>
      <c r="FG149" s="58">
        <f>IFERROR($BV149/$BV150-1,"")</f>
        <v/>
      </c>
      <c r="FH149" s="58">
        <f>IFERROR($BW149/$BW150-1,"")</f>
        <v/>
      </c>
      <c r="FI149" s="58">
        <f>IFERROR($BX149/$BX150-1,"")</f>
        <v/>
      </c>
      <c r="FJ149" s="59">
        <f>$BY149-$BY150</f>
        <v/>
      </c>
      <c r="FK149" s="59">
        <f>$BZ149-$BZ150</f>
        <v/>
      </c>
      <c r="FL149" s="59">
        <f>$CA149-$CA150</f>
        <v/>
      </c>
      <c r="FM149" s="59">
        <f>$CB149-$CB150</f>
        <v/>
      </c>
      <c r="FN149" s="59">
        <f>$CC149-$CC150</f>
        <v/>
      </c>
      <c r="FO149" s="59">
        <f>$CD149-$CD150</f>
        <v/>
      </c>
      <c r="FP149" s="59">
        <f>$CE149-$CE150</f>
        <v/>
      </c>
      <c r="FQ149" s="59">
        <f>$CF149-$CF150</f>
        <v/>
      </c>
      <c r="FR149" s="59">
        <f>$CG149-$CG150</f>
        <v/>
      </c>
      <c r="FS149" s="59">
        <f>$CH149-$CH150</f>
        <v/>
      </c>
      <c r="FT149" s="59">
        <f>$CI149-$CI150</f>
        <v/>
      </c>
      <c r="FU149" s="59">
        <f>$CJ149-$CJ150</f>
        <v/>
      </c>
      <c r="FV149" s="59">
        <f>$CK149-$CK150</f>
        <v/>
      </c>
      <c r="FW149" s="59">
        <f>$CL149-$CL150</f>
        <v/>
      </c>
      <c r="FX149" s="59">
        <f>$CM149-$CM150</f>
        <v/>
      </c>
      <c r="FY149" s="59">
        <f>$CN149-$CN150</f>
        <v/>
      </c>
      <c r="FZ149" s="59">
        <f>$CO149-$CO150</f>
        <v/>
      </c>
      <c r="GA149" s="59">
        <f>$CP149-$CP150</f>
        <v/>
      </c>
      <c r="GB149" s="59">
        <f>$CQ149-$CQ150</f>
        <v/>
      </c>
      <c r="GC149" s="59">
        <f>$CR149-$CR150</f>
        <v/>
      </c>
      <c r="GD149" s="59">
        <f>$CS149-$CS150</f>
        <v/>
      </c>
      <c r="GE149" s="59">
        <f>$CT149-$CT150</f>
        <v/>
      </c>
    </row>
    <row r="150">
      <c r="CU150" s="58">
        <f>IFERROR($B150/$B151-1,"")</f>
        <v/>
      </c>
      <c r="CV150" s="59">
        <f>($F150-$F151)*100</f>
        <v/>
      </c>
      <c r="CW150" s="59">
        <f>($E150-$E151)*100</f>
        <v/>
      </c>
      <c r="CX150" s="58">
        <f>IFERROR($K150/$K151-1,"")</f>
        <v/>
      </c>
      <c r="CY150" s="59">
        <f>($AH150-$AH151)*100</f>
        <v/>
      </c>
      <c r="CZ150" s="59">
        <f>($AI150-$AI151)*100</f>
        <v/>
      </c>
      <c r="DA150" s="59">
        <f>($AJ150-$AJ151)*100</f>
        <v/>
      </c>
      <c r="DB150" s="59">
        <f>($AK150-$AK151)*100</f>
        <v/>
      </c>
      <c r="DC150" s="59">
        <f>($AL150-$AL151)*100</f>
        <v/>
      </c>
      <c r="DD150" s="59">
        <f>($AM150-$AM151)*100</f>
        <v/>
      </c>
      <c r="DE150" s="59">
        <f>($AN150-$AN151)*100</f>
        <v/>
      </c>
      <c r="DF150" s="59">
        <f>($AO150-$AO151)*100</f>
        <v/>
      </c>
      <c r="DG150" s="59">
        <f>($AP150-$AP151)*100</f>
        <v/>
      </c>
      <c r="DH150" s="59">
        <f>($AQ150-$AQ151)*100</f>
        <v/>
      </c>
      <c r="DI150" s="59">
        <f>($AR150-$AR151)*100</f>
        <v/>
      </c>
      <c r="DJ150" s="59">
        <f>($AS150-$AS151)*100</f>
        <v/>
      </c>
      <c r="DK150" s="59">
        <f>($AT150-$AT151)*100</f>
        <v/>
      </c>
      <c r="DL150" s="59">
        <f>($AU150-$AU151)*100</f>
        <v/>
      </c>
      <c r="DM150" s="59">
        <f>($AV150-$AV151)*100</f>
        <v/>
      </c>
      <c r="DN150" s="59">
        <f>($AW150-$AW151)*100</f>
        <v/>
      </c>
      <c r="DO150" s="59">
        <f>($AX150-$AX151)*100</f>
        <v/>
      </c>
      <c r="DP150" s="59">
        <f>($AY150-$AY151)*100</f>
        <v/>
      </c>
      <c r="DQ150" s="59">
        <f>($AZ150-$AZ151)*100</f>
        <v/>
      </c>
      <c r="DR150" s="59">
        <f>($BA150-$BA151)*100</f>
        <v/>
      </c>
      <c r="DS150" s="58">
        <f>IFERROR($N151/$N150-1,"")</f>
        <v/>
      </c>
      <c r="DT150" s="58">
        <f>IFERROR($O151/$O150-1,"")</f>
        <v/>
      </c>
      <c r="DU150" s="58">
        <f>IFERROR($P151/$P150-1,"")</f>
        <v/>
      </c>
      <c r="DV150" s="58">
        <f>IFERROR($Q151/$Q150-1,"")</f>
        <v/>
      </c>
      <c r="DW150" s="58">
        <f>IFERROR($R151/$R150-1,"")</f>
        <v/>
      </c>
      <c r="DX150" s="58">
        <f>IFERROR($S151/$S150-1,"")</f>
        <v/>
      </c>
      <c r="DY150" s="58">
        <f>IFERROR($T151/$T150-1,"")</f>
        <v/>
      </c>
      <c r="DZ150" s="58">
        <f>IFERROR($U151/$U150-1,"")</f>
        <v/>
      </c>
      <c r="EA150" s="58">
        <f>IFERROR($V151/$V150-1,"")</f>
        <v/>
      </c>
      <c r="EB150" s="58">
        <f>IFERROR($W151/$W150-1,"")</f>
        <v/>
      </c>
      <c r="EC150" s="58">
        <f>IFERROR($X151/$X150-1,"")</f>
        <v/>
      </c>
      <c r="ED150" s="58">
        <f>IFERROR($Y151/$Y150-1,"")</f>
        <v/>
      </c>
      <c r="EE150" s="58">
        <f>IFERROR($Z151/$Z150-1,"")</f>
        <v/>
      </c>
      <c r="EF150" s="58">
        <f>IFERROR($AA151/$AA150-1,"")</f>
        <v/>
      </c>
      <c r="EG150" s="58">
        <f>IFERROR($AB151/$AB150-1,"")</f>
        <v/>
      </c>
      <c r="EH150" s="58">
        <f>IFERROR($AC151/$AC150-1,"")</f>
        <v/>
      </c>
      <c r="EI150" s="58">
        <f>IFERROR($AD151/$AD150-1,"")</f>
        <v/>
      </c>
      <c r="EJ150" s="58">
        <f>IFERROR($AE151/$AE150-1,"")</f>
        <v/>
      </c>
      <c r="EK150" s="58">
        <f>IFERROR($AF151/$AF150-1,"")</f>
        <v/>
      </c>
      <c r="EL150" s="58">
        <f>IFERROR($AG151/$AG150-1,"")</f>
        <v/>
      </c>
      <c r="EM150" s="58">
        <f>IFERROR($BB150/$BB151-1,"")</f>
        <v/>
      </c>
      <c r="EN150" s="58">
        <f>IFERROR($BC150/$BC151-1,"")</f>
        <v/>
      </c>
      <c r="EO150" s="58">
        <f>IFERROR($BD150/$BD151-1,"")</f>
        <v/>
      </c>
      <c r="EP150" s="58">
        <f>IFERROR($BE150/$BE151-1,"")</f>
        <v/>
      </c>
      <c r="EQ150" s="58">
        <f>IFERROR($BF150/$BF151-1,"")</f>
        <v/>
      </c>
      <c r="ER150" s="58">
        <f>IFERROR($BG150/$BG151-1,"")</f>
        <v/>
      </c>
      <c r="ES150" s="58">
        <f>IFERROR($BH150/$BH151-1,"")</f>
        <v/>
      </c>
      <c r="ET150" s="58">
        <f>IFERROR($BI150/$BI151-1,"")</f>
        <v/>
      </c>
      <c r="EU150" s="58">
        <f>IFERROR($BJ150/$BJ151-1,"")</f>
        <v/>
      </c>
      <c r="EV150" s="58">
        <f>IFERROR($BK150/$BK151-1,"")</f>
        <v/>
      </c>
      <c r="EW150" s="58">
        <f>IFERROR($BL150/$BL151-1,"")</f>
        <v/>
      </c>
      <c r="EX150" s="58">
        <f>IFERROR($BM150/$BM151-1,"")</f>
        <v/>
      </c>
      <c r="EY150" s="58">
        <f>IFERROR($BN150/$BN151-1,"")</f>
        <v/>
      </c>
      <c r="EZ150" s="58">
        <f>IFERROR($BO150/$BO151-1,"")</f>
        <v/>
      </c>
      <c r="FA150" s="58">
        <f>IFERROR($BP150/$BP151-1,"")</f>
        <v/>
      </c>
      <c r="FB150" s="58">
        <f>IFERROR($BQ150/$BQ151-1,"")</f>
        <v/>
      </c>
      <c r="FC150" s="58">
        <f>IFERROR($BR150/$BR151-1,"")</f>
        <v/>
      </c>
      <c r="FD150" s="58">
        <f>IFERROR($BS150/$BS151-1,"")</f>
        <v/>
      </c>
      <c r="FE150" s="58">
        <f>IFERROR($BT150/$BT151-1,"")</f>
        <v/>
      </c>
      <c r="FF150" s="58">
        <f>IFERROR($BU150/$BU151-1,"")</f>
        <v/>
      </c>
      <c r="FG150" s="58">
        <f>IFERROR($BV150/$BV151-1,"")</f>
        <v/>
      </c>
      <c r="FH150" s="58">
        <f>IFERROR($BW150/$BW151-1,"")</f>
        <v/>
      </c>
      <c r="FI150" s="58">
        <f>IFERROR($BX150/$BX151-1,"")</f>
        <v/>
      </c>
      <c r="FJ150" s="59">
        <f>$BY150-$BY151</f>
        <v/>
      </c>
      <c r="FK150" s="59">
        <f>$BZ150-$BZ151</f>
        <v/>
      </c>
      <c r="FL150" s="59">
        <f>$CA150-$CA151</f>
        <v/>
      </c>
      <c r="FM150" s="59">
        <f>$CB150-$CB151</f>
        <v/>
      </c>
      <c r="FN150" s="59">
        <f>$CC150-$CC151</f>
        <v/>
      </c>
      <c r="FO150" s="59">
        <f>$CD150-$CD151</f>
        <v/>
      </c>
      <c r="FP150" s="59">
        <f>$CE150-$CE151</f>
        <v/>
      </c>
      <c r="FQ150" s="59">
        <f>$CF150-$CF151</f>
        <v/>
      </c>
      <c r="FR150" s="59">
        <f>$CG150-$CG151</f>
        <v/>
      </c>
      <c r="FS150" s="59">
        <f>$CH150-$CH151</f>
        <v/>
      </c>
      <c r="FT150" s="59">
        <f>$CI150-$CI151</f>
        <v/>
      </c>
      <c r="FU150" s="59">
        <f>$CJ150-$CJ151</f>
        <v/>
      </c>
      <c r="FV150" s="59">
        <f>$CK150-$CK151</f>
        <v/>
      </c>
      <c r="FW150" s="59">
        <f>$CL150-$CL151</f>
        <v/>
      </c>
      <c r="FX150" s="59">
        <f>$CM150-$CM151</f>
        <v/>
      </c>
      <c r="FY150" s="59">
        <f>$CN150-$CN151</f>
        <v/>
      </c>
      <c r="FZ150" s="59">
        <f>$CO150-$CO151</f>
        <v/>
      </c>
      <c r="GA150" s="59">
        <f>$CP150-$CP151</f>
        <v/>
      </c>
      <c r="GB150" s="59">
        <f>$CQ150-$CQ151</f>
        <v/>
      </c>
      <c r="GC150" s="59">
        <f>$CR150-$CR151</f>
        <v/>
      </c>
      <c r="GD150" s="59">
        <f>$CS150-$CS151</f>
        <v/>
      </c>
      <c r="GE150" s="59">
        <f>$CT150-$CT151</f>
        <v/>
      </c>
    </row>
    <row r="151">
      <c r="CU151" s="58">
        <f>IFERROR($B151/$B152-1,"")</f>
        <v/>
      </c>
      <c r="CV151" s="59">
        <f>($F151-$F152)*100</f>
        <v/>
      </c>
      <c r="CW151" s="59">
        <f>($E151-$E152)*100</f>
        <v/>
      </c>
      <c r="CX151" s="58">
        <f>IFERROR($K151/$K152-1,"")</f>
        <v/>
      </c>
      <c r="CY151" s="59">
        <f>($AH151-$AH152)*100</f>
        <v/>
      </c>
      <c r="CZ151" s="59">
        <f>($AI151-$AI152)*100</f>
        <v/>
      </c>
      <c r="DA151" s="59">
        <f>($AJ151-$AJ152)*100</f>
        <v/>
      </c>
      <c r="DB151" s="59">
        <f>($AK151-$AK152)*100</f>
        <v/>
      </c>
      <c r="DC151" s="59">
        <f>($AL151-$AL152)*100</f>
        <v/>
      </c>
      <c r="DD151" s="59">
        <f>($AM151-$AM152)*100</f>
        <v/>
      </c>
      <c r="DE151" s="59">
        <f>($AN151-$AN152)*100</f>
        <v/>
      </c>
      <c r="DF151" s="59">
        <f>($AO151-$AO152)*100</f>
        <v/>
      </c>
      <c r="DG151" s="59">
        <f>($AP151-$AP152)*100</f>
        <v/>
      </c>
      <c r="DH151" s="59">
        <f>($AQ151-$AQ152)*100</f>
        <v/>
      </c>
      <c r="DI151" s="59">
        <f>($AR151-$AR152)*100</f>
        <v/>
      </c>
      <c r="DJ151" s="59">
        <f>($AS151-$AS152)*100</f>
        <v/>
      </c>
      <c r="DK151" s="59">
        <f>($AT151-$AT152)*100</f>
        <v/>
      </c>
      <c r="DL151" s="59">
        <f>($AU151-$AU152)*100</f>
        <v/>
      </c>
      <c r="DM151" s="59">
        <f>($AV151-$AV152)*100</f>
        <v/>
      </c>
      <c r="DN151" s="59">
        <f>($AW151-$AW152)*100</f>
        <v/>
      </c>
      <c r="DO151" s="59">
        <f>($AX151-$AX152)*100</f>
        <v/>
      </c>
      <c r="DP151" s="59">
        <f>($AY151-$AY152)*100</f>
        <v/>
      </c>
      <c r="DQ151" s="59">
        <f>($AZ151-$AZ152)*100</f>
        <v/>
      </c>
      <c r="DR151" s="59">
        <f>($BA151-$BA152)*100</f>
        <v/>
      </c>
      <c r="DS151" s="58">
        <f>IFERROR($N152/$N151-1,"")</f>
        <v/>
      </c>
      <c r="DT151" s="58">
        <f>IFERROR($O152/$O151-1,"")</f>
        <v/>
      </c>
      <c r="DU151" s="58">
        <f>IFERROR($P152/$P151-1,"")</f>
        <v/>
      </c>
      <c r="DV151" s="58">
        <f>IFERROR($Q152/$Q151-1,"")</f>
        <v/>
      </c>
      <c r="DW151" s="58">
        <f>IFERROR($R152/$R151-1,"")</f>
        <v/>
      </c>
      <c r="DX151" s="58">
        <f>IFERROR($S152/$S151-1,"")</f>
        <v/>
      </c>
      <c r="DY151" s="58">
        <f>IFERROR($T152/$T151-1,"")</f>
        <v/>
      </c>
      <c r="DZ151" s="58">
        <f>IFERROR($U152/$U151-1,"")</f>
        <v/>
      </c>
      <c r="EA151" s="58">
        <f>IFERROR($V152/$V151-1,"")</f>
        <v/>
      </c>
      <c r="EB151" s="58">
        <f>IFERROR($W152/$W151-1,"")</f>
        <v/>
      </c>
      <c r="EC151" s="58">
        <f>IFERROR($X152/$X151-1,"")</f>
        <v/>
      </c>
      <c r="ED151" s="58">
        <f>IFERROR($Y152/$Y151-1,"")</f>
        <v/>
      </c>
      <c r="EE151" s="58">
        <f>IFERROR($Z152/$Z151-1,"")</f>
        <v/>
      </c>
      <c r="EF151" s="58">
        <f>IFERROR($AA152/$AA151-1,"")</f>
        <v/>
      </c>
      <c r="EG151" s="58">
        <f>IFERROR($AB152/$AB151-1,"")</f>
        <v/>
      </c>
      <c r="EH151" s="58">
        <f>IFERROR($AC152/$AC151-1,"")</f>
        <v/>
      </c>
      <c r="EI151" s="58">
        <f>IFERROR($AD152/$AD151-1,"")</f>
        <v/>
      </c>
      <c r="EJ151" s="58">
        <f>IFERROR($AE152/$AE151-1,"")</f>
        <v/>
      </c>
      <c r="EK151" s="58">
        <f>IFERROR($AF152/$AF151-1,"")</f>
        <v/>
      </c>
      <c r="EL151" s="58">
        <f>IFERROR($AG152/$AG151-1,"")</f>
        <v/>
      </c>
      <c r="EM151" s="58">
        <f>IFERROR($BB151/$BB152-1,"")</f>
        <v/>
      </c>
      <c r="EN151" s="58">
        <f>IFERROR($BC151/$BC152-1,"")</f>
        <v/>
      </c>
      <c r="EO151" s="58">
        <f>IFERROR($BD151/$BD152-1,"")</f>
        <v/>
      </c>
      <c r="EP151" s="58">
        <f>IFERROR($BE151/$BE152-1,"")</f>
        <v/>
      </c>
      <c r="EQ151" s="58">
        <f>IFERROR($BF151/$BF152-1,"")</f>
        <v/>
      </c>
      <c r="ER151" s="58">
        <f>IFERROR($BG151/$BG152-1,"")</f>
        <v/>
      </c>
      <c r="ES151" s="58">
        <f>IFERROR($BH151/$BH152-1,"")</f>
        <v/>
      </c>
      <c r="ET151" s="58">
        <f>IFERROR($BI151/$BI152-1,"")</f>
        <v/>
      </c>
      <c r="EU151" s="58">
        <f>IFERROR($BJ151/$BJ152-1,"")</f>
        <v/>
      </c>
      <c r="EV151" s="58">
        <f>IFERROR($BK151/$BK152-1,"")</f>
        <v/>
      </c>
      <c r="EW151" s="58">
        <f>IFERROR($BL151/$BL152-1,"")</f>
        <v/>
      </c>
      <c r="EX151" s="58">
        <f>IFERROR($BM151/$BM152-1,"")</f>
        <v/>
      </c>
      <c r="EY151" s="58">
        <f>IFERROR($BN151/$BN152-1,"")</f>
        <v/>
      </c>
      <c r="EZ151" s="58">
        <f>IFERROR($BO151/$BO152-1,"")</f>
        <v/>
      </c>
      <c r="FA151" s="58">
        <f>IFERROR($BP151/$BP152-1,"")</f>
        <v/>
      </c>
      <c r="FB151" s="58">
        <f>IFERROR($BQ151/$BQ152-1,"")</f>
        <v/>
      </c>
      <c r="FC151" s="58">
        <f>IFERROR($BR151/$BR152-1,"")</f>
        <v/>
      </c>
      <c r="FD151" s="58">
        <f>IFERROR($BS151/$BS152-1,"")</f>
        <v/>
      </c>
      <c r="FE151" s="58">
        <f>IFERROR($BT151/$BT152-1,"")</f>
        <v/>
      </c>
      <c r="FF151" s="58">
        <f>IFERROR($BU151/$BU152-1,"")</f>
        <v/>
      </c>
      <c r="FG151" s="58">
        <f>IFERROR($BV151/$BV152-1,"")</f>
        <v/>
      </c>
      <c r="FH151" s="58">
        <f>IFERROR($BW151/$BW152-1,"")</f>
        <v/>
      </c>
      <c r="FI151" s="58">
        <f>IFERROR($BX151/$BX152-1,"")</f>
        <v/>
      </c>
      <c r="FJ151" s="59">
        <f>$BY151-$BY152</f>
        <v/>
      </c>
      <c r="FK151" s="59">
        <f>$BZ151-$BZ152</f>
        <v/>
      </c>
      <c r="FL151" s="59">
        <f>$CA151-$CA152</f>
        <v/>
      </c>
      <c r="FM151" s="59">
        <f>$CB151-$CB152</f>
        <v/>
      </c>
      <c r="FN151" s="59">
        <f>$CC151-$CC152</f>
        <v/>
      </c>
      <c r="FO151" s="59">
        <f>$CD151-$CD152</f>
        <v/>
      </c>
      <c r="FP151" s="59">
        <f>$CE151-$CE152</f>
        <v/>
      </c>
      <c r="FQ151" s="59">
        <f>$CF151-$CF152</f>
        <v/>
      </c>
      <c r="FR151" s="59">
        <f>$CG151-$CG152</f>
        <v/>
      </c>
      <c r="FS151" s="59">
        <f>$CH151-$CH152</f>
        <v/>
      </c>
      <c r="FT151" s="59">
        <f>$CI151-$CI152</f>
        <v/>
      </c>
      <c r="FU151" s="59">
        <f>$CJ151-$CJ152</f>
        <v/>
      </c>
      <c r="FV151" s="59">
        <f>$CK151-$CK152</f>
        <v/>
      </c>
      <c r="FW151" s="59">
        <f>$CL151-$CL152</f>
        <v/>
      </c>
      <c r="FX151" s="59">
        <f>$CM151-$CM152</f>
        <v/>
      </c>
      <c r="FY151" s="59">
        <f>$CN151-$CN152</f>
        <v/>
      </c>
      <c r="FZ151" s="59">
        <f>$CO151-$CO152</f>
        <v/>
      </c>
      <c r="GA151" s="59">
        <f>$CP151-$CP152</f>
        <v/>
      </c>
      <c r="GB151" s="59">
        <f>$CQ151-$CQ152</f>
        <v/>
      </c>
      <c r="GC151" s="59">
        <f>$CR151-$CR152</f>
        <v/>
      </c>
      <c r="GD151" s="59">
        <f>$CS151-$CS152</f>
        <v/>
      </c>
      <c r="GE151" s="59">
        <f>$CT151-$CT152</f>
        <v/>
      </c>
    </row>
    <row r="152">
      <c r="CU152" s="58">
        <f>IFERROR($B152/$B153-1,"")</f>
        <v/>
      </c>
      <c r="CV152" s="59">
        <f>($F152-$F153)*100</f>
        <v/>
      </c>
      <c r="CW152" s="59">
        <f>($E152-$E153)*100</f>
        <v/>
      </c>
      <c r="CX152" s="58">
        <f>IFERROR($K152/$K153-1,"")</f>
        <v/>
      </c>
      <c r="CY152" s="59">
        <f>($AH152-$AH153)*100</f>
        <v/>
      </c>
      <c r="CZ152" s="59">
        <f>($AI152-$AI153)*100</f>
        <v/>
      </c>
      <c r="DA152" s="59">
        <f>($AJ152-$AJ153)*100</f>
        <v/>
      </c>
      <c r="DB152" s="59">
        <f>($AK152-$AK153)*100</f>
        <v/>
      </c>
      <c r="DC152" s="59">
        <f>($AL152-$AL153)*100</f>
        <v/>
      </c>
      <c r="DD152" s="59">
        <f>($AM152-$AM153)*100</f>
        <v/>
      </c>
      <c r="DE152" s="59">
        <f>($AN152-$AN153)*100</f>
        <v/>
      </c>
      <c r="DF152" s="59">
        <f>($AO152-$AO153)*100</f>
        <v/>
      </c>
      <c r="DG152" s="59">
        <f>($AP152-$AP153)*100</f>
        <v/>
      </c>
      <c r="DH152" s="59">
        <f>($AQ152-$AQ153)*100</f>
        <v/>
      </c>
      <c r="DI152" s="59">
        <f>($AR152-$AR153)*100</f>
        <v/>
      </c>
      <c r="DJ152" s="59">
        <f>($AS152-$AS153)*100</f>
        <v/>
      </c>
      <c r="DK152" s="59">
        <f>($AT152-$AT153)*100</f>
        <v/>
      </c>
      <c r="DL152" s="59">
        <f>($AU152-$AU153)*100</f>
        <v/>
      </c>
      <c r="DM152" s="59">
        <f>($AV152-$AV153)*100</f>
        <v/>
      </c>
      <c r="DN152" s="59">
        <f>($AW152-$AW153)*100</f>
        <v/>
      </c>
      <c r="DO152" s="59">
        <f>($AX152-$AX153)*100</f>
        <v/>
      </c>
      <c r="DP152" s="59">
        <f>($AY152-$AY153)*100</f>
        <v/>
      </c>
      <c r="DQ152" s="59">
        <f>($AZ152-$AZ153)*100</f>
        <v/>
      </c>
      <c r="DR152" s="59">
        <f>($BA152-$BA153)*100</f>
        <v/>
      </c>
      <c r="DS152" s="58">
        <f>IFERROR($N153/$N152-1,"")</f>
        <v/>
      </c>
      <c r="DT152" s="58">
        <f>IFERROR($O153/$O152-1,"")</f>
        <v/>
      </c>
      <c r="DU152" s="58">
        <f>IFERROR($P153/$P152-1,"")</f>
        <v/>
      </c>
      <c r="DV152" s="58">
        <f>IFERROR($Q153/$Q152-1,"")</f>
        <v/>
      </c>
      <c r="DW152" s="58">
        <f>IFERROR($R153/$R152-1,"")</f>
        <v/>
      </c>
      <c r="DX152" s="58">
        <f>IFERROR($S153/$S152-1,"")</f>
        <v/>
      </c>
      <c r="DY152" s="58">
        <f>IFERROR($T153/$T152-1,"")</f>
        <v/>
      </c>
      <c r="DZ152" s="58">
        <f>IFERROR($U153/$U152-1,"")</f>
        <v/>
      </c>
      <c r="EA152" s="58">
        <f>IFERROR($V153/$V152-1,"")</f>
        <v/>
      </c>
      <c r="EB152" s="58">
        <f>IFERROR($W153/$W152-1,"")</f>
        <v/>
      </c>
      <c r="EC152" s="58">
        <f>IFERROR($X153/$X152-1,"")</f>
        <v/>
      </c>
      <c r="ED152" s="58">
        <f>IFERROR($Y153/$Y152-1,"")</f>
        <v/>
      </c>
      <c r="EE152" s="58">
        <f>IFERROR($Z153/$Z152-1,"")</f>
        <v/>
      </c>
      <c r="EF152" s="58">
        <f>IFERROR($AA153/$AA152-1,"")</f>
        <v/>
      </c>
      <c r="EG152" s="58">
        <f>IFERROR($AB153/$AB152-1,"")</f>
        <v/>
      </c>
      <c r="EH152" s="58">
        <f>IFERROR($AC153/$AC152-1,"")</f>
        <v/>
      </c>
      <c r="EI152" s="58">
        <f>IFERROR($AD153/$AD152-1,"")</f>
        <v/>
      </c>
      <c r="EJ152" s="58">
        <f>IFERROR($AE153/$AE152-1,"")</f>
        <v/>
      </c>
      <c r="EK152" s="58">
        <f>IFERROR($AF153/$AF152-1,"")</f>
        <v/>
      </c>
      <c r="EL152" s="58">
        <f>IFERROR($AG153/$AG152-1,"")</f>
        <v/>
      </c>
      <c r="EM152" s="58">
        <f>IFERROR($BB152/$BB153-1,"")</f>
        <v/>
      </c>
      <c r="EN152" s="58">
        <f>IFERROR($BC152/$BC153-1,"")</f>
        <v/>
      </c>
      <c r="EO152" s="58">
        <f>IFERROR($BD152/$BD153-1,"")</f>
        <v/>
      </c>
      <c r="EP152" s="58">
        <f>IFERROR($BE152/$BE153-1,"")</f>
        <v/>
      </c>
      <c r="EQ152" s="58">
        <f>IFERROR($BF152/$BF153-1,"")</f>
        <v/>
      </c>
      <c r="ER152" s="58">
        <f>IFERROR($BG152/$BG153-1,"")</f>
        <v/>
      </c>
      <c r="ES152" s="58">
        <f>IFERROR($BH152/$BH153-1,"")</f>
        <v/>
      </c>
      <c r="ET152" s="58">
        <f>IFERROR($BI152/$BI153-1,"")</f>
        <v/>
      </c>
      <c r="EU152" s="58">
        <f>IFERROR($BJ152/$BJ153-1,"")</f>
        <v/>
      </c>
      <c r="EV152" s="58">
        <f>IFERROR($BK152/$BK153-1,"")</f>
        <v/>
      </c>
      <c r="EW152" s="58">
        <f>IFERROR($BL152/$BL153-1,"")</f>
        <v/>
      </c>
      <c r="EX152" s="58">
        <f>IFERROR($BM152/$BM153-1,"")</f>
        <v/>
      </c>
      <c r="EY152" s="58">
        <f>IFERROR($BN152/$BN153-1,"")</f>
        <v/>
      </c>
      <c r="EZ152" s="58">
        <f>IFERROR($BO152/$BO153-1,"")</f>
        <v/>
      </c>
      <c r="FA152" s="58">
        <f>IFERROR($BP152/$BP153-1,"")</f>
        <v/>
      </c>
      <c r="FB152" s="58">
        <f>IFERROR($BQ152/$BQ153-1,"")</f>
        <v/>
      </c>
      <c r="FC152" s="58">
        <f>IFERROR($BR152/$BR153-1,"")</f>
        <v/>
      </c>
      <c r="FD152" s="58">
        <f>IFERROR($BS152/$BS153-1,"")</f>
        <v/>
      </c>
      <c r="FE152" s="58">
        <f>IFERROR($BT152/$BT153-1,"")</f>
        <v/>
      </c>
      <c r="FF152" s="58">
        <f>IFERROR($BU152/$BU153-1,"")</f>
        <v/>
      </c>
      <c r="FG152" s="58">
        <f>IFERROR($BV152/$BV153-1,"")</f>
        <v/>
      </c>
      <c r="FH152" s="58">
        <f>IFERROR($BW152/$BW153-1,"")</f>
        <v/>
      </c>
      <c r="FI152" s="58">
        <f>IFERROR($BX152/$BX153-1,"")</f>
        <v/>
      </c>
      <c r="FJ152" s="59">
        <f>$BY152-$BY153</f>
        <v/>
      </c>
      <c r="FK152" s="59">
        <f>$BZ152-$BZ153</f>
        <v/>
      </c>
      <c r="FL152" s="59">
        <f>$CA152-$CA153</f>
        <v/>
      </c>
      <c r="FM152" s="59">
        <f>$CB152-$CB153</f>
        <v/>
      </c>
      <c r="FN152" s="59">
        <f>$CC152-$CC153</f>
        <v/>
      </c>
      <c r="FO152" s="59">
        <f>$CD152-$CD153</f>
        <v/>
      </c>
      <c r="FP152" s="59">
        <f>$CE152-$CE153</f>
        <v/>
      </c>
      <c r="FQ152" s="59">
        <f>$CF152-$CF153</f>
        <v/>
      </c>
      <c r="FR152" s="59">
        <f>$CG152-$CG153</f>
        <v/>
      </c>
      <c r="FS152" s="59">
        <f>$CH152-$CH153</f>
        <v/>
      </c>
      <c r="FT152" s="59">
        <f>$CI152-$CI153</f>
        <v/>
      </c>
      <c r="FU152" s="59">
        <f>$CJ152-$CJ153</f>
        <v/>
      </c>
      <c r="FV152" s="59">
        <f>$CK152-$CK153</f>
        <v/>
      </c>
      <c r="FW152" s="59">
        <f>$CL152-$CL153</f>
        <v/>
      </c>
      <c r="FX152" s="59">
        <f>$CM152-$CM153</f>
        <v/>
      </c>
      <c r="FY152" s="59">
        <f>$CN152-$CN153</f>
        <v/>
      </c>
      <c r="FZ152" s="59">
        <f>$CO152-$CO153</f>
        <v/>
      </c>
      <c r="GA152" s="59">
        <f>$CP152-$CP153</f>
        <v/>
      </c>
      <c r="GB152" s="59">
        <f>$CQ152-$CQ153</f>
        <v/>
      </c>
      <c r="GC152" s="59">
        <f>$CR152-$CR153</f>
        <v/>
      </c>
      <c r="GD152" s="59">
        <f>$CS152-$CS153</f>
        <v/>
      </c>
      <c r="GE152" s="59">
        <f>$CT152-$CT153</f>
        <v/>
      </c>
    </row>
    <row r="153">
      <c r="CU153" s="58">
        <f>IFERROR($B153/$B154-1,"")</f>
        <v/>
      </c>
      <c r="CV153" s="59">
        <f>($F153-$F154)*100</f>
        <v/>
      </c>
      <c r="CW153" s="59">
        <f>($E153-$E154)*100</f>
        <v/>
      </c>
      <c r="CX153" s="58">
        <f>IFERROR($K153/$K154-1,"")</f>
        <v/>
      </c>
      <c r="CY153" s="59">
        <f>($AH153-$AH154)*100</f>
        <v/>
      </c>
      <c r="CZ153" s="59">
        <f>($AI153-$AI154)*100</f>
        <v/>
      </c>
      <c r="DA153" s="59">
        <f>($AJ153-$AJ154)*100</f>
        <v/>
      </c>
      <c r="DB153" s="59">
        <f>($AK153-$AK154)*100</f>
        <v/>
      </c>
      <c r="DC153" s="59">
        <f>($AL153-$AL154)*100</f>
        <v/>
      </c>
      <c r="DD153" s="59">
        <f>($AM153-$AM154)*100</f>
        <v/>
      </c>
      <c r="DE153" s="59">
        <f>($AN153-$AN154)*100</f>
        <v/>
      </c>
      <c r="DF153" s="59">
        <f>($AO153-$AO154)*100</f>
        <v/>
      </c>
      <c r="DG153" s="59">
        <f>($AP153-$AP154)*100</f>
        <v/>
      </c>
      <c r="DH153" s="59">
        <f>($AQ153-$AQ154)*100</f>
        <v/>
      </c>
      <c r="DI153" s="59">
        <f>($AR153-$AR154)*100</f>
        <v/>
      </c>
      <c r="DJ153" s="59">
        <f>($AS153-$AS154)*100</f>
        <v/>
      </c>
      <c r="DK153" s="59">
        <f>($AT153-$AT154)*100</f>
        <v/>
      </c>
      <c r="DL153" s="59">
        <f>($AU153-$AU154)*100</f>
        <v/>
      </c>
      <c r="DM153" s="59">
        <f>($AV153-$AV154)*100</f>
        <v/>
      </c>
      <c r="DN153" s="59">
        <f>($AW153-$AW154)*100</f>
        <v/>
      </c>
      <c r="DO153" s="59">
        <f>($AX153-$AX154)*100</f>
        <v/>
      </c>
      <c r="DP153" s="59">
        <f>($AY153-$AY154)*100</f>
        <v/>
      </c>
      <c r="DQ153" s="59">
        <f>($AZ153-$AZ154)*100</f>
        <v/>
      </c>
      <c r="DR153" s="59">
        <f>($BA153-$BA154)*100</f>
        <v/>
      </c>
      <c r="DS153" s="58">
        <f>IFERROR($N154/$N153-1,"")</f>
        <v/>
      </c>
      <c r="DT153" s="58">
        <f>IFERROR($O154/$O153-1,"")</f>
        <v/>
      </c>
      <c r="DU153" s="58">
        <f>IFERROR($P154/$P153-1,"")</f>
        <v/>
      </c>
      <c r="DV153" s="58">
        <f>IFERROR($Q154/$Q153-1,"")</f>
        <v/>
      </c>
      <c r="DW153" s="58">
        <f>IFERROR($R154/$R153-1,"")</f>
        <v/>
      </c>
      <c r="DX153" s="58">
        <f>IFERROR($S154/$S153-1,"")</f>
        <v/>
      </c>
      <c r="DY153" s="58">
        <f>IFERROR($T154/$T153-1,"")</f>
        <v/>
      </c>
      <c r="DZ153" s="58">
        <f>IFERROR($U154/$U153-1,"")</f>
        <v/>
      </c>
      <c r="EA153" s="58">
        <f>IFERROR($V154/$V153-1,"")</f>
        <v/>
      </c>
      <c r="EB153" s="58">
        <f>IFERROR($W154/$W153-1,"")</f>
        <v/>
      </c>
      <c r="EC153" s="58">
        <f>IFERROR($X154/$X153-1,"")</f>
        <v/>
      </c>
      <c r="ED153" s="58">
        <f>IFERROR($Y154/$Y153-1,"")</f>
        <v/>
      </c>
      <c r="EE153" s="58">
        <f>IFERROR($Z154/$Z153-1,"")</f>
        <v/>
      </c>
      <c r="EF153" s="58">
        <f>IFERROR($AA154/$AA153-1,"")</f>
        <v/>
      </c>
      <c r="EG153" s="58">
        <f>IFERROR($AB154/$AB153-1,"")</f>
        <v/>
      </c>
      <c r="EH153" s="58">
        <f>IFERROR($AC154/$AC153-1,"")</f>
        <v/>
      </c>
      <c r="EI153" s="58">
        <f>IFERROR($AD154/$AD153-1,"")</f>
        <v/>
      </c>
      <c r="EJ153" s="58">
        <f>IFERROR($AE154/$AE153-1,"")</f>
        <v/>
      </c>
      <c r="EK153" s="58">
        <f>IFERROR($AF154/$AF153-1,"")</f>
        <v/>
      </c>
      <c r="EL153" s="58">
        <f>IFERROR($AG154/$AG153-1,"")</f>
        <v/>
      </c>
      <c r="EM153" s="58">
        <f>IFERROR($BB153/$BB154-1,"")</f>
        <v/>
      </c>
      <c r="EN153" s="58">
        <f>IFERROR($BC153/$BC154-1,"")</f>
        <v/>
      </c>
      <c r="EO153" s="58">
        <f>IFERROR($BD153/$BD154-1,"")</f>
        <v/>
      </c>
      <c r="EP153" s="58">
        <f>IFERROR($BE153/$BE154-1,"")</f>
        <v/>
      </c>
      <c r="EQ153" s="58">
        <f>IFERROR($BF153/$BF154-1,"")</f>
        <v/>
      </c>
      <c r="ER153" s="58">
        <f>IFERROR($BG153/$BG154-1,"")</f>
        <v/>
      </c>
      <c r="ES153" s="58">
        <f>IFERROR($BH153/$BH154-1,"")</f>
        <v/>
      </c>
      <c r="ET153" s="58">
        <f>IFERROR($BI153/$BI154-1,"")</f>
        <v/>
      </c>
      <c r="EU153" s="58">
        <f>IFERROR($BJ153/$BJ154-1,"")</f>
        <v/>
      </c>
      <c r="EV153" s="58">
        <f>IFERROR($BK153/$BK154-1,"")</f>
        <v/>
      </c>
      <c r="EW153" s="58">
        <f>IFERROR($BL153/$BL154-1,"")</f>
        <v/>
      </c>
      <c r="EX153" s="58">
        <f>IFERROR($BM153/$BM154-1,"")</f>
        <v/>
      </c>
      <c r="EY153" s="58">
        <f>IFERROR($BN153/$BN154-1,"")</f>
        <v/>
      </c>
      <c r="EZ153" s="58">
        <f>IFERROR($BO153/$BO154-1,"")</f>
        <v/>
      </c>
      <c r="FA153" s="58">
        <f>IFERROR($BP153/$BP154-1,"")</f>
        <v/>
      </c>
      <c r="FB153" s="58">
        <f>IFERROR($BQ153/$BQ154-1,"")</f>
        <v/>
      </c>
      <c r="FC153" s="58">
        <f>IFERROR($BR153/$BR154-1,"")</f>
        <v/>
      </c>
      <c r="FD153" s="58">
        <f>IFERROR($BS153/$BS154-1,"")</f>
        <v/>
      </c>
      <c r="FE153" s="58">
        <f>IFERROR($BT153/$BT154-1,"")</f>
        <v/>
      </c>
      <c r="FF153" s="58">
        <f>IFERROR($BU153/$BU154-1,"")</f>
        <v/>
      </c>
      <c r="FG153" s="58">
        <f>IFERROR($BV153/$BV154-1,"")</f>
        <v/>
      </c>
      <c r="FH153" s="58">
        <f>IFERROR($BW153/$BW154-1,"")</f>
        <v/>
      </c>
      <c r="FI153" s="58">
        <f>IFERROR($BX153/$BX154-1,"")</f>
        <v/>
      </c>
      <c r="FJ153" s="59">
        <f>$BY153-$BY154</f>
        <v/>
      </c>
      <c r="FK153" s="59">
        <f>$BZ153-$BZ154</f>
        <v/>
      </c>
      <c r="FL153" s="59">
        <f>$CA153-$CA154</f>
        <v/>
      </c>
      <c r="FM153" s="59">
        <f>$CB153-$CB154</f>
        <v/>
      </c>
      <c r="FN153" s="59">
        <f>$CC153-$CC154</f>
        <v/>
      </c>
      <c r="FO153" s="59">
        <f>$CD153-$CD154</f>
        <v/>
      </c>
      <c r="FP153" s="59">
        <f>$CE153-$CE154</f>
        <v/>
      </c>
      <c r="FQ153" s="59">
        <f>$CF153-$CF154</f>
        <v/>
      </c>
      <c r="FR153" s="59">
        <f>$CG153-$CG154</f>
        <v/>
      </c>
      <c r="FS153" s="59">
        <f>$CH153-$CH154</f>
        <v/>
      </c>
      <c r="FT153" s="59">
        <f>$CI153-$CI154</f>
        <v/>
      </c>
      <c r="FU153" s="59">
        <f>$CJ153-$CJ154</f>
        <v/>
      </c>
      <c r="FV153" s="59">
        <f>$CK153-$CK154</f>
        <v/>
      </c>
      <c r="FW153" s="59">
        <f>$CL153-$CL154</f>
        <v/>
      </c>
      <c r="FX153" s="59">
        <f>$CM153-$CM154</f>
        <v/>
      </c>
      <c r="FY153" s="59">
        <f>$CN153-$CN154</f>
        <v/>
      </c>
      <c r="FZ153" s="59">
        <f>$CO153-$CO154</f>
        <v/>
      </c>
      <c r="GA153" s="59">
        <f>$CP153-$CP154</f>
        <v/>
      </c>
      <c r="GB153" s="59">
        <f>$CQ153-$CQ154</f>
        <v/>
      </c>
      <c r="GC153" s="59">
        <f>$CR153-$CR154</f>
        <v/>
      </c>
      <c r="GD153" s="59">
        <f>$CS153-$CS154</f>
        <v/>
      </c>
      <c r="GE153" s="59">
        <f>$CT153-$CT154</f>
        <v/>
      </c>
    </row>
    <row r="154">
      <c r="CU154" s="58">
        <f>IFERROR($B154/$B155-1,"")</f>
        <v/>
      </c>
      <c r="CV154" s="59">
        <f>($F154-$F155)*100</f>
        <v/>
      </c>
      <c r="CW154" s="59">
        <f>($E154-$E155)*100</f>
        <v/>
      </c>
      <c r="CX154" s="58">
        <f>IFERROR($K154/$K155-1,"")</f>
        <v/>
      </c>
      <c r="CY154" s="59">
        <f>($AH154-$AH155)*100</f>
        <v/>
      </c>
      <c r="CZ154" s="59">
        <f>($AI154-$AI155)*100</f>
        <v/>
      </c>
      <c r="DA154" s="59">
        <f>($AJ154-$AJ155)*100</f>
        <v/>
      </c>
      <c r="DB154" s="59">
        <f>($AK154-$AK155)*100</f>
        <v/>
      </c>
      <c r="DC154" s="59">
        <f>($AL154-$AL155)*100</f>
        <v/>
      </c>
      <c r="DD154" s="59">
        <f>($AM154-$AM155)*100</f>
        <v/>
      </c>
      <c r="DE154" s="59">
        <f>($AN154-$AN155)*100</f>
        <v/>
      </c>
      <c r="DF154" s="59">
        <f>($AO154-$AO155)*100</f>
        <v/>
      </c>
      <c r="DG154" s="59">
        <f>($AP154-$AP155)*100</f>
        <v/>
      </c>
      <c r="DH154" s="59">
        <f>($AQ154-$AQ155)*100</f>
        <v/>
      </c>
      <c r="DI154" s="59">
        <f>($AR154-$AR155)*100</f>
        <v/>
      </c>
      <c r="DJ154" s="59">
        <f>($AS154-$AS155)*100</f>
        <v/>
      </c>
      <c r="DK154" s="59">
        <f>($AT154-$AT155)*100</f>
        <v/>
      </c>
      <c r="DL154" s="59">
        <f>($AU154-$AU155)*100</f>
        <v/>
      </c>
      <c r="DM154" s="59">
        <f>($AV154-$AV155)*100</f>
        <v/>
      </c>
      <c r="DN154" s="59">
        <f>($AW154-$AW155)*100</f>
        <v/>
      </c>
      <c r="DO154" s="59">
        <f>($AX154-$AX155)*100</f>
        <v/>
      </c>
      <c r="DP154" s="59">
        <f>($AY154-$AY155)*100</f>
        <v/>
      </c>
      <c r="DQ154" s="59">
        <f>($AZ154-$AZ155)*100</f>
        <v/>
      </c>
      <c r="DR154" s="59">
        <f>($BA154-$BA155)*100</f>
        <v/>
      </c>
      <c r="DS154" s="58">
        <f>IFERROR($N155/$N154-1,"")</f>
        <v/>
      </c>
      <c r="DT154" s="58">
        <f>IFERROR($O155/$O154-1,"")</f>
        <v/>
      </c>
      <c r="DU154" s="58">
        <f>IFERROR($P155/$P154-1,"")</f>
        <v/>
      </c>
      <c r="DV154" s="58">
        <f>IFERROR($Q155/$Q154-1,"")</f>
        <v/>
      </c>
      <c r="DW154" s="58">
        <f>IFERROR($R155/$R154-1,"")</f>
        <v/>
      </c>
      <c r="DX154" s="58">
        <f>IFERROR($S155/$S154-1,"")</f>
        <v/>
      </c>
      <c r="DY154" s="58">
        <f>IFERROR($T155/$T154-1,"")</f>
        <v/>
      </c>
      <c r="DZ154" s="58">
        <f>IFERROR($U155/$U154-1,"")</f>
        <v/>
      </c>
      <c r="EA154" s="58">
        <f>IFERROR($V155/$V154-1,"")</f>
        <v/>
      </c>
      <c r="EB154" s="58">
        <f>IFERROR($W155/$W154-1,"")</f>
        <v/>
      </c>
      <c r="EC154" s="58">
        <f>IFERROR($X155/$X154-1,"")</f>
        <v/>
      </c>
      <c r="ED154" s="58">
        <f>IFERROR($Y155/$Y154-1,"")</f>
        <v/>
      </c>
      <c r="EE154" s="58">
        <f>IFERROR($Z155/$Z154-1,"")</f>
        <v/>
      </c>
      <c r="EF154" s="58">
        <f>IFERROR($AA155/$AA154-1,"")</f>
        <v/>
      </c>
      <c r="EG154" s="58">
        <f>IFERROR($AB155/$AB154-1,"")</f>
        <v/>
      </c>
      <c r="EH154" s="58">
        <f>IFERROR($AC155/$AC154-1,"")</f>
        <v/>
      </c>
      <c r="EI154" s="58">
        <f>IFERROR($AD155/$AD154-1,"")</f>
        <v/>
      </c>
      <c r="EJ154" s="58">
        <f>IFERROR($AE155/$AE154-1,"")</f>
        <v/>
      </c>
      <c r="EK154" s="58">
        <f>IFERROR($AF155/$AF154-1,"")</f>
        <v/>
      </c>
      <c r="EL154" s="58">
        <f>IFERROR($AG155/$AG154-1,"")</f>
        <v/>
      </c>
      <c r="EM154" s="58">
        <f>IFERROR($BB154/$BB155-1,"")</f>
        <v/>
      </c>
      <c r="EN154" s="58">
        <f>IFERROR($BC154/$BC155-1,"")</f>
        <v/>
      </c>
      <c r="EO154" s="58">
        <f>IFERROR($BD154/$BD155-1,"")</f>
        <v/>
      </c>
      <c r="EP154" s="58">
        <f>IFERROR($BE154/$BE155-1,"")</f>
        <v/>
      </c>
      <c r="EQ154" s="58">
        <f>IFERROR($BF154/$BF155-1,"")</f>
        <v/>
      </c>
      <c r="ER154" s="58">
        <f>IFERROR($BG154/$BG155-1,"")</f>
        <v/>
      </c>
      <c r="ES154" s="58">
        <f>IFERROR($BH154/$BH155-1,"")</f>
        <v/>
      </c>
      <c r="ET154" s="58">
        <f>IFERROR($BI154/$BI155-1,"")</f>
        <v/>
      </c>
      <c r="EU154" s="58">
        <f>IFERROR($BJ154/$BJ155-1,"")</f>
        <v/>
      </c>
      <c r="EV154" s="58">
        <f>IFERROR($BK154/$BK155-1,"")</f>
        <v/>
      </c>
      <c r="EW154" s="58">
        <f>IFERROR($BL154/$BL155-1,"")</f>
        <v/>
      </c>
      <c r="EX154" s="58">
        <f>IFERROR($BM154/$BM155-1,"")</f>
        <v/>
      </c>
      <c r="EY154" s="58">
        <f>IFERROR($BN154/$BN155-1,"")</f>
        <v/>
      </c>
      <c r="EZ154" s="58">
        <f>IFERROR($BO154/$BO155-1,"")</f>
        <v/>
      </c>
      <c r="FA154" s="58">
        <f>IFERROR($BP154/$BP155-1,"")</f>
        <v/>
      </c>
      <c r="FB154" s="58">
        <f>IFERROR($BQ154/$BQ155-1,"")</f>
        <v/>
      </c>
      <c r="FC154" s="58">
        <f>IFERROR($BR154/$BR155-1,"")</f>
        <v/>
      </c>
      <c r="FD154" s="58">
        <f>IFERROR($BS154/$BS155-1,"")</f>
        <v/>
      </c>
      <c r="FE154" s="58">
        <f>IFERROR($BT154/$BT155-1,"")</f>
        <v/>
      </c>
      <c r="FF154" s="58">
        <f>IFERROR($BU154/$BU155-1,"")</f>
        <v/>
      </c>
      <c r="FG154" s="58">
        <f>IFERROR($BV154/$BV155-1,"")</f>
        <v/>
      </c>
      <c r="FH154" s="58">
        <f>IFERROR($BW154/$BW155-1,"")</f>
        <v/>
      </c>
      <c r="FI154" s="58">
        <f>IFERROR($BX154/$BX155-1,"")</f>
        <v/>
      </c>
      <c r="FJ154" s="59">
        <f>$BY154-$BY155</f>
        <v/>
      </c>
      <c r="FK154" s="59">
        <f>$BZ154-$BZ155</f>
        <v/>
      </c>
      <c r="FL154" s="59">
        <f>$CA154-$CA155</f>
        <v/>
      </c>
      <c r="FM154" s="59">
        <f>$CB154-$CB155</f>
        <v/>
      </c>
      <c r="FN154" s="59">
        <f>$CC154-$CC155</f>
        <v/>
      </c>
      <c r="FO154" s="59">
        <f>$CD154-$CD155</f>
        <v/>
      </c>
      <c r="FP154" s="59">
        <f>$CE154-$CE155</f>
        <v/>
      </c>
      <c r="FQ154" s="59">
        <f>$CF154-$CF155</f>
        <v/>
      </c>
      <c r="FR154" s="59">
        <f>$CG154-$CG155</f>
        <v/>
      </c>
      <c r="FS154" s="59">
        <f>$CH154-$CH155</f>
        <v/>
      </c>
      <c r="FT154" s="59">
        <f>$CI154-$CI155</f>
        <v/>
      </c>
      <c r="FU154" s="59">
        <f>$CJ154-$CJ155</f>
        <v/>
      </c>
      <c r="FV154" s="59">
        <f>$CK154-$CK155</f>
        <v/>
      </c>
      <c r="FW154" s="59">
        <f>$CL154-$CL155</f>
        <v/>
      </c>
      <c r="FX154" s="59">
        <f>$CM154-$CM155</f>
        <v/>
      </c>
      <c r="FY154" s="59">
        <f>$CN154-$CN155</f>
        <v/>
      </c>
      <c r="FZ154" s="59">
        <f>$CO154-$CO155</f>
        <v/>
      </c>
      <c r="GA154" s="59">
        <f>$CP154-$CP155</f>
        <v/>
      </c>
      <c r="GB154" s="59">
        <f>$CQ154-$CQ155</f>
        <v/>
      </c>
      <c r="GC154" s="59">
        <f>$CR154-$CR155</f>
        <v/>
      </c>
      <c r="GD154" s="59">
        <f>$CS154-$CS155</f>
        <v/>
      </c>
      <c r="GE154" s="59">
        <f>$CT154-$CT155</f>
        <v/>
      </c>
    </row>
    <row r="155">
      <c r="CU155" s="58">
        <f>IFERROR($B155/$B156-1,"")</f>
        <v/>
      </c>
      <c r="CV155" s="59">
        <f>($F155-$F156)*100</f>
        <v/>
      </c>
      <c r="CW155" s="59">
        <f>($E155-$E156)*100</f>
        <v/>
      </c>
      <c r="CX155" s="58">
        <f>IFERROR($K155/$K156-1,"")</f>
        <v/>
      </c>
      <c r="CY155" s="59">
        <f>($AH155-$AH156)*100</f>
        <v/>
      </c>
      <c r="CZ155" s="59">
        <f>($AI155-$AI156)*100</f>
        <v/>
      </c>
      <c r="DA155" s="59">
        <f>($AJ155-$AJ156)*100</f>
        <v/>
      </c>
      <c r="DB155" s="59">
        <f>($AK155-$AK156)*100</f>
        <v/>
      </c>
      <c r="DC155" s="59">
        <f>($AL155-$AL156)*100</f>
        <v/>
      </c>
      <c r="DD155" s="59">
        <f>($AM155-$AM156)*100</f>
        <v/>
      </c>
      <c r="DE155" s="59">
        <f>($AN155-$AN156)*100</f>
        <v/>
      </c>
      <c r="DF155" s="59">
        <f>($AO155-$AO156)*100</f>
        <v/>
      </c>
      <c r="DG155" s="59">
        <f>($AP155-$AP156)*100</f>
        <v/>
      </c>
      <c r="DH155" s="59">
        <f>($AQ155-$AQ156)*100</f>
        <v/>
      </c>
      <c r="DI155" s="59">
        <f>($AR155-$AR156)*100</f>
        <v/>
      </c>
      <c r="DJ155" s="59">
        <f>($AS155-$AS156)*100</f>
        <v/>
      </c>
      <c r="DK155" s="59">
        <f>($AT155-$AT156)*100</f>
        <v/>
      </c>
      <c r="DL155" s="59">
        <f>($AU155-$AU156)*100</f>
        <v/>
      </c>
      <c r="DM155" s="59">
        <f>($AV155-$AV156)*100</f>
        <v/>
      </c>
      <c r="DN155" s="59">
        <f>($AW155-$AW156)*100</f>
        <v/>
      </c>
      <c r="DO155" s="59">
        <f>($AX155-$AX156)*100</f>
        <v/>
      </c>
      <c r="DP155" s="59">
        <f>($AY155-$AY156)*100</f>
        <v/>
      </c>
      <c r="DQ155" s="59">
        <f>($AZ155-$AZ156)*100</f>
        <v/>
      </c>
      <c r="DR155" s="59">
        <f>($BA155-$BA156)*100</f>
        <v/>
      </c>
      <c r="DS155" s="58">
        <f>IFERROR($N156/$N155-1,"")</f>
        <v/>
      </c>
      <c r="DT155" s="58">
        <f>IFERROR($O156/$O155-1,"")</f>
        <v/>
      </c>
      <c r="DU155" s="58">
        <f>IFERROR($P156/$P155-1,"")</f>
        <v/>
      </c>
      <c r="DV155" s="58">
        <f>IFERROR($Q156/$Q155-1,"")</f>
        <v/>
      </c>
      <c r="DW155" s="58">
        <f>IFERROR($R156/$R155-1,"")</f>
        <v/>
      </c>
      <c r="DX155" s="58">
        <f>IFERROR($S156/$S155-1,"")</f>
        <v/>
      </c>
      <c r="DY155" s="58">
        <f>IFERROR($T156/$T155-1,"")</f>
        <v/>
      </c>
      <c r="DZ155" s="58">
        <f>IFERROR($U156/$U155-1,"")</f>
        <v/>
      </c>
      <c r="EA155" s="58">
        <f>IFERROR($V156/$V155-1,"")</f>
        <v/>
      </c>
      <c r="EB155" s="58">
        <f>IFERROR($W156/$W155-1,"")</f>
        <v/>
      </c>
      <c r="EC155" s="58">
        <f>IFERROR($X156/$X155-1,"")</f>
        <v/>
      </c>
      <c r="ED155" s="58">
        <f>IFERROR($Y156/$Y155-1,"")</f>
        <v/>
      </c>
      <c r="EE155" s="58">
        <f>IFERROR($Z156/$Z155-1,"")</f>
        <v/>
      </c>
      <c r="EF155" s="58">
        <f>IFERROR($AA156/$AA155-1,"")</f>
        <v/>
      </c>
      <c r="EG155" s="58">
        <f>IFERROR($AB156/$AB155-1,"")</f>
        <v/>
      </c>
      <c r="EH155" s="58">
        <f>IFERROR($AC156/$AC155-1,"")</f>
        <v/>
      </c>
      <c r="EI155" s="58">
        <f>IFERROR($AD156/$AD155-1,"")</f>
        <v/>
      </c>
      <c r="EJ155" s="58">
        <f>IFERROR($AE156/$AE155-1,"")</f>
        <v/>
      </c>
      <c r="EK155" s="58">
        <f>IFERROR($AF156/$AF155-1,"")</f>
        <v/>
      </c>
      <c r="EL155" s="58">
        <f>IFERROR($AG156/$AG155-1,"")</f>
        <v/>
      </c>
      <c r="EM155" s="58">
        <f>IFERROR($BB155/$BB156-1,"")</f>
        <v/>
      </c>
      <c r="EN155" s="58">
        <f>IFERROR($BC155/$BC156-1,"")</f>
        <v/>
      </c>
      <c r="EO155" s="58">
        <f>IFERROR($BD155/$BD156-1,"")</f>
        <v/>
      </c>
      <c r="EP155" s="58">
        <f>IFERROR($BE155/$BE156-1,"")</f>
        <v/>
      </c>
      <c r="EQ155" s="58">
        <f>IFERROR($BF155/$BF156-1,"")</f>
        <v/>
      </c>
      <c r="ER155" s="58">
        <f>IFERROR($BG155/$BG156-1,"")</f>
        <v/>
      </c>
      <c r="ES155" s="58">
        <f>IFERROR($BH155/$BH156-1,"")</f>
        <v/>
      </c>
      <c r="ET155" s="58">
        <f>IFERROR($BI155/$BI156-1,"")</f>
        <v/>
      </c>
      <c r="EU155" s="58">
        <f>IFERROR($BJ155/$BJ156-1,"")</f>
        <v/>
      </c>
      <c r="EV155" s="58">
        <f>IFERROR($BK155/$BK156-1,"")</f>
        <v/>
      </c>
      <c r="EW155" s="58">
        <f>IFERROR($BL155/$BL156-1,"")</f>
        <v/>
      </c>
      <c r="EX155" s="58">
        <f>IFERROR($BM155/$BM156-1,"")</f>
        <v/>
      </c>
      <c r="EY155" s="58">
        <f>IFERROR($BN155/$BN156-1,"")</f>
        <v/>
      </c>
      <c r="EZ155" s="58">
        <f>IFERROR($BO155/$BO156-1,"")</f>
        <v/>
      </c>
      <c r="FA155" s="58">
        <f>IFERROR($BP155/$BP156-1,"")</f>
        <v/>
      </c>
      <c r="FB155" s="58">
        <f>IFERROR($BQ155/$BQ156-1,"")</f>
        <v/>
      </c>
      <c r="FC155" s="58">
        <f>IFERROR($BR155/$BR156-1,"")</f>
        <v/>
      </c>
      <c r="FD155" s="58">
        <f>IFERROR($BS155/$BS156-1,"")</f>
        <v/>
      </c>
      <c r="FE155" s="58">
        <f>IFERROR($BT155/$BT156-1,"")</f>
        <v/>
      </c>
      <c r="FF155" s="58">
        <f>IFERROR($BU155/$BU156-1,"")</f>
        <v/>
      </c>
      <c r="FG155" s="58">
        <f>IFERROR($BV155/$BV156-1,"")</f>
        <v/>
      </c>
      <c r="FH155" s="58">
        <f>IFERROR($BW155/$BW156-1,"")</f>
        <v/>
      </c>
      <c r="FI155" s="58">
        <f>IFERROR($BX155/$BX156-1,"")</f>
        <v/>
      </c>
      <c r="FJ155" s="59">
        <f>$BY155-$BY156</f>
        <v/>
      </c>
      <c r="FK155" s="59">
        <f>$BZ155-$BZ156</f>
        <v/>
      </c>
      <c r="FL155" s="59">
        <f>$CA155-$CA156</f>
        <v/>
      </c>
      <c r="FM155" s="59">
        <f>$CB155-$CB156</f>
        <v/>
      </c>
      <c r="FN155" s="59">
        <f>$CC155-$CC156</f>
        <v/>
      </c>
      <c r="FO155" s="59">
        <f>$CD155-$CD156</f>
        <v/>
      </c>
      <c r="FP155" s="59">
        <f>$CE155-$CE156</f>
        <v/>
      </c>
      <c r="FQ155" s="59">
        <f>$CF155-$CF156</f>
        <v/>
      </c>
      <c r="FR155" s="59">
        <f>$CG155-$CG156</f>
        <v/>
      </c>
      <c r="FS155" s="59">
        <f>$CH155-$CH156</f>
        <v/>
      </c>
      <c r="FT155" s="59">
        <f>$CI155-$CI156</f>
        <v/>
      </c>
      <c r="FU155" s="59">
        <f>$CJ155-$CJ156</f>
        <v/>
      </c>
      <c r="FV155" s="59">
        <f>$CK155-$CK156</f>
        <v/>
      </c>
      <c r="FW155" s="59">
        <f>$CL155-$CL156</f>
        <v/>
      </c>
      <c r="FX155" s="59">
        <f>$CM155-$CM156</f>
        <v/>
      </c>
      <c r="FY155" s="59">
        <f>$CN155-$CN156</f>
        <v/>
      </c>
      <c r="FZ155" s="59">
        <f>$CO155-$CO156</f>
        <v/>
      </c>
      <c r="GA155" s="59">
        <f>$CP155-$CP156</f>
        <v/>
      </c>
      <c r="GB155" s="59">
        <f>$CQ155-$CQ156</f>
        <v/>
      </c>
      <c r="GC155" s="59">
        <f>$CR155-$CR156</f>
        <v/>
      </c>
      <c r="GD155" s="59">
        <f>$CS155-$CS156</f>
        <v/>
      </c>
      <c r="GE155" s="59">
        <f>$CT155-$CT156</f>
        <v/>
      </c>
    </row>
    <row r="156">
      <c r="CU156" s="58">
        <f>IFERROR($B156/$B157-1,"")</f>
        <v/>
      </c>
      <c r="CV156" s="59">
        <f>($F156-$F157)*100</f>
        <v/>
      </c>
      <c r="CW156" s="59">
        <f>($E156-$E157)*100</f>
        <v/>
      </c>
      <c r="CX156" s="58">
        <f>IFERROR($K156/$K157-1,"")</f>
        <v/>
      </c>
      <c r="CY156" s="59">
        <f>($AH156-$AH157)*100</f>
        <v/>
      </c>
      <c r="CZ156" s="59">
        <f>($AI156-$AI157)*100</f>
        <v/>
      </c>
      <c r="DA156" s="59">
        <f>($AJ156-$AJ157)*100</f>
        <v/>
      </c>
      <c r="DB156" s="59">
        <f>($AK156-$AK157)*100</f>
        <v/>
      </c>
      <c r="DC156" s="59">
        <f>($AL156-$AL157)*100</f>
        <v/>
      </c>
      <c r="DD156" s="59">
        <f>($AM156-$AM157)*100</f>
        <v/>
      </c>
      <c r="DE156" s="59">
        <f>($AN156-$AN157)*100</f>
        <v/>
      </c>
      <c r="DF156" s="59">
        <f>($AO156-$AO157)*100</f>
        <v/>
      </c>
      <c r="DG156" s="59">
        <f>($AP156-$AP157)*100</f>
        <v/>
      </c>
      <c r="DH156" s="59">
        <f>($AQ156-$AQ157)*100</f>
        <v/>
      </c>
      <c r="DI156" s="59">
        <f>($AR156-$AR157)*100</f>
        <v/>
      </c>
      <c r="DJ156" s="59">
        <f>($AS156-$AS157)*100</f>
        <v/>
      </c>
      <c r="DK156" s="59">
        <f>($AT156-$AT157)*100</f>
        <v/>
      </c>
      <c r="DL156" s="59">
        <f>($AU156-$AU157)*100</f>
        <v/>
      </c>
      <c r="DM156" s="59">
        <f>($AV156-$AV157)*100</f>
        <v/>
      </c>
      <c r="DN156" s="59">
        <f>($AW156-$AW157)*100</f>
        <v/>
      </c>
      <c r="DO156" s="59">
        <f>($AX156-$AX157)*100</f>
        <v/>
      </c>
      <c r="DP156" s="59">
        <f>($AY156-$AY157)*100</f>
        <v/>
      </c>
      <c r="DQ156" s="59">
        <f>($AZ156-$AZ157)*100</f>
        <v/>
      </c>
      <c r="DR156" s="59">
        <f>($BA156-$BA157)*100</f>
        <v/>
      </c>
      <c r="DS156" s="58">
        <f>IFERROR($N157/$N156-1,"")</f>
        <v/>
      </c>
      <c r="DT156" s="58">
        <f>IFERROR($O157/$O156-1,"")</f>
        <v/>
      </c>
      <c r="DU156" s="58">
        <f>IFERROR($P157/$P156-1,"")</f>
        <v/>
      </c>
      <c r="DV156" s="58">
        <f>IFERROR($Q157/$Q156-1,"")</f>
        <v/>
      </c>
      <c r="DW156" s="58">
        <f>IFERROR($R157/$R156-1,"")</f>
        <v/>
      </c>
      <c r="DX156" s="58">
        <f>IFERROR($S157/$S156-1,"")</f>
        <v/>
      </c>
      <c r="DY156" s="58">
        <f>IFERROR($T157/$T156-1,"")</f>
        <v/>
      </c>
      <c r="DZ156" s="58">
        <f>IFERROR($U157/$U156-1,"")</f>
        <v/>
      </c>
      <c r="EA156" s="58">
        <f>IFERROR($V157/$V156-1,"")</f>
        <v/>
      </c>
      <c r="EB156" s="58">
        <f>IFERROR($W157/$W156-1,"")</f>
        <v/>
      </c>
      <c r="EC156" s="58">
        <f>IFERROR($X157/$X156-1,"")</f>
        <v/>
      </c>
      <c r="ED156" s="58">
        <f>IFERROR($Y157/$Y156-1,"")</f>
        <v/>
      </c>
      <c r="EE156" s="58">
        <f>IFERROR($Z157/$Z156-1,"")</f>
        <v/>
      </c>
      <c r="EF156" s="58">
        <f>IFERROR($AA157/$AA156-1,"")</f>
        <v/>
      </c>
      <c r="EG156" s="58">
        <f>IFERROR($AB157/$AB156-1,"")</f>
        <v/>
      </c>
      <c r="EH156" s="58">
        <f>IFERROR($AC157/$AC156-1,"")</f>
        <v/>
      </c>
      <c r="EI156" s="58">
        <f>IFERROR($AD157/$AD156-1,"")</f>
        <v/>
      </c>
      <c r="EJ156" s="58">
        <f>IFERROR($AE157/$AE156-1,"")</f>
        <v/>
      </c>
      <c r="EK156" s="58">
        <f>IFERROR($AF157/$AF156-1,"")</f>
        <v/>
      </c>
      <c r="EL156" s="58">
        <f>IFERROR($AG157/$AG156-1,"")</f>
        <v/>
      </c>
      <c r="EM156" s="58">
        <f>IFERROR($BB156/$BB157-1,"")</f>
        <v/>
      </c>
      <c r="EN156" s="58">
        <f>IFERROR($BC156/$BC157-1,"")</f>
        <v/>
      </c>
      <c r="EO156" s="58">
        <f>IFERROR($BD156/$BD157-1,"")</f>
        <v/>
      </c>
      <c r="EP156" s="58">
        <f>IFERROR($BE156/$BE157-1,"")</f>
        <v/>
      </c>
      <c r="EQ156" s="58">
        <f>IFERROR($BF156/$BF157-1,"")</f>
        <v/>
      </c>
      <c r="ER156" s="58">
        <f>IFERROR($BG156/$BG157-1,"")</f>
        <v/>
      </c>
      <c r="ES156" s="58">
        <f>IFERROR($BH156/$BH157-1,"")</f>
        <v/>
      </c>
      <c r="ET156" s="58">
        <f>IFERROR($BI156/$BI157-1,"")</f>
        <v/>
      </c>
      <c r="EU156" s="58">
        <f>IFERROR($BJ156/$BJ157-1,"")</f>
        <v/>
      </c>
      <c r="EV156" s="58">
        <f>IFERROR($BK156/$BK157-1,"")</f>
        <v/>
      </c>
      <c r="EW156" s="58">
        <f>IFERROR($BL156/$BL157-1,"")</f>
        <v/>
      </c>
      <c r="EX156" s="58">
        <f>IFERROR($BM156/$BM157-1,"")</f>
        <v/>
      </c>
      <c r="EY156" s="58">
        <f>IFERROR($BN156/$BN157-1,"")</f>
        <v/>
      </c>
      <c r="EZ156" s="58">
        <f>IFERROR($BO156/$BO157-1,"")</f>
        <v/>
      </c>
      <c r="FA156" s="58">
        <f>IFERROR($BP156/$BP157-1,"")</f>
        <v/>
      </c>
      <c r="FB156" s="58">
        <f>IFERROR($BQ156/$BQ157-1,"")</f>
        <v/>
      </c>
      <c r="FC156" s="58">
        <f>IFERROR($BR156/$BR157-1,"")</f>
        <v/>
      </c>
      <c r="FD156" s="58">
        <f>IFERROR($BS156/$BS157-1,"")</f>
        <v/>
      </c>
      <c r="FE156" s="58">
        <f>IFERROR($BT156/$BT157-1,"")</f>
        <v/>
      </c>
      <c r="FF156" s="58">
        <f>IFERROR($BU156/$BU157-1,"")</f>
        <v/>
      </c>
      <c r="FG156" s="58">
        <f>IFERROR($BV156/$BV157-1,"")</f>
        <v/>
      </c>
      <c r="FH156" s="58">
        <f>IFERROR($BW156/$BW157-1,"")</f>
        <v/>
      </c>
      <c r="FI156" s="58">
        <f>IFERROR($BX156/$BX157-1,"")</f>
        <v/>
      </c>
      <c r="FJ156" s="59">
        <f>$BY156-$BY157</f>
        <v/>
      </c>
      <c r="FK156" s="59">
        <f>$BZ156-$BZ157</f>
        <v/>
      </c>
      <c r="FL156" s="59">
        <f>$CA156-$CA157</f>
        <v/>
      </c>
      <c r="FM156" s="59">
        <f>$CB156-$CB157</f>
        <v/>
      </c>
      <c r="FN156" s="59">
        <f>$CC156-$CC157</f>
        <v/>
      </c>
      <c r="FO156" s="59">
        <f>$CD156-$CD157</f>
        <v/>
      </c>
      <c r="FP156" s="59">
        <f>$CE156-$CE157</f>
        <v/>
      </c>
      <c r="FQ156" s="59">
        <f>$CF156-$CF157</f>
        <v/>
      </c>
      <c r="FR156" s="59">
        <f>$CG156-$CG157</f>
        <v/>
      </c>
      <c r="FS156" s="59">
        <f>$CH156-$CH157</f>
        <v/>
      </c>
      <c r="FT156" s="59">
        <f>$CI156-$CI157</f>
        <v/>
      </c>
      <c r="FU156" s="59">
        <f>$CJ156-$CJ157</f>
        <v/>
      </c>
      <c r="FV156" s="59">
        <f>$CK156-$CK157</f>
        <v/>
      </c>
      <c r="FW156" s="59">
        <f>$CL156-$CL157</f>
        <v/>
      </c>
      <c r="FX156" s="59">
        <f>$CM156-$CM157</f>
        <v/>
      </c>
      <c r="FY156" s="59">
        <f>$CN156-$CN157</f>
        <v/>
      </c>
      <c r="FZ156" s="59">
        <f>$CO156-$CO157</f>
        <v/>
      </c>
      <c r="GA156" s="59">
        <f>$CP156-$CP157</f>
        <v/>
      </c>
      <c r="GB156" s="59">
        <f>$CQ156-$CQ157</f>
        <v/>
      </c>
      <c r="GC156" s="59">
        <f>$CR156-$CR157</f>
        <v/>
      </c>
      <c r="GD156" s="59">
        <f>$CS156-$CS157</f>
        <v/>
      </c>
      <c r="GE156" s="59">
        <f>$CT156-$CT157</f>
        <v/>
      </c>
    </row>
    <row r="157">
      <c r="CU157" s="58">
        <f>IFERROR($B157/$B158-1,"")</f>
        <v/>
      </c>
      <c r="CV157" s="59">
        <f>($F157-$F158)*100</f>
        <v/>
      </c>
      <c r="CW157" s="59">
        <f>($E157-$E158)*100</f>
        <v/>
      </c>
      <c r="CX157" s="58">
        <f>IFERROR($K157/$K158-1,"")</f>
        <v/>
      </c>
      <c r="CY157" s="59">
        <f>($AH157-$AH158)*100</f>
        <v/>
      </c>
      <c r="CZ157" s="59">
        <f>($AI157-$AI158)*100</f>
        <v/>
      </c>
      <c r="DA157" s="59">
        <f>($AJ157-$AJ158)*100</f>
        <v/>
      </c>
      <c r="DB157" s="59">
        <f>($AK157-$AK158)*100</f>
        <v/>
      </c>
      <c r="DC157" s="59">
        <f>($AL157-$AL158)*100</f>
        <v/>
      </c>
      <c r="DD157" s="59">
        <f>($AM157-$AM158)*100</f>
        <v/>
      </c>
      <c r="DE157" s="59">
        <f>($AN157-$AN158)*100</f>
        <v/>
      </c>
      <c r="DF157" s="59">
        <f>($AO157-$AO158)*100</f>
        <v/>
      </c>
      <c r="DG157" s="59">
        <f>($AP157-$AP158)*100</f>
        <v/>
      </c>
      <c r="DH157" s="59">
        <f>($AQ157-$AQ158)*100</f>
        <v/>
      </c>
      <c r="DI157" s="59">
        <f>($AR157-$AR158)*100</f>
        <v/>
      </c>
      <c r="DJ157" s="59">
        <f>($AS157-$AS158)*100</f>
        <v/>
      </c>
      <c r="DK157" s="59">
        <f>($AT157-$AT158)*100</f>
        <v/>
      </c>
      <c r="DL157" s="59">
        <f>($AU157-$AU158)*100</f>
        <v/>
      </c>
      <c r="DM157" s="59">
        <f>($AV157-$AV158)*100</f>
        <v/>
      </c>
      <c r="DN157" s="59">
        <f>($AW157-$AW158)*100</f>
        <v/>
      </c>
      <c r="DO157" s="59">
        <f>($AX157-$AX158)*100</f>
        <v/>
      </c>
      <c r="DP157" s="59">
        <f>($AY157-$AY158)*100</f>
        <v/>
      </c>
      <c r="DQ157" s="59">
        <f>($AZ157-$AZ158)*100</f>
        <v/>
      </c>
      <c r="DR157" s="59">
        <f>($BA157-$BA158)*100</f>
        <v/>
      </c>
      <c r="DS157" s="58">
        <f>IFERROR($N158/$N157-1,"")</f>
        <v/>
      </c>
      <c r="DT157" s="58">
        <f>IFERROR($O158/$O157-1,"")</f>
        <v/>
      </c>
      <c r="DU157" s="58">
        <f>IFERROR($P158/$P157-1,"")</f>
        <v/>
      </c>
      <c r="DV157" s="58">
        <f>IFERROR($Q158/$Q157-1,"")</f>
        <v/>
      </c>
      <c r="DW157" s="58">
        <f>IFERROR($R158/$R157-1,"")</f>
        <v/>
      </c>
      <c r="DX157" s="58">
        <f>IFERROR($S158/$S157-1,"")</f>
        <v/>
      </c>
      <c r="DY157" s="58">
        <f>IFERROR($T158/$T157-1,"")</f>
        <v/>
      </c>
      <c r="DZ157" s="58">
        <f>IFERROR($U158/$U157-1,"")</f>
        <v/>
      </c>
      <c r="EA157" s="58">
        <f>IFERROR($V158/$V157-1,"")</f>
        <v/>
      </c>
      <c r="EB157" s="58">
        <f>IFERROR($W158/$W157-1,"")</f>
        <v/>
      </c>
      <c r="EC157" s="58">
        <f>IFERROR($X158/$X157-1,"")</f>
        <v/>
      </c>
      <c r="ED157" s="58">
        <f>IFERROR($Y158/$Y157-1,"")</f>
        <v/>
      </c>
      <c r="EE157" s="58">
        <f>IFERROR($Z158/$Z157-1,"")</f>
        <v/>
      </c>
      <c r="EF157" s="58">
        <f>IFERROR($AA158/$AA157-1,"")</f>
        <v/>
      </c>
      <c r="EG157" s="58">
        <f>IFERROR($AB158/$AB157-1,"")</f>
        <v/>
      </c>
      <c r="EH157" s="58">
        <f>IFERROR($AC158/$AC157-1,"")</f>
        <v/>
      </c>
      <c r="EI157" s="58">
        <f>IFERROR($AD158/$AD157-1,"")</f>
        <v/>
      </c>
      <c r="EJ157" s="58">
        <f>IFERROR($AE158/$AE157-1,"")</f>
        <v/>
      </c>
      <c r="EK157" s="58">
        <f>IFERROR($AF158/$AF157-1,"")</f>
        <v/>
      </c>
      <c r="EL157" s="58">
        <f>IFERROR($AG158/$AG157-1,"")</f>
        <v/>
      </c>
      <c r="EM157" s="58">
        <f>IFERROR($BB157/$BB158-1,"")</f>
        <v/>
      </c>
      <c r="EN157" s="58">
        <f>IFERROR($BC157/$BC158-1,"")</f>
        <v/>
      </c>
      <c r="EO157" s="58">
        <f>IFERROR($BD157/$BD158-1,"")</f>
        <v/>
      </c>
      <c r="EP157" s="58">
        <f>IFERROR($BE157/$BE158-1,"")</f>
        <v/>
      </c>
      <c r="EQ157" s="58">
        <f>IFERROR($BF157/$BF158-1,"")</f>
        <v/>
      </c>
      <c r="ER157" s="58">
        <f>IFERROR($BG157/$BG158-1,"")</f>
        <v/>
      </c>
      <c r="ES157" s="58">
        <f>IFERROR($BH157/$BH158-1,"")</f>
        <v/>
      </c>
      <c r="ET157" s="58">
        <f>IFERROR($BI157/$BI158-1,"")</f>
        <v/>
      </c>
      <c r="EU157" s="58">
        <f>IFERROR($BJ157/$BJ158-1,"")</f>
        <v/>
      </c>
      <c r="EV157" s="58">
        <f>IFERROR($BK157/$BK158-1,"")</f>
        <v/>
      </c>
      <c r="EW157" s="58">
        <f>IFERROR($BL157/$BL158-1,"")</f>
        <v/>
      </c>
      <c r="EX157" s="58">
        <f>IFERROR($BM157/$BM158-1,"")</f>
        <v/>
      </c>
      <c r="EY157" s="58">
        <f>IFERROR($BN157/$BN158-1,"")</f>
        <v/>
      </c>
      <c r="EZ157" s="58">
        <f>IFERROR($BO157/$BO158-1,"")</f>
        <v/>
      </c>
      <c r="FA157" s="58">
        <f>IFERROR($BP157/$BP158-1,"")</f>
        <v/>
      </c>
      <c r="FB157" s="58">
        <f>IFERROR($BQ157/$BQ158-1,"")</f>
        <v/>
      </c>
      <c r="FC157" s="58">
        <f>IFERROR($BR157/$BR158-1,"")</f>
        <v/>
      </c>
      <c r="FD157" s="58">
        <f>IFERROR($BS157/$BS158-1,"")</f>
        <v/>
      </c>
      <c r="FE157" s="58">
        <f>IFERROR($BT157/$BT158-1,"")</f>
        <v/>
      </c>
      <c r="FF157" s="58">
        <f>IFERROR($BU157/$BU158-1,"")</f>
        <v/>
      </c>
      <c r="FG157" s="58">
        <f>IFERROR($BV157/$BV158-1,"")</f>
        <v/>
      </c>
      <c r="FH157" s="58">
        <f>IFERROR($BW157/$BW158-1,"")</f>
        <v/>
      </c>
      <c r="FI157" s="58">
        <f>IFERROR($BX157/$BX158-1,"")</f>
        <v/>
      </c>
      <c r="FJ157" s="59">
        <f>$BY157-$BY158</f>
        <v/>
      </c>
      <c r="FK157" s="59">
        <f>$BZ157-$BZ158</f>
        <v/>
      </c>
      <c r="FL157" s="59">
        <f>$CA157-$CA158</f>
        <v/>
      </c>
      <c r="FM157" s="59">
        <f>$CB157-$CB158</f>
        <v/>
      </c>
      <c r="FN157" s="59">
        <f>$CC157-$CC158</f>
        <v/>
      </c>
      <c r="FO157" s="59">
        <f>$CD157-$CD158</f>
        <v/>
      </c>
      <c r="FP157" s="59">
        <f>$CE157-$CE158</f>
        <v/>
      </c>
      <c r="FQ157" s="59">
        <f>$CF157-$CF158</f>
        <v/>
      </c>
      <c r="FR157" s="59">
        <f>$CG157-$CG158</f>
        <v/>
      </c>
      <c r="FS157" s="59">
        <f>$CH157-$CH158</f>
        <v/>
      </c>
      <c r="FT157" s="59">
        <f>$CI157-$CI158</f>
        <v/>
      </c>
      <c r="FU157" s="59">
        <f>$CJ157-$CJ158</f>
        <v/>
      </c>
      <c r="FV157" s="59">
        <f>$CK157-$CK158</f>
        <v/>
      </c>
      <c r="FW157" s="59">
        <f>$CL157-$CL158</f>
        <v/>
      </c>
      <c r="FX157" s="59">
        <f>$CM157-$CM158</f>
        <v/>
      </c>
      <c r="FY157" s="59">
        <f>$CN157-$CN158</f>
        <v/>
      </c>
      <c r="FZ157" s="59">
        <f>$CO157-$CO158</f>
        <v/>
      </c>
      <c r="GA157" s="59">
        <f>$CP157-$CP158</f>
        <v/>
      </c>
      <c r="GB157" s="59">
        <f>$CQ157-$CQ158</f>
        <v/>
      </c>
      <c r="GC157" s="59">
        <f>$CR157-$CR158</f>
        <v/>
      </c>
      <c r="GD157" s="59">
        <f>$CS157-$CS158</f>
        <v/>
      </c>
      <c r="GE157" s="59">
        <f>$CT157-$CT158</f>
        <v/>
      </c>
    </row>
    <row r="158">
      <c r="CU158" s="58">
        <f>IFERROR($B158/$B159-1,"")</f>
        <v/>
      </c>
      <c r="CV158" s="59">
        <f>($F158-$F159)*100</f>
        <v/>
      </c>
      <c r="CW158" s="59">
        <f>($E158-$E159)*100</f>
        <v/>
      </c>
      <c r="CX158" s="58">
        <f>IFERROR($K158/$K159-1,"")</f>
        <v/>
      </c>
      <c r="CY158" s="59">
        <f>($AH158-$AH159)*100</f>
        <v/>
      </c>
      <c r="CZ158" s="59">
        <f>($AI158-$AI159)*100</f>
        <v/>
      </c>
      <c r="DA158" s="59">
        <f>($AJ158-$AJ159)*100</f>
        <v/>
      </c>
      <c r="DB158" s="59">
        <f>($AK158-$AK159)*100</f>
        <v/>
      </c>
      <c r="DC158" s="59">
        <f>($AL158-$AL159)*100</f>
        <v/>
      </c>
      <c r="DD158" s="59">
        <f>($AM158-$AM159)*100</f>
        <v/>
      </c>
      <c r="DE158" s="59">
        <f>($AN158-$AN159)*100</f>
        <v/>
      </c>
      <c r="DF158" s="59">
        <f>($AO158-$AO159)*100</f>
        <v/>
      </c>
      <c r="DG158" s="59">
        <f>($AP158-$AP159)*100</f>
        <v/>
      </c>
      <c r="DH158" s="59">
        <f>($AQ158-$AQ159)*100</f>
        <v/>
      </c>
      <c r="DI158" s="59">
        <f>($AR158-$AR159)*100</f>
        <v/>
      </c>
      <c r="DJ158" s="59">
        <f>($AS158-$AS159)*100</f>
        <v/>
      </c>
      <c r="DK158" s="59">
        <f>($AT158-$AT159)*100</f>
        <v/>
      </c>
      <c r="DL158" s="59">
        <f>($AU158-$AU159)*100</f>
        <v/>
      </c>
      <c r="DM158" s="59">
        <f>($AV158-$AV159)*100</f>
        <v/>
      </c>
      <c r="DN158" s="59">
        <f>($AW158-$AW159)*100</f>
        <v/>
      </c>
      <c r="DO158" s="59">
        <f>($AX158-$AX159)*100</f>
        <v/>
      </c>
      <c r="DP158" s="59">
        <f>($AY158-$AY159)*100</f>
        <v/>
      </c>
      <c r="DQ158" s="59">
        <f>($AZ158-$AZ159)*100</f>
        <v/>
      </c>
      <c r="DR158" s="59">
        <f>($BA158-$BA159)*100</f>
        <v/>
      </c>
      <c r="DS158" s="58">
        <f>IFERROR($N159/$N158-1,"")</f>
        <v/>
      </c>
      <c r="DT158" s="58">
        <f>IFERROR($O159/$O158-1,"")</f>
        <v/>
      </c>
      <c r="DU158" s="58">
        <f>IFERROR($P159/$P158-1,"")</f>
        <v/>
      </c>
      <c r="DV158" s="58">
        <f>IFERROR($Q159/$Q158-1,"")</f>
        <v/>
      </c>
      <c r="DW158" s="58">
        <f>IFERROR($R159/$R158-1,"")</f>
        <v/>
      </c>
      <c r="DX158" s="58">
        <f>IFERROR($S159/$S158-1,"")</f>
        <v/>
      </c>
      <c r="DY158" s="58">
        <f>IFERROR($T159/$T158-1,"")</f>
        <v/>
      </c>
      <c r="DZ158" s="58">
        <f>IFERROR($U159/$U158-1,"")</f>
        <v/>
      </c>
      <c r="EA158" s="58">
        <f>IFERROR($V159/$V158-1,"")</f>
        <v/>
      </c>
      <c r="EB158" s="58">
        <f>IFERROR($W159/$W158-1,"")</f>
        <v/>
      </c>
      <c r="EC158" s="58">
        <f>IFERROR($X159/$X158-1,"")</f>
        <v/>
      </c>
      <c r="ED158" s="58">
        <f>IFERROR($Y159/$Y158-1,"")</f>
        <v/>
      </c>
      <c r="EE158" s="58">
        <f>IFERROR($Z159/$Z158-1,"")</f>
        <v/>
      </c>
      <c r="EF158" s="58">
        <f>IFERROR($AA159/$AA158-1,"")</f>
        <v/>
      </c>
      <c r="EG158" s="58">
        <f>IFERROR($AB159/$AB158-1,"")</f>
        <v/>
      </c>
      <c r="EH158" s="58">
        <f>IFERROR($AC159/$AC158-1,"")</f>
        <v/>
      </c>
      <c r="EI158" s="58">
        <f>IFERROR($AD159/$AD158-1,"")</f>
        <v/>
      </c>
      <c r="EJ158" s="58">
        <f>IFERROR($AE159/$AE158-1,"")</f>
        <v/>
      </c>
      <c r="EK158" s="58">
        <f>IFERROR($AF159/$AF158-1,"")</f>
        <v/>
      </c>
      <c r="EL158" s="58">
        <f>IFERROR($AG159/$AG158-1,"")</f>
        <v/>
      </c>
      <c r="EM158" s="58">
        <f>IFERROR($BB158/$BB159-1,"")</f>
        <v/>
      </c>
      <c r="EN158" s="58">
        <f>IFERROR($BC158/$BC159-1,"")</f>
        <v/>
      </c>
      <c r="EO158" s="58">
        <f>IFERROR($BD158/$BD159-1,"")</f>
        <v/>
      </c>
      <c r="EP158" s="58">
        <f>IFERROR($BE158/$BE159-1,"")</f>
        <v/>
      </c>
      <c r="EQ158" s="58">
        <f>IFERROR($BF158/$BF159-1,"")</f>
        <v/>
      </c>
      <c r="ER158" s="58">
        <f>IFERROR($BG158/$BG159-1,"")</f>
        <v/>
      </c>
      <c r="ES158" s="58">
        <f>IFERROR($BH158/$BH159-1,"")</f>
        <v/>
      </c>
      <c r="ET158" s="58">
        <f>IFERROR($BI158/$BI159-1,"")</f>
        <v/>
      </c>
      <c r="EU158" s="58">
        <f>IFERROR($BJ158/$BJ159-1,"")</f>
        <v/>
      </c>
      <c r="EV158" s="58">
        <f>IFERROR($BK158/$BK159-1,"")</f>
        <v/>
      </c>
      <c r="EW158" s="58">
        <f>IFERROR($BL158/$BL159-1,"")</f>
        <v/>
      </c>
      <c r="EX158" s="58">
        <f>IFERROR($BM158/$BM159-1,"")</f>
        <v/>
      </c>
      <c r="EY158" s="58">
        <f>IFERROR($BN158/$BN159-1,"")</f>
        <v/>
      </c>
      <c r="EZ158" s="58">
        <f>IFERROR($BO158/$BO159-1,"")</f>
        <v/>
      </c>
      <c r="FA158" s="58">
        <f>IFERROR($BP158/$BP159-1,"")</f>
        <v/>
      </c>
      <c r="FB158" s="58">
        <f>IFERROR($BQ158/$BQ159-1,"")</f>
        <v/>
      </c>
      <c r="FC158" s="58">
        <f>IFERROR($BR158/$BR159-1,"")</f>
        <v/>
      </c>
      <c r="FD158" s="58">
        <f>IFERROR($BS158/$BS159-1,"")</f>
        <v/>
      </c>
      <c r="FE158" s="58">
        <f>IFERROR($BT158/$BT159-1,"")</f>
        <v/>
      </c>
      <c r="FF158" s="58">
        <f>IFERROR($BU158/$BU159-1,"")</f>
        <v/>
      </c>
      <c r="FG158" s="58">
        <f>IFERROR($BV158/$BV159-1,"")</f>
        <v/>
      </c>
      <c r="FH158" s="58">
        <f>IFERROR($BW158/$BW159-1,"")</f>
        <v/>
      </c>
      <c r="FI158" s="58">
        <f>IFERROR($BX158/$BX159-1,"")</f>
        <v/>
      </c>
      <c r="FJ158" s="59">
        <f>$BY158-$BY159</f>
        <v/>
      </c>
      <c r="FK158" s="59">
        <f>$BZ158-$BZ159</f>
        <v/>
      </c>
      <c r="FL158" s="59">
        <f>$CA158-$CA159</f>
        <v/>
      </c>
      <c r="FM158" s="59">
        <f>$CB158-$CB159</f>
        <v/>
      </c>
      <c r="FN158" s="59">
        <f>$CC158-$CC159</f>
        <v/>
      </c>
      <c r="FO158" s="59">
        <f>$CD158-$CD159</f>
        <v/>
      </c>
      <c r="FP158" s="59">
        <f>$CE158-$CE159</f>
        <v/>
      </c>
      <c r="FQ158" s="59">
        <f>$CF158-$CF159</f>
        <v/>
      </c>
      <c r="FR158" s="59">
        <f>$CG158-$CG159</f>
        <v/>
      </c>
      <c r="FS158" s="59">
        <f>$CH158-$CH159</f>
        <v/>
      </c>
      <c r="FT158" s="59">
        <f>$CI158-$CI159</f>
        <v/>
      </c>
      <c r="FU158" s="59">
        <f>$CJ158-$CJ159</f>
        <v/>
      </c>
      <c r="FV158" s="59">
        <f>$CK158-$CK159</f>
        <v/>
      </c>
      <c r="FW158" s="59">
        <f>$CL158-$CL159</f>
        <v/>
      </c>
      <c r="FX158" s="59">
        <f>$CM158-$CM159</f>
        <v/>
      </c>
      <c r="FY158" s="59">
        <f>$CN158-$CN159</f>
        <v/>
      </c>
      <c r="FZ158" s="59">
        <f>$CO158-$CO159</f>
        <v/>
      </c>
      <c r="GA158" s="59">
        <f>$CP158-$CP159</f>
        <v/>
      </c>
      <c r="GB158" s="59">
        <f>$CQ158-$CQ159</f>
        <v/>
      </c>
      <c r="GC158" s="59">
        <f>$CR158-$CR159</f>
        <v/>
      </c>
      <c r="GD158" s="59">
        <f>$CS158-$CS159</f>
        <v/>
      </c>
      <c r="GE158" s="59">
        <f>$CT158-$CT159</f>
        <v/>
      </c>
    </row>
    <row r="159">
      <c r="CU159" s="58">
        <f>IFERROR($B159/$B160-1,"")</f>
        <v/>
      </c>
      <c r="CV159" s="59">
        <f>($F159-$F160)*100</f>
        <v/>
      </c>
      <c r="CW159" s="59">
        <f>($E159-$E160)*100</f>
        <v/>
      </c>
      <c r="CX159" s="58">
        <f>IFERROR($K159/$K160-1,"")</f>
        <v/>
      </c>
      <c r="CY159" s="59">
        <f>($AH159-$AH160)*100</f>
        <v/>
      </c>
      <c r="CZ159" s="59">
        <f>($AI159-$AI160)*100</f>
        <v/>
      </c>
      <c r="DA159" s="59">
        <f>($AJ159-$AJ160)*100</f>
        <v/>
      </c>
      <c r="DB159" s="59">
        <f>($AK159-$AK160)*100</f>
        <v/>
      </c>
      <c r="DC159" s="59">
        <f>($AL159-$AL160)*100</f>
        <v/>
      </c>
      <c r="DD159" s="59">
        <f>($AM159-$AM160)*100</f>
        <v/>
      </c>
      <c r="DE159" s="59">
        <f>($AN159-$AN160)*100</f>
        <v/>
      </c>
      <c r="DF159" s="59">
        <f>($AO159-$AO160)*100</f>
        <v/>
      </c>
      <c r="DG159" s="59">
        <f>($AP159-$AP160)*100</f>
        <v/>
      </c>
      <c r="DH159" s="59">
        <f>($AQ159-$AQ160)*100</f>
        <v/>
      </c>
      <c r="DI159" s="59">
        <f>($AR159-$AR160)*100</f>
        <v/>
      </c>
      <c r="DJ159" s="59">
        <f>($AS159-$AS160)*100</f>
        <v/>
      </c>
      <c r="DK159" s="59">
        <f>($AT159-$AT160)*100</f>
        <v/>
      </c>
      <c r="DL159" s="59">
        <f>($AU159-$AU160)*100</f>
        <v/>
      </c>
      <c r="DM159" s="59">
        <f>($AV159-$AV160)*100</f>
        <v/>
      </c>
      <c r="DN159" s="59">
        <f>($AW159-$AW160)*100</f>
        <v/>
      </c>
      <c r="DO159" s="59">
        <f>($AX159-$AX160)*100</f>
        <v/>
      </c>
      <c r="DP159" s="59">
        <f>($AY159-$AY160)*100</f>
        <v/>
      </c>
      <c r="DQ159" s="59">
        <f>($AZ159-$AZ160)*100</f>
        <v/>
      </c>
      <c r="DR159" s="59">
        <f>($BA159-$BA160)*100</f>
        <v/>
      </c>
      <c r="DS159" s="58">
        <f>IFERROR($N160/$N159-1,"")</f>
        <v/>
      </c>
      <c r="DT159" s="58">
        <f>IFERROR($O160/$O159-1,"")</f>
        <v/>
      </c>
      <c r="DU159" s="58">
        <f>IFERROR($P160/$P159-1,"")</f>
        <v/>
      </c>
      <c r="DV159" s="58">
        <f>IFERROR($Q160/$Q159-1,"")</f>
        <v/>
      </c>
      <c r="DW159" s="58">
        <f>IFERROR($R160/$R159-1,"")</f>
        <v/>
      </c>
      <c r="DX159" s="58">
        <f>IFERROR($S160/$S159-1,"")</f>
        <v/>
      </c>
      <c r="DY159" s="58">
        <f>IFERROR($T160/$T159-1,"")</f>
        <v/>
      </c>
      <c r="DZ159" s="58">
        <f>IFERROR($U160/$U159-1,"")</f>
        <v/>
      </c>
      <c r="EA159" s="58">
        <f>IFERROR($V160/$V159-1,"")</f>
        <v/>
      </c>
      <c r="EB159" s="58">
        <f>IFERROR($W160/$W159-1,"")</f>
        <v/>
      </c>
      <c r="EC159" s="58">
        <f>IFERROR($X160/$X159-1,"")</f>
        <v/>
      </c>
      <c r="ED159" s="58">
        <f>IFERROR($Y160/$Y159-1,"")</f>
        <v/>
      </c>
      <c r="EE159" s="58">
        <f>IFERROR($Z160/$Z159-1,"")</f>
        <v/>
      </c>
      <c r="EF159" s="58">
        <f>IFERROR($AA160/$AA159-1,"")</f>
        <v/>
      </c>
      <c r="EG159" s="58">
        <f>IFERROR($AB160/$AB159-1,"")</f>
        <v/>
      </c>
      <c r="EH159" s="58">
        <f>IFERROR($AC160/$AC159-1,"")</f>
        <v/>
      </c>
      <c r="EI159" s="58">
        <f>IFERROR($AD160/$AD159-1,"")</f>
        <v/>
      </c>
      <c r="EJ159" s="58">
        <f>IFERROR($AE160/$AE159-1,"")</f>
        <v/>
      </c>
      <c r="EK159" s="58">
        <f>IFERROR($AF160/$AF159-1,"")</f>
        <v/>
      </c>
      <c r="EL159" s="58">
        <f>IFERROR($AG160/$AG159-1,"")</f>
        <v/>
      </c>
      <c r="EM159" s="58">
        <f>IFERROR($BB159/$BB160-1,"")</f>
        <v/>
      </c>
      <c r="EN159" s="58">
        <f>IFERROR($BC159/$BC160-1,"")</f>
        <v/>
      </c>
      <c r="EO159" s="58">
        <f>IFERROR($BD159/$BD160-1,"")</f>
        <v/>
      </c>
      <c r="EP159" s="58">
        <f>IFERROR($BE159/$BE160-1,"")</f>
        <v/>
      </c>
      <c r="EQ159" s="58">
        <f>IFERROR($BF159/$BF160-1,"")</f>
        <v/>
      </c>
      <c r="ER159" s="58">
        <f>IFERROR($BG159/$BG160-1,"")</f>
        <v/>
      </c>
      <c r="ES159" s="58">
        <f>IFERROR($BH159/$BH160-1,"")</f>
        <v/>
      </c>
      <c r="ET159" s="58">
        <f>IFERROR($BI159/$BI160-1,"")</f>
        <v/>
      </c>
      <c r="EU159" s="58">
        <f>IFERROR($BJ159/$BJ160-1,"")</f>
        <v/>
      </c>
      <c r="EV159" s="58">
        <f>IFERROR($BK159/$BK160-1,"")</f>
        <v/>
      </c>
      <c r="EW159" s="58">
        <f>IFERROR($BL159/$BL160-1,"")</f>
        <v/>
      </c>
      <c r="EX159" s="58">
        <f>IFERROR($BM159/$BM160-1,"")</f>
        <v/>
      </c>
      <c r="EY159" s="58">
        <f>IFERROR($BN159/$BN160-1,"")</f>
        <v/>
      </c>
      <c r="EZ159" s="58">
        <f>IFERROR($BO159/$BO160-1,"")</f>
        <v/>
      </c>
      <c r="FA159" s="58">
        <f>IFERROR($BP159/$BP160-1,"")</f>
        <v/>
      </c>
      <c r="FB159" s="58">
        <f>IFERROR($BQ159/$BQ160-1,"")</f>
        <v/>
      </c>
      <c r="FC159" s="58">
        <f>IFERROR($BR159/$BR160-1,"")</f>
        <v/>
      </c>
      <c r="FD159" s="58">
        <f>IFERROR($BS159/$BS160-1,"")</f>
        <v/>
      </c>
      <c r="FE159" s="58">
        <f>IFERROR($BT159/$BT160-1,"")</f>
        <v/>
      </c>
      <c r="FF159" s="58">
        <f>IFERROR($BU159/$BU160-1,"")</f>
        <v/>
      </c>
      <c r="FG159" s="58">
        <f>IFERROR($BV159/$BV160-1,"")</f>
        <v/>
      </c>
      <c r="FH159" s="58">
        <f>IFERROR($BW159/$BW160-1,"")</f>
        <v/>
      </c>
      <c r="FI159" s="58">
        <f>IFERROR($BX159/$BX160-1,"")</f>
        <v/>
      </c>
      <c r="FJ159" s="59">
        <f>$BY159-$BY160</f>
        <v/>
      </c>
      <c r="FK159" s="59">
        <f>$BZ159-$BZ160</f>
        <v/>
      </c>
      <c r="FL159" s="59">
        <f>$CA159-$CA160</f>
        <v/>
      </c>
      <c r="FM159" s="59">
        <f>$CB159-$CB160</f>
        <v/>
      </c>
      <c r="FN159" s="59">
        <f>$CC159-$CC160</f>
        <v/>
      </c>
      <c r="FO159" s="59">
        <f>$CD159-$CD160</f>
        <v/>
      </c>
      <c r="FP159" s="59">
        <f>$CE159-$CE160</f>
        <v/>
      </c>
      <c r="FQ159" s="59">
        <f>$CF159-$CF160</f>
        <v/>
      </c>
      <c r="FR159" s="59">
        <f>$CG159-$CG160</f>
        <v/>
      </c>
      <c r="FS159" s="59">
        <f>$CH159-$CH160</f>
        <v/>
      </c>
      <c r="FT159" s="59">
        <f>$CI159-$CI160</f>
        <v/>
      </c>
      <c r="FU159" s="59">
        <f>$CJ159-$CJ160</f>
        <v/>
      </c>
      <c r="FV159" s="59">
        <f>$CK159-$CK160</f>
        <v/>
      </c>
      <c r="FW159" s="59">
        <f>$CL159-$CL160</f>
        <v/>
      </c>
      <c r="FX159" s="59">
        <f>$CM159-$CM160</f>
        <v/>
      </c>
      <c r="FY159" s="59">
        <f>$CN159-$CN160</f>
        <v/>
      </c>
      <c r="FZ159" s="59">
        <f>$CO159-$CO160</f>
        <v/>
      </c>
      <c r="GA159" s="59">
        <f>$CP159-$CP160</f>
        <v/>
      </c>
      <c r="GB159" s="59">
        <f>$CQ159-$CQ160</f>
        <v/>
      </c>
      <c r="GC159" s="59">
        <f>$CR159-$CR160</f>
        <v/>
      </c>
      <c r="GD159" s="59">
        <f>$CS159-$CS160</f>
        <v/>
      </c>
      <c r="GE159" s="59">
        <f>$CT159-$CT160</f>
        <v/>
      </c>
    </row>
    <row r="160">
      <c r="CU160" s="58">
        <f>IFERROR($B160/$B161-1,"")</f>
        <v/>
      </c>
      <c r="CV160" s="59">
        <f>($F160-$F161)*100</f>
        <v/>
      </c>
      <c r="CW160" s="59">
        <f>($E160-$E161)*100</f>
        <v/>
      </c>
      <c r="CX160" s="58">
        <f>IFERROR($K160/$K161-1,"")</f>
        <v/>
      </c>
      <c r="CY160" s="59">
        <f>($AH160-$AH161)*100</f>
        <v/>
      </c>
      <c r="CZ160" s="59">
        <f>($AI160-$AI161)*100</f>
        <v/>
      </c>
      <c r="DA160" s="59">
        <f>($AJ160-$AJ161)*100</f>
        <v/>
      </c>
      <c r="DB160" s="59">
        <f>($AK160-$AK161)*100</f>
        <v/>
      </c>
      <c r="DC160" s="59">
        <f>($AL160-$AL161)*100</f>
        <v/>
      </c>
      <c r="DD160" s="59">
        <f>($AM160-$AM161)*100</f>
        <v/>
      </c>
      <c r="DE160" s="59">
        <f>($AN160-$AN161)*100</f>
        <v/>
      </c>
      <c r="DF160" s="59">
        <f>($AO160-$AO161)*100</f>
        <v/>
      </c>
      <c r="DG160" s="59">
        <f>($AP160-$AP161)*100</f>
        <v/>
      </c>
      <c r="DH160" s="59">
        <f>($AQ160-$AQ161)*100</f>
        <v/>
      </c>
      <c r="DI160" s="59">
        <f>($AR160-$AR161)*100</f>
        <v/>
      </c>
      <c r="DJ160" s="59">
        <f>($AS160-$AS161)*100</f>
        <v/>
      </c>
      <c r="DK160" s="59">
        <f>($AT160-$AT161)*100</f>
        <v/>
      </c>
      <c r="DL160" s="59">
        <f>($AU160-$AU161)*100</f>
        <v/>
      </c>
      <c r="DM160" s="59">
        <f>($AV160-$AV161)*100</f>
        <v/>
      </c>
      <c r="DN160" s="59">
        <f>($AW160-$AW161)*100</f>
        <v/>
      </c>
      <c r="DO160" s="59">
        <f>($AX160-$AX161)*100</f>
        <v/>
      </c>
      <c r="DP160" s="59">
        <f>($AY160-$AY161)*100</f>
        <v/>
      </c>
      <c r="DQ160" s="59">
        <f>($AZ160-$AZ161)*100</f>
        <v/>
      </c>
      <c r="DR160" s="59">
        <f>($BA160-$BA161)*100</f>
        <v/>
      </c>
      <c r="DS160" s="58">
        <f>IFERROR($N161/$N160-1,"")</f>
        <v/>
      </c>
      <c r="DT160" s="58">
        <f>IFERROR($O161/$O160-1,"")</f>
        <v/>
      </c>
      <c r="DU160" s="58">
        <f>IFERROR($P161/$P160-1,"")</f>
        <v/>
      </c>
      <c r="DV160" s="58">
        <f>IFERROR($Q161/$Q160-1,"")</f>
        <v/>
      </c>
      <c r="DW160" s="58">
        <f>IFERROR($R161/$R160-1,"")</f>
        <v/>
      </c>
      <c r="DX160" s="58">
        <f>IFERROR($S161/$S160-1,"")</f>
        <v/>
      </c>
      <c r="DY160" s="58">
        <f>IFERROR($T161/$T160-1,"")</f>
        <v/>
      </c>
      <c r="DZ160" s="58">
        <f>IFERROR($U161/$U160-1,"")</f>
        <v/>
      </c>
      <c r="EA160" s="58">
        <f>IFERROR($V161/$V160-1,"")</f>
        <v/>
      </c>
      <c r="EB160" s="58">
        <f>IFERROR($W161/$W160-1,"")</f>
        <v/>
      </c>
      <c r="EC160" s="58">
        <f>IFERROR($X161/$X160-1,"")</f>
        <v/>
      </c>
      <c r="ED160" s="58">
        <f>IFERROR($Y161/$Y160-1,"")</f>
        <v/>
      </c>
      <c r="EE160" s="58">
        <f>IFERROR($Z161/$Z160-1,"")</f>
        <v/>
      </c>
      <c r="EF160" s="58">
        <f>IFERROR($AA161/$AA160-1,"")</f>
        <v/>
      </c>
      <c r="EG160" s="58">
        <f>IFERROR($AB161/$AB160-1,"")</f>
        <v/>
      </c>
      <c r="EH160" s="58">
        <f>IFERROR($AC161/$AC160-1,"")</f>
        <v/>
      </c>
      <c r="EI160" s="58">
        <f>IFERROR($AD161/$AD160-1,"")</f>
        <v/>
      </c>
      <c r="EJ160" s="58">
        <f>IFERROR($AE161/$AE160-1,"")</f>
        <v/>
      </c>
      <c r="EK160" s="58">
        <f>IFERROR($AF161/$AF160-1,"")</f>
        <v/>
      </c>
      <c r="EL160" s="58">
        <f>IFERROR($AG161/$AG160-1,"")</f>
        <v/>
      </c>
      <c r="EM160" s="58">
        <f>IFERROR($BB160/$BB161-1,"")</f>
        <v/>
      </c>
      <c r="EN160" s="58">
        <f>IFERROR($BC160/$BC161-1,"")</f>
        <v/>
      </c>
      <c r="EO160" s="58">
        <f>IFERROR($BD160/$BD161-1,"")</f>
        <v/>
      </c>
      <c r="EP160" s="58">
        <f>IFERROR($BE160/$BE161-1,"")</f>
        <v/>
      </c>
      <c r="EQ160" s="58">
        <f>IFERROR($BF160/$BF161-1,"")</f>
        <v/>
      </c>
      <c r="ER160" s="58">
        <f>IFERROR($BG160/$BG161-1,"")</f>
        <v/>
      </c>
      <c r="ES160" s="58">
        <f>IFERROR($BH160/$BH161-1,"")</f>
        <v/>
      </c>
      <c r="ET160" s="58">
        <f>IFERROR($BI160/$BI161-1,"")</f>
        <v/>
      </c>
      <c r="EU160" s="58">
        <f>IFERROR($BJ160/$BJ161-1,"")</f>
        <v/>
      </c>
      <c r="EV160" s="58">
        <f>IFERROR($BK160/$BK161-1,"")</f>
        <v/>
      </c>
      <c r="EW160" s="58">
        <f>IFERROR($BL160/$BL161-1,"")</f>
        <v/>
      </c>
      <c r="EX160" s="58">
        <f>IFERROR($BM160/$BM161-1,"")</f>
        <v/>
      </c>
      <c r="EY160" s="58">
        <f>IFERROR($BN160/$BN161-1,"")</f>
        <v/>
      </c>
      <c r="EZ160" s="58">
        <f>IFERROR($BO160/$BO161-1,"")</f>
        <v/>
      </c>
      <c r="FA160" s="58">
        <f>IFERROR($BP160/$BP161-1,"")</f>
        <v/>
      </c>
      <c r="FB160" s="58">
        <f>IFERROR($BQ160/$BQ161-1,"")</f>
        <v/>
      </c>
      <c r="FC160" s="58">
        <f>IFERROR($BR160/$BR161-1,"")</f>
        <v/>
      </c>
      <c r="FD160" s="58">
        <f>IFERROR($BS160/$BS161-1,"")</f>
        <v/>
      </c>
      <c r="FE160" s="58">
        <f>IFERROR($BT160/$BT161-1,"")</f>
        <v/>
      </c>
      <c r="FF160" s="58">
        <f>IFERROR($BU160/$BU161-1,"")</f>
        <v/>
      </c>
      <c r="FG160" s="58">
        <f>IFERROR($BV160/$BV161-1,"")</f>
        <v/>
      </c>
      <c r="FH160" s="58">
        <f>IFERROR($BW160/$BW161-1,"")</f>
        <v/>
      </c>
      <c r="FI160" s="58">
        <f>IFERROR($BX160/$BX161-1,"")</f>
        <v/>
      </c>
      <c r="FJ160" s="59">
        <f>$BY160-$BY161</f>
        <v/>
      </c>
      <c r="FK160" s="59">
        <f>$BZ160-$BZ161</f>
        <v/>
      </c>
      <c r="FL160" s="59">
        <f>$CA160-$CA161</f>
        <v/>
      </c>
      <c r="FM160" s="59">
        <f>$CB160-$CB161</f>
        <v/>
      </c>
      <c r="FN160" s="59">
        <f>$CC160-$CC161</f>
        <v/>
      </c>
      <c r="FO160" s="59">
        <f>$CD160-$CD161</f>
        <v/>
      </c>
      <c r="FP160" s="59">
        <f>$CE160-$CE161</f>
        <v/>
      </c>
      <c r="FQ160" s="59">
        <f>$CF160-$CF161</f>
        <v/>
      </c>
      <c r="FR160" s="59">
        <f>$CG160-$CG161</f>
        <v/>
      </c>
      <c r="FS160" s="59">
        <f>$CH160-$CH161</f>
        <v/>
      </c>
      <c r="FT160" s="59">
        <f>$CI160-$CI161</f>
        <v/>
      </c>
      <c r="FU160" s="59">
        <f>$CJ160-$CJ161</f>
        <v/>
      </c>
      <c r="FV160" s="59">
        <f>$CK160-$CK161</f>
        <v/>
      </c>
      <c r="FW160" s="59">
        <f>$CL160-$CL161</f>
        <v/>
      </c>
      <c r="FX160" s="59">
        <f>$CM160-$CM161</f>
        <v/>
      </c>
      <c r="FY160" s="59">
        <f>$CN160-$CN161</f>
        <v/>
      </c>
      <c r="FZ160" s="59">
        <f>$CO160-$CO161</f>
        <v/>
      </c>
      <c r="GA160" s="59">
        <f>$CP160-$CP161</f>
        <v/>
      </c>
      <c r="GB160" s="59">
        <f>$CQ160-$CQ161</f>
        <v/>
      </c>
      <c r="GC160" s="59">
        <f>$CR160-$CR161</f>
        <v/>
      </c>
      <c r="GD160" s="59">
        <f>$CS160-$CS161</f>
        <v/>
      </c>
      <c r="GE160" s="59">
        <f>$CT160-$CT161</f>
        <v/>
      </c>
    </row>
    <row r="161">
      <c r="CU161" s="58">
        <f>IFERROR($B161/$B162-1,"")</f>
        <v/>
      </c>
      <c r="CV161" s="59">
        <f>($F161-$F162)*100</f>
        <v/>
      </c>
      <c r="CW161" s="59">
        <f>($E161-$E162)*100</f>
        <v/>
      </c>
      <c r="CX161" s="58">
        <f>IFERROR($K161/$K162-1,"")</f>
        <v/>
      </c>
      <c r="CY161" s="59">
        <f>($AH161-$AH162)*100</f>
        <v/>
      </c>
      <c r="CZ161" s="59">
        <f>($AI161-$AI162)*100</f>
        <v/>
      </c>
      <c r="DA161" s="59">
        <f>($AJ161-$AJ162)*100</f>
        <v/>
      </c>
      <c r="DB161" s="59">
        <f>($AK161-$AK162)*100</f>
        <v/>
      </c>
      <c r="DC161" s="59">
        <f>($AL161-$AL162)*100</f>
        <v/>
      </c>
      <c r="DD161" s="59">
        <f>($AM161-$AM162)*100</f>
        <v/>
      </c>
      <c r="DE161" s="59">
        <f>($AN161-$AN162)*100</f>
        <v/>
      </c>
      <c r="DF161" s="59">
        <f>($AO161-$AO162)*100</f>
        <v/>
      </c>
      <c r="DG161" s="59">
        <f>($AP161-$AP162)*100</f>
        <v/>
      </c>
      <c r="DH161" s="59">
        <f>($AQ161-$AQ162)*100</f>
        <v/>
      </c>
      <c r="DI161" s="59">
        <f>($AR161-$AR162)*100</f>
        <v/>
      </c>
      <c r="DJ161" s="59">
        <f>($AS161-$AS162)*100</f>
        <v/>
      </c>
      <c r="DK161" s="59">
        <f>($AT161-$AT162)*100</f>
        <v/>
      </c>
      <c r="DL161" s="59">
        <f>($AU161-$AU162)*100</f>
        <v/>
      </c>
      <c r="DM161" s="59">
        <f>($AV161-$AV162)*100</f>
        <v/>
      </c>
      <c r="DN161" s="59">
        <f>($AW161-$AW162)*100</f>
        <v/>
      </c>
      <c r="DO161" s="59">
        <f>($AX161-$AX162)*100</f>
        <v/>
      </c>
      <c r="DP161" s="59">
        <f>($AY161-$AY162)*100</f>
        <v/>
      </c>
      <c r="DQ161" s="59">
        <f>($AZ161-$AZ162)*100</f>
        <v/>
      </c>
      <c r="DR161" s="59">
        <f>($BA161-$BA162)*100</f>
        <v/>
      </c>
      <c r="DS161" s="58">
        <f>IFERROR($N162/$N161-1,"")</f>
        <v/>
      </c>
      <c r="DT161" s="58">
        <f>IFERROR($O162/$O161-1,"")</f>
        <v/>
      </c>
      <c r="DU161" s="58">
        <f>IFERROR($P162/$P161-1,"")</f>
        <v/>
      </c>
      <c r="DV161" s="58">
        <f>IFERROR($Q162/$Q161-1,"")</f>
        <v/>
      </c>
      <c r="DW161" s="58">
        <f>IFERROR($R162/$R161-1,"")</f>
        <v/>
      </c>
      <c r="DX161" s="58">
        <f>IFERROR($S162/$S161-1,"")</f>
        <v/>
      </c>
      <c r="DY161" s="58">
        <f>IFERROR($T162/$T161-1,"")</f>
        <v/>
      </c>
      <c r="DZ161" s="58">
        <f>IFERROR($U162/$U161-1,"")</f>
        <v/>
      </c>
      <c r="EA161" s="58">
        <f>IFERROR($V162/$V161-1,"")</f>
        <v/>
      </c>
      <c r="EB161" s="58">
        <f>IFERROR($W162/$W161-1,"")</f>
        <v/>
      </c>
      <c r="EC161" s="58">
        <f>IFERROR($X162/$X161-1,"")</f>
        <v/>
      </c>
      <c r="ED161" s="58">
        <f>IFERROR($Y162/$Y161-1,"")</f>
        <v/>
      </c>
      <c r="EE161" s="58">
        <f>IFERROR($Z162/$Z161-1,"")</f>
        <v/>
      </c>
      <c r="EF161" s="58">
        <f>IFERROR($AA162/$AA161-1,"")</f>
        <v/>
      </c>
      <c r="EG161" s="58">
        <f>IFERROR($AB162/$AB161-1,"")</f>
        <v/>
      </c>
      <c r="EH161" s="58">
        <f>IFERROR($AC162/$AC161-1,"")</f>
        <v/>
      </c>
      <c r="EI161" s="58">
        <f>IFERROR($AD162/$AD161-1,"")</f>
        <v/>
      </c>
      <c r="EJ161" s="58">
        <f>IFERROR($AE162/$AE161-1,"")</f>
        <v/>
      </c>
      <c r="EK161" s="58">
        <f>IFERROR($AF162/$AF161-1,"")</f>
        <v/>
      </c>
      <c r="EL161" s="58">
        <f>IFERROR($AG162/$AG161-1,"")</f>
        <v/>
      </c>
      <c r="EM161" s="58">
        <f>IFERROR($BB161/$BB162-1,"")</f>
        <v/>
      </c>
      <c r="EN161" s="58">
        <f>IFERROR($BC161/$BC162-1,"")</f>
        <v/>
      </c>
      <c r="EO161" s="58">
        <f>IFERROR($BD161/$BD162-1,"")</f>
        <v/>
      </c>
      <c r="EP161" s="58">
        <f>IFERROR($BE161/$BE162-1,"")</f>
        <v/>
      </c>
      <c r="EQ161" s="58">
        <f>IFERROR($BF161/$BF162-1,"")</f>
        <v/>
      </c>
      <c r="ER161" s="58">
        <f>IFERROR($BG161/$BG162-1,"")</f>
        <v/>
      </c>
      <c r="ES161" s="58">
        <f>IFERROR($BH161/$BH162-1,"")</f>
        <v/>
      </c>
      <c r="ET161" s="58">
        <f>IFERROR($BI161/$BI162-1,"")</f>
        <v/>
      </c>
      <c r="EU161" s="58">
        <f>IFERROR($BJ161/$BJ162-1,"")</f>
        <v/>
      </c>
      <c r="EV161" s="58">
        <f>IFERROR($BK161/$BK162-1,"")</f>
        <v/>
      </c>
      <c r="EW161" s="58">
        <f>IFERROR($BL161/$BL162-1,"")</f>
        <v/>
      </c>
      <c r="EX161" s="58">
        <f>IFERROR($BM161/$BM162-1,"")</f>
        <v/>
      </c>
      <c r="EY161" s="58">
        <f>IFERROR($BN161/$BN162-1,"")</f>
        <v/>
      </c>
      <c r="EZ161" s="58">
        <f>IFERROR($BO161/$BO162-1,"")</f>
        <v/>
      </c>
      <c r="FA161" s="58">
        <f>IFERROR($BP161/$BP162-1,"")</f>
        <v/>
      </c>
      <c r="FB161" s="58">
        <f>IFERROR($BQ161/$BQ162-1,"")</f>
        <v/>
      </c>
      <c r="FC161" s="58">
        <f>IFERROR($BR161/$BR162-1,"")</f>
        <v/>
      </c>
      <c r="FD161" s="58">
        <f>IFERROR($BS161/$BS162-1,"")</f>
        <v/>
      </c>
      <c r="FE161" s="58">
        <f>IFERROR($BT161/$BT162-1,"")</f>
        <v/>
      </c>
      <c r="FF161" s="58">
        <f>IFERROR($BU161/$BU162-1,"")</f>
        <v/>
      </c>
      <c r="FG161" s="58">
        <f>IFERROR($BV161/$BV162-1,"")</f>
        <v/>
      </c>
      <c r="FH161" s="58">
        <f>IFERROR($BW161/$BW162-1,"")</f>
        <v/>
      </c>
      <c r="FI161" s="58">
        <f>IFERROR($BX161/$BX162-1,"")</f>
        <v/>
      </c>
      <c r="FJ161" s="59">
        <f>$BY161-$BY162</f>
        <v/>
      </c>
      <c r="FK161" s="59">
        <f>$BZ161-$BZ162</f>
        <v/>
      </c>
      <c r="FL161" s="59">
        <f>$CA161-$CA162</f>
        <v/>
      </c>
      <c r="FM161" s="59">
        <f>$CB161-$CB162</f>
        <v/>
      </c>
      <c r="FN161" s="59">
        <f>$CC161-$CC162</f>
        <v/>
      </c>
      <c r="FO161" s="59">
        <f>$CD161-$CD162</f>
        <v/>
      </c>
      <c r="FP161" s="59">
        <f>$CE161-$CE162</f>
        <v/>
      </c>
      <c r="FQ161" s="59">
        <f>$CF161-$CF162</f>
        <v/>
      </c>
      <c r="FR161" s="59">
        <f>$CG161-$CG162</f>
        <v/>
      </c>
      <c r="FS161" s="59">
        <f>$CH161-$CH162</f>
        <v/>
      </c>
      <c r="FT161" s="59">
        <f>$CI161-$CI162</f>
        <v/>
      </c>
      <c r="FU161" s="59">
        <f>$CJ161-$CJ162</f>
        <v/>
      </c>
      <c r="FV161" s="59">
        <f>$CK161-$CK162</f>
        <v/>
      </c>
      <c r="FW161" s="59">
        <f>$CL161-$CL162</f>
        <v/>
      </c>
      <c r="FX161" s="59">
        <f>$CM161-$CM162</f>
        <v/>
      </c>
      <c r="FY161" s="59">
        <f>$CN161-$CN162</f>
        <v/>
      </c>
      <c r="FZ161" s="59">
        <f>$CO161-$CO162</f>
        <v/>
      </c>
      <c r="GA161" s="59">
        <f>$CP161-$CP162</f>
        <v/>
      </c>
      <c r="GB161" s="59">
        <f>$CQ161-$CQ162</f>
        <v/>
      </c>
      <c r="GC161" s="59">
        <f>$CR161-$CR162</f>
        <v/>
      </c>
      <c r="GD161" s="59">
        <f>$CS161-$CS162</f>
        <v/>
      </c>
      <c r="GE161" s="59">
        <f>$CT161-$CT162</f>
        <v/>
      </c>
    </row>
    <row r="162">
      <c r="CU162" s="58">
        <f>IFERROR($B162/$B163-1,"")</f>
        <v/>
      </c>
      <c r="CV162" s="59">
        <f>($F162-$F163)*100</f>
        <v/>
      </c>
      <c r="CW162" s="59">
        <f>($E162-$E163)*100</f>
        <v/>
      </c>
      <c r="CX162" s="58">
        <f>IFERROR($K162/$K163-1,"")</f>
        <v/>
      </c>
      <c r="CY162" s="59">
        <f>($AH162-$AH163)*100</f>
        <v/>
      </c>
      <c r="CZ162" s="59">
        <f>($AI162-$AI163)*100</f>
        <v/>
      </c>
      <c r="DA162" s="59">
        <f>($AJ162-$AJ163)*100</f>
        <v/>
      </c>
      <c r="DB162" s="59">
        <f>($AK162-$AK163)*100</f>
        <v/>
      </c>
      <c r="DC162" s="59">
        <f>($AL162-$AL163)*100</f>
        <v/>
      </c>
      <c r="DD162" s="59">
        <f>($AM162-$AM163)*100</f>
        <v/>
      </c>
      <c r="DE162" s="59">
        <f>($AN162-$AN163)*100</f>
        <v/>
      </c>
      <c r="DF162" s="59">
        <f>($AO162-$AO163)*100</f>
        <v/>
      </c>
      <c r="DG162" s="59">
        <f>($AP162-$AP163)*100</f>
        <v/>
      </c>
      <c r="DH162" s="59">
        <f>($AQ162-$AQ163)*100</f>
        <v/>
      </c>
      <c r="DI162" s="59">
        <f>($AR162-$AR163)*100</f>
        <v/>
      </c>
      <c r="DJ162" s="59">
        <f>($AS162-$AS163)*100</f>
        <v/>
      </c>
      <c r="DK162" s="59">
        <f>($AT162-$AT163)*100</f>
        <v/>
      </c>
      <c r="DL162" s="59">
        <f>($AU162-$AU163)*100</f>
        <v/>
      </c>
      <c r="DM162" s="59">
        <f>($AV162-$AV163)*100</f>
        <v/>
      </c>
      <c r="DN162" s="59">
        <f>($AW162-$AW163)*100</f>
        <v/>
      </c>
      <c r="DO162" s="59">
        <f>($AX162-$AX163)*100</f>
        <v/>
      </c>
      <c r="DP162" s="59">
        <f>($AY162-$AY163)*100</f>
        <v/>
      </c>
      <c r="DQ162" s="59">
        <f>($AZ162-$AZ163)*100</f>
        <v/>
      </c>
      <c r="DR162" s="59">
        <f>($BA162-$BA163)*100</f>
        <v/>
      </c>
      <c r="DS162" s="58">
        <f>IFERROR($N163/$N162-1,"")</f>
        <v/>
      </c>
      <c r="DT162" s="58">
        <f>IFERROR($O163/$O162-1,"")</f>
        <v/>
      </c>
      <c r="DU162" s="58">
        <f>IFERROR($P163/$P162-1,"")</f>
        <v/>
      </c>
      <c r="DV162" s="58">
        <f>IFERROR($Q163/$Q162-1,"")</f>
        <v/>
      </c>
      <c r="DW162" s="58">
        <f>IFERROR($R163/$R162-1,"")</f>
        <v/>
      </c>
      <c r="DX162" s="58">
        <f>IFERROR($S163/$S162-1,"")</f>
        <v/>
      </c>
      <c r="DY162" s="58">
        <f>IFERROR($T163/$T162-1,"")</f>
        <v/>
      </c>
      <c r="DZ162" s="58">
        <f>IFERROR($U163/$U162-1,"")</f>
        <v/>
      </c>
      <c r="EA162" s="58">
        <f>IFERROR($V163/$V162-1,"")</f>
        <v/>
      </c>
      <c r="EB162" s="58">
        <f>IFERROR($W163/$W162-1,"")</f>
        <v/>
      </c>
      <c r="EC162" s="58">
        <f>IFERROR($X163/$X162-1,"")</f>
        <v/>
      </c>
      <c r="ED162" s="58">
        <f>IFERROR($Y163/$Y162-1,"")</f>
        <v/>
      </c>
      <c r="EE162" s="58">
        <f>IFERROR($Z163/$Z162-1,"")</f>
        <v/>
      </c>
      <c r="EF162" s="58">
        <f>IFERROR($AA163/$AA162-1,"")</f>
        <v/>
      </c>
      <c r="EG162" s="58">
        <f>IFERROR($AB163/$AB162-1,"")</f>
        <v/>
      </c>
      <c r="EH162" s="58">
        <f>IFERROR($AC163/$AC162-1,"")</f>
        <v/>
      </c>
      <c r="EI162" s="58">
        <f>IFERROR($AD163/$AD162-1,"")</f>
        <v/>
      </c>
      <c r="EJ162" s="58">
        <f>IFERROR($AE163/$AE162-1,"")</f>
        <v/>
      </c>
      <c r="EK162" s="58">
        <f>IFERROR($AF163/$AF162-1,"")</f>
        <v/>
      </c>
      <c r="EL162" s="58">
        <f>IFERROR($AG163/$AG162-1,"")</f>
        <v/>
      </c>
      <c r="EM162" s="58">
        <f>IFERROR($BB162/$BB163-1,"")</f>
        <v/>
      </c>
      <c r="EN162" s="58">
        <f>IFERROR($BC162/$BC163-1,"")</f>
        <v/>
      </c>
      <c r="EO162" s="58">
        <f>IFERROR($BD162/$BD163-1,"")</f>
        <v/>
      </c>
      <c r="EP162" s="58">
        <f>IFERROR($BE162/$BE163-1,"")</f>
        <v/>
      </c>
      <c r="EQ162" s="58">
        <f>IFERROR($BF162/$BF163-1,"")</f>
        <v/>
      </c>
      <c r="ER162" s="58">
        <f>IFERROR($BG162/$BG163-1,"")</f>
        <v/>
      </c>
      <c r="ES162" s="58">
        <f>IFERROR($BH162/$BH163-1,"")</f>
        <v/>
      </c>
      <c r="ET162" s="58">
        <f>IFERROR($BI162/$BI163-1,"")</f>
        <v/>
      </c>
      <c r="EU162" s="58">
        <f>IFERROR($BJ162/$BJ163-1,"")</f>
        <v/>
      </c>
      <c r="EV162" s="58">
        <f>IFERROR($BK162/$BK163-1,"")</f>
        <v/>
      </c>
      <c r="EW162" s="58">
        <f>IFERROR($BL162/$BL163-1,"")</f>
        <v/>
      </c>
      <c r="EX162" s="58">
        <f>IFERROR($BM162/$BM163-1,"")</f>
        <v/>
      </c>
      <c r="EY162" s="58">
        <f>IFERROR($BN162/$BN163-1,"")</f>
        <v/>
      </c>
      <c r="EZ162" s="58">
        <f>IFERROR($BO162/$BO163-1,"")</f>
        <v/>
      </c>
      <c r="FA162" s="58">
        <f>IFERROR($BP162/$BP163-1,"")</f>
        <v/>
      </c>
      <c r="FB162" s="58">
        <f>IFERROR($BQ162/$BQ163-1,"")</f>
        <v/>
      </c>
      <c r="FC162" s="58">
        <f>IFERROR($BR162/$BR163-1,"")</f>
        <v/>
      </c>
      <c r="FD162" s="58">
        <f>IFERROR($BS162/$BS163-1,"")</f>
        <v/>
      </c>
      <c r="FE162" s="58">
        <f>IFERROR($BT162/$BT163-1,"")</f>
        <v/>
      </c>
      <c r="FF162" s="58">
        <f>IFERROR($BU162/$BU163-1,"")</f>
        <v/>
      </c>
      <c r="FG162" s="58">
        <f>IFERROR($BV162/$BV163-1,"")</f>
        <v/>
      </c>
      <c r="FH162" s="58">
        <f>IFERROR($BW162/$BW163-1,"")</f>
        <v/>
      </c>
      <c r="FI162" s="58">
        <f>IFERROR($BX162/$BX163-1,"")</f>
        <v/>
      </c>
      <c r="FJ162" s="59">
        <f>$BY162-$BY163</f>
        <v/>
      </c>
      <c r="FK162" s="59">
        <f>$BZ162-$BZ163</f>
        <v/>
      </c>
      <c r="FL162" s="59">
        <f>$CA162-$CA163</f>
        <v/>
      </c>
      <c r="FM162" s="59">
        <f>$CB162-$CB163</f>
        <v/>
      </c>
      <c r="FN162" s="59">
        <f>$CC162-$CC163</f>
        <v/>
      </c>
      <c r="FO162" s="59">
        <f>$CD162-$CD163</f>
        <v/>
      </c>
      <c r="FP162" s="59">
        <f>$CE162-$CE163</f>
        <v/>
      </c>
      <c r="FQ162" s="59">
        <f>$CF162-$CF163</f>
        <v/>
      </c>
      <c r="FR162" s="59">
        <f>$CG162-$CG163</f>
        <v/>
      </c>
      <c r="FS162" s="59">
        <f>$CH162-$CH163</f>
        <v/>
      </c>
      <c r="FT162" s="59">
        <f>$CI162-$CI163</f>
        <v/>
      </c>
      <c r="FU162" s="59">
        <f>$CJ162-$CJ163</f>
        <v/>
      </c>
      <c r="FV162" s="59">
        <f>$CK162-$CK163</f>
        <v/>
      </c>
      <c r="FW162" s="59">
        <f>$CL162-$CL163</f>
        <v/>
      </c>
      <c r="FX162" s="59">
        <f>$CM162-$CM163</f>
        <v/>
      </c>
      <c r="FY162" s="59">
        <f>$CN162-$CN163</f>
        <v/>
      </c>
      <c r="FZ162" s="59">
        <f>$CO162-$CO163</f>
        <v/>
      </c>
      <c r="GA162" s="59">
        <f>$CP162-$CP163</f>
        <v/>
      </c>
      <c r="GB162" s="59">
        <f>$CQ162-$CQ163</f>
        <v/>
      </c>
      <c r="GC162" s="59">
        <f>$CR162-$CR163</f>
        <v/>
      </c>
      <c r="GD162" s="59">
        <f>$CS162-$CS163</f>
        <v/>
      </c>
      <c r="GE162" s="59">
        <f>$CT162-$CT163</f>
        <v/>
      </c>
    </row>
    <row r="163">
      <c r="CU163" s="58">
        <f>IFERROR($B163/$B164-1,"")</f>
        <v/>
      </c>
      <c r="CV163" s="59">
        <f>($F163-$F164)*100</f>
        <v/>
      </c>
      <c r="CW163" s="59">
        <f>($E163-$E164)*100</f>
        <v/>
      </c>
      <c r="CX163" s="58">
        <f>IFERROR($K163/$K164-1,"")</f>
        <v/>
      </c>
      <c r="CY163" s="59">
        <f>($AH163-$AH164)*100</f>
        <v/>
      </c>
      <c r="CZ163" s="59">
        <f>($AI163-$AI164)*100</f>
        <v/>
      </c>
      <c r="DA163" s="59">
        <f>($AJ163-$AJ164)*100</f>
        <v/>
      </c>
      <c r="DB163" s="59">
        <f>($AK163-$AK164)*100</f>
        <v/>
      </c>
      <c r="DC163" s="59">
        <f>($AL163-$AL164)*100</f>
        <v/>
      </c>
      <c r="DD163" s="59">
        <f>($AM163-$AM164)*100</f>
        <v/>
      </c>
      <c r="DE163" s="59">
        <f>($AN163-$AN164)*100</f>
        <v/>
      </c>
      <c r="DF163" s="59">
        <f>($AO163-$AO164)*100</f>
        <v/>
      </c>
      <c r="DG163" s="59">
        <f>($AP163-$AP164)*100</f>
        <v/>
      </c>
      <c r="DH163" s="59">
        <f>($AQ163-$AQ164)*100</f>
        <v/>
      </c>
      <c r="DI163" s="59">
        <f>($AR163-$AR164)*100</f>
        <v/>
      </c>
      <c r="DJ163" s="59">
        <f>($AS163-$AS164)*100</f>
        <v/>
      </c>
      <c r="DK163" s="59">
        <f>($AT163-$AT164)*100</f>
        <v/>
      </c>
      <c r="DL163" s="59">
        <f>($AU163-$AU164)*100</f>
        <v/>
      </c>
      <c r="DM163" s="59">
        <f>($AV163-$AV164)*100</f>
        <v/>
      </c>
      <c r="DN163" s="59">
        <f>($AW163-$AW164)*100</f>
        <v/>
      </c>
      <c r="DO163" s="59">
        <f>($AX163-$AX164)*100</f>
        <v/>
      </c>
      <c r="DP163" s="59">
        <f>($AY163-$AY164)*100</f>
        <v/>
      </c>
      <c r="DQ163" s="59">
        <f>($AZ163-$AZ164)*100</f>
        <v/>
      </c>
      <c r="DR163" s="59">
        <f>($BA163-$BA164)*100</f>
        <v/>
      </c>
      <c r="DS163" s="58">
        <f>IFERROR($N164/$N163-1,"")</f>
        <v/>
      </c>
      <c r="DT163" s="58">
        <f>IFERROR($O164/$O163-1,"")</f>
        <v/>
      </c>
      <c r="DU163" s="58">
        <f>IFERROR($P164/$P163-1,"")</f>
        <v/>
      </c>
      <c r="DV163" s="58">
        <f>IFERROR($Q164/$Q163-1,"")</f>
        <v/>
      </c>
      <c r="DW163" s="58">
        <f>IFERROR($R164/$R163-1,"")</f>
        <v/>
      </c>
      <c r="DX163" s="58">
        <f>IFERROR($S164/$S163-1,"")</f>
        <v/>
      </c>
      <c r="DY163" s="58">
        <f>IFERROR($T164/$T163-1,"")</f>
        <v/>
      </c>
      <c r="DZ163" s="58">
        <f>IFERROR($U164/$U163-1,"")</f>
        <v/>
      </c>
      <c r="EA163" s="58">
        <f>IFERROR($V164/$V163-1,"")</f>
        <v/>
      </c>
      <c r="EB163" s="58">
        <f>IFERROR($W164/$W163-1,"")</f>
        <v/>
      </c>
      <c r="EC163" s="58">
        <f>IFERROR($X164/$X163-1,"")</f>
        <v/>
      </c>
      <c r="ED163" s="58">
        <f>IFERROR($Y164/$Y163-1,"")</f>
        <v/>
      </c>
      <c r="EE163" s="58">
        <f>IFERROR($Z164/$Z163-1,"")</f>
        <v/>
      </c>
      <c r="EF163" s="58">
        <f>IFERROR($AA164/$AA163-1,"")</f>
        <v/>
      </c>
      <c r="EG163" s="58">
        <f>IFERROR($AB164/$AB163-1,"")</f>
        <v/>
      </c>
      <c r="EH163" s="58">
        <f>IFERROR($AC164/$AC163-1,"")</f>
        <v/>
      </c>
      <c r="EI163" s="58">
        <f>IFERROR($AD164/$AD163-1,"")</f>
        <v/>
      </c>
      <c r="EJ163" s="58">
        <f>IFERROR($AE164/$AE163-1,"")</f>
        <v/>
      </c>
      <c r="EK163" s="58">
        <f>IFERROR($AF164/$AF163-1,"")</f>
        <v/>
      </c>
      <c r="EL163" s="58">
        <f>IFERROR($AG164/$AG163-1,"")</f>
        <v/>
      </c>
      <c r="EM163" s="58">
        <f>IFERROR($BB163/$BB164-1,"")</f>
        <v/>
      </c>
      <c r="EN163" s="58">
        <f>IFERROR($BC163/$BC164-1,"")</f>
        <v/>
      </c>
      <c r="EO163" s="58">
        <f>IFERROR($BD163/$BD164-1,"")</f>
        <v/>
      </c>
      <c r="EP163" s="58">
        <f>IFERROR($BE163/$BE164-1,"")</f>
        <v/>
      </c>
      <c r="EQ163" s="58">
        <f>IFERROR($BF163/$BF164-1,"")</f>
        <v/>
      </c>
      <c r="ER163" s="58">
        <f>IFERROR($BG163/$BG164-1,"")</f>
        <v/>
      </c>
      <c r="ES163" s="58">
        <f>IFERROR($BH163/$BH164-1,"")</f>
        <v/>
      </c>
      <c r="ET163" s="58">
        <f>IFERROR($BI163/$BI164-1,"")</f>
        <v/>
      </c>
      <c r="EU163" s="58">
        <f>IFERROR($BJ163/$BJ164-1,"")</f>
        <v/>
      </c>
      <c r="EV163" s="58">
        <f>IFERROR($BK163/$BK164-1,"")</f>
        <v/>
      </c>
      <c r="EW163" s="58">
        <f>IFERROR($BL163/$BL164-1,"")</f>
        <v/>
      </c>
      <c r="EX163" s="58">
        <f>IFERROR($BM163/$BM164-1,"")</f>
        <v/>
      </c>
      <c r="EY163" s="58">
        <f>IFERROR($BN163/$BN164-1,"")</f>
        <v/>
      </c>
      <c r="EZ163" s="58">
        <f>IFERROR($BO163/$BO164-1,"")</f>
        <v/>
      </c>
      <c r="FA163" s="58">
        <f>IFERROR($BP163/$BP164-1,"")</f>
        <v/>
      </c>
      <c r="FB163" s="58">
        <f>IFERROR($BQ163/$BQ164-1,"")</f>
        <v/>
      </c>
      <c r="FC163" s="58">
        <f>IFERROR($BR163/$BR164-1,"")</f>
        <v/>
      </c>
      <c r="FD163" s="58">
        <f>IFERROR($BS163/$BS164-1,"")</f>
        <v/>
      </c>
      <c r="FE163" s="58">
        <f>IFERROR($BT163/$BT164-1,"")</f>
        <v/>
      </c>
      <c r="FF163" s="58">
        <f>IFERROR($BU163/$BU164-1,"")</f>
        <v/>
      </c>
      <c r="FG163" s="58">
        <f>IFERROR($BV163/$BV164-1,"")</f>
        <v/>
      </c>
      <c r="FH163" s="58">
        <f>IFERROR($BW163/$BW164-1,"")</f>
        <v/>
      </c>
      <c r="FI163" s="58">
        <f>IFERROR($BX163/$BX164-1,"")</f>
        <v/>
      </c>
      <c r="FJ163" s="59">
        <f>$BY163-$BY164</f>
        <v/>
      </c>
      <c r="FK163" s="59">
        <f>$BZ163-$BZ164</f>
        <v/>
      </c>
      <c r="FL163" s="59">
        <f>$CA163-$CA164</f>
        <v/>
      </c>
      <c r="FM163" s="59">
        <f>$CB163-$CB164</f>
        <v/>
      </c>
      <c r="FN163" s="59">
        <f>$CC163-$CC164</f>
        <v/>
      </c>
      <c r="FO163" s="59">
        <f>$CD163-$CD164</f>
        <v/>
      </c>
      <c r="FP163" s="59">
        <f>$CE163-$CE164</f>
        <v/>
      </c>
      <c r="FQ163" s="59">
        <f>$CF163-$CF164</f>
        <v/>
      </c>
      <c r="FR163" s="59">
        <f>$CG163-$CG164</f>
        <v/>
      </c>
      <c r="FS163" s="59">
        <f>$CH163-$CH164</f>
        <v/>
      </c>
      <c r="FT163" s="59">
        <f>$CI163-$CI164</f>
        <v/>
      </c>
      <c r="FU163" s="59">
        <f>$CJ163-$CJ164</f>
        <v/>
      </c>
      <c r="FV163" s="59">
        <f>$CK163-$CK164</f>
        <v/>
      </c>
      <c r="FW163" s="59">
        <f>$CL163-$CL164</f>
        <v/>
      </c>
      <c r="FX163" s="59">
        <f>$CM163-$CM164</f>
        <v/>
      </c>
      <c r="FY163" s="59">
        <f>$CN163-$CN164</f>
        <v/>
      </c>
      <c r="FZ163" s="59">
        <f>$CO163-$CO164</f>
        <v/>
      </c>
      <c r="GA163" s="59">
        <f>$CP163-$CP164</f>
        <v/>
      </c>
      <c r="GB163" s="59">
        <f>$CQ163-$CQ164</f>
        <v/>
      </c>
      <c r="GC163" s="59">
        <f>$CR163-$CR164</f>
        <v/>
      </c>
      <c r="GD163" s="59">
        <f>$CS163-$CS164</f>
        <v/>
      </c>
      <c r="GE163" s="59">
        <f>$CT163-$CT164</f>
        <v/>
      </c>
    </row>
    <row r="164">
      <c r="CU164" s="58">
        <f>IFERROR($B164/$B165-1,"")</f>
        <v/>
      </c>
      <c r="CV164" s="59">
        <f>($F164-$F165)*100</f>
        <v/>
      </c>
      <c r="CW164" s="59">
        <f>($E164-$E165)*100</f>
        <v/>
      </c>
      <c r="CX164" s="58">
        <f>IFERROR($K164/$K165-1,"")</f>
        <v/>
      </c>
      <c r="CY164" s="59">
        <f>($AH164-$AH165)*100</f>
        <v/>
      </c>
      <c r="CZ164" s="59">
        <f>($AI164-$AI165)*100</f>
        <v/>
      </c>
      <c r="DA164" s="59">
        <f>($AJ164-$AJ165)*100</f>
        <v/>
      </c>
      <c r="DB164" s="59">
        <f>($AK164-$AK165)*100</f>
        <v/>
      </c>
      <c r="DC164" s="59">
        <f>($AL164-$AL165)*100</f>
        <v/>
      </c>
      <c r="DD164" s="59">
        <f>($AM164-$AM165)*100</f>
        <v/>
      </c>
      <c r="DE164" s="59">
        <f>($AN164-$AN165)*100</f>
        <v/>
      </c>
      <c r="DF164" s="59">
        <f>($AO164-$AO165)*100</f>
        <v/>
      </c>
      <c r="DG164" s="59">
        <f>($AP164-$AP165)*100</f>
        <v/>
      </c>
      <c r="DH164" s="59">
        <f>($AQ164-$AQ165)*100</f>
        <v/>
      </c>
      <c r="DI164" s="59">
        <f>($AR164-$AR165)*100</f>
        <v/>
      </c>
      <c r="DJ164" s="59">
        <f>($AS164-$AS165)*100</f>
        <v/>
      </c>
      <c r="DK164" s="59">
        <f>($AT164-$AT165)*100</f>
        <v/>
      </c>
      <c r="DL164" s="59">
        <f>($AU164-$AU165)*100</f>
        <v/>
      </c>
      <c r="DM164" s="59">
        <f>($AV164-$AV165)*100</f>
        <v/>
      </c>
      <c r="DN164" s="59">
        <f>($AW164-$AW165)*100</f>
        <v/>
      </c>
      <c r="DO164" s="59">
        <f>($AX164-$AX165)*100</f>
        <v/>
      </c>
      <c r="DP164" s="59">
        <f>($AY164-$AY165)*100</f>
        <v/>
      </c>
      <c r="DQ164" s="59">
        <f>($AZ164-$AZ165)*100</f>
        <v/>
      </c>
      <c r="DR164" s="59">
        <f>($BA164-$BA165)*100</f>
        <v/>
      </c>
      <c r="DS164" s="58">
        <f>IFERROR($N165/$N164-1,"")</f>
        <v/>
      </c>
      <c r="DT164" s="58">
        <f>IFERROR($O165/$O164-1,"")</f>
        <v/>
      </c>
      <c r="DU164" s="58">
        <f>IFERROR($P165/$P164-1,"")</f>
        <v/>
      </c>
      <c r="DV164" s="58">
        <f>IFERROR($Q165/$Q164-1,"")</f>
        <v/>
      </c>
      <c r="DW164" s="58">
        <f>IFERROR($R165/$R164-1,"")</f>
        <v/>
      </c>
      <c r="DX164" s="58">
        <f>IFERROR($S165/$S164-1,"")</f>
        <v/>
      </c>
      <c r="DY164" s="58">
        <f>IFERROR($T165/$T164-1,"")</f>
        <v/>
      </c>
      <c r="DZ164" s="58">
        <f>IFERROR($U165/$U164-1,"")</f>
        <v/>
      </c>
      <c r="EA164" s="58">
        <f>IFERROR($V165/$V164-1,"")</f>
        <v/>
      </c>
      <c r="EB164" s="58">
        <f>IFERROR($W165/$W164-1,"")</f>
        <v/>
      </c>
      <c r="EC164" s="58">
        <f>IFERROR($X165/$X164-1,"")</f>
        <v/>
      </c>
      <c r="ED164" s="58">
        <f>IFERROR($Y165/$Y164-1,"")</f>
        <v/>
      </c>
      <c r="EE164" s="58">
        <f>IFERROR($Z165/$Z164-1,"")</f>
        <v/>
      </c>
      <c r="EF164" s="58">
        <f>IFERROR($AA165/$AA164-1,"")</f>
        <v/>
      </c>
      <c r="EG164" s="58">
        <f>IFERROR($AB165/$AB164-1,"")</f>
        <v/>
      </c>
      <c r="EH164" s="58">
        <f>IFERROR($AC165/$AC164-1,"")</f>
        <v/>
      </c>
      <c r="EI164" s="58">
        <f>IFERROR($AD165/$AD164-1,"")</f>
        <v/>
      </c>
      <c r="EJ164" s="58">
        <f>IFERROR($AE165/$AE164-1,"")</f>
        <v/>
      </c>
      <c r="EK164" s="58">
        <f>IFERROR($AF165/$AF164-1,"")</f>
        <v/>
      </c>
      <c r="EL164" s="58">
        <f>IFERROR($AG165/$AG164-1,"")</f>
        <v/>
      </c>
      <c r="EM164" s="58">
        <f>IFERROR($BB164/$BB165-1,"")</f>
        <v/>
      </c>
      <c r="EN164" s="58">
        <f>IFERROR($BC164/$BC165-1,"")</f>
        <v/>
      </c>
      <c r="EO164" s="58">
        <f>IFERROR($BD164/$BD165-1,"")</f>
        <v/>
      </c>
      <c r="EP164" s="58">
        <f>IFERROR($BE164/$BE165-1,"")</f>
        <v/>
      </c>
      <c r="EQ164" s="58">
        <f>IFERROR($BF164/$BF165-1,"")</f>
        <v/>
      </c>
      <c r="ER164" s="58">
        <f>IFERROR($BG164/$BG165-1,"")</f>
        <v/>
      </c>
      <c r="ES164" s="58">
        <f>IFERROR($BH164/$BH165-1,"")</f>
        <v/>
      </c>
      <c r="ET164" s="58">
        <f>IFERROR($BI164/$BI165-1,"")</f>
        <v/>
      </c>
      <c r="EU164" s="58">
        <f>IFERROR($BJ164/$BJ165-1,"")</f>
        <v/>
      </c>
      <c r="EV164" s="58">
        <f>IFERROR($BK164/$BK165-1,"")</f>
        <v/>
      </c>
      <c r="EW164" s="58">
        <f>IFERROR($BL164/$BL165-1,"")</f>
        <v/>
      </c>
      <c r="EX164" s="58">
        <f>IFERROR($BM164/$BM165-1,"")</f>
        <v/>
      </c>
      <c r="EY164" s="58">
        <f>IFERROR($BN164/$BN165-1,"")</f>
        <v/>
      </c>
      <c r="EZ164" s="58">
        <f>IFERROR($BO164/$BO165-1,"")</f>
        <v/>
      </c>
      <c r="FA164" s="58">
        <f>IFERROR($BP164/$BP165-1,"")</f>
        <v/>
      </c>
      <c r="FB164" s="58">
        <f>IFERROR($BQ164/$BQ165-1,"")</f>
        <v/>
      </c>
      <c r="FC164" s="58">
        <f>IFERROR($BR164/$BR165-1,"")</f>
        <v/>
      </c>
      <c r="FD164" s="58">
        <f>IFERROR($BS164/$BS165-1,"")</f>
        <v/>
      </c>
      <c r="FE164" s="58">
        <f>IFERROR($BT164/$BT165-1,"")</f>
        <v/>
      </c>
      <c r="FF164" s="58">
        <f>IFERROR($BU164/$BU165-1,"")</f>
        <v/>
      </c>
      <c r="FG164" s="58">
        <f>IFERROR($BV164/$BV165-1,"")</f>
        <v/>
      </c>
      <c r="FH164" s="58">
        <f>IFERROR($BW164/$BW165-1,"")</f>
        <v/>
      </c>
      <c r="FI164" s="58">
        <f>IFERROR($BX164/$BX165-1,"")</f>
        <v/>
      </c>
      <c r="FJ164" s="59">
        <f>$BY164-$BY165</f>
        <v/>
      </c>
      <c r="FK164" s="59">
        <f>$BZ164-$BZ165</f>
        <v/>
      </c>
      <c r="FL164" s="59">
        <f>$CA164-$CA165</f>
        <v/>
      </c>
      <c r="FM164" s="59">
        <f>$CB164-$CB165</f>
        <v/>
      </c>
      <c r="FN164" s="59">
        <f>$CC164-$CC165</f>
        <v/>
      </c>
      <c r="FO164" s="59">
        <f>$CD164-$CD165</f>
        <v/>
      </c>
      <c r="FP164" s="59">
        <f>$CE164-$CE165</f>
        <v/>
      </c>
      <c r="FQ164" s="59">
        <f>$CF164-$CF165</f>
        <v/>
      </c>
      <c r="FR164" s="59">
        <f>$CG164-$CG165</f>
        <v/>
      </c>
      <c r="FS164" s="59">
        <f>$CH164-$CH165</f>
        <v/>
      </c>
      <c r="FT164" s="59">
        <f>$CI164-$CI165</f>
        <v/>
      </c>
      <c r="FU164" s="59">
        <f>$CJ164-$CJ165</f>
        <v/>
      </c>
      <c r="FV164" s="59">
        <f>$CK164-$CK165</f>
        <v/>
      </c>
      <c r="FW164" s="59">
        <f>$CL164-$CL165</f>
        <v/>
      </c>
      <c r="FX164" s="59">
        <f>$CM164-$CM165</f>
        <v/>
      </c>
      <c r="FY164" s="59">
        <f>$CN164-$CN165</f>
        <v/>
      </c>
      <c r="FZ164" s="59">
        <f>$CO164-$CO165</f>
        <v/>
      </c>
      <c r="GA164" s="59">
        <f>$CP164-$CP165</f>
        <v/>
      </c>
      <c r="GB164" s="59">
        <f>$CQ164-$CQ165</f>
        <v/>
      </c>
      <c r="GC164" s="59">
        <f>$CR164-$CR165</f>
        <v/>
      </c>
      <c r="GD164" s="59">
        <f>$CS164-$CS165</f>
        <v/>
      </c>
      <c r="GE164" s="59">
        <f>$CT164-$CT165</f>
        <v/>
      </c>
    </row>
    <row r="165">
      <c r="CU165" s="58">
        <f>IFERROR($B165/$B166-1,"")</f>
        <v/>
      </c>
      <c r="CV165" s="59">
        <f>($F165-$F166)*100</f>
        <v/>
      </c>
      <c r="CW165" s="59">
        <f>($E165-$E166)*100</f>
        <v/>
      </c>
      <c r="CX165" s="58">
        <f>IFERROR($K165/$K166-1,"")</f>
        <v/>
      </c>
      <c r="CY165" s="59">
        <f>($AH165-$AH166)*100</f>
        <v/>
      </c>
      <c r="CZ165" s="59">
        <f>($AI165-$AI166)*100</f>
        <v/>
      </c>
      <c r="DA165" s="59">
        <f>($AJ165-$AJ166)*100</f>
        <v/>
      </c>
      <c r="DB165" s="59">
        <f>($AK165-$AK166)*100</f>
        <v/>
      </c>
      <c r="DC165" s="59">
        <f>($AL165-$AL166)*100</f>
        <v/>
      </c>
      <c r="DD165" s="59">
        <f>($AM165-$AM166)*100</f>
        <v/>
      </c>
      <c r="DE165" s="59">
        <f>($AN165-$AN166)*100</f>
        <v/>
      </c>
      <c r="DF165" s="59">
        <f>($AO165-$AO166)*100</f>
        <v/>
      </c>
      <c r="DG165" s="59">
        <f>($AP165-$AP166)*100</f>
        <v/>
      </c>
      <c r="DH165" s="59">
        <f>($AQ165-$AQ166)*100</f>
        <v/>
      </c>
      <c r="DI165" s="59">
        <f>($AR165-$AR166)*100</f>
        <v/>
      </c>
      <c r="DJ165" s="59">
        <f>($AS165-$AS166)*100</f>
        <v/>
      </c>
      <c r="DK165" s="59">
        <f>($AT165-$AT166)*100</f>
        <v/>
      </c>
      <c r="DL165" s="59">
        <f>($AU165-$AU166)*100</f>
        <v/>
      </c>
      <c r="DM165" s="59">
        <f>($AV165-$AV166)*100</f>
        <v/>
      </c>
      <c r="DN165" s="59">
        <f>($AW165-$AW166)*100</f>
        <v/>
      </c>
      <c r="DO165" s="59">
        <f>($AX165-$AX166)*100</f>
        <v/>
      </c>
      <c r="DP165" s="59">
        <f>($AY165-$AY166)*100</f>
        <v/>
      </c>
      <c r="DQ165" s="59">
        <f>($AZ165-$AZ166)*100</f>
        <v/>
      </c>
      <c r="DR165" s="59">
        <f>($BA165-$BA166)*100</f>
        <v/>
      </c>
      <c r="DS165" s="58">
        <f>IFERROR($N166/$N165-1,"")</f>
        <v/>
      </c>
      <c r="DT165" s="58">
        <f>IFERROR($O166/$O165-1,"")</f>
        <v/>
      </c>
      <c r="DU165" s="58">
        <f>IFERROR($P166/$P165-1,"")</f>
        <v/>
      </c>
      <c r="DV165" s="58">
        <f>IFERROR($Q166/$Q165-1,"")</f>
        <v/>
      </c>
      <c r="DW165" s="58">
        <f>IFERROR($R166/$R165-1,"")</f>
        <v/>
      </c>
      <c r="DX165" s="58">
        <f>IFERROR($S166/$S165-1,"")</f>
        <v/>
      </c>
      <c r="DY165" s="58">
        <f>IFERROR($T166/$T165-1,"")</f>
        <v/>
      </c>
      <c r="DZ165" s="58">
        <f>IFERROR($U166/$U165-1,"")</f>
        <v/>
      </c>
      <c r="EA165" s="58">
        <f>IFERROR($V166/$V165-1,"")</f>
        <v/>
      </c>
      <c r="EB165" s="58">
        <f>IFERROR($W166/$W165-1,"")</f>
        <v/>
      </c>
      <c r="EC165" s="58">
        <f>IFERROR($X166/$X165-1,"")</f>
        <v/>
      </c>
      <c r="ED165" s="58">
        <f>IFERROR($Y166/$Y165-1,"")</f>
        <v/>
      </c>
      <c r="EE165" s="58">
        <f>IFERROR($Z166/$Z165-1,"")</f>
        <v/>
      </c>
      <c r="EF165" s="58">
        <f>IFERROR($AA166/$AA165-1,"")</f>
        <v/>
      </c>
      <c r="EG165" s="58">
        <f>IFERROR($AB166/$AB165-1,"")</f>
        <v/>
      </c>
      <c r="EH165" s="58">
        <f>IFERROR($AC166/$AC165-1,"")</f>
        <v/>
      </c>
      <c r="EI165" s="58">
        <f>IFERROR($AD166/$AD165-1,"")</f>
        <v/>
      </c>
      <c r="EJ165" s="58">
        <f>IFERROR($AE166/$AE165-1,"")</f>
        <v/>
      </c>
      <c r="EK165" s="58">
        <f>IFERROR($AF166/$AF165-1,"")</f>
        <v/>
      </c>
      <c r="EL165" s="58">
        <f>IFERROR($AG166/$AG165-1,"")</f>
        <v/>
      </c>
      <c r="EM165" s="58">
        <f>IFERROR($BB165/$BB166-1,"")</f>
        <v/>
      </c>
      <c r="EN165" s="58">
        <f>IFERROR($BC165/$BC166-1,"")</f>
        <v/>
      </c>
      <c r="EO165" s="58">
        <f>IFERROR($BD165/$BD166-1,"")</f>
        <v/>
      </c>
      <c r="EP165" s="58">
        <f>IFERROR($BE165/$BE166-1,"")</f>
        <v/>
      </c>
      <c r="EQ165" s="58">
        <f>IFERROR($BF165/$BF166-1,"")</f>
        <v/>
      </c>
      <c r="ER165" s="58">
        <f>IFERROR($BG165/$BG166-1,"")</f>
        <v/>
      </c>
      <c r="ES165" s="58">
        <f>IFERROR($BH165/$BH166-1,"")</f>
        <v/>
      </c>
      <c r="ET165" s="58">
        <f>IFERROR($BI165/$BI166-1,"")</f>
        <v/>
      </c>
      <c r="EU165" s="58">
        <f>IFERROR($BJ165/$BJ166-1,"")</f>
        <v/>
      </c>
      <c r="EV165" s="58">
        <f>IFERROR($BK165/$BK166-1,"")</f>
        <v/>
      </c>
      <c r="EW165" s="58">
        <f>IFERROR($BL165/$BL166-1,"")</f>
        <v/>
      </c>
      <c r="EX165" s="58">
        <f>IFERROR($BM165/$BM166-1,"")</f>
        <v/>
      </c>
      <c r="EY165" s="58">
        <f>IFERROR($BN165/$BN166-1,"")</f>
        <v/>
      </c>
      <c r="EZ165" s="58">
        <f>IFERROR($BO165/$BO166-1,"")</f>
        <v/>
      </c>
      <c r="FA165" s="58">
        <f>IFERROR($BP165/$BP166-1,"")</f>
        <v/>
      </c>
      <c r="FB165" s="58">
        <f>IFERROR($BQ165/$BQ166-1,"")</f>
        <v/>
      </c>
      <c r="FC165" s="58">
        <f>IFERROR($BR165/$BR166-1,"")</f>
        <v/>
      </c>
      <c r="FD165" s="58">
        <f>IFERROR($BS165/$BS166-1,"")</f>
        <v/>
      </c>
      <c r="FE165" s="58">
        <f>IFERROR($BT165/$BT166-1,"")</f>
        <v/>
      </c>
      <c r="FF165" s="58">
        <f>IFERROR($BU165/$BU166-1,"")</f>
        <v/>
      </c>
      <c r="FG165" s="58">
        <f>IFERROR($BV165/$BV166-1,"")</f>
        <v/>
      </c>
      <c r="FH165" s="58">
        <f>IFERROR($BW165/$BW166-1,"")</f>
        <v/>
      </c>
      <c r="FI165" s="58">
        <f>IFERROR($BX165/$BX166-1,"")</f>
        <v/>
      </c>
      <c r="FJ165" s="59">
        <f>$BY165-$BY166</f>
        <v/>
      </c>
      <c r="FK165" s="59">
        <f>$BZ165-$BZ166</f>
        <v/>
      </c>
      <c r="FL165" s="59">
        <f>$CA165-$CA166</f>
        <v/>
      </c>
      <c r="FM165" s="59">
        <f>$CB165-$CB166</f>
        <v/>
      </c>
      <c r="FN165" s="59">
        <f>$CC165-$CC166</f>
        <v/>
      </c>
      <c r="FO165" s="59">
        <f>$CD165-$CD166</f>
        <v/>
      </c>
      <c r="FP165" s="59">
        <f>$CE165-$CE166</f>
        <v/>
      </c>
      <c r="FQ165" s="59">
        <f>$CF165-$CF166</f>
        <v/>
      </c>
      <c r="FR165" s="59">
        <f>$CG165-$CG166</f>
        <v/>
      </c>
      <c r="FS165" s="59">
        <f>$CH165-$CH166</f>
        <v/>
      </c>
      <c r="FT165" s="59">
        <f>$CI165-$CI166</f>
        <v/>
      </c>
      <c r="FU165" s="59">
        <f>$CJ165-$CJ166</f>
        <v/>
      </c>
      <c r="FV165" s="59">
        <f>$CK165-$CK166</f>
        <v/>
      </c>
      <c r="FW165" s="59">
        <f>$CL165-$CL166</f>
        <v/>
      </c>
      <c r="FX165" s="59">
        <f>$CM165-$CM166</f>
        <v/>
      </c>
      <c r="FY165" s="59">
        <f>$CN165-$CN166</f>
        <v/>
      </c>
      <c r="FZ165" s="59">
        <f>$CO165-$CO166</f>
        <v/>
      </c>
      <c r="GA165" s="59">
        <f>$CP165-$CP166</f>
        <v/>
      </c>
      <c r="GB165" s="59">
        <f>$CQ165-$CQ166</f>
        <v/>
      </c>
      <c r="GC165" s="59">
        <f>$CR165-$CR166</f>
        <v/>
      </c>
      <c r="GD165" s="59">
        <f>$CS165-$CS166</f>
        <v/>
      </c>
      <c r="GE165" s="59">
        <f>$CT165-$CT166</f>
        <v/>
      </c>
    </row>
    <row r="166">
      <c r="CU166" s="58">
        <f>IFERROR($B166/$B167-1,"")</f>
        <v/>
      </c>
      <c r="CV166" s="59">
        <f>($F166-$F167)*100</f>
        <v/>
      </c>
      <c r="CW166" s="59">
        <f>($E166-$E167)*100</f>
        <v/>
      </c>
      <c r="CX166" s="58">
        <f>IFERROR($K166/$K167-1,"")</f>
        <v/>
      </c>
      <c r="CY166" s="59">
        <f>($AH166-$AH167)*100</f>
        <v/>
      </c>
      <c r="CZ166" s="59">
        <f>($AI166-$AI167)*100</f>
        <v/>
      </c>
      <c r="DA166" s="59">
        <f>($AJ166-$AJ167)*100</f>
        <v/>
      </c>
      <c r="DB166" s="59">
        <f>($AK166-$AK167)*100</f>
        <v/>
      </c>
      <c r="DC166" s="59">
        <f>($AL166-$AL167)*100</f>
        <v/>
      </c>
      <c r="DD166" s="59">
        <f>($AM166-$AM167)*100</f>
        <v/>
      </c>
      <c r="DE166" s="59">
        <f>($AN166-$AN167)*100</f>
        <v/>
      </c>
      <c r="DF166" s="59">
        <f>($AO166-$AO167)*100</f>
        <v/>
      </c>
      <c r="DG166" s="59">
        <f>($AP166-$AP167)*100</f>
        <v/>
      </c>
      <c r="DH166" s="59">
        <f>($AQ166-$AQ167)*100</f>
        <v/>
      </c>
      <c r="DI166" s="59">
        <f>($AR166-$AR167)*100</f>
        <v/>
      </c>
      <c r="DJ166" s="59">
        <f>($AS166-$AS167)*100</f>
        <v/>
      </c>
      <c r="DK166" s="59">
        <f>($AT166-$AT167)*100</f>
        <v/>
      </c>
      <c r="DL166" s="59">
        <f>($AU166-$AU167)*100</f>
        <v/>
      </c>
      <c r="DM166" s="59">
        <f>($AV166-$AV167)*100</f>
        <v/>
      </c>
      <c r="DN166" s="59">
        <f>($AW166-$AW167)*100</f>
        <v/>
      </c>
      <c r="DO166" s="59">
        <f>($AX166-$AX167)*100</f>
        <v/>
      </c>
      <c r="DP166" s="59">
        <f>($AY166-$AY167)*100</f>
        <v/>
      </c>
      <c r="DQ166" s="59">
        <f>($AZ166-$AZ167)*100</f>
        <v/>
      </c>
      <c r="DR166" s="59">
        <f>($BA166-$BA167)*100</f>
        <v/>
      </c>
      <c r="DS166" s="58">
        <f>IFERROR($N167/$N166-1,"")</f>
        <v/>
      </c>
      <c r="DT166" s="58">
        <f>IFERROR($O167/$O166-1,"")</f>
        <v/>
      </c>
      <c r="DU166" s="58">
        <f>IFERROR($P167/$P166-1,"")</f>
        <v/>
      </c>
      <c r="DV166" s="58">
        <f>IFERROR($Q167/$Q166-1,"")</f>
        <v/>
      </c>
      <c r="DW166" s="58">
        <f>IFERROR($R167/$R166-1,"")</f>
        <v/>
      </c>
      <c r="DX166" s="58">
        <f>IFERROR($S167/$S166-1,"")</f>
        <v/>
      </c>
      <c r="DY166" s="58">
        <f>IFERROR($T167/$T166-1,"")</f>
        <v/>
      </c>
      <c r="DZ166" s="58">
        <f>IFERROR($U167/$U166-1,"")</f>
        <v/>
      </c>
      <c r="EA166" s="58">
        <f>IFERROR($V167/$V166-1,"")</f>
        <v/>
      </c>
      <c r="EB166" s="58">
        <f>IFERROR($W167/$W166-1,"")</f>
        <v/>
      </c>
      <c r="EC166" s="58">
        <f>IFERROR($X167/$X166-1,"")</f>
        <v/>
      </c>
      <c r="ED166" s="58">
        <f>IFERROR($Y167/$Y166-1,"")</f>
        <v/>
      </c>
      <c r="EE166" s="58">
        <f>IFERROR($Z167/$Z166-1,"")</f>
        <v/>
      </c>
      <c r="EF166" s="58">
        <f>IFERROR($AA167/$AA166-1,"")</f>
        <v/>
      </c>
      <c r="EG166" s="58">
        <f>IFERROR($AB167/$AB166-1,"")</f>
        <v/>
      </c>
      <c r="EH166" s="58">
        <f>IFERROR($AC167/$AC166-1,"")</f>
        <v/>
      </c>
      <c r="EI166" s="58">
        <f>IFERROR($AD167/$AD166-1,"")</f>
        <v/>
      </c>
      <c r="EJ166" s="58">
        <f>IFERROR($AE167/$AE166-1,"")</f>
        <v/>
      </c>
      <c r="EK166" s="58">
        <f>IFERROR($AF167/$AF166-1,"")</f>
        <v/>
      </c>
      <c r="EL166" s="58">
        <f>IFERROR($AG167/$AG166-1,"")</f>
        <v/>
      </c>
      <c r="EM166" s="58">
        <f>IFERROR($BB166/$BB167-1,"")</f>
        <v/>
      </c>
      <c r="EN166" s="58">
        <f>IFERROR($BC166/$BC167-1,"")</f>
        <v/>
      </c>
      <c r="EO166" s="58">
        <f>IFERROR($BD166/$BD167-1,"")</f>
        <v/>
      </c>
      <c r="EP166" s="58">
        <f>IFERROR($BE166/$BE167-1,"")</f>
        <v/>
      </c>
      <c r="EQ166" s="58">
        <f>IFERROR($BF166/$BF167-1,"")</f>
        <v/>
      </c>
      <c r="ER166" s="58">
        <f>IFERROR($BG166/$BG167-1,"")</f>
        <v/>
      </c>
      <c r="ES166" s="58">
        <f>IFERROR($BH166/$BH167-1,"")</f>
        <v/>
      </c>
      <c r="ET166" s="58">
        <f>IFERROR($BI166/$BI167-1,"")</f>
        <v/>
      </c>
      <c r="EU166" s="58">
        <f>IFERROR($BJ166/$BJ167-1,"")</f>
        <v/>
      </c>
      <c r="EV166" s="58">
        <f>IFERROR($BK166/$BK167-1,"")</f>
        <v/>
      </c>
      <c r="EW166" s="58">
        <f>IFERROR($BL166/$BL167-1,"")</f>
        <v/>
      </c>
      <c r="EX166" s="58">
        <f>IFERROR($BM166/$BM167-1,"")</f>
        <v/>
      </c>
      <c r="EY166" s="58">
        <f>IFERROR($BN166/$BN167-1,"")</f>
        <v/>
      </c>
      <c r="EZ166" s="58">
        <f>IFERROR($BO166/$BO167-1,"")</f>
        <v/>
      </c>
      <c r="FA166" s="58">
        <f>IFERROR($BP166/$BP167-1,"")</f>
        <v/>
      </c>
      <c r="FB166" s="58">
        <f>IFERROR($BQ166/$BQ167-1,"")</f>
        <v/>
      </c>
      <c r="FC166" s="58">
        <f>IFERROR($BR166/$BR167-1,"")</f>
        <v/>
      </c>
      <c r="FD166" s="58">
        <f>IFERROR($BS166/$BS167-1,"")</f>
        <v/>
      </c>
      <c r="FE166" s="58">
        <f>IFERROR($BT166/$BT167-1,"")</f>
        <v/>
      </c>
      <c r="FF166" s="58">
        <f>IFERROR($BU166/$BU167-1,"")</f>
        <v/>
      </c>
      <c r="FG166" s="58">
        <f>IFERROR($BV166/$BV167-1,"")</f>
        <v/>
      </c>
      <c r="FH166" s="58">
        <f>IFERROR($BW166/$BW167-1,"")</f>
        <v/>
      </c>
      <c r="FI166" s="58">
        <f>IFERROR($BX166/$BX167-1,"")</f>
        <v/>
      </c>
      <c r="FJ166" s="59">
        <f>$BY166-$BY167</f>
        <v/>
      </c>
      <c r="FK166" s="59">
        <f>$BZ166-$BZ167</f>
        <v/>
      </c>
      <c r="FL166" s="59">
        <f>$CA166-$CA167</f>
        <v/>
      </c>
      <c r="FM166" s="59">
        <f>$CB166-$CB167</f>
        <v/>
      </c>
      <c r="FN166" s="59">
        <f>$CC166-$CC167</f>
        <v/>
      </c>
      <c r="FO166" s="59">
        <f>$CD166-$CD167</f>
        <v/>
      </c>
      <c r="FP166" s="59">
        <f>$CE166-$CE167</f>
        <v/>
      </c>
      <c r="FQ166" s="59">
        <f>$CF166-$CF167</f>
        <v/>
      </c>
      <c r="FR166" s="59">
        <f>$CG166-$CG167</f>
        <v/>
      </c>
      <c r="FS166" s="59">
        <f>$CH166-$CH167</f>
        <v/>
      </c>
      <c r="FT166" s="59">
        <f>$CI166-$CI167</f>
        <v/>
      </c>
      <c r="FU166" s="59">
        <f>$CJ166-$CJ167</f>
        <v/>
      </c>
      <c r="FV166" s="59">
        <f>$CK166-$CK167</f>
        <v/>
      </c>
      <c r="FW166" s="59">
        <f>$CL166-$CL167</f>
        <v/>
      </c>
      <c r="FX166" s="59">
        <f>$CM166-$CM167</f>
        <v/>
      </c>
      <c r="FY166" s="59">
        <f>$CN166-$CN167</f>
        <v/>
      </c>
      <c r="FZ166" s="59">
        <f>$CO166-$CO167</f>
        <v/>
      </c>
      <c r="GA166" s="59">
        <f>$CP166-$CP167</f>
        <v/>
      </c>
      <c r="GB166" s="59">
        <f>$CQ166-$CQ167</f>
        <v/>
      </c>
      <c r="GC166" s="59">
        <f>$CR166-$CR167</f>
        <v/>
      </c>
      <c r="GD166" s="59">
        <f>$CS166-$CS167</f>
        <v/>
      </c>
      <c r="GE166" s="59">
        <f>$CT166-$CT167</f>
        <v/>
      </c>
    </row>
    <row r="167">
      <c r="CU167" s="58">
        <f>IFERROR($B167/$B168-1,"")</f>
        <v/>
      </c>
      <c r="CV167" s="59">
        <f>($F167-$F168)*100</f>
        <v/>
      </c>
      <c r="CW167" s="59">
        <f>($E167-$E168)*100</f>
        <v/>
      </c>
      <c r="CX167" s="58">
        <f>IFERROR($K167/$K168-1,"")</f>
        <v/>
      </c>
      <c r="CY167" s="59">
        <f>($AH167-$AH168)*100</f>
        <v/>
      </c>
      <c r="CZ167" s="59">
        <f>($AI167-$AI168)*100</f>
        <v/>
      </c>
      <c r="DA167" s="59">
        <f>($AJ167-$AJ168)*100</f>
        <v/>
      </c>
      <c r="DB167" s="59">
        <f>($AK167-$AK168)*100</f>
        <v/>
      </c>
      <c r="DC167" s="59">
        <f>($AL167-$AL168)*100</f>
        <v/>
      </c>
      <c r="DD167" s="59">
        <f>($AM167-$AM168)*100</f>
        <v/>
      </c>
      <c r="DE167" s="59">
        <f>($AN167-$AN168)*100</f>
        <v/>
      </c>
      <c r="DF167" s="59">
        <f>($AO167-$AO168)*100</f>
        <v/>
      </c>
      <c r="DG167" s="59">
        <f>($AP167-$AP168)*100</f>
        <v/>
      </c>
      <c r="DH167" s="59">
        <f>($AQ167-$AQ168)*100</f>
        <v/>
      </c>
      <c r="DI167" s="59">
        <f>($AR167-$AR168)*100</f>
        <v/>
      </c>
      <c r="DJ167" s="59">
        <f>($AS167-$AS168)*100</f>
        <v/>
      </c>
      <c r="DK167" s="59">
        <f>($AT167-$AT168)*100</f>
        <v/>
      </c>
      <c r="DL167" s="59">
        <f>($AU167-$AU168)*100</f>
        <v/>
      </c>
      <c r="DM167" s="59">
        <f>($AV167-$AV168)*100</f>
        <v/>
      </c>
      <c r="DN167" s="59">
        <f>($AW167-$AW168)*100</f>
        <v/>
      </c>
      <c r="DO167" s="59">
        <f>($AX167-$AX168)*100</f>
        <v/>
      </c>
      <c r="DP167" s="59">
        <f>($AY167-$AY168)*100</f>
        <v/>
      </c>
      <c r="DQ167" s="59">
        <f>($AZ167-$AZ168)*100</f>
        <v/>
      </c>
      <c r="DR167" s="59">
        <f>($BA167-$BA168)*100</f>
        <v/>
      </c>
      <c r="DS167" s="58">
        <f>IFERROR($N168/$N167-1,"")</f>
        <v/>
      </c>
      <c r="DT167" s="58">
        <f>IFERROR($O168/$O167-1,"")</f>
        <v/>
      </c>
      <c r="DU167" s="58">
        <f>IFERROR($P168/$P167-1,"")</f>
        <v/>
      </c>
      <c r="DV167" s="58">
        <f>IFERROR($Q168/$Q167-1,"")</f>
        <v/>
      </c>
      <c r="DW167" s="58">
        <f>IFERROR($R168/$R167-1,"")</f>
        <v/>
      </c>
      <c r="DX167" s="58">
        <f>IFERROR($S168/$S167-1,"")</f>
        <v/>
      </c>
      <c r="DY167" s="58">
        <f>IFERROR($T168/$T167-1,"")</f>
        <v/>
      </c>
      <c r="DZ167" s="58">
        <f>IFERROR($U168/$U167-1,"")</f>
        <v/>
      </c>
      <c r="EA167" s="58">
        <f>IFERROR($V168/$V167-1,"")</f>
        <v/>
      </c>
      <c r="EB167" s="58">
        <f>IFERROR($W168/$W167-1,"")</f>
        <v/>
      </c>
      <c r="EC167" s="58">
        <f>IFERROR($X168/$X167-1,"")</f>
        <v/>
      </c>
      <c r="ED167" s="58">
        <f>IFERROR($Y168/$Y167-1,"")</f>
        <v/>
      </c>
      <c r="EE167" s="58">
        <f>IFERROR($Z168/$Z167-1,"")</f>
        <v/>
      </c>
      <c r="EF167" s="58">
        <f>IFERROR($AA168/$AA167-1,"")</f>
        <v/>
      </c>
      <c r="EG167" s="58">
        <f>IFERROR($AB168/$AB167-1,"")</f>
        <v/>
      </c>
      <c r="EH167" s="58">
        <f>IFERROR($AC168/$AC167-1,"")</f>
        <v/>
      </c>
      <c r="EI167" s="58">
        <f>IFERROR($AD168/$AD167-1,"")</f>
        <v/>
      </c>
      <c r="EJ167" s="58">
        <f>IFERROR($AE168/$AE167-1,"")</f>
        <v/>
      </c>
      <c r="EK167" s="58">
        <f>IFERROR($AF168/$AF167-1,"")</f>
        <v/>
      </c>
      <c r="EL167" s="58">
        <f>IFERROR($AG168/$AG167-1,"")</f>
        <v/>
      </c>
      <c r="EM167" s="58">
        <f>IFERROR($BB167/$BB168-1,"")</f>
        <v/>
      </c>
      <c r="EN167" s="58">
        <f>IFERROR($BC167/$BC168-1,"")</f>
        <v/>
      </c>
      <c r="EO167" s="58">
        <f>IFERROR($BD167/$BD168-1,"")</f>
        <v/>
      </c>
      <c r="EP167" s="58">
        <f>IFERROR($BE167/$BE168-1,"")</f>
        <v/>
      </c>
      <c r="EQ167" s="58">
        <f>IFERROR($BF167/$BF168-1,"")</f>
        <v/>
      </c>
      <c r="ER167" s="58">
        <f>IFERROR($BG167/$BG168-1,"")</f>
        <v/>
      </c>
      <c r="ES167" s="58">
        <f>IFERROR($BH167/$BH168-1,"")</f>
        <v/>
      </c>
      <c r="ET167" s="58">
        <f>IFERROR($BI167/$BI168-1,"")</f>
        <v/>
      </c>
      <c r="EU167" s="58">
        <f>IFERROR($BJ167/$BJ168-1,"")</f>
        <v/>
      </c>
      <c r="EV167" s="58">
        <f>IFERROR($BK167/$BK168-1,"")</f>
        <v/>
      </c>
      <c r="EW167" s="58">
        <f>IFERROR($BL167/$BL168-1,"")</f>
        <v/>
      </c>
      <c r="EX167" s="58">
        <f>IFERROR($BM167/$BM168-1,"")</f>
        <v/>
      </c>
      <c r="EY167" s="58">
        <f>IFERROR($BN167/$BN168-1,"")</f>
        <v/>
      </c>
      <c r="EZ167" s="58">
        <f>IFERROR($BO167/$BO168-1,"")</f>
        <v/>
      </c>
      <c r="FA167" s="58">
        <f>IFERROR($BP167/$BP168-1,"")</f>
        <v/>
      </c>
      <c r="FB167" s="58">
        <f>IFERROR($BQ167/$BQ168-1,"")</f>
        <v/>
      </c>
      <c r="FC167" s="58">
        <f>IFERROR($BR167/$BR168-1,"")</f>
        <v/>
      </c>
      <c r="FD167" s="58">
        <f>IFERROR($BS167/$BS168-1,"")</f>
        <v/>
      </c>
      <c r="FE167" s="58">
        <f>IFERROR($BT167/$BT168-1,"")</f>
        <v/>
      </c>
      <c r="FF167" s="58">
        <f>IFERROR($BU167/$BU168-1,"")</f>
        <v/>
      </c>
      <c r="FG167" s="58">
        <f>IFERROR($BV167/$BV168-1,"")</f>
        <v/>
      </c>
      <c r="FH167" s="58">
        <f>IFERROR($BW167/$BW168-1,"")</f>
        <v/>
      </c>
      <c r="FI167" s="58">
        <f>IFERROR($BX167/$BX168-1,"")</f>
        <v/>
      </c>
      <c r="FJ167" s="59">
        <f>$BY167-$BY168</f>
        <v/>
      </c>
      <c r="FK167" s="59">
        <f>$BZ167-$BZ168</f>
        <v/>
      </c>
      <c r="FL167" s="59">
        <f>$CA167-$CA168</f>
        <v/>
      </c>
      <c r="FM167" s="59">
        <f>$CB167-$CB168</f>
        <v/>
      </c>
      <c r="FN167" s="59">
        <f>$CC167-$CC168</f>
        <v/>
      </c>
      <c r="FO167" s="59">
        <f>$CD167-$CD168</f>
        <v/>
      </c>
      <c r="FP167" s="59">
        <f>$CE167-$CE168</f>
        <v/>
      </c>
      <c r="FQ167" s="59">
        <f>$CF167-$CF168</f>
        <v/>
      </c>
      <c r="FR167" s="59">
        <f>$CG167-$CG168</f>
        <v/>
      </c>
      <c r="FS167" s="59">
        <f>$CH167-$CH168</f>
        <v/>
      </c>
      <c r="FT167" s="59">
        <f>$CI167-$CI168</f>
        <v/>
      </c>
      <c r="FU167" s="59">
        <f>$CJ167-$CJ168</f>
        <v/>
      </c>
      <c r="FV167" s="59">
        <f>$CK167-$CK168</f>
        <v/>
      </c>
      <c r="FW167" s="59">
        <f>$CL167-$CL168</f>
        <v/>
      </c>
      <c r="FX167" s="59">
        <f>$CM167-$CM168</f>
        <v/>
      </c>
      <c r="FY167" s="59">
        <f>$CN167-$CN168</f>
        <v/>
      </c>
      <c r="FZ167" s="59">
        <f>$CO167-$CO168</f>
        <v/>
      </c>
      <c r="GA167" s="59">
        <f>$CP167-$CP168</f>
        <v/>
      </c>
      <c r="GB167" s="59">
        <f>$CQ167-$CQ168</f>
        <v/>
      </c>
      <c r="GC167" s="59">
        <f>$CR167-$CR168</f>
        <v/>
      </c>
      <c r="GD167" s="59">
        <f>$CS167-$CS168</f>
        <v/>
      </c>
      <c r="GE167" s="59">
        <f>$CT167-$CT168</f>
        <v/>
      </c>
    </row>
    <row r="168">
      <c r="CU168" s="58">
        <f>IFERROR($B168/$B169-1,"")</f>
        <v/>
      </c>
      <c r="CV168" s="59">
        <f>($F168-$F169)*100</f>
        <v/>
      </c>
      <c r="CW168" s="59">
        <f>($E168-$E169)*100</f>
        <v/>
      </c>
      <c r="CX168" s="58">
        <f>IFERROR($K168/$K169-1,"")</f>
        <v/>
      </c>
      <c r="CY168" s="59">
        <f>($AH168-$AH169)*100</f>
        <v/>
      </c>
      <c r="CZ168" s="59">
        <f>($AI168-$AI169)*100</f>
        <v/>
      </c>
      <c r="DA168" s="59">
        <f>($AJ168-$AJ169)*100</f>
        <v/>
      </c>
      <c r="DB168" s="59">
        <f>($AK168-$AK169)*100</f>
        <v/>
      </c>
      <c r="DC168" s="59">
        <f>($AL168-$AL169)*100</f>
        <v/>
      </c>
      <c r="DD168" s="59">
        <f>($AM168-$AM169)*100</f>
        <v/>
      </c>
      <c r="DE168" s="59">
        <f>($AN168-$AN169)*100</f>
        <v/>
      </c>
      <c r="DF168" s="59">
        <f>($AO168-$AO169)*100</f>
        <v/>
      </c>
      <c r="DG168" s="59">
        <f>($AP168-$AP169)*100</f>
        <v/>
      </c>
      <c r="DH168" s="59">
        <f>($AQ168-$AQ169)*100</f>
        <v/>
      </c>
      <c r="DI168" s="59">
        <f>($AR168-$AR169)*100</f>
        <v/>
      </c>
      <c r="DJ168" s="59">
        <f>($AS168-$AS169)*100</f>
        <v/>
      </c>
      <c r="DK168" s="59">
        <f>($AT168-$AT169)*100</f>
        <v/>
      </c>
      <c r="DL168" s="59">
        <f>($AU168-$AU169)*100</f>
        <v/>
      </c>
      <c r="DM168" s="59">
        <f>($AV168-$AV169)*100</f>
        <v/>
      </c>
      <c r="DN168" s="59">
        <f>($AW168-$AW169)*100</f>
        <v/>
      </c>
      <c r="DO168" s="59">
        <f>($AX168-$AX169)*100</f>
        <v/>
      </c>
      <c r="DP168" s="59">
        <f>($AY168-$AY169)*100</f>
        <v/>
      </c>
      <c r="DQ168" s="59">
        <f>($AZ168-$AZ169)*100</f>
        <v/>
      </c>
      <c r="DR168" s="59">
        <f>($BA168-$BA169)*100</f>
        <v/>
      </c>
      <c r="DS168" s="58">
        <f>IFERROR($N169/$N168-1,"")</f>
        <v/>
      </c>
      <c r="DT168" s="58">
        <f>IFERROR($O169/$O168-1,"")</f>
        <v/>
      </c>
      <c r="DU168" s="58">
        <f>IFERROR($P169/$P168-1,"")</f>
        <v/>
      </c>
      <c r="DV168" s="58">
        <f>IFERROR($Q169/$Q168-1,"")</f>
        <v/>
      </c>
      <c r="DW168" s="58">
        <f>IFERROR($R169/$R168-1,"")</f>
        <v/>
      </c>
      <c r="DX168" s="58">
        <f>IFERROR($S169/$S168-1,"")</f>
        <v/>
      </c>
      <c r="DY168" s="58">
        <f>IFERROR($T169/$T168-1,"")</f>
        <v/>
      </c>
      <c r="DZ168" s="58">
        <f>IFERROR($U169/$U168-1,"")</f>
        <v/>
      </c>
      <c r="EA168" s="58">
        <f>IFERROR($V169/$V168-1,"")</f>
        <v/>
      </c>
      <c r="EB168" s="58">
        <f>IFERROR($W169/$W168-1,"")</f>
        <v/>
      </c>
      <c r="EC168" s="58">
        <f>IFERROR($X169/$X168-1,"")</f>
        <v/>
      </c>
      <c r="ED168" s="58">
        <f>IFERROR($Y169/$Y168-1,"")</f>
        <v/>
      </c>
      <c r="EE168" s="58">
        <f>IFERROR($Z169/$Z168-1,"")</f>
        <v/>
      </c>
      <c r="EF168" s="58">
        <f>IFERROR($AA169/$AA168-1,"")</f>
        <v/>
      </c>
      <c r="EG168" s="58">
        <f>IFERROR($AB169/$AB168-1,"")</f>
        <v/>
      </c>
      <c r="EH168" s="58">
        <f>IFERROR($AC169/$AC168-1,"")</f>
        <v/>
      </c>
      <c r="EI168" s="58">
        <f>IFERROR($AD169/$AD168-1,"")</f>
        <v/>
      </c>
      <c r="EJ168" s="58">
        <f>IFERROR($AE169/$AE168-1,"")</f>
        <v/>
      </c>
      <c r="EK168" s="58">
        <f>IFERROR($AF169/$AF168-1,"")</f>
        <v/>
      </c>
      <c r="EL168" s="58">
        <f>IFERROR($AG169/$AG168-1,"")</f>
        <v/>
      </c>
      <c r="EM168" s="58">
        <f>IFERROR($BB168/$BB169-1,"")</f>
        <v/>
      </c>
      <c r="EN168" s="58">
        <f>IFERROR($BC168/$BC169-1,"")</f>
        <v/>
      </c>
      <c r="EO168" s="58">
        <f>IFERROR($BD168/$BD169-1,"")</f>
        <v/>
      </c>
      <c r="EP168" s="58">
        <f>IFERROR($BE168/$BE169-1,"")</f>
        <v/>
      </c>
      <c r="EQ168" s="58">
        <f>IFERROR($BF168/$BF169-1,"")</f>
        <v/>
      </c>
      <c r="ER168" s="58">
        <f>IFERROR($BG168/$BG169-1,"")</f>
        <v/>
      </c>
      <c r="ES168" s="58">
        <f>IFERROR($BH168/$BH169-1,"")</f>
        <v/>
      </c>
      <c r="ET168" s="58">
        <f>IFERROR($BI168/$BI169-1,"")</f>
        <v/>
      </c>
      <c r="EU168" s="58">
        <f>IFERROR($BJ168/$BJ169-1,"")</f>
        <v/>
      </c>
      <c r="EV168" s="58">
        <f>IFERROR($BK168/$BK169-1,"")</f>
        <v/>
      </c>
      <c r="EW168" s="58">
        <f>IFERROR($BL168/$BL169-1,"")</f>
        <v/>
      </c>
      <c r="EX168" s="58">
        <f>IFERROR($BM168/$BM169-1,"")</f>
        <v/>
      </c>
      <c r="EY168" s="58">
        <f>IFERROR($BN168/$BN169-1,"")</f>
        <v/>
      </c>
      <c r="EZ168" s="58">
        <f>IFERROR($BO168/$BO169-1,"")</f>
        <v/>
      </c>
      <c r="FA168" s="58">
        <f>IFERROR($BP168/$BP169-1,"")</f>
        <v/>
      </c>
      <c r="FB168" s="58">
        <f>IFERROR($BQ168/$BQ169-1,"")</f>
        <v/>
      </c>
      <c r="FC168" s="58">
        <f>IFERROR($BR168/$BR169-1,"")</f>
        <v/>
      </c>
      <c r="FD168" s="58">
        <f>IFERROR($BS168/$BS169-1,"")</f>
        <v/>
      </c>
      <c r="FE168" s="58">
        <f>IFERROR($BT168/$BT169-1,"")</f>
        <v/>
      </c>
      <c r="FF168" s="58">
        <f>IFERROR($BU168/$BU169-1,"")</f>
        <v/>
      </c>
      <c r="FG168" s="58">
        <f>IFERROR($BV168/$BV169-1,"")</f>
        <v/>
      </c>
      <c r="FH168" s="58">
        <f>IFERROR($BW168/$BW169-1,"")</f>
        <v/>
      </c>
      <c r="FI168" s="58">
        <f>IFERROR($BX168/$BX169-1,"")</f>
        <v/>
      </c>
      <c r="FJ168" s="59">
        <f>$BY168-$BY169</f>
        <v/>
      </c>
      <c r="FK168" s="59">
        <f>$BZ168-$BZ169</f>
        <v/>
      </c>
      <c r="FL168" s="59">
        <f>$CA168-$CA169</f>
        <v/>
      </c>
      <c r="FM168" s="59">
        <f>$CB168-$CB169</f>
        <v/>
      </c>
      <c r="FN168" s="59">
        <f>$CC168-$CC169</f>
        <v/>
      </c>
      <c r="FO168" s="59">
        <f>$CD168-$CD169</f>
        <v/>
      </c>
      <c r="FP168" s="59">
        <f>$CE168-$CE169</f>
        <v/>
      </c>
      <c r="FQ168" s="59">
        <f>$CF168-$CF169</f>
        <v/>
      </c>
      <c r="FR168" s="59">
        <f>$CG168-$CG169</f>
        <v/>
      </c>
      <c r="FS168" s="59">
        <f>$CH168-$CH169</f>
        <v/>
      </c>
      <c r="FT168" s="59">
        <f>$CI168-$CI169</f>
        <v/>
      </c>
      <c r="FU168" s="59">
        <f>$CJ168-$CJ169</f>
        <v/>
      </c>
      <c r="FV168" s="59">
        <f>$CK168-$CK169</f>
        <v/>
      </c>
      <c r="FW168" s="59">
        <f>$CL168-$CL169</f>
        <v/>
      </c>
      <c r="FX168" s="59">
        <f>$CM168-$CM169</f>
        <v/>
      </c>
      <c r="FY168" s="59">
        <f>$CN168-$CN169</f>
        <v/>
      </c>
      <c r="FZ168" s="59">
        <f>$CO168-$CO169</f>
        <v/>
      </c>
      <c r="GA168" s="59">
        <f>$CP168-$CP169</f>
        <v/>
      </c>
      <c r="GB168" s="59">
        <f>$CQ168-$CQ169</f>
        <v/>
      </c>
      <c r="GC168" s="59">
        <f>$CR168-$CR169</f>
        <v/>
      </c>
      <c r="GD168" s="59">
        <f>$CS168-$CS169</f>
        <v/>
      </c>
      <c r="GE168" s="59">
        <f>$CT168-$CT169</f>
        <v/>
      </c>
    </row>
    <row r="169">
      <c r="CU169" s="58">
        <f>IFERROR($B169/$B170-1,"")</f>
        <v/>
      </c>
      <c r="CV169" s="59">
        <f>($F169-$F170)*100</f>
        <v/>
      </c>
      <c r="CW169" s="59">
        <f>($E169-$E170)*100</f>
        <v/>
      </c>
      <c r="CX169" s="58">
        <f>IFERROR($K169/$K170-1,"")</f>
        <v/>
      </c>
      <c r="CY169" s="59">
        <f>($AH169-$AH170)*100</f>
        <v/>
      </c>
      <c r="CZ169" s="59">
        <f>($AI169-$AI170)*100</f>
        <v/>
      </c>
      <c r="DA169" s="59">
        <f>($AJ169-$AJ170)*100</f>
        <v/>
      </c>
      <c r="DB169" s="59">
        <f>($AK169-$AK170)*100</f>
        <v/>
      </c>
      <c r="DC169" s="59">
        <f>($AL169-$AL170)*100</f>
        <v/>
      </c>
      <c r="DD169" s="59">
        <f>($AM169-$AM170)*100</f>
        <v/>
      </c>
      <c r="DE169" s="59">
        <f>($AN169-$AN170)*100</f>
        <v/>
      </c>
      <c r="DF169" s="59">
        <f>($AO169-$AO170)*100</f>
        <v/>
      </c>
      <c r="DG169" s="59">
        <f>($AP169-$AP170)*100</f>
        <v/>
      </c>
      <c r="DH169" s="59">
        <f>($AQ169-$AQ170)*100</f>
        <v/>
      </c>
      <c r="DI169" s="59">
        <f>($AR169-$AR170)*100</f>
        <v/>
      </c>
      <c r="DJ169" s="59">
        <f>($AS169-$AS170)*100</f>
        <v/>
      </c>
      <c r="DK169" s="59">
        <f>($AT169-$AT170)*100</f>
        <v/>
      </c>
      <c r="DL169" s="59">
        <f>($AU169-$AU170)*100</f>
        <v/>
      </c>
      <c r="DM169" s="59">
        <f>($AV169-$AV170)*100</f>
        <v/>
      </c>
      <c r="DN169" s="59">
        <f>($AW169-$AW170)*100</f>
        <v/>
      </c>
      <c r="DO169" s="59">
        <f>($AX169-$AX170)*100</f>
        <v/>
      </c>
      <c r="DP169" s="59">
        <f>($AY169-$AY170)*100</f>
        <v/>
      </c>
      <c r="DQ169" s="59">
        <f>($AZ169-$AZ170)*100</f>
        <v/>
      </c>
      <c r="DR169" s="59">
        <f>($BA169-$BA170)*100</f>
        <v/>
      </c>
      <c r="DS169" s="58">
        <f>IFERROR($N170/$N169-1,"")</f>
        <v/>
      </c>
      <c r="DT169" s="58">
        <f>IFERROR($O170/$O169-1,"")</f>
        <v/>
      </c>
      <c r="DU169" s="58">
        <f>IFERROR($P170/$P169-1,"")</f>
        <v/>
      </c>
      <c r="DV169" s="58">
        <f>IFERROR($Q170/$Q169-1,"")</f>
        <v/>
      </c>
      <c r="DW169" s="58">
        <f>IFERROR($R170/$R169-1,"")</f>
        <v/>
      </c>
      <c r="DX169" s="58">
        <f>IFERROR($S170/$S169-1,"")</f>
        <v/>
      </c>
      <c r="DY169" s="58">
        <f>IFERROR($T170/$T169-1,"")</f>
        <v/>
      </c>
      <c r="DZ169" s="58">
        <f>IFERROR($U170/$U169-1,"")</f>
        <v/>
      </c>
      <c r="EA169" s="58">
        <f>IFERROR($V170/$V169-1,"")</f>
        <v/>
      </c>
      <c r="EB169" s="58">
        <f>IFERROR($W170/$W169-1,"")</f>
        <v/>
      </c>
      <c r="EC169" s="58">
        <f>IFERROR($X170/$X169-1,"")</f>
        <v/>
      </c>
      <c r="ED169" s="58">
        <f>IFERROR($Y170/$Y169-1,"")</f>
        <v/>
      </c>
      <c r="EE169" s="58">
        <f>IFERROR($Z170/$Z169-1,"")</f>
        <v/>
      </c>
      <c r="EF169" s="58">
        <f>IFERROR($AA170/$AA169-1,"")</f>
        <v/>
      </c>
      <c r="EG169" s="58">
        <f>IFERROR($AB170/$AB169-1,"")</f>
        <v/>
      </c>
      <c r="EH169" s="58">
        <f>IFERROR($AC170/$AC169-1,"")</f>
        <v/>
      </c>
      <c r="EI169" s="58">
        <f>IFERROR($AD170/$AD169-1,"")</f>
        <v/>
      </c>
      <c r="EJ169" s="58">
        <f>IFERROR($AE170/$AE169-1,"")</f>
        <v/>
      </c>
      <c r="EK169" s="58">
        <f>IFERROR($AF170/$AF169-1,"")</f>
        <v/>
      </c>
      <c r="EL169" s="58">
        <f>IFERROR($AG170/$AG169-1,"")</f>
        <v/>
      </c>
      <c r="EM169" s="58">
        <f>IFERROR($BB169/$BB170-1,"")</f>
        <v/>
      </c>
      <c r="EN169" s="58">
        <f>IFERROR($BC169/$BC170-1,"")</f>
        <v/>
      </c>
      <c r="EO169" s="58">
        <f>IFERROR($BD169/$BD170-1,"")</f>
        <v/>
      </c>
      <c r="EP169" s="58">
        <f>IFERROR($BE169/$BE170-1,"")</f>
        <v/>
      </c>
      <c r="EQ169" s="58">
        <f>IFERROR($BF169/$BF170-1,"")</f>
        <v/>
      </c>
      <c r="ER169" s="58">
        <f>IFERROR($BG169/$BG170-1,"")</f>
        <v/>
      </c>
      <c r="ES169" s="58">
        <f>IFERROR($BH169/$BH170-1,"")</f>
        <v/>
      </c>
      <c r="ET169" s="58">
        <f>IFERROR($BI169/$BI170-1,"")</f>
        <v/>
      </c>
      <c r="EU169" s="58">
        <f>IFERROR($BJ169/$BJ170-1,"")</f>
        <v/>
      </c>
      <c r="EV169" s="58">
        <f>IFERROR($BK169/$BK170-1,"")</f>
        <v/>
      </c>
      <c r="EW169" s="58">
        <f>IFERROR($BL169/$BL170-1,"")</f>
        <v/>
      </c>
      <c r="EX169" s="58">
        <f>IFERROR($BM169/$BM170-1,"")</f>
        <v/>
      </c>
      <c r="EY169" s="58">
        <f>IFERROR($BN169/$BN170-1,"")</f>
        <v/>
      </c>
      <c r="EZ169" s="58">
        <f>IFERROR($BO169/$BO170-1,"")</f>
        <v/>
      </c>
      <c r="FA169" s="58">
        <f>IFERROR($BP169/$BP170-1,"")</f>
        <v/>
      </c>
      <c r="FB169" s="58">
        <f>IFERROR($BQ169/$BQ170-1,"")</f>
        <v/>
      </c>
      <c r="FC169" s="58">
        <f>IFERROR($BR169/$BR170-1,"")</f>
        <v/>
      </c>
      <c r="FD169" s="58">
        <f>IFERROR($BS169/$BS170-1,"")</f>
        <v/>
      </c>
      <c r="FE169" s="58">
        <f>IFERROR($BT169/$BT170-1,"")</f>
        <v/>
      </c>
      <c r="FF169" s="58">
        <f>IFERROR($BU169/$BU170-1,"")</f>
        <v/>
      </c>
      <c r="FG169" s="58">
        <f>IFERROR($BV169/$BV170-1,"")</f>
        <v/>
      </c>
      <c r="FH169" s="58">
        <f>IFERROR($BW169/$BW170-1,"")</f>
        <v/>
      </c>
      <c r="FI169" s="58">
        <f>IFERROR($BX169/$BX170-1,"")</f>
        <v/>
      </c>
      <c r="FJ169" s="59">
        <f>$BY169-$BY170</f>
        <v/>
      </c>
      <c r="FK169" s="59">
        <f>$BZ169-$BZ170</f>
        <v/>
      </c>
      <c r="FL169" s="59">
        <f>$CA169-$CA170</f>
        <v/>
      </c>
      <c r="FM169" s="59">
        <f>$CB169-$CB170</f>
        <v/>
      </c>
      <c r="FN169" s="59">
        <f>$CC169-$CC170</f>
        <v/>
      </c>
      <c r="FO169" s="59">
        <f>$CD169-$CD170</f>
        <v/>
      </c>
      <c r="FP169" s="59">
        <f>$CE169-$CE170</f>
        <v/>
      </c>
      <c r="FQ169" s="59">
        <f>$CF169-$CF170</f>
        <v/>
      </c>
      <c r="FR169" s="59">
        <f>$CG169-$CG170</f>
        <v/>
      </c>
      <c r="FS169" s="59">
        <f>$CH169-$CH170</f>
        <v/>
      </c>
      <c r="FT169" s="59">
        <f>$CI169-$CI170</f>
        <v/>
      </c>
      <c r="FU169" s="59">
        <f>$CJ169-$CJ170</f>
        <v/>
      </c>
      <c r="FV169" s="59">
        <f>$CK169-$CK170</f>
        <v/>
      </c>
      <c r="FW169" s="59">
        <f>$CL169-$CL170</f>
        <v/>
      </c>
      <c r="FX169" s="59">
        <f>$CM169-$CM170</f>
        <v/>
      </c>
      <c r="FY169" s="59">
        <f>$CN169-$CN170</f>
        <v/>
      </c>
      <c r="FZ169" s="59">
        <f>$CO169-$CO170</f>
        <v/>
      </c>
      <c r="GA169" s="59">
        <f>$CP169-$CP170</f>
        <v/>
      </c>
      <c r="GB169" s="59">
        <f>$CQ169-$CQ170</f>
        <v/>
      </c>
      <c r="GC169" s="59">
        <f>$CR169-$CR170</f>
        <v/>
      </c>
      <c r="GD169" s="59">
        <f>$CS169-$CS170</f>
        <v/>
      </c>
      <c r="GE169" s="59">
        <f>$CT169-$CT170</f>
        <v/>
      </c>
    </row>
    <row r="170">
      <c r="CU170" s="58">
        <f>IFERROR($B170/$B171-1,"")</f>
        <v/>
      </c>
      <c r="CV170" s="59">
        <f>($F170-$F171)*100</f>
        <v/>
      </c>
      <c r="CW170" s="59">
        <f>($E170-$E171)*100</f>
        <v/>
      </c>
      <c r="CX170" s="58">
        <f>IFERROR($K170/$K171-1,"")</f>
        <v/>
      </c>
      <c r="CY170" s="59">
        <f>($AH170-$AH171)*100</f>
        <v/>
      </c>
      <c r="CZ170" s="59">
        <f>($AI170-$AI171)*100</f>
        <v/>
      </c>
      <c r="DA170" s="59">
        <f>($AJ170-$AJ171)*100</f>
        <v/>
      </c>
      <c r="DB170" s="59">
        <f>($AK170-$AK171)*100</f>
        <v/>
      </c>
      <c r="DC170" s="59">
        <f>($AL170-$AL171)*100</f>
        <v/>
      </c>
      <c r="DD170" s="59">
        <f>($AM170-$AM171)*100</f>
        <v/>
      </c>
      <c r="DE170" s="59">
        <f>($AN170-$AN171)*100</f>
        <v/>
      </c>
      <c r="DF170" s="59">
        <f>($AO170-$AO171)*100</f>
        <v/>
      </c>
      <c r="DG170" s="59">
        <f>($AP170-$AP171)*100</f>
        <v/>
      </c>
      <c r="DH170" s="59">
        <f>($AQ170-$AQ171)*100</f>
        <v/>
      </c>
      <c r="DI170" s="59">
        <f>($AR170-$AR171)*100</f>
        <v/>
      </c>
      <c r="DJ170" s="59">
        <f>($AS170-$AS171)*100</f>
        <v/>
      </c>
      <c r="DK170" s="59">
        <f>($AT170-$AT171)*100</f>
        <v/>
      </c>
      <c r="DL170" s="59">
        <f>($AU170-$AU171)*100</f>
        <v/>
      </c>
      <c r="DM170" s="59">
        <f>($AV170-$AV171)*100</f>
        <v/>
      </c>
      <c r="DN170" s="59">
        <f>($AW170-$AW171)*100</f>
        <v/>
      </c>
      <c r="DO170" s="59">
        <f>($AX170-$AX171)*100</f>
        <v/>
      </c>
      <c r="DP170" s="59">
        <f>($AY170-$AY171)*100</f>
        <v/>
      </c>
      <c r="DQ170" s="59">
        <f>($AZ170-$AZ171)*100</f>
        <v/>
      </c>
      <c r="DR170" s="59">
        <f>($BA170-$BA171)*100</f>
        <v/>
      </c>
      <c r="DS170" s="58">
        <f>IFERROR($N171/$N170-1,"")</f>
        <v/>
      </c>
      <c r="DT170" s="58">
        <f>IFERROR($O171/$O170-1,"")</f>
        <v/>
      </c>
      <c r="DU170" s="58">
        <f>IFERROR($P171/$P170-1,"")</f>
        <v/>
      </c>
      <c r="DV170" s="58">
        <f>IFERROR($Q171/$Q170-1,"")</f>
        <v/>
      </c>
      <c r="DW170" s="58">
        <f>IFERROR($R171/$R170-1,"")</f>
        <v/>
      </c>
      <c r="DX170" s="58">
        <f>IFERROR($S171/$S170-1,"")</f>
        <v/>
      </c>
      <c r="DY170" s="58">
        <f>IFERROR($T171/$T170-1,"")</f>
        <v/>
      </c>
      <c r="DZ170" s="58">
        <f>IFERROR($U171/$U170-1,"")</f>
        <v/>
      </c>
      <c r="EA170" s="58">
        <f>IFERROR($V171/$V170-1,"")</f>
        <v/>
      </c>
      <c r="EB170" s="58">
        <f>IFERROR($W171/$W170-1,"")</f>
        <v/>
      </c>
      <c r="EC170" s="58">
        <f>IFERROR($X171/$X170-1,"")</f>
        <v/>
      </c>
      <c r="ED170" s="58">
        <f>IFERROR($Y171/$Y170-1,"")</f>
        <v/>
      </c>
      <c r="EE170" s="58">
        <f>IFERROR($Z171/$Z170-1,"")</f>
        <v/>
      </c>
      <c r="EF170" s="58">
        <f>IFERROR($AA171/$AA170-1,"")</f>
        <v/>
      </c>
      <c r="EG170" s="58">
        <f>IFERROR($AB171/$AB170-1,"")</f>
        <v/>
      </c>
      <c r="EH170" s="58">
        <f>IFERROR($AC171/$AC170-1,"")</f>
        <v/>
      </c>
      <c r="EI170" s="58">
        <f>IFERROR($AD171/$AD170-1,"")</f>
        <v/>
      </c>
      <c r="EJ170" s="58">
        <f>IFERROR($AE171/$AE170-1,"")</f>
        <v/>
      </c>
      <c r="EK170" s="58">
        <f>IFERROR($AF171/$AF170-1,"")</f>
        <v/>
      </c>
      <c r="EL170" s="58">
        <f>IFERROR($AG171/$AG170-1,"")</f>
        <v/>
      </c>
      <c r="EM170" s="58">
        <f>IFERROR($BB170/$BB171-1,"")</f>
        <v/>
      </c>
      <c r="EN170" s="58">
        <f>IFERROR($BC170/$BC171-1,"")</f>
        <v/>
      </c>
      <c r="EO170" s="58">
        <f>IFERROR($BD170/$BD171-1,"")</f>
        <v/>
      </c>
      <c r="EP170" s="58">
        <f>IFERROR($BE170/$BE171-1,"")</f>
        <v/>
      </c>
      <c r="EQ170" s="58">
        <f>IFERROR($BF170/$BF171-1,"")</f>
        <v/>
      </c>
      <c r="ER170" s="58">
        <f>IFERROR($BG170/$BG171-1,"")</f>
        <v/>
      </c>
      <c r="ES170" s="58">
        <f>IFERROR($BH170/$BH171-1,"")</f>
        <v/>
      </c>
      <c r="ET170" s="58">
        <f>IFERROR($BI170/$BI171-1,"")</f>
        <v/>
      </c>
      <c r="EU170" s="58">
        <f>IFERROR($BJ170/$BJ171-1,"")</f>
        <v/>
      </c>
      <c r="EV170" s="58">
        <f>IFERROR($BK170/$BK171-1,"")</f>
        <v/>
      </c>
      <c r="EW170" s="58">
        <f>IFERROR($BL170/$BL171-1,"")</f>
        <v/>
      </c>
      <c r="EX170" s="58">
        <f>IFERROR($BM170/$BM171-1,"")</f>
        <v/>
      </c>
      <c r="EY170" s="58">
        <f>IFERROR($BN170/$BN171-1,"")</f>
        <v/>
      </c>
      <c r="EZ170" s="58">
        <f>IFERROR($BO170/$BO171-1,"")</f>
        <v/>
      </c>
      <c r="FA170" s="58">
        <f>IFERROR($BP170/$BP171-1,"")</f>
        <v/>
      </c>
      <c r="FB170" s="58">
        <f>IFERROR($BQ170/$BQ171-1,"")</f>
        <v/>
      </c>
      <c r="FC170" s="58">
        <f>IFERROR($BR170/$BR171-1,"")</f>
        <v/>
      </c>
      <c r="FD170" s="58">
        <f>IFERROR($BS170/$BS171-1,"")</f>
        <v/>
      </c>
      <c r="FE170" s="58">
        <f>IFERROR($BT170/$BT171-1,"")</f>
        <v/>
      </c>
      <c r="FF170" s="58">
        <f>IFERROR($BU170/$BU171-1,"")</f>
        <v/>
      </c>
      <c r="FG170" s="58">
        <f>IFERROR($BV170/$BV171-1,"")</f>
        <v/>
      </c>
      <c r="FH170" s="58">
        <f>IFERROR($BW170/$BW171-1,"")</f>
        <v/>
      </c>
      <c r="FI170" s="58">
        <f>IFERROR($BX170/$BX171-1,"")</f>
        <v/>
      </c>
      <c r="FJ170" s="59">
        <f>$BY170-$BY171</f>
        <v/>
      </c>
      <c r="FK170" s="59">
        <f>$BZ170-$BZ171</f>
        <v/>
      </c>
      <c r="FL170" s="59">
        <f>$CA170-$CA171</f>
        <v/>
      </c>
      <c r="FM170" s="59">
        <f>$CB170-$CB171</f>
        <v/>
      </c>
      <c r="FN170" s="59">
        <f>$CC170-$CC171</f>
        <v/>
      </c>
      <c r="FO170" s="59">
        <f>$CD170-$CD171</f>
        <v/>
      </c>
      <c r="FP170" s="59">
        <f>$CE170-$CE171</f>
        <v/>
      </c>
      <c r="FQ170" s="59">
        <f>$CF170-$CF171</f>
        <v/>
      </c>
      <c r="FR170" s="59">
        <f>$CG170-$CG171</f>
        <v/>
      </c>
      <c r="FS170" s="59">
        <f>$CH170-$CH171</f>
        <v/>
      </c>
      <c r="FT170" s="59">
        <f>$CI170-$CI171</f>
        <v/>
      </c>
      <c r="FU170" s="59">
        <f>$CJ170-$CJ171</f>
        <v/>
      </c>
      <c r="FV170" s="59">
        <f>$CK170-$CK171</f>
        <v/>
      </c>
      <c r="FW170" s="59">
        <f>$CL170-$CL171</f>
        <v/>
      </c>
      <c r="FX170" s="59">
        <f>$CM170-$CM171</f>
        <v/>
      </c>
      <c r="FY170" s="59">
        <f>$CN170-$CN171</f>
        <v/>
      </c>
      <c r="FZ170" s="59">
        <f>$CO170-$CO171</f>
        <v/>
      </c>
      <c r="GA170" s="59">
        <f>$CP170-$CP171</f>
        <v/>
      </c>
      <c r="GB170" s="59">
        <f>$CQ170-$CQ171</f>
        <v/>
      </c>
      <c r="GC170" s="59">
        <f>$CR170-$CR171</f>
        <v/>
      </c>
      <c r="GD170" s="59">
        <f>$CS170-$CS171</f>
        <v/>
      </c>
      <c r="GE170" s="59">
        <f>$CT170-$CT171</f>
        <v/>
      </c>
    </row>
    <row r="171">
      <c r="CU171" s="58">
        <f>IFERROR($B171/$B172-1,"")</f>
        <v/>
      </c>
      <c r="CV171" s="59">
        <f>($F171-$F172)*100</f>
        <v/>
      </c>
      <c r="CW171" s="59">
        <f>($E171-$E172)*100</f>
        <v/>
      </c>
      <c r="CX171" s="58">
        <f>IFERROR($K171/$K172-1,"")</f>
        <v/>
      </c>
      <c r="CY171" s="59">
        <f>($AH171-$AH172)*100</f>
        <v/>
      </c>
      <c r="CZ171" s="59">
        <f>($AI171-$AI172)*100</f>
        <v/>
      </c>
      <c r="DA171" s="59">
        <f>($AJ171-$AJ172)*100</f>
        <v/>
      </c>
      <c r="DB171" s="59">
        <f>($AK171-$AK172)*100</f>
        <v/>
      </c>
      <c r="DC171" s="59">
        <f>($AL171-$AL172)*100</f>
        <v/>
      </c>
      <c r="DD171" s="59">
        <f>($AM171-$AM172)*100</f>
        <v/>
      </c>
      <c r="DE171" s="59">
        <f>($AN171-$AN172)*100</f>
        <v/>
      </c>
      <c r="DF171" s="59">
        <f>($AO171-$AO172)*100</f>
        <v/>
      </c>
      <c r="DG171" s="59">
        <f>($AP171-$AP172)*100</f>
        <v/>
      </c>
      <c r="DH171" s="59">
        <f>($AQ171-$AQ172)*100</f>
        <v/>
      </c>
      <c r="DI171" s="59">
        <f>($AR171-$AR172)*100</f>
        <v/>
      </c>
      <c r="DJ171" s="59">
        <f>($AS171-$AS172)*100</f>
        <v/>
      </c>
      <c r="DK171" s="59">
        <f>($AT171-$AT172)*100</f>
        <v/>
      </c>
      <c r="DL171" s="59">
        <f>($AU171-$AU172)*100</f>
        <v/>
      </c>
      <c r="DM171" s="59">
        <f>($AV171-$AV172)*100</f>
        <v/>
      </c>
      <c r="DN171" s="59">
        <f>($AW171-$AW172)*100</f>
        <v/>
      </c>
      <c r="DO171" s="59">
        <f>($AX171-$AX172)*100</f>
        <v/>
      </c>
      <c r="DP171" s="59">
        <f>($AY171-$AY172)*100</f>
        <v/>
      </c>
      <c r="DQ171" s="59">
        <f>($AZ171-$AZ172)*100</f>
        <v/>
      </c>
      <c r="DR171" s="59">
        <f>($BA171-$BA172)*100</f>
        <v/>
      </c>
      <c r="DS171" s="58">
        <f>IFERROR($N172/$N171-1,"")</f>
        <v/>
      </c>
      <c r="DT171" s="58">
        <f>IFERROR($O172/$O171-1,"")</f>
        <v/>
      </c>
      <c r="DU171" s="58">
        <f>IFERROR($P172/$P171-1,"")</f>
        <v/>
      </c>
      <c r="DV171" s="58">
        <f>IFERROR($Q172/$Q171-1,"")</f>
        <v/>
      </c>
      <c r="DW171" s="58">
        <f>IFERROR($R172/$R171-1,"")</f>
        <v/>
      </c>
      <c r="DX171" s="58">
        <f>IFERROR($S172/$S171-1,"")</f>
        <v/>
      </c>
      <c r="DY171" s="58">
        <f>IFERROR($T172/$T171-1,"")</f>
        <v/>
      </c>
      <c r="DZ171" s="58">
        <f>IFERROR($U172/$U171-1,"")</f>
        <v/>
      </c>
      <c r="EA171" s="58">
        <f>IFERROR($V172/$V171-1,"")</f>
        <v/>
      </c>
      <c r="EB171" s="58">
        <f>IFERROR($W172/$W171-1,"")</f>
        <v/>
      </c>
      <c r="EC171" s="58">
        <f>IFERROR($X172/$X171-1,"")</f>
        <v/>
      </c>
      <c r="ED171" s="58">
        <f>IFERROR($Y172/$Y171-1,"")</f>
        <v/>
      </c>
      <c r="EE171" s="58">
        <f>IFERROR($Z172/$Z171-1,"")</f>
        <v/>
      </c>
      <c r="EF171" s="58">
        <f>IFERROR($AA172/$AA171-1,"")</f>
        <v/>
      </c>
      <c r="EG171" s="58">
        <f>IFERROR($AB172/$AB171-1,"")</f>
        <v/>
      </c>
      <c r="EH171" s="58">
        <f>IFERROR($AC172/$AC171-1,"")</f>
        <v/>
      </c>
      <c r="EI171" s="58">
        <f>IFERROR($AD172/$AD171-1,"")</f>
        <v/>
      </c>
      <c r="EJ171" s="58">
        <f>IFERROR($AE172/$AE171-1,"")</f>
        <v/>
      </c>
      <c r="EK171" s="58">
        <f>IFERROR($AF172/$AF171-1,"")</f>
        <v/>
      </c>
      <c r="EL171" s="58">
        <f>IFERROR($AG172/$AG171-1,"")</f>
        <v/>
      </c>
      <c r="EM171" s="58">
        <f>IFERROR($BB171/$BB172-1,"")</f>
        <v/>
      </c>
      <c r="EN171" s="58">
        <f>IFERROR($BC171/$BC172-1,"")</f>
        <v/>
      </c>
      <c r="EO171" s="58">
        <f>IFERROR($BD171/$BD172-1,"")</f>
        <v/>
      </c>
      <c r="EP171" s="58">
        <f>IFERROR($BE171/$BE172-1,"")</f>
        <v/>
      </c>
      <c r="EQ171" s="58">
        <f>IFERROR($BF171/$BF172-1,"")</f>
        <v/>
      </c>
      <c r="ER171" s="58">
        <f>IFERROR($BG171/$BG172-1,"")</f>
        <v/>
      </c>
      <c r="ES171" s="58">
        <f>IFERROR($BH171/$BH172-1,"")</f>
        <v/>
      </c>
      <c r="ET171" s="58">
        <f>IFERROR($BI171/$BI172-1,"")</f>
        <v/>
      </c>
      <c r="EU171" s="58">
        <f>IFERROR($BJ171/$BJ172-1,"")</f>
        <v/>
      </c>
      <c r="EV171" s="58">
        <f>IFERROR($BK171/$BK172-1,"")</f>
        <v/>
      </c>
      <c r="EW171" s="58">
        <f>IFERROR($BL171/$BL172-1,"")</f>
        <v/>
      </c>
      <c r="EX171" s="58">
        <f>IFERROR($BM171/$BM172-1,"")</f>
        <v/>
      </c>
      <c r="EY171" s="58">
        <f>IFERROR($BN171/$BN172-1,"")</f>
        <v/>
      </c>
      <c r="EZ171" s="58">
        <f>IFERROR($BO171/$BO172-1,"")</f>
        <v/>
      </c>
      <c r="FA171" s="58">
        <f>IFERROR($BP171/$BP172-1,"")</f>
        <v/>
      </c>
      <c r="FB171" s="58">
        <f>IFERROR($BQ171/$BQ172-1,"")</f>
        <v/>
      </c>
      <c r="FC171" s="58">
        <f>IFERROR($BR171/$BR172-1,"")</f>
        <v/>
      </c>
      <c r="FD171" s="58">
        <f>IFERROR($BS171/$BS172-1,"")</f>
        <v/>
      </c>
      <c r="FE171" s="58">
        <f>IFERROR($BT171/$BT172-1,"")</f>
        <v/>
      </c>
      <c r="FF171" s="58">
        <f>IFERROR($BU171/$BU172-1,"")</f>
        <v/>
      </c>
      <c r="FG171" s="58">
        <f>IFERROR($BV171/$BV172-1,"")</f>
        <v/>
      </c>
      <c r="FH171" s="58">
        <f>IFERROR($BW171/$BW172-1,"")</f>
        <v/>
      </c>
      <c r="FI171" s="58">
        <f>IFERROR($BX171/$BX172-1,"")</f>
        <v/>
      </c>
      <c r="FJ171" s="59">
        <f>$BY171-$BY172</f>
        <v/>
      </c>
      <c r="FK171" s="59">
        <f>$BZ171-$BZ172</f>
        <v/>
      </c>
      <c r="FL171" s="59">
        <f>$CA171-$CA172</f>
        <v/>
      </c>
      <c r="FM171" s="59">
        <f>$CB171-$CB172</f>
        <v/>
      </c>
      <c r="FN171" s="59">
        <f>$CC171-$CC172</f>
        <v/>
      </c>
      <c r="FO171" s="59">
        <f>$CD171-$CD172</f>
        <v/>
      </c>
      <c r="FP171" s="59">
        <f>$CE171-$CE172</f>
        <v/>
      </c>
      <c r="FQ171" s="59">
        <f>$CF171-$CF172</f>
        <v/>
      </c>
      <c r="FR171" s="59">
        <f>$CG171-$CG172</f>
        <v/>
      </c>
      <c r="FS171" s="59">
        <f>$CH171-$CH172</f>
        <v/>
      </c>
      <c r="FT171" s="59">
        <f>$CI171-$CI172</f>
        <v/>
      </c>
      <c r="FU171" s="59">
        <f>$CJ171-$CJ172</f>
        <v/>
      </c>
      <c r="FV171" s="59">
        <f>$CK171-$CK172</f>
        <v/>
      </c>
      <c r="FW171" s="59">
        <f>$CL171-$CL172</f>
        <v/>
      </c>
      <c r="FX171" s="59">
        <f>$CM171-$CM172</f>
        <v/>
      </c>
      <c r="FY171" s="59">
        <f>$CN171-$CN172</f>
        <v/>
      </c>
      <c r="FZ171" s="59">
        <f>$CO171-$CO172</f>
        <v/>
      </c>
      <c r="GA171" s="59">
        <f>$CP171-$CP172</f>
        <v/>
      </c>
      <c r="GB171" s="59">
        <f>$CQ171-$CQ172</f>
        <v/>
      </c>
      <c r="GC171" s="59">
        <f>$CR171-$CR172</f>
        <v/>
      </c>
      <c r="GD171" s="59">
        <f>$CS171-$CS172</f>
        <v/>
      </c>
      <c r="GE171" s="59">
        <f>$CT171-$CT172</f>
        <v/>
      </c>
    </row>
    <row r="172">
      <c r="CU172" s="58">
        <f>IFERROR($B172/$B173-1,"")</f>
        <v/>
      </c>
      <c r="CV172" s="59">
        <f>($F172-$F173)*100</f>
        <v/>
      </c>
      <c r="CW172" s="59">
        <f>($E172-$E173)*100</f>
        <v/>
      </c>
      <c r="CX172" s="58">
        <f>IFERROR($K172/$K173-1,"")</f>
        <v/>
      </c>
      <c r="CY172" s="59">
        <f>($AH172-$AH173)*100</f>
        <v/>
      </c>
      <c r="CZ172" s="59">
        <f>($AI172-$AI173)*100</f>
        <v/>
      </c>
      <c r="DA172" s="59">
        <f>($AJ172-$AJ173)*100</f>
        <v/>
      </c>
      <c r="DB172" s="59">
        <f>($AK172-$AK173)*100</f>
        <v/>
      </c>
      <c r="DC172" s="59">
        <f>($AL172-$AL173)*100</f>
        <v/>
      </c>
      <c r="DD172" s="59">
        <f>($AM172-$AM173)*100</f>
        <v/>
      </c>
      <c r="DE172" s="59">
        <f>($AN172-$AN173)*100</f>
        <v/>
      </c>
      <c r="DF172" s="59">
        <f>($AO172-$AO173)*100</f>
        <v/>
      </c>
      <c r="DG172" s="59">
        <f>($AP172-$AP173)*100</f>
        <v/>
      </c>
      <c r="DH172" s="59">
        <f>($AQ172-$AQ173)*100</f>
        <v/>
      </c>
      <c r="DI172" s="59">
        <f>($AR172-$AR173)*100</f>
        <v/>
      </c>
      <c r="DJ172" s="59">
        <f>($AS172-$AS173)*100</f>
        <v/>
      </c>
      <c r="DK172" s="59">
        <f>($AT172-$AT173)*100</f>
        <v/>
      </c>
      <c r="DL172" s="59">
        <f>($AU172-$AU173)*100</f>
        <v/>
      </c>
      <c r="DM172" s="59">
        <f>($AV172-$AV173)*100</f>
        <v/>
      </c>
      <c r="DN172" s="59">
        <f>($AW172-$AW173)*100</f>
        <v/>
      </c>
      <c r="DO172" s="59">
        <f>($AX172-$AX173)*100</f>
        <v/>
      </c>
      <c r="DP172" s="59">
        <f>($AY172-$AY173)*100</f>
        <v/>
      </c>
      <c r="DQ172" s="59">
        <f>($AZ172-$AZ173)*100</f>
        <v/>
      </c>
      <c r="DR172" s="59">
        <f>($BA172-$BA173)*100</f>
        <v/>
      </c>
      <c r="DS172" s="58">
        <f>IFERROR($N173/$N172-1,"")</f>
        <v/>
      </c>
      <c r="DT172" s="58">
        <f>IFERROR($O173/$O172-1,"")</f>
        <v/>
      </c>
      <c r="DU172" s="58">
        <f>IFERROR($P173/$P172-1,"")</f>
        <v/>
      </c>
      <c r="DV172" s="58">
        <f>IFERROR($Q173/$Q172-1,"")</f>
        <v/>
      </c>
      <c r="DW172" s="58">
        <f>IFERROR($R173/$R172-1,"")</f>
        <v/>
      </c>
      <c r="DX172" s="58">
        <f>IFERROR($S173/$S172-1,"")</f>
        <v/>
      </c>
      <c r="DY172" s="58">
        <f>IFERROR($T173/$T172-1,"")</f>
        <v/>
      </c>
      <c r="DZ172" s="58">
        <f>IFERROR($U173/$U172-1,"")</f>
        <v/>
      </c>
      <c r="EA172" s="58">
        <f>IFERROR($V173/$V172-1,"")</f>
        <v/>
      </c>
      <c r="EB172" s="58">
        <f>IFERROR($W173/$W172-1,"")</f>
        <v/>
      </c>
      <c r="EC172" s="58">
        <f>IFERROR($X173/$X172-1,"")</f>
        <v/>
      </c>
      <c r="ED172" s="58">
        <f>IFERROR($Y173/$Y172-1,"")</f>
        <v/>
      </c>
      <c r="EE172" s="58">
        <f>IFERROR($Z173/$Z172-1,"")</f>
        <v/>
      </c>
      <c r="EF172" s="58">
        <f>IFERROR($AA173/$AA172-1,"")</f>
        <v/>
      </c>
      <c r="EG172" s="58">
        <f>IFERROR($AB173/$AB172-1,"")</f>
        <v/>
      </c>
      <c r="EH172" s="58">
        <f>IFERROR($AC173/$AC172-1,"")</f>
        <v/>
      </c>
      <c r="EI172" s="58">
        <f>IFERROR($AD173/$AD172-1,"")</f>
        <v/>
      </c>
      <c r="EJ172" s="58">
        <f>IFERROR($AE173/$AE172-1,"")</f>
        <v/>
      </c>
      <c r="EK172" s="58">
        <f>IFERROR($AF173/$AF172-1,"")</f>
        <v/>
      </c>
      <c r="EL172" s="58">
        <f>IFERROR($AG173/$AG172-1,"")</f>
        <v/>
      </c>
      <c r="EM172" s="58">
        <f>IFERROR($BB172/$BB173-1,"")</f>
        <v/>
      </c>
      <c r="EN172" s="58">
        <f>IFERROR($BC172/$BC173-1,"")</f>
        <v/>
      </c>
      <c r="EO172" s="58">
        <f>IFERROR($BD172/$BD173-1,"")</f>
        <v/>
      </c>
      <c r="EP172" s="58">
        <f>IFERROR($BE172/$BE173-1,"")</f>
        <v/>
      </c>
      <c r="EQ172" s="58">
        <f>IFERROR($BF172/$BF173-1,"")</f>
        <v/>
      </c>
      <c r="ER172" s="58">
        <f>IFERROR($BG172/$BG173-1,"")</f>
        <v/>
      </c>
      <c r="ES172" s="58">
        <f>IFERROR($BH172/$BH173-1,"")</f>
        <v/>
      </c>
      <c r="ET172" s="58">
        <f>IFERROR($BI172/$BI173-1,"")</f>
        <v/>
      </c>
      <c r="EU172" s="58">
        <f>IFERROR($BJ172/$BJ173-1,"")</f>
        <v/>
      </c>
      <c r="EV172" s="58">
        <f>IFERROR($BK172/$BK173-1,"")</f>
        <v/>
      </c>
      <c r="EW172" s="58">
        <f>IFERROR($BL172/$BL173-1,"")</f>
        <v/>
      </c>
      <c r="EX172" s="58">
        <f>IFERROR($BM172/$BM173-1,"")</f>
        <v/>
      </c>
      <c r="EY172" s="58">
        <f>IFERROR($BN172/$BN173-1,"")</f>
        <v/>
      </c>
      <c r="EZ172" s="58">
        <f>IFERROR($BO172/$BO173-1,"")</f>
        <v/>
      </c>
      <c r="FA172" s="58">
        <f>IFERROR($BP172/$BP173-1,"")</f>
        <v/>
      </c>
      <c r="FB172" s="58">
        <f>IFERROR($BQ172/$BQ173-1,"")</f>
        <v/>
      </c>
      <c r="FC172" s="58">
        <f>IFERROR($BR172/$BR173-1,"")</f>
        <v/>
      </c>
      <c r="FD172" s="58">
        <f>IFERROR($BS172/$BS173-1,"")</f>
        <v/>
      </c>
      <c r="FE172" s="58">
        <f>IFERROR($BT172/$BT173-1,"")</f>
        <v/>
      </c>
      <c r="FF172" s="58">
        <f>IFERROR($BU172/$BU173-1,"")</f>
        <v/>
      </c>
      <c r="FG172" s="58">
        <f>IFERROR($BV172/$BV173-1,"")</f>
        <v/>
      </c>
      <c r="FH172" s="58">
        <f>IFERROR($BW172/$BW173-1,"")</f>
        <v/>
      </c>
      <c r="FI172" s="58">
        <f>IFERROR($BX172/$BX173-1,"")</f>
        <v/>
      </c>
      <c r="FJ172" s="59">
        <f>$BY172-$BY173</f>
        <v/>
      </c>
      <c r="FK172" s="59">
        <f>$BZ172-$BZ173</f>
        <v/>
      </c>
      <c r="FL172" s="59">
        <f>$CA172-$CA173</f>
        <v/>
      </c>
      <c r="FM172" s="59">
        <f>$CB172-$CB173</f>
        <v/>
      </c>
      <c r="FN172" s="59">
        <f>$CC172-$CC173</f>
        <v/>
      </c>
      <c r="FO172" s="59">
        <f>$CD172-$CD173</f>
        <v/>
      </c>
      <c r="FP172" s="59">
        <f>$CE172-$CE173</f>
        <v/>
      </c>
      <c r="FQ172" s="59">
        <f>$CF172-$CF173</f>
        <v/>
      </c>
      <c r="FR172" s="59">
        <f>$CG172-$CG173</f>
        <v/>
      </c>
      <c r="FS172" s="59">
        <f>$CH172-$CH173</f>
        <v/>
      </c>
      <c r="FT172" s="59">
        <f>$CI172-$CI173</f>
        <v/>
      </c>
      <c r="FU172" s="59">
        <f>$CJ172-$CJ173</f>
        <v/>
      </c>
      <c r="FV172" s="59">
        <f>$CK172-$CK173</f>
        <v/>
      </c>
      <c r="FW172" s="59">
        <f>$CL172-$CL173</f>
        <v/>
      </c>
      <c r="FX172" s="59">
        <f>$CM172-$CM173</f>
        <v/>
      </c>
      <c r="FY172" s="59">
        <f>$CN172-$CN173</f>
        <v/>
      </c>
      <c r="FZ172" s="59">
        <f>$CO172-$CO173</f>
        <v/>
      </c>
      <c r="GA172" s="59">
        <f>$CP172-$CP173</f>
        <v/>
      </c>
      <c r="GB172" s="59">
        <f>$CQ172-$CQ173</f>
        <v/>
      </c>
      <c r="GC172" s="59">
        <f>$CR172-$CR173</f>
        <v/>
      </c>
      <c r="GD172" s="59">
        <f>$CS172-$CS173</f>
        <v/>
      </c>
      <c r="GE172" s="59">
        <f>$CT172-$CT173</f>
        <v/>
      </c>
    </row>
    <row r="173">
      <c r="CU173" s="58">
        <f>IFERROR($B173/$B174-1,"")</f>
        <v/>
      </c>
      <c r="CV173" s="59">
        <f>($F173-$F174)*100</f>
        <v/>
      </c>
      <c r="CW173" s="59">
        <f>($E173-$E174)*100</f>
        <v/>
      </c>
      <c r="CX173" s="58">
        <f>IFERROR($K173/$K174-1,"")</f>
        <v/>
      </c>
      <c r="CY173" s="59">
        <f>($AH173-$AH174)*100</f>
        <v/>
      </c>
      <c r="CZ173" s="59">
        <f>($AI173-$AI174)*100</f>
        <v/>
      </c>
      <c r="DA173" s="59">
        <f>($AJ173-$AJ174)*100</f>
        <v/>
      </c>
      <c r="DB173" s="59">
        <f>($AK173-$AK174)*100</f>
        <v/>
      </c>
      <c r="DC173" s="59">
        <f>($AL173-$AL174)*100</f>
        <v/>
      </c>
      <c r="DD173" s="59">
        <f>($AM173-$AM174)*100</f>
        <v/>
      </c>
      <c r="DE173" s="59">
        <f>($AN173-$AN174)*100</f>
        <v/>
      </c>
      <c r="DF173" s="59">
        <f>($AO173-$AO174)*100</f>
        <v/>
      </c>
      <c r="DG173" s="59">
        <f>($AP173-$AP174)*100</f>
        <v/>
      </c>
      <c r="DH173" s="59">
        <f>($AQ173-$AQ174)*100</f>
        <v/>
      </c>
      <c r="DI173" s="59">
        <f>($AR173-$AR174)*100</f>
        <v/>
      </c>
      <c r="DJ173" s="59">
        <f>($AS173-$AS174)*100</f>
        <v/>
      </c>
      <c r="DK173" s="59">
        <f>($AT173-$AT174)*100</f>
        <v/>
      </c>
      <c r="DL173" s="59">
        <f>($AU173-$AU174)*100</f>
        <v/>
      </c>
      <c r="DM173" s="59">
        <f>($AV173-$AV174)*100</f>
        <v/>
      </c>
      <c r="DN173" s="59">
        <f>($AW173-$AW174)*100</f>
        <v/>
      </c>
      <c r="DO173" s="59">
        <f>($AX173-$AX174)*100</f>
        <v/>
      </c>
      <c r="DP173" s="59">
        <f>($AY173-$AY174)*100</f>
        <v/>
      </c>
      <c r="DQ173" s="59">
        <f>($AZ173-$AZ174)*100</f>
        <v/>
      </c>
      <c r="DR173" s="59">
        <f>($BA173-$BA174)*100</f>
        <v/>
      </c>
      <c r="DS173" s="58">
        <f>IFERROR($N174/$N173-1,"")</f>
        <v/>
      </c>
      <c r="DT173" s="58">
        <f>IFERROR($O174/$O173-1,"")</f>
        <v/>
      </c>
      <c r="DU173" s="58">
        <f>IFERROR($P174/$P173-1,"")</f>
        <v/>
      </c>
      <c r="DV173" s="58">
        <f>IFERROR($Q174/$Q173-1,"")</f>
        <v/>
      </c>
      <c r="DW173" s="58">
        <f>IFERROR($R174/$R173-1,"")</f>
        <v/>
      </c>
      <c r="DX173" s="58">
        <f>IFERROR($S174/$S173-1,"")</f>
        <v/>
      </c>
      <c r="DY173" s="58">
        <f>IFERROR($T174/$T173-1,"")</f>
        <v/>
      </c>
      <c r="DZ173" s="58">
        <f>IFERROR($U174/$U173-1,"")</f>
        <v/>
      </c>
      <c r="EA173" s="58">
        <f>IFERROR($V174/$V173-1,"")</f>
        <v/>
      </c>
      <c r="EB173" s="58">
        <f>IFERROR($W174/$W173-1,"")</f>
        <v/>
      </c>
      <c r="EC173" s="58">
        <f>IFERROR($X174/$X173-1,"")</f>
        <v/>
      </c>
      <c r="ED173" s="58">
        <f>IFERROR($Y174/$Y173-1,"")</f>
        <v/>
      </c>
      <c r="EE173" s="58">
        <f>IFERROR($Z174/$Z173-1,"")</f>
        <v/>
      </c>
      <c r="EF173" s="58">
        <f>IFERROR($AA174/$AA173-1,"")</f>
        <v/>
      </c>
      <c r="EG173" s="58">
        <f>IFERROR($AB174/$AB173-1,"")</f>
        <v/>
      </c>
      <c r="EH173" s="58">
        <f>IFERROR($AC174/$AC173-1,"")</f>
        <v/>
      </c>
      <c r="EI173" s="58">
        <f>IFERROR($AD174/$AD173-1,"")</f>
        <v/>
      </c>
      <c r="EJ173" s="58">
        <f>IFERROR($AE174/$AE173-1,"")</f>
        <v/>
      </c>
      <c r="EK173" s="58">
        <f>IFERROR($AF174/$AF173-1,"")</f>
        <v/>
      </c>
      <c r="EL173" s="58">
        <f>IFERROR($AG174/$AG173-1,"")</f>
        <v/>
      </c>
      <c r="EM173" s="58">
        <f>IFERROR($BB173/$BB174-1,"")</f>
        <v/>
      </c>
      <c r="EN173" s="58">
        <f>IFERROR($BC173/$BC174-1,"")</f>
        <v/>
      </c>
      <c r="EO173" s="58">
        <f>IFERROR($BD173/$BD174-1,"")</f>
        <v/>
      </c>
      <c r="EP173" s="58">
        <f>IFERROR($BE173/$BE174-1,"")</f>
        <v/>
      </c>
      <c r="EQ173" s="58">
        <f>IFERROR($BF173/$BF174-1,"")</f>
        <v/>
      </c>
      <c r="ER173" s="58">
        <f>IFERROR($BG173/$BG174-1,"")</f>
        <v/>
      </c>
      <c r="ES173" s="58">
        <f>IFERROR($BH173/$BH174-1,"")</f>
        <v/>
      </c>
      <c r="ET173" s="58">
        <f>IFERROR($BI173/$BI174-1,"")</f>
        <v/>
      </c>
      <c r="EU173" s="58">
        <f>IFERROR($BJ173/$BJ174-1,"")</f>
        <v/>
      </c>
      <c r="EV173" s="58">
        <f>IFERROR($BK173/$BK174-1,"")</f>
        <v/>
      </c>
      <c r="EW173" s="58">
        <f>IFERROR($BL173/$BL174-1,"")</f>
        <v/>
      </c>
      <c r="EX173" s="58">
        <f>IFERROR($BM173/$BM174-1,"")</f>
        <v/>
      </c>
      <c r="EY173" s="58">
        <f>IFERROR($BN173/$BN174-1,"")</f>
        <v/>
      </c>
      <c r="EZ173" s="58">
        <f>IFERROR($BO173/$BO174-1,"")</f>
        <v/>
      </c>
      <c r="FA173" s="58">
        <f>IFERROR($BP173/$BP174-1,"")</f>
        <v/>
      </c>
      <c r="FB173" s="58">
        <f>IFERROR($BQ173/$BQ174-1,"")</f>
        <v/>
      </c>
      <c r="FC173" s="58">
        <f>IFERROR($BR173/$BR174-1,"")</f>
        <v/>
      </c>
      <c r="FD173" s="58">
        <f>IFERROR($BS173/$BS174-1,"")</f>
        <v/>
      </c>
      <c r="FE173" s="58">
        <f>IFERROR($BT173/$BT174-1,"")</f>
        <v/>
      </c>
      <c r="FF173" s="58">
        <f>IFERROR($BU173/$BU174-1,"")</f>
        <v/>
      </c>
      <c r="FG173" s="58">
        <f>IFERROR($BV173/$BV174-1,"")</f>
        <v/>
      </c>
      <c r="FH173" s="58">
        <f>IFERROR($BW173/$BW174-1,"")</f>
        <v/>
      </c>
      <c r="FI173" s="58">
        <f>IFERROR($BX173/$BX174-1,"")</f>
        <v/>
      </c>
      <c r="FJ173" s="59">
        <f>$BY173-$BY174</f>
        <v/>
      </c>
      <c r="FK173" s="59">
        <f>$BZ173-$BZ174</f>
        <v/>
      </c>
      <c r="FL173" s="59">
        <f>$CA173-$CA174</f>
        <v/>
      </c>
      <c r="FM173" s="59">
        <f>$CB173-$CB174</f>
        <v/>
      </c>
      <c r="FN173" s="59">
        <f>$CC173-$CC174</f>
        <v/>
      </c>
      <c r="FO173" s="59">
        <f>$CD173-$CD174</f>
        <v/>
      </c>
      <c r="FP173" s="59">
        <f>$CE173-$CE174</f>
        <v/>
      </c>
      <c r="FQ173" s="59">
        <f>$CF173-$CF174</f>
        <v/>
      </c>
      <c r="FR173" s="59">
        <f>$CG173-$CG174</f>
        <v/>
      </c>
      <c r="FS173" s="59">
        <f>$CH173-$CH174</f>
        <v/>
      </c>
      <c r="FT173" s="59">
        <f>$CI173-$CI174</f>
        <v/>
      </c>
      <c r="FU173" s="59">
        <f>$CJ173-$CJ174</f>
        <v/>
      </c>
      <c r="FV173" s="59">
        <f>$CK173-$CK174</f>
        <v/>
      </c>
      <c r="FW173" s="59">
        <f>$CL173-$CL174</f>
        <v/>
      </c>
      <c r="FX173" s="59">
        <f>$CM173-$CM174</f>
        <v/>
      </c>
      <c r="FY173" s="59">
        <f>$CN173-$CN174</f>
        <v/>
      </c>
      <c r="FZ173" s="59">
        <f>$CO173-$CO174</f>
        <v/>
      </c>
      <c r="GA173" s="59">
        <f>$CP173-$CP174</f>
        <v/>
      </c>
      <c r="GB173" s="59">
        <f>$CQ173-$CQ174</f>
        <v/>
      </c>
      <c r="GC173" s="59">
        <f>$CR173-$CR174</f>
        <v/>
      </c>
      <c r="GD173" s="59">
        <f>$CS173-$CS174</f>
        <v/>
      </c>
      <c r="GE173" s="59">
        <f>$CT173-$CT174</f>
        <v/>
      </c>
    </row>
    <row r="174">
      <c r="CU174" s="58">
        <f>IFERROR($B174/$B175-1,"")</f>
        <v/>
      </c>
      <c r="CV174" s="59">
        <f>($F174-$F175)*100</f>
        <v/>
      </c>
      <c r="CW174" s="59">
        <f>($E174-$E175)*100</f>
        <v/>
      </c>
      <c r="CX174" s="58">
        <f>IFERROR($K174/$K175-1,"")</f>
        <v/>
      </c>
      <c r="CY174" s="59">
        <f>($AH174-$AH175)*100</f>
        <v/>
      </c>
      <c r="CZ174" s="59">
        <f>($AI174-$AI175)*100</f>
        <v/>
      </c>
      <c r="DA174" s="59">
        <f>($AJ174-$AJ175)*100</f>
        <v/>
      </c>
      <c r="DB174" s="59">
        <f>($AK174-$AK175)*100</f>
        <v/>
      </c>
      <c r="DC174" s="59">
        <f>($AL174-$AL175)*100</f>
        <v/>
      </c>
      <c r="DD174" s="59">
        <f>($AM174-$AM175)*100</f>
        <v/>
      </c>
      <c r="DE174" s="59">
        <f>($AN174-$AN175)*100</f>
        <v/>
      </c>
      <c r="DF174" s="59">
        <f>($AO174-$AO175)*100</f>
        <v/>
      </c>
      <c r="DG174" s="59">
        <f>($AP174-$AP175)*100</f>
        <v/>
      </c>
      <c r="DH174" s="59">
        <f>($AQ174-$AQ175)*100</f>
        <v/>
      </c>
      <c r="DI174" s="59">
        <f>($AR174-$AR175)*100</f>
        <v/>
      </c>
      <c r="DJ174" s="59">
        <f>($AS174-$AS175)*100</f>
        <v/>
      </c>
      <c r="DK174" s="59">
        <f>($AT174-$AT175)*100</f>
        <v/>
      </c>
      <c r="DL174" s="59">
        <f>($AU174-$AU175)*100</f>
        <v/>
      </c>
      <c r="DM174" s="59">
        <f>($AV174-$AV175)*100</f>
        <v/>
      </c>
      <c r="DN174" s="59">
        <f>($AW174-$AW175)*100</f>
        <v/>
      </c>
      <c r="DO174" s="59">
        <f>($AX174-$AX175)*100</f>
        <v/>
      </c>
      <c r="DP174" s="59">
        <f>($AY174-$AY175)*100</f>
        <v/>
      </c>
      <c r="DQ174" s="59">
        <f>($AZ174-$AZ175)*100</f>
        <v/>
      </c>
      <c r="DR174" s="59">
        <f>($BA174-$BA175)*100</f>
        <v/>
      </c>
      <c r="DS174" s="58">
        <f>IFERROR($N175/$N174-1,"")</f>
        <v/>
      </c>
      <c r="DT174" s="58">
        <f>IFERROR($O175/$O174-1,"")</f>
        <v/>
      </c>
      <c r="DU174" s="58">
        <f>IFERROR($P175/$P174-1,"")</f>
        <v/>
      </c>
      <c r="DV174" s="58">
        <f>IFERROR($Q175/$Q174-1,"")</f>
        <v/>
      </c>
      <c r="DW174" s="58">
        <f>IFERROR($R175/$R174-1,"")</f>
        <v/>
      </c>
      <c r="DX174" s="58">
        <f>IFERROR($S175/$S174-1,"")</f>
        <v/>
      </c>
      <c r="DY174" s="58">
        <f>IFERROR($T175/$T174-1,"")</f>
        <v/>
      </c>
      <c r="DZ174" s="58">
        <f>IFERROR($U175/$U174-1,"")</f>
        <v/>
      </c>
      <c r="EA174" s="58">
        <f>IFERROR($V175/$V174-1,"")</f>
        <v/>
      </c>
      <c r="EB174" s="58">
        <f>IFERROR($W175/$W174-1,"")</f>
        <v/>
      </c>
      <c r="EC174" s="58">
        <f>IFERROR($X175/$X174-1,"")</f>
        <v/>
      </c>
      <c r="ED174" s="58">
        <f>IFERROR($Y175/$Y174-1,"")</f>
        <v/>
      </c>
      <c r="EE174" s="58">
        <f>IFERROR($Z175/$Z174-1,"")</f>
        <v/>
      </c>
      <c r="EF174" s="58">
        <f>IFERROR($AA175/$AA174-1,"")</f>
        <v/>
      </c>
      <c r="EG174" s="58">
        <f>IFERROR($AB175/$AB174-1,"")</f>
        <v/>
      </c>
      <c r="EH174" s="58">
        <f>IFERROR($AC175/$AC174-1,"")</f>
        <v/>
      </c>
      <c r="EI174" s="58">
        <f>IFERROR($AD175/$AD174-1,"")</f>
        <v/>
      </c>
      <c r="EJ174" s="58">
        <f>IFERROR($AE175/$AE174-1,"")</f>
        <v/>
      </c>
      <c r="EK174" s="58">
        <f>IFERROR($AF175/$AF174-1,"")</f>
        <v/>
      </c>
      <c r="EL174" s="58">
        <f>IFERROR($AG175/$AG174-1,"")</f>
        <v/>
      </c>
      <c r="EM174" s="58">
        <f>IFERROR($BB174/$BB175-1,"")</f>
        <v/>
      </c>
      <c r="EN174" s="58">
        <f>IFERROR($BC174/$BC175-1,"")</f>
        <v/>
      </c>
      <c r="EO174" s="58">
        <f>IFERROR($BD174/$BD175-1,"")</f>
        <v/>
      </c>
      <c r="EP174" s="58">
        <f>IFERROR($BE174/$BE175-1,"")</f>
        <v/>
      </c>
      <c r="EQ174" s="58">
        <f>IFERROR($BF174/$BF175-1,"")</f>
        <v/>
      </c>
      <c r="ER174" s="58">
        <f>IFERROR($BG174/$BG175-1,"")</f>
        <v/>
      </c>
      <c r="ES174" s="58">
        <f>IFERROR($BH174/$BH175-1,"")</f>
        <v/>
      </c>
      <c r="ET174" s="58">
        <f>IFERROR($BI174/$BI175-1,"")</f>
        <v/>
      </c>
      <c r="EU174" s="58">
        <f>IFERROR($BJ174/$BJ175-1,"")</f>
        <v/>
      </c>
      <c r="EV174" s="58">
        <f>IFERROR($BK174/$BK175-1,"")</f>
        <v/>
      </c>
      <c r="EW174" s="58">
        <f>IFERROR($BL174/$BL175-1,"")</f>
        <v/>
      </c>
      <c r="EX174" s="58">
        <f>IFERROR($BM174/$BM175-1,"")</f>
        <v/>
      </c>
      <c r="EY174" s="58">
        <f>IFERROR($BN174/$BN175-1,"")</f>
        <v/>
      </c>
      <c r="EZ174" s="58">
        <f>IFERROR($BO174/$BO175-1,"")</f>
        <v/>
      </c>
      <c r="FA174" s="58">
        <f>IFERROR($BP174/$BP175-1,"")</f>
        <v/>
      </c>
      <c r="FB174" s="58">
        <f>IFERROR($BQ174/$BQ175-1,"")</f>
        <v/>
      </c>
      <c r="FC174" s="58">
        <f>IFERROR($BR174/$BR175-1,"")</f>
        <v/>
      </c>
      <c r="FD174" s="58">
        <f>IFERROR($BS174/$BS175-1,"")</f>
        <v/>
      </c>
      <c r="FE174" s="58">
        <f>IFERROR($BT174/$BT175-1,"")</f>
        <v/>
      </c>
      <c r="FF174" s="58">
        <f>IFERROR($BU174/$BU175-1,"")</f>
        <v/>
      </c>
      <c r="FG174" s="58">
        <f>IFERROR($BV174/$BV175-1,"")</f>
        <v/>
      </c>
      <c r="FH174" s="58">
        <f>IFERROR($BW174/$BW175-1,"")</f>
        <v/>
      </c>
      <c r="FI174" s="58">
        <f>IFERROR($BX174/$BX175-1,"")</f>
        <v/>
      </c>
      <c r="FJ174" s="59">
        <f>$BY174-$BY175</f>
        <v/>
      </c>
      <c r="FK174" s="59">
        <f>$BZ174-$BZ175</f>
        <v/>
      </c>
      <c r="FL174" s="59">
        <f>$CA174-$CA175</f>
        <v/>
      </c>
      <c r="FM174" s="59">
        <f>$CB174-$CB175</f>
        <v/>
      </c>
      <c r="FN174" s="59">
        <f>$CC174-$CC175</f>
        <v/>
      </c>
      <c r="FO174" s="59">
        <f>$CD174-$CD175</f>
        <v/>
      </c>
      <c r="FP174" s="59">
        <f>$CE174-$CE175</f>
        <v/>
      </c>
      <c r="FQ174" s="59">
        <f>$CF174-$CF175</f>
        <v/>
      </c>
      <c r="FR174" s="59">
        <f>$CG174-$CG175</f>
        <v/>
      </c>
      <c r="FS174" s="59">
        <f>$CH174-$CH175</f>
        <v/>
      </c>
      <c r="FT174" s="59">
        <f>$CI174-$CI175</f>
        <v/>
      </c>
      <c r="FU174" s="59">
        <f>$CJ174-$CJ175</f>
        <v/>
      </c>
      <c r="FV174" s="59">
        <f>$CK174-$CK175</f>
        <v/>
      </c>
      <c r="FW174" s="59">
        <f>$CL174-$CL175</f>
        <v/>
      </c>
      <c r="FX174" s="59">
        <f>$CM174-$CM175</f>
        <v/>
      </c>
      <c r="FY174" s="59">
        <f>$CN174-$CN175</f>
        <v/>
      </c>
      <c r="FZ174" s="59">
        <f>$CO174-$CO175</f>
        <v/>
      </c>
      <c r="GA174" s="59">
        <f>$CP174-$CP175</f>
        <v/>
      </c>
      <c r="GB174" s="59">
        <f>$CQ174-$CQ175</f>
        <v/>
      </c>
      <c r="GC174" s="59">
        <f>$CR174-$CR175</f>
        <v/>
      </c>
      <c r="GD174" s="59">
        <f>$CS174-$CS175</f>
        <v/>
      </c>
      <c r="GE174" s="59">
        <f>$CT174-$CT175</f>
        <v/>
      </c>
    </row>
    <row r="175">
      <c r="CU175" s="58">
        <f>IFERROR($B175/$B176-1,"")</f>
        <v/>
      </c>
      <c r="CV175" s="59">
        <f>($F175-$F176)*100</f>
        <v/>
      </c>
      <c r="CW175" s="59">
        <f>($E175-$E176)*100</f>
        <v/>
      </c>
      <c r="CX175" s="58">
        <f>IFERROR($K175/$K176-1,"")</f>
        <v/>
      </c>
      <c r="CY175" s="59">
        <f>($AH175-$AH176)*100</f>
        <v/>
      </c>
      <c r="CZ175" s="59">
        <f>($AI175-$AI176)*100</f>
        <v/>
      </c>
      <c r="DA175" s="59">
        <f>($AJ175-$AJ176)*100</f>
        <v/>
      </c>
      <c r="DB175" s="59">
        <f>($AK175-$AK176)*100</f>
        <v/>
      </c>
      <c r="DC175" s="59">
        <f>($AL175-$AL176)*100</f>
        <v/>
      </c>
      <c r="DD175" s="59">
        <f>($AM175-$AM176)*100</f>
        <v/>
      </c>
      <c r="DE175" s="59">
        <f>($AN175-$AN176)*100</f>
        <v/>
      </c>
      <c r="DF175" s="59">
        <f>($AO175-$AO176)*100</f>
        <v/>
      </c>
      <c r="DG175" s="59">
        <f>($AP175-$AP176)*100</f>
        <v/>
      </c>
      <c r="DH175" s="59">
        <f>($AQ175-$AQ176)*100</f>
        <v/>
      </c>
      <c r="DI175" s="59">
        <f>($AR175-$AR176)*100</f>
        <v/>
      </c>
      <c r="DJ175" s="59">
        <f>($AS175-$AS176)*100</f>
        <v/>
      </c>
      <c r="DK175" s="59">
        <f>($AT175-$AT176)*100</f>
        <v/>
      </c>
      <c r="DL175" s="59">
        <f>($AU175-$AU176)*100</f>
        <v/>
      </c>
      <c r="DM175" s="59">
        <f>($AV175-$AV176)*100</f>
        <v/>
      </c>
      <c r="DN175" s="59">
        <f>($AW175-$AW176)*100</f>
        <v/>
      </c>
      <c r="DO175" s="59">
        <f>($AX175-$AX176)*100</f>
        <v/>
      </c>
      <c r="DP175" s="59">
        <f>($AY175-$AY176)*100</f>
        <v/>
      </c>
      <c r="DQ175" s="59">
        <f>($AZ175-$AZ176)*100</f>
        <v/>
      </c>
      <c r="DR175" s="59">
        <f>($BA175-$BA176)*100</f>
        <v/>
      </c>
      <c r="DS175" s="58">
        <f>IFERROR($N176/$N175-1,"")</f>
        <v/>
      </c>
      <c r="DT175" s="58">
        <f>IFERROR($O176/$O175-1,"")</f>
        <v/>
      </c>
      <c r="DU175" s="58">
        <f>IFERROR($P176/$P175-1,"")</f>
        <v/>
      </c>
      <c r="DV175" s="58">
        <f>IFERROR($Q176/$Q175-1,"")</f>
        <v/>
      </c>
      <c r="DW175" s="58">
        <f>IFERROR($R176/$R175-1,"")</f>
        <v/>
      </c>
      <c r="DX175" s="58">
        <f>IFERROR($S176/$S175-1,"")</f>
        <v/>
      </c>
      <c r="DY175" s="58">
        <f>IFERROR($T176/$T175-1,"")</f>
        <v/>
      </c>
      <c r="DZ175" s="58">
        <f>IFERROR($U176/$U175-1,"")</f>
        <v/>
      </c>
      <c r="EA175" s="58">
        <f>IFERROR($V176/$V175-1,"")</f>
        <v/>
      </c>
      <c r="EB175" s="58">
        <f>IFERROR($W176/$W175-1,"")</f>
        <v/>
      </c>
      <c r="EC175" s="58">
        <f>IFERROR($X176/$X175-1,"")</f>
        <v/>
      </c>
      <c r="ED175" s="58">
        <f>IFERROR($Y176/$Y175-1,"")</f>
        <v/>
      </c>
      <c r="EE175" s="58">
        <f>IFERROR($Z176/$Z175-1,"")</f>
        <v/>
      </c>
      <c r="EF175" s="58">
        <f>IFERROR($AA176/$AA175-1,"")</f>
        <v/>
      </c>
      <c r="EG175" s="58">
        <f>IFERROR($AB176/$AB175-1,"")</f>
        <v/>
      </c>
      <c r="EH175" s="58">
        <f>IFERROR($AC176/$AC175-1,"")</f>
        <v/>
      </c>
      <c r="EI175" s="58">
        <f>IFERROR($AD176/$AD175-1,"")</f>
        <v/>
      </c>
      <c r="EJ175" s="58">
        <f>IFERROR($AE176/$AE175-1,"")</f>
        <v/>
      </c>
      <c r="EK175" s="58">
        <f>IFERROR($AF176/$AF175-1,"")</f>
        <v/>
      </c>
      <c r="EL175" s="58">
        <f>IFERROR($AG176/$AG175-1,"")</f>
        <v/>
      </c>
      <c r="EM175" s="58">
        <f>IFERROR($BB175/$BB176-1,"")</f>
        <v/>
      </c>
      <c r="EN175" s="58">
        <f>IFERROR($BC175/$BC176-1,"")</f>
        <v/>
      </c>
      <c r="EO175" s="58">
        <f>IFERROR($BD175/$BD176-1,"")</f>
        <v/>
      </c>
      <c r="EP175" s="58">
        <f>IFERROR($BE175/$BE176-1,"")</f>
        <v/>
      </c>
      <c r="EQ175" s="58">
        <f>IFERROR($BF175/$BF176-1,"")</f>
        <v/>
      </c>
      <c r="ER175" s="58">
        <f>IFERROR($BG175/$BG176-1,"")</f>
        <v/>
      </c>
      <c r="ES175" s="58">
        <f>IFERROR($BH175/$BH176-1,"")</f>
        <v/>
      </c>
      <c r="ET175" s="58">
        <f>IFERROR($BI175/$BI176-1,"")</f>
        <v/>
      </c>
      <c r="EU175" s="58">
        <f>IFERROR($BJ175/$BJ176-1,"")</f>
        <v/>
      </c>
      <c r="EV175" s="58">
        <f>IFERROR($BK175/$BK176-1,"")</f>
        <v/>
      </c>
      <c r="EW175" s="58">
        <f>IFERROR($BL175/$BL176-1,"")</f>
        <v/>
      </c>
      <c r="EX175" s="58">
        <f>IFERROR($BM175/$BM176-1,"")</f>
        <v/>
      </c>
      <c r="EY175" s="58">
        <f>IFERROR($BN175/$BN176-1,"")</f>
        <v/>
      </c>
      <c r="EZ175" s="58">
        <f>IFERROR($BO175/$BO176-1,"")</f>
        <v/>
      </c>
      <c r="FA175" s="58">
        <f>IFERROR($BP175/$BP176-1,"")</f>
        <v/>
      </c>
      <c r="FB175" s="58">
        <f>IFERROR($BQ175/$BQ176-1,"")</f>
        <v/>
      </c>
      <c r="FC175" s="58">
        <f>IFERROR($BR175/$BR176-1,"")</f>
        <v/>
      </c>
      <c r="FD175" s="58">
        <f>IFERROR($BS175/$BS176-1,"")</f>
        <v/>
      </c>
      <c r="FE175" s="58">
        <f>IFERROR($BT175/$BT176-1,"")</f>
        <v/>
      </c>
      <c r="FF175" s="58">
        <f>IFERROR($BU175/$BU176-1,"")</f>
        <v/>
      </c>
      <c r="FG175" s="58">
        <f>IFERROR($BV175/$BV176-1,"")</f>
        <v/>
      </c>
      <c r="FH175" s="58">
        <f>IFERROR($BW175/$BW176-1,"")</f>
        <v/>
      </c>
      <c r="FI175" s="58">
        <f>IFERROR($BX175/$BX176-1,"")</f>
        <v/>
      </c>
      <c r="FJ175" s="59">
        <f>$BY175-$BY176</f>
        <v/>
      </c>
      <c r="FK175" s="59">
        <f>$BZ175-$BZ176</f>
        <v/>
      </c>
      <c r="FL175" s="59">
        <f>$CA175-$CA176</f>
        <v/>
      </c>
      <c r="FM175" s="59">
        <f>$CB175-$CB176</f>
        <v/>
      </c>
      <c r="FN175" s="59">
        <f>$CC175-$CC176</f>
        <v/>
      </c>
      <c r="FO175" s="59">
        <f>$CD175-$CD176</f>
        <v/>
      </c>
      <c r="FP175" s="59">
        <f>$CE175-$CE176</f>
        <v/>
      </c>
      <c r="FQ175" s="59">
        <f>$CF175-$CF176</f>
        <v/>
      </c>
      <c r="FR175" s="59">
        <f>$CG175-$CG176</f>
        <v/>
      </c>
      <c r="FS175" s="59">
        <f>$CH175-$CH176</f>
        <v/>
      </c>
      <c r="FT175" s="59">
        <f>$CI175-$CI176</f>
        <v/>
      </c>
      <c r="FU175" s="59">
        <f>$CJ175-$CJ176</f>
        <v/>
      </c>
      <c r="FV175" s="59">
        <f>$CK175-$CK176</f>
        <v/>
      </c>
      <c r="FW175" s="59">
        <f>$CL175-$CL176</f>
        <v/>
      </c>
      <c r="FX175" s="59">
        <f>$CM175-$CM176</f>
        <v/>
      </c>
      <c r="FY175" s="59">
        <f>$CN175-$CN176</f>
        <v/>
      </c>
      <c r="FZ175" s="59">
        <f>$CO175-$CO176</f>
        <v/>
      </c>
      <c r="GA175" s="59">
        <f>$CP175-$CP176</f>
        <v/>
      </c>
      <c r="GB175" s="59">
        <f>$CQ175-$CQ176</f>
        <v/>
      </c>
      <c r="GC175" s="59">
        <f>$CR175-$CR176</f>
        <v/>
      </c>
      <c r="GD175" s="59">
        <f>$CS175-$CS176</f>
        <v/>
      </c>
      <c r="GE175" s="59">
        <f>$CT175-$CT176</f>
        <v/>
      </c>
    </row>
    <row r="176">
      <c r="CU176" s="58">
        <f>IFERROR($B176/$B177-1,"")</f>
        <v/>
      </c>
      <c r="CV176" s="59">
        <f>($F176-$F177)*100</f>
        <v/>
      </c>
      <c r="CW176" s="59">
        <f>($E176-$E177)*100</f>
        <v/>
      </c>
      <c r="CX176" s="58">
        <f>IFERROR($K176/$K177-1,"")</f>
        <v/>
      </c>
      <c r="CY176" s="59">
        <f>($AH176-$AH177)*100</f>
        <v/>
      </c>
      <c r="CZ176" s="59">
        <f>($AI176-$AI177)*100</f>
        <v/>
      </c>
      <c r="DA176" s="59">
        <f>($AJ176-$AJ177)*100</f>
        <v/>
      </c>
      <c r="DB176" s="59">
        <f>($AK176-$AK177)*100</f>
        <v/>
      </c>
      <c r="DC176" s="59">
        <f>($AL176-$AL177)*100</f>
        <v/>
      </c>
      <c r="DD176" s="59">
        <f>($AM176-$AM177)*100</f>
        <v/>
      </c>
      <c r="DE176" s="59">
        <f>($AN176-$AN177)*100</f>
        <v/>
      </c>
      <c r="DF176" s="59">
        <f>($AO176-$AO177)*100</f>
        <v/>
      </c>
      <c r="DG176" s="59">
        <f>($AP176-$AP177)*100</f>
        <v/>
      </c>
      <c r="DH176" s="59">
        <f>($AQ176-$AQ177)*100</f>
        <v/>
      </c>
      <c r="DI176" s="59">
        <f>($AR176-$AR177)*100</f>
        <v/>
      </c>
      <c r="DJ176" s="59">
        <f>($AS176-$AS177)*100</f>
        <v/>
      </c>
      <c r="DK176" s="59">
        <f>($AT176-$AT177)*100</f>
        <v/>
      </c>
      <c r="DL176" s="59">
        <f>($AU176-$AU177)*100</f>
        <v/>
      </c>
      <c r="DM176" s="59">
        <f>($AV176-$AV177)*100</f>
        <v/>
      </c>
      <c r="DN176" s="59">
        <f>($AW176-$AW177)*100</f>
        <v/>
      </c>
      <c r="DO176" s="59">
        <f>($AX176-$AX177)*100</f>
        <v/>
      </c>
      <c r="DP176" s="59">
        <f>($AY176-$AY177)*100</f>
        <v/>
      </c>
      <c r="DQ176" s="59">
        <f>($AZ176-$AZ177)*100</f>
        <v/>
      </c>
      <c r="DR176" s="59">
        <f>($BA176-$BA177)*100</f>
        <v/>
      </c>
      <c r="DS176" s="58">
        <f>IFERROR($N177/$N176-1,"")</f>
        <v/>
      </c>
      <c r="DT176" s="58">
        <f>IFERROR($O177/$O176-1,"")</f>
        <v/>
      </c>
      <c r="DU176" s="58">
        <f>IFERROR($P177/$P176-1,"")</f>
        <v/>
      </c>
      <c r="DV176" s="58">
        <f>IFERROR($Q177/$Q176-1,"")</f>
        <v/>
      </c>
      <c r="DW176" s="58">
        <f>IFERROR($R177/$R176-1,"")</f>
        <v/>
      </c>
      <c r="DX176" s="58">
        <f>IFERROR($S177/$S176-1,"")</f>
        <v/>
      </c>
      <c r="DY176" s="58">
        <f>IFERROR($T177/$T176-1,"")</f>
        <v/>
      </c>
      <c r="DZ176" s="58">
        <f>IFERROR($U177/$U176-1,"")</f>
        <v/>
      </c>
      <c r="EA176" s="58">
        <f>IFERROR($V177/$V176-1,"")</f>
        <v/>
      </c>
      <c r="EB176" s="58">
        <f>IFERROR($W177/$W176-1,"")</f>
        <v/>
      </c>
      <c r="EC176" s="58">
        <f>IFERROR($X177/$X176-1,"")</f>
        <v/>
      </c>
      <c r="ED176" s="58">
        <f>IFERROR($Y177/$Y176-1,"")</f>
        <v/>
      </c>
      <c r="EE176" s="58">
        <f>IFERROR($Z177/$Z176-1,"")</f>
        <v/>
      </c>
      <c r="EF176" s="58">
        <f>IFERROR($AA177/$AA176-1,"")</f>
        <v/>
      </c>
      <c r="EG176" s="58">
        <f>IFERROR($AB177/$AB176-1,"")</f>
        <v/>
      </c>
      <c r="EH176" s="58">
        <f>IFERROR($AC177/$AC176-1,"")</f>
        <v/>
      </c>
      <c r="EI176" s="58">
        <f>IFERROR($AD177/$AD176-1,"")</f>
        <v/>
      </c>
      <c r="EJ176" s="58">
        <f>IFERROR($AE177/$AE176-1,"")</f>
        <v/>
      </c>
      <c r="EK176" s="58">
        <f>IFERROR($AF177/$AF176-1,"")</f>
        <v/>
      </c>
      <c r="EL176" s="58">
        <f>IFERROR($AG177/$AG176-1,"")</f>
        <v/>
      </c>
      <c r="EM176" s="58">
        <f>IFERROR($BB176/$BB177-1,"")</f>
        <v/>
      </c>
      <c r="EN176" s="58">
        <f>IFERROR($BC176/$BC177-1,"")</f>
        <v/>
      </c>
      <c r="EO176" s="58">
        <f>IFERROR($BD176/$BD177-1,"")</f>
        <v/>
      </c>
      <c r="EP176" s="58">
        <f>IFERROR($BE176/$BE177-1,"")</f>
        <v/>
      </c>
      <c r="EQ176" s="58">
        <f>IFERROR($BF176/$BF177-1,"")</f>
        <v/>
      </c>
      <c r="ER176" s="58">
        <f>IFERROR($BG176/$BG177-1,"")</f>
        <v/>
      </c>
      <c r="ES176" s="58">
        <f>IFERROR($BH176/$BH177-1,"")</f>
        <v/>
      </c>
      <c r="ET176" s="58">
        <f>IFERROR($BI176/$BI177-1,"")</f>
        <v/>
      </c>
      <c r="EU176" s="58">
        <f>IFERROR($BJ176/$BJ177-1,"")</f>
        <v/>
      </c>
      <c r="EV176" s="58">
        <f>IFERROR($BK176/$BK177-1,"")</f>
        <v/>
      </c>
      <c r="EW176" s="58">
        <f>IFERROR($BL176/$BL177-1,"")</f>
        <v/>
      </c>
      <c r="EX176" s="58">
        <f>IFERROR($BM176/$BM177-1,"")</f>
        <v/>
      </c>
      <c r="EY176" s="58">
        <f>IFERROR($BN176/$BN177-1,"")</f>
        <v/>
      </c>
      <c r="EZ176" s="58">
        <f>IFERROR($BO176/$BO177-1,"")</f>
        <v/>
      </c>
      <c r="FA176" s="58">
        <f>IFERROR($BP176/$BP177-1,"")</f>
        <v/>
      </c>
      <c r="FB176" s="58">
        <f>IFERROR($BQ176/$BQ177-1,"")</f>
        <v/>
      </c>
      <c r="FC176" s="58">
        <f>IFERROR($BR176/$BR177-1,"")</f>
        <v/>
      </c>
      <c r="FD176" s="58">
        <f>IFERROR($BS176/$BS177-1,"")</f>
        <v/>
      </c>
      <c r="FE176" s="58">
        <f>IFERROR($BT176/$BT177-1,"")</f>
        <v/>
      </c>
      <c r="FF176" s="58">
        <f>IFERROR($BU176/$BU177-1,"")</f>
        <v/>
      </c>
      <c r="FG176" s="58">
        <f>IFERROR($BV176/$BV177-1,"")</f>
        <v/>
      </c>
      <c r="FH176" s="58">
        <f>IFERROR($BW176/$BW177-1,"")</f>
        <v/>
      </c>
      <c r="FI176" s="58">
        <f>IFERROR($BX176/$BX177-1,"")</f>
        <v/>
      </c>
      <c r="FJ176" s="59">
        <f>$BY176-$BY177</f>
        <v/>
      </c>
      <c r="FK176" s="59">
        <f>$BZ176-$BZ177</f>
        <v/>
      </c>
      <c r="FL176" s="59">
        <f>$CA176-$CA177</f>
        <v/>
      </c>
      <c r="FM176" s="59">
        <f>$CB176-$CB177</f>
        <v/>
      </c>
      <c r="FN176" s="59">
        <f>$CC176-$CC177</f>
        <v/>
      </c>
      <c r="FO176" s="59">
        <f>$CD176-$CD177</f>
        <v/>
      </c>
      <c r="FP176" s="59">
        <f>$CE176-$CE177</f>
        <v/>
      </c>
      <c r="FQ176" s="59">
        <f>$CF176-$CF177</f>
        <v/>
      </c>
      <c r="FR176" s="59">
        <f>$CG176-$CG177</f>
        <v/>
      </c>
      <c r="FS176" s="59">
        <f>$CH176-$CH177</f>
        <v/>
      </c>
      <c r="FT176" s="59">
        <f>$CI176-$CI177</f>
        <v/>
      </c>
      <c r="FU176" s="59">
        <f>$CJ176-$CJ177</f>
        <v/>
      </c>
      <c r="FV176" s="59">
        <f>$CK176-$CK177</f>
        <v/>
      </c>
      <c r="FW176" s="59">
        <f>$CL176-$CL177</f>
        <v/>
      </c>
      <c r="FX176" s="59">
        <f>$CM176-$CM177</f>
        <v/>
      </c>
      <c r="FY176" s="59">
        <f>$CN176-$CN177</f>
        <v/>
      </c>
      <c r="FZ176" s="59">
        <f>$CO176-$CO177</f>
        <v/>
      </c>
      <c r="GA176" s="59">
        <f>$CP176-$CP177</f>
        <v/>
      </c>
      <c r="GB176" s="59">
        <f>$CQ176-$CQ177</f>
        <v/>
      </c>
      <c r="GC176" s="59">
        <f>$CR176-$CR177</f>
        <v/>
      </c>
      <c r="GD176" s="59">
        <f>$CS176-$CS177</f>
        <v/>
      </c>
      <c r="GE176" s="59">
        <f>$CT176-$CT177</f>
        <v/>
      </c>
    </row>
    <row r="177">
      <c r="CU177" s="58">
        <f>IFERROR($B177/$B178-1,"")</f>
        <v/>
      </c>
      <c r="CV177" s="59">
        <f>($F177-$F178)*100</f>
        <v/>
      </c>
      <c r="CW177" s="59">
        <f>($E177-$E178)*100</f>
        <v/>
      </c>
      <c r="CX177" s="58">
        <f>IFERROR($K177/$K178-1,"")</f>
        <v/>
      </c>
      <c r="CY177" s="59">
        <f>($AH177-$AH178)*100</f>
        <v/>
      </c>
      <c r="CZ177" s="59">
        <f>($AI177-$AI178)*100</f>
        <v/>
      </c>
      <c r="DA177" s="59">
        <f>($AJ177-$AJ178)*100</f>
        <v/>
      </c>
      <c r="DB177" s="59">
        <f>($AK177-$AK178)*100</f>
        <v/>
      </c>
      <c r="DC177" s="59">
        <f>($AL177-$AL178)*100</f>
        <v/>
      </c>
      <c r="DD177" s="59">
        <f>($AM177-$AM178)*100</f>
        <v/>
      </c>
      <c r="DE177" s="59">
        <f>($AN177-$AN178)*100</f>
        <v/>
      </c>
      <c r="DF177" s="59">
        <f>($AO177-$AO178)*100</f>
        <v/>
      </c>
      <c r="DG177" s="59">
        <f>($AP177-$AP178)*100</f>
        <v/>
      </c>
      <c r="DH177" s="59">
        <f>($AQ177-$AQ178)*100</f>
        <v/>
      </c>
      <c r="DI177" s="59">
        <f>($AR177-$AR178)*100</f>
        <v/>
      </c>
      <c r="DJ177" s="59">
        <f>($AS177-$AS178)*100</f>
        <v/>
      </c>
      <c r="DK177" s="59">
        <f>($AT177-$AT178)*100</f>
        <v/>
      </c>
      <c r="DL177" s="59">
        <f>($AU177-$AU178)*100</f>
        <v/>
      </c>
      <c r="DM177" s="59">
        <f>($AV177-$AV178)*100</f>
        <v/>
      </c>
      <c r="DN177" s="59">
        <f>($AW177-$AW178)*100</f>
        <v/>
      </c>
      <c r="DO177" s="59">
        <f>($AX177-$AX178)*100</f>
        <v/>
      </c>
      <c r="DP177" s="59">
        <f>($AY177-$AY178)*100</f>
        <v/>
      </c>
      <c r="DQ177" s="59">
        <f>($AZ177-$AZ178)*100</f>
        <v/>
      </c>
      <c r="DR177" s="59">
        <f>($BA177-$BA178)*100</f>
        <v/>
      </c>
      <c r="DS177" s="58">
        <f>IFERROR($N178/$N177-1,"")</f>
        <v/>
      </c>
      <c r="DT177" s="58">
        <f>IFERROR($O178/$O177-1,"")</f>
        <v/>
      </c>
      <c r="DU177" s="58">
        <f>IFERROR($P178/$P177-1,"")</f>
        <v/>
      </c>
      <c r="DV177" s="58">
        <f>IFERROR($Q178/$Q177-1,"")</f>
        <v/>
      </c>
      <c r="DW177" s="58">
        <f>IFERROR($R178/$R177-1,"")</f>
        <v/>
      </c>
      <c r="DX177" s="58">
        <f>IFERROR($S178/$S177-1,"")</f>
        <v/>
      </c>
      <c r="DY177" s="58">
        <f>IFERROR($T178/$T177-1,"")</f>
        <v/>
      </c>
      <c r="DZ177" s="58">
        <f>IFERROR($U178/$U177-1,"")</f>
        <v/>
      </c>
      <c r="EA177" s="58">
        <f>IFERROR($V178/$V177-1,"")</f>
        <v/>
      </c>
      <c r="EB177" s="58">
        <f>IFERROR($W178/$W177-1,"")</f>
        <v/>
      </c>
      <c r="EC177" s="58">
        <f>IFERROR($X178/$X177-1,"")</f>
        <v/>
      </c>
      <c r="ED177" s="58">
        <f>IFERROR($Y178/$Y177-1,"")</f>
        <v/>
      </c>
      <c r="EE177" s="58">
        <f>IFERROR($Z178/$Z177-1,"")</f>
        <v/>
      </c>
      <c r="EF177" s="58">
        <f>IFERROR($AA178/$AA177-1,"")</f>
        <v/>
      </c>
      <c r="EG177" s="58">
        <f>IFERROR($AB178/$AB177-1,"")</f>
        <v/>
      </c>
      <c r="EH177" s="58">
        <f>IFERROR($AC178/$AC177-1,"")</f>
        <v/>
      </c>
      <c r="EI177" s="58">
        <f>IFERROR($AD178/$AD177-1,"")</f>
        <v/>
      </c>
      <c r="EJ177" s="58">
        <f>IFERROR($AE178/$AE177-1,"")</f>
        <v/>
      </c>
      <c r="EK177" s="58">
        <f>IFERROR($AF178/$AF177-1,"")</f>
        <v/>
      </c>
      <c r="EL177" s="58">
        <f>IFERROR($AG178/$AG177-1,"")</f>
        <v/>
      </c>
      <c r="EM177" s="58">
        <f>IFERROR($BB177/$BB178-1,"")</f>
        <v/>
      </c>
      <c r="EN177" s="58">
        <f>IFERROR($BC177/$BC178-1,"")</f>
        <v/>
      </c>
      <c r="EO177" s="58">
        <f>IFERROR($BD177/$BD178-1,"")</f>
        <v/>
      </c>
      <c r="EP177" s="58">
        <f>IFERROR($BE177/$BE178-1,"")</f>
        <v/>
      </c>
      <c r="EQ177" s="58">
        <f>IFERROR($BF177/$BF178-1,"")</f>
        <v/>
      </c>
      <c r="ER177" s="58">
        <f>IFERROR($BG177/$BG178-1,"")</f>
        <v/>
      </c>
      <c r="ES177" s="58">
        <f>IFERROR($BH177/$BH178-1,"")</f>
        <v/>
      </c>
      <c r="ET177" s="58">
        <f>IFERROR($BI177/$BI178-1,"")</f>
        <v/>
      </c>
      <c r="EU177" s="58">
        <f>IFERROR($BJ177/$BJ178-1,"")</f>
        <v/>
      </c>
      <c r="EV177" s="58">
        <f>IFERROR($BK177/$BK178-1,"")</f>
        <v/>
      </c>
      <c r="EW177" s="58">
        <f>IFERROR($BL177/$BL178-1,"")</f>
        <v/>
      </c>
      <c r="EX177" s="58">
        <f>IFERROR($BM177/$BM178-1,"")</f>
        <v/>
      </c>
      <c r="EY177" s="58">
        <f>IFERROR($BN177/$BN178-1,"")</f>
        <v/>
      </c>
      <c r="EZ177" s="58">
        <f>IFERROR($BO177/$BO178-1,"")</f>
        <v/>
      </c>
      <c r="FA177" s="58">
        <f>IFERROR($BP177/$BP178-1,"")</f>
        <v/>
      </c>
      <c r="FB177" s="58">
        <f>IFERROR($BQ177/$BQ178-1,"")</f>
        <v/>
      </c>
      <c r="FC177" s="58">
        <f>IFERROR($BR177/$BR178-1,"")</f>
        <v/>
      </c>
      <c r="FD177" s="58">
        <f>IFERROR($BS177/$BS178-1,"")</f>
        <v/>
      </c>
      <c r="FE177" s="58">
        <f>IFERROR($BT177/$BT178-1,"")</f>
        <v/>
      </c>
      <c r="FF177" s="58">
        <f>IFERROR($BU177/$BU178-1,"")</f>
        <v/>
      </c>
      <c r="FG177" s="58">
        <f>IFERROR($BV177/$BV178-1,"")</f>
        <v/>
      </c>
      <c r="FH177" s="58">
        <f>IFERROR($BW177/$BW178-1,"")</f>
        <v/>
      </c>
      <c r="FI177" s="58">
        <f>IFERROR($BX177/$BX178-1,"")</f>
        <v/>
      </c>
      <c r="FJ177" s="59">
        <f>$BY177-$BY178</f>
        <v/>
      </c>
      <c r="FK177" s="59">
        <f>$BZ177-$BZ178</f>
        <v/>
      </c>
      <c r="FL177" s="59">
        <f>$CA177-$CA178</f>
        <v/>
      </c>
      <c r="FM177" s="59">
        <f>$CB177-$CB178</f>
        <v/>
      </c>
      <c r="FN177" s="59">
        <f>$CC177-$CC178</f>
        <v/>
      </c>
      <c r="FO177" s="59">
        <f>$CD177-$CD178</f>
        <v/>
      </c>
      <c r="FP177" s="59">
        <f>$CE177-$CE178</f>
        <v/>
      </c>
      <c r="FQ177" s="59">
        <f>$CF177-$CF178</f>
        <v/>
      </c>
      <c r="FR177" s="59">
        <f>$CG177-$CG178</f>
        <v/>
      </c>
      <c r="FS177" s="59">
        <f>$CH177-$CH178</f>
        <v/>
      </c>
      <c r="FT177" s="59">
        <f>$CI177-$CI178</f>
        <v/>
      </c>
      <c r="FU177" s="59">
        <f>$CJ177-$CJ178</f>
        <v/>
      </c>
      <c r="FV177" s="59">
        <f>$CK177-$CK178</f>
        <v/>
      </c>
      <c r="FW177" s="59">
        <f>$CL177-$CL178</f>
        <v/>
      </c>
      <c r="FX177" s="59">
        <f>$CM177-$CM178</f>
        <v/>
      </c>
      <c r="FY177" s="59">
        <f>$CN177-$CN178</f>
        <v/>
      </c>
      <c r="FZ177" s="59">
        <f>$CO177-$CO178</f>
        <v/>
      </c>
      <c r="GA177" s="59">
        <f>$CP177-$CP178</f>
        <v/>
      </c>
      <c r="GB177" s="59">
        <f>$CQ177-$CQ178</f>
        <v/>
      </c>
      <c r="GC177" s="59">
        <f>$CR177-$CR178</f>
        <v/>
      </c>
      <c r="GD177" s="59">
        <f>$CS177-$CS178</f>
        <v/>
      </c>
      <c r="GE177" s="59">
        <f>$CT177-$CT178</f>
        <v/>
      </c>
    </row>
    <row r="178">
      <c r="CU178" s="58">
        <f>IFERROR($B178/$B179-1,"")</f>
        <v/>
      </c>
      <c r="CV178" s="59">
        <f>($F178-$F179)*100</f>
        <v/>
      </c>
      <c r="CW178" s="59">
        <f>($E178-$E179)*100</f>
        <v/>
      </c>
      <c r="CX178" s="58">
        <f>IFERROR($K178/$K179-1,"")</f>
        <v/>
      </c>
      <c r="CY178" s="59">
        <f>($AH178-$AH179)*100</f>
        <v/>
      </c>
      <c r="CZ178" s="59">
        <f>($AI178-$AI179)*100</f>
        <v/>
      </c>
      <c r="DA178" s="59">
        <f>($AJ178-$AJ179)*100</f>
        <v/>
      </c>
      <c r="DB178" s="59">
        <f>($AK178-$AK179)*100</f>
        <v/>
      </c>
      <c r="DC178" s="59">
        <f>($AL178-$AL179)*100</f>
        <v/>
      </c>
      <c r="DD178" s="59">
        <f>($AM178-$AM179)*100</f>
        <v/>
      </c>
      <c r="DE178" s="59">
        <f>($AN178-$AN179)*100</f>
        <v/>
      </c>
      <c r="DF178" s="59">
        <f>($AO178-$AO179)*100</f>
        <v/>
      </c>
      <c r="DG178" s="59">
        <f>($AP178-$AP179)*100</f>
        <v/>
      </c>
      <c r="DH178" s="59">
        <f>($AQ178-$AQ179)*100</f>
        <v/>
      </c>
      <c r="DI178" s="59">
        <f>($AR178-$AR179)*100</f>
        <v/>
      </c>
      <c r="DJ178" s="59">
        <f>($AS178-$AS179)*100</f>
        <v/>
      </c>
      <c r="DK178" s="59">
        <f>($AT178-$AT179)*100</f>
        <v/>
      </c>
      <c r="DL178" s="59">
        <f>($AU178-$AU179)*100</f>
        <v/>
      </c>
      <c r="DM178" s="59">
        <f>($AV178-$AV179)*100</f>
        <v/>
      </c>
      <c r="DN178" s="59">
        <f>($AW178-$AW179)*100</f>
        <v/>
      </c>
      <c r="DO178" s="59">
        <f>($AX178-$AX179)*100</f>
        <v/>
      </c>
      <c r="DP178" s="59">
        <f>($AY178-$AY179)*100</f>
        <v/>
      </c>
      <c r="DQ178" s="59">
        <f>($AZ178-$AZ179)*100</f>
        <v/>
      </c>
      <c r="DR178" s="59">
        <f>($BA178-$BA179)*100</f>
        <v/>
      </c>
      <c r="DS178" s="58">
        <f>IFERROR($N179/$N178-1,"")</f>
        <v/>
      </c>
      <c r="DT178" s="58">
        <f>IFERROR($O179/$O178-1,"")</f>
        <v/>
      </c>
      <c r="DU178" s="58">
        <f>IFERROR($P179/$P178-1,"")</f>
        <v/>
      </c>
      <c r="DV178" s="58">
        <f>IFERROR($Q179/$Q178-1,"")</f>
        <v/>
      </c>
      <c r="DW178" s="58">
        <f>IFERROR($R179/$R178-1,"")</f>
        <v/>
      </c>
      <c r="DX178" s="58">
        <f>IFERROR($S179/$S178-1,"")</f>
        <v/>
      </c>
      <c r="DY178" s="58">
        <f>IFERROR($T179/$T178-1,"")</f>
        <v/>
      </c>
      <c r="DZ178" s="58">
        <f>IFERROR($U179/$U178-1,"")</f>
        <v/>
      </c>
      <c r="EA178" s="58">
        <f>IFERROR($V179/$V178-1,"")</f>
        <v/>
      </c>
      <c r="EB178" s="58">
        <f>IFERROR($W179/$W178-1,"")</f>
        <v/>
      </c>
      <c r="EC178" s="58">
        <f>IFERROR($X179/$X178-1,"")</f>
        <v/>
      </c>
      <c r="ED178" s="58">
        <f>IFERROR($Y179/$Y178-1,"")</f>
        <v/>
      </c>
      <c r="EE178" s="58">
        <f>IFERROR($Z179/$Z178-1,"")</f>
        <v/>
      </c>
      <c r="EF178" s="58">
        <f>IFERROR($AA179/$AA178-1,"")</f>
        <v/>
      </c>
      <c r="EG178" s="58">
        <f>IFERROR($AB179/$AB178-1,"")</f>
        <v/>
      </c>
      <c r="EH178" s="58">
        <f>IFERROR($AC179/$AC178-1,"")</f>
        <v/>
      </c>
      <c r="EI178" s="58">
        <f>IFERROR($AD179/$AD178-1,"")</f>
        <v/>
      </c>
      <c r="EJ178" s="58">
        <f>IFERROR($AE179/$AE178-1,"")</f>
        <v/>
      </c>
      <c r="EK178" s="58">
        <f>IFERROR($AF179/$AF178-1,"")</f>
        <v/>
      </c>
      <c r="EL178" s="58">
        <f>IFERROR($AG179/$AG178-1,"")</f>
        <v/>
      </c>
      <c r="EM178" s="58">
        <f>IFERROR($BB178/$BB179-1,"")</f>
        <v/>
      </c>
      <c r="EN178" s="58">
        <f>IFERROR($BC178/$BC179-1,"")</f>
        <v/>
      </c>
      <c r="EO178" s="58">
        <f>IFERROR($BD178/$BD179-1,"")</f>
        <v/>
      </c>
      <c r="EP178" s="58">
        <f>IFERROR($BE178/$BE179-1,"")</f>
        <v/>
      </c>
      <c r="EQ178" s="58">
        <f>IFERROR($BF178/$BF179-1,"")</f>
        <v/>
      </c>
      <c r="ER178" s="58">
        <f>IFERROR($BG178/$BG179-1,"")</f>
        <v/>
      </c>
      <c r="ES178" s="58">
        <f>IFERROR($BH178/$BH179-1,"")</f>
        <v/>
      </c>
      <c r="ET178" s="58">
        <f>IFERROR($BI178/$BI179-1,"")</f>
        <v/>
      </c>
      <c r="EU178" s="58">
        <f>IFERROR($BJ178/$BJ179-1,"")</f>
        <v/>
      </c>
      <c r="EV178" s="58">
        <f>IFERROR($BK178/$BK179-1,"")</f>
        <v/>
      </c>
      <c r="EW178" s="58">
        <f>IFERROR($BL178/$BL179-1,"")</f>
        <v/>
      </c>
      <c r="EX178" s="58">
        <f>IFERROR($BM178/$BM179-1,"")</f>
        <v/>
      </c>
      <c r="EY178" s="58">
        <f>IFERROR($BN178/$BN179-1,"")</f>
        <v/>
      </c>
      <c r="EZ178" s="58">
        <f>IFERROR($BO178/$BO179-1,"")</f>
        <v/>
      </c>
      <c r="FA178" s="58">
        <f>IFERROR($BP178/$BP179-1,"")</f>
        <v/>
      </c>
      <c r="FB178" s="58">
        <f>IFERROR($BQ178/$BQ179-1,"")</f>
        <v/>
      </c>
      <c r="FC178" s="58">
        <f>IFERROR($BR178/$BR179-1,"")</f>
        <v/>
      </c>
      <c r="FD178" s="58">
        <f>IFERROR($BS178/$BS179-1,"")</f>
        <v/>
      </c>
      <c r="FE178" s="58">
        <f>IFERROR($BT178/$BT179-1,"")</f>
        <v/>
      </c>
      <c r="FF178" s="58">
        <f>IFERROR($BU178/$BU179-1,"")</f>
        <v/>
      </c>
      <c r="FG178" s="58">
        <f>IFERROR($BV178/$BV179-1,"")</f>
        <v/>
      </c>
      <c r="FH178" s="58">
        <f>IFERROR($BW178/$BW179-1,"")</f>
        <v/>
      </c>
      <c r="FI178" s="58">
        <f>IFERROR($BX178/$BX179-1,"")</f>
        <v/>
      </c>
      <c r="FJ178" s="59">
        <f>$BY178-$BY179</f>
        <v/>
      </c>
      <c r="FK178" s="59">
        <f>$BZ178-$BZ179</f>
        <v/>
      </c>
      <c r="FL178" s="59">
        <f>$CA178-$CA179</f>
        <v/>
      </c>
      <c r="FM178" s="59">
        <f>$CB178-$CB179</f>
        <v/>
      </c>
      <c r="FN178" s="59">
        <f>$CC178-$CC179</f>
        <v/>
      </c>
      <c r="FO178" s="59">
        <f>$CD178-$CD179</f>
        <v/>
      </c>
      <c r="FP178" s="59">
        <f>$CE178-$CE179</f>
        <v/>
      </c>
      <c r="FQ178" s="59">
        <f>$CF178-$CF179</f>
        <v/>
      </c>
      <c r="FR178" s="59">
        <f>$CG178-$CG179</f>
        <v/>
      </c>
      <c r="FS178" s="59">
        <f>$CH178-$CH179</f>
        <v/>
      </c>
      <c r="FT178" s="59">
        <f>$CI178-$CI179</f>
        <v/>
      </c>
      <c r="FU178" s="59">
        <f>$CJ178-$CJ179</f>
        <v/>
      </c>
      <c r="FV178" s="59">
        <f>$CK178-$CK179</f>
        <v/>
      </c>
      <c r="FW178" s="59">
        <f>$CL178-$CL179</f>
        <v/>
      </c>
      <c r="FX178" s="59">
        <f>$CM178-$CM179</f>
        <v/>
      </c>
      <c r="FY178" s="59">
        <f>$CN178-$CN179</f>
        <v/>
      </c>
      <c r="FZ178" s="59">
        <f>$CO178-$CO179</f>
        <v/>
      </c>
      <c r="GA178" s="59">
        <f>$CP178-$CP179</f>
        <v/>
      </c>
      <c r="GB178" s="59">
        <f>$CQ178-$CQ179</f>
        <v/>
      </c>
      <c r="GC178" s="59">
        <f>$CR178-$CR179</f>
        <v/>
      </c>
      <c r="GD178" s="59">
        <f>$CS178-$CS179</f>
        <v/>
      </c>
      <c r="GE178" s="59">
        <f>$CT178-$CT179</f>
        <v/>
      </c>
    </row>
    <row r="179">
      <c r="CU179" s="58">
        <f>IFERROR($B179/$B180-1,"")</f>
        <v/>
      </c>
      <c r="CV179" s="59">
        <f>($F179-$F180)*100</f>
        <v/>
      </c>
      <c r="CW179" s="59">
        <f>($E179-$E180)*100</f>
        <v/>
      </c>
      <c r="CX179" s="58">
        <f>IFERROR($K179/$K180-1,"")</f>
        <v/>
      </c>
      <c r="CY179" s="59">
        <f>($AH179-$AH180)*100</f>
        <v/>
      </c>
      <c r="CZ179" s="59">
        <f>($AI179-$AI180)*100</f>
        <v/>
      </c>
      <c r="DA179" s="59">
        <f>($AJ179-$AJ180)*100</f>
        <v/>
      </c>
      <c r="DB179" s="59">
        <f>($AK179-$AK180)*100</f>
        <v/>
      </c>
      <c r="DC179" s="59">
        <f>($AL179-$AL180)*100</f>
        <v/>
      </c>
      <c r="DD179" s="59">
        <f>($AM179-$AM180)*100</f>
        <v/>
      </c>
      <c r="DE179" s="59">
        <f>($AN179-$AN180)*100</f>
        <v/>
      </c>
      <c r="DF179" s="59">
        <f>($AO179-$AO180)*100</f>
        <v/>
      </c>
      <c r="DG179" s="59">
        <f>($AP179-$AP180)*100</f>
        <v/>
      </c>
      <c r="DH179" s="59">
        <f>($AQ179-$AQ180)*100</f>
        <v/>
      </c>
      <c r="DI179" s="59">
        <f>($AR179-$AR180)*100</f>
        <v/>
      </c>
      <c r="DJ179" s="59">
        <f>($AS179-$AS180)*100</f>
        <v/>
      </c>
      <c r="DK179" s="59">
        <f>($AT179-$AT180)*100</f>
        <v/>
      </c>
      <c r="DL179" s="59">
        <f>($AU179-$AU180)*100</f>
        <v/>
      </c>
      <c r="DM179" s="59">
        <f>($AV179-$AV180)*100</f>
        <v/>
      </c>
      <c r="DN179" s="59">
        <f>($AW179-$AW180)*100</f>
        <v/>
      </c>
      <c r="DO179" s="59">
        <f>($AX179-$AX180)*100</f>
        <v/>
      </c>
      <c r="DP179" s="59">
        <f>($AY179-$AY180)*100</f>
        <v/>
      </c>
      <c r="DQ179" s="59">
        <f>($AZ179-$AZ180)*100</f>
        <v/>
      </c>
      <c r="DR179" s="59">
        <f>($BA179-$BA180)*100</f>
        <v/>
      </c>
      <c r="DS179" s="58">
        <f>IFERROR($N180/$N179-1,"")</f>
        <v/>
      </c>
      <c r="DT179" s="58">
        <f>IFERROR($O180/$O179-1,"")</f>
        <v/>
      </c>
      <c r="DU179" s="58">
        <f>IFERROR($P180/$P179-1,"")</f>
        <v/>
      </c>
      <c r="DV179" s="58">
        <f>IFERROR($Q180/$Q179-1,"")</f>
        <v/>
      </c>
      <c r="DW179" s="58">
        <f>IFERROR($R180/$R179-1,"")</f>
        <v/>
      </c>
      <c r="DX179" s="58">
        <f>IFERROR($S180/$S179-1,"")</f>
        <v/>
      </c>
      <c r="DY179" s="58">
        <f>IFERROR($T180/$T179-1,"")</f>
        <v/>
      </c>
      <c r="DZ179" s="58">
        <f>IFERROR($U180/$U179-1,"")</f>
        <v/>
      </c>
      <c r="EA179" s="58">
        <f>IFERROR($V180/$V179-1,"")</f>
        <v/>
      </c>
      <c r="EB179" s="58">
        <f>IFERROR($W180/$W179-1,"")</f>
        <v/>
      </c>
      <c r="EC179" s="58">
        <f>IFERROR($X180/$X179-1,"")</f>
        <v/>
      </c>
      <c r="ED179" s="58">
        <f>IFERROR($Y180/$Y179-1,"")</f>
        <v/>
      </c>
      <c r="EE179" s="58">
        <f>IFERROR($Z180/$Z179-1,"")</f>
        <v/>
      </c>
      <c r="EF179" s="58">
        <f>IFERROR($AA180/$AA179-1,"")</f>
        <v/>
      </c>
      <c r="EG179" s="58">
        <f>IFERROR($AB180/$AB179-1,"")</f>
        <v/>
      </c>
      <c r="EH179" s="58">
        <f>IFERROR($AC180/$AC179-1,"")</f>
        <v/>
      </c>
      <c r="EI179" s="58">
        <f>IFERROR($AD180/$AD179-1,"")</f>
        <v/>
      </c>
      <c r="EJ179" s="58">
        <f>IFERROR($AE180/$AE179-1,"")</f>
        <v/>
      </c>
      <c r="EK179" s="58">
        <f>IFERROR($AF180/$AF179-1,"")</f>
        <v/>
      </c>
      <c r="EL179" s="58">
        <f>IFERROR($AG180/$AG179-1,"")</f>
        <v/>
      </c>
      <c r="EM179" s="58">
        <f>IFERROR($BB179/$BB180-1,"")</f>
        <v/>
      </c>
      <c r="EN179" s="58">
        <f>IFERROR($BC179/$BC180-1,"")</f>
        <v/>
      </c>
      <c r="EO179" s="58">
        <f>IFERROR($BD179/$BD180-1,"")</f>
        <v/>
      </c>
      <c r="EP179" s="58">
        <f>IFERROR($BE179/$BE180-1,"")</f>
        <v/>
      </c>
      <c r="EQ179" s="58">
        <f>IFERROR($BF179/$BF180-1,"")</f>
        <v/>
      </c>
      <c r="ER179" s="58">
        <f>IFERROR($BG179/$BG180-1,"")</f>
        <v/>
      </c>
      <c r="ES179" s="58">
        <f>IFERROR($BH179/$BH180-1,"")</f>
        <v/>
      </c>
      <c r="ET179" s="58">
        <f>IFERROR($BI179/$BI180-1,"")</f>
        <v/>
      </c>
      <c r="EU179" s="58">
        <f>IFERROR($BJ179/$BJ180-1,"")</f>
        <v/>
      </c>
      <c r="EV179" s="58">
        <f>IFERROR($BK179/$BK180-1,"")</f>
        <v/>
      </c>
      <c r="EW179" s="58">
        <f>IFERROR($BL179/$BL180-1,"")</f>
        <v/>
      </c>
      <c r="EX179" s="58">
        <f>IFERROR($BM179/$BM180-1,"")</f>
        <v/>
      </c>
      <c r="EY179" s="58">
        <f>IFERROR($BN179/$BN180-1,"")</f>
        <v/>
      </c>
      <c r="EZ179" s="58">
        <f>IFERROR($BO179/$BO180-1,"")</f>
        <v/>
      </c>
      <c r="FA179" s="58">
        <f>IFERROR($BP179/$BP180-1,"")</f>
        <v/>
      </c>
      <c r="FB179" s="58">
        <f>IFERROR($BQ179/$BQ180-1,"")</f>
        <v/>
      </c>
      <c r="FC179" s="58">
        <f>IFERROR($BR179/$BR180-1,"")</f>
        <v/>
      </c>
      <c r="FD179" s="58">
        <f>IFERROR($BS179/$BS180-1,"")</f>
        <v/>
      </c>
      <c r="FE179" s="58">
        <f>IFERROR($BT179/$BT180-1,"")</f>
        <v/>
      </c>
      <c r="FF179" s="58">
        <f>IFERROR($BU179/$BU180-1,"")</f>
        <v/>
      </c>
      <c r="FG179" s="58">
        <f>IFERROR($BV179/$BV180-1,"")</f>
        <v/>
      </c>
      <c r="FH179" s="58">
        <f>IFERROR($BW179/$BW180-1,"")</f>
        <v/>
      </c>
      <c r="FI179" s="58">
        <f>IFERROR($BX179/$BX180-1,"")</f>
        <v/>
      </c>
      <c r="FJ179" s="59">
        <f>$BY179-$BY180</f>
        <v/>
      </c>
      <c r="FK179" s="59">
        <f>$BZ179-$BZ180</f>
        <v/>
      </c>
      <c r="FL179" s="59">
        <f>$CA179-$CA180</f>
        <v/>
      </c>
      <c r="FM179" s="59">
        <f>$CB179-$CB180</f>
        <v/>
      </c>
      <c r="FN179" s="59">
        <f>$CC179-$CC180</f>
        <v/>
      </c>
      <c r="FO179" s="59">
        <f>$CD179-$CD180</f>
        <v/>
      </c>
      <c r="FP179" s="59">
        <f>$CE179-$CE180</f>
        <v/>
      </c>
      <c r="FQ179" s="59">
        <f>$CF179-$CF180</f>
        <v/>
      </c>
      <c r="FR179" s="59">
        <f>$CG179-$CG180</f>
        <v/>
      </c>
      <c r="FS179" s="59">
        <f>$CH179-$CH180</f>
        <v/>
      </c>
      <c r="FT179" s="59">
        <f>$CI179-$CI180</f>
        <v/>
      </c>
      <c r="FU179" s="59">
        <f>$CJ179-$CJ180</f>
        <v/>
      </c>
      <c r="FV179" s="59">
        <f>$CK179-$CK180</f>
        <v/>
      </c>
      <c r="FW179" s="59">
        <f>$CL179-$CL180</f>
        <v/>
      </c>
      <c r="FX179" s="59">
        <f>$CM179-$CM180</f>
        <v/>
      </c>
      <c r="FY179" s="59">
        <f>$CN179-$CN180</f>
        <v/>
      </c>
      <c r="FZ179" s="59">
        <f>$CO179-$CO180</f>
        <v/>
      </c>
      <c r="GA179" s="59">
        <f>$CP179-$CP180</f>
        <v/>
      </c>
      <c r="GB179" s="59">
        <f>$CQ179-$CQ180</f>
        <v/>
      </c>
      <c r="GC179" s="59">
        <f>$CR179-$CR180</f>
        <v/>
      </c>
      <c r="GD179" s="59">
        <f>$CS179-$CS180</f>
        <v/>
      </c>
      <c r="GE179" s="59">
        <f>$CT179-$CT180</f>
        <v/>
      </c>
    </row>
    <row r="180">
      <c r="CU180" s="58">
        <f>IFERROR($B180/$B181-1,"")</f>
        <v/>
      </c>
      <c r="CV180" s="59">
        <f>($F180-$F181)*100</f>
        <v/>
      </c>
      <c r="CW180" s="59">
        <f>($E180-$E181)*100</f>
        <v/>
      </c>
      <c r="CX180" s="58">
        <f>IFERROR($K180/$K181-1,"")</f>
        <v/>
      </c>
      <c r="CY180" s="59">
        <f>($AH180-$AH181)*100</f>
        <v/>
      </c>
      <c r="CZ180" s="59">
        <f>($AI180-$AI181)*100</f>
        <v/>
      </c>
      <c r="DA180" s="59">
        <f>($AJ180-$AJ181)*100</f>
        <v/>
      </c>
      <c r="DB180" s="59">
        <f>($AK180-$AK181)*100</f>
        <v/>
      </c>
      <c r="DC180" s="59">
        <f>($AL180-$AL181)*100</f>
        <v/>
      </c>
      <c r="DD180" s="59">
        <f>($AM180-$AM181)*100</f>
        <v/>
      </c>
      <c r="DE180" s="59">
        <f>($AN180-$AN181)*100</f>
        <v/>
      </c>
      <c r="DF180" s="59">
        <f>($AO180-$AO181)*100</f>
        <v/>
      </c>
      <c r="DG180" s="59">
        <f>($AP180-$AP181)*100</f>
        <v/>
      </c>
      <c r="DH180" s="59">
        <f>($AQ180-$AQ181)*100</f>
        <v/>
      </c>
      <c r="DI180" s="59">
        <f>($AR180-$AR181)*100</f>
        <v/>
      </c>
      <c r="DJ180" s="59">
        <f>($AS180-$AS181)*100</f>
        <v/>
      </c>
      <c r="DK180" s="59">
        <f>($AT180-$AT181)*100</f>
        <v/>
      </c>
      <c r="DL180" s="59">
        <f>($AU180-$AU181)*100</f>
        <v/>
      </c>
      <c r="DM180" s="59">
        <f>($AV180-$AV181)*100</f>
        <v/>
      </c>
      <c r="DN180" s="59">
        <f>($AW180-$AW181)*100</f>
        <v/>
      </c>
      <c r="DO180" s="59">
        <f>($AX180-$AX181)*100</f>
        <v/>
      </c>
      <c r="DP180" s="59">
        <f>($AY180-$AY181)*100</f>
        <v/>
      </c>
      <c r="DQ180" s="59">
        <f>($AZ180-$AZ181)*100</f>
        <v/>
      </c>
      <c r="DR180" s="59">
        <f>($BA180-$BA181)*100</f>
        <v/>
      </c>
      <c r="DS180" s="58">
        <f>IFERROR($N181/$N180-1,"")</f>
        <v/>
      </c>
      <c r="DT180" s="58">
        <f>IFERROR($O181/$O180-1,"")</f>
        <v/>
      </c>
      <c r="DU180" s="58">
        <f>IFERROR($P181/$P180-1,"")</f>
        <v/>
      </c>
      <c r="DV180" s="58">
        <f>IFERROR($Q181/$Q180-1,"")</f>
        <v/>
      </c>
      <c r="DW180" s="58">
        <f>IFERROR($R181/$R180-1,"")</f>
        <v/>
      </c>
      <c r="DX180" s="58">
        <f>IFERROR($S181/$S180-1,"")</f>
        <v/>
      </c>
      <c r="DY180" s="58">
        <f>IFERROR($T181/$T180-1,"")</f>
        <v/>
      </c>
      <c r="DZ180" s="58">
        <f>IFERROR($U181/$U180-1,"")</f>
        <v/>
      </c>
      <c r="EA180" s="58">
        <f>IFERROR($V181/$V180-1,"")</f>
        <v/>
      </c>
      <c r="EB180" s="58">
        <f>IFERROR($W181/$W180-1,"")</f>
        <v/>
      </c>
      <c r="EC180" s="58">
        <f>IFERROR($X181/$X180-1,"")</f>
        <v/>
      </c>
      <c r="ED180" s="58">
        <f>IFERROR($Y181/$Y180-1,"")</f>
        <v/>
      </c>
      <c r="EE180" s="58">
        <f>IFERROR($Z181/$Z180-1,"")</f>
        <v/>
      </c>
      <c r="EF180" s="58">
        <f>IFERROR($AA181/$AA180-1,"")</f>
        <v/>
      </c>
      <c r="EG180" s="58">
        <f>IFERROR($AB181/$AB180-1,"")</f>
        <v/>
      </c>
      <c r="EH180" s="58">
        <f>IFERROR($AC181/$AC180-1,"")</f>
        <v/>
      </c>
      <c r="EI180" s="58">
        <f>IFERROR($AD181/$AD180-1,"")</f>
        <v/>
      </c>
      <c r="EJ180" s="58">
        <f>IFERROR($AE181/$AE180-1,"")</f>
        <v/>
      </c>
      <c r="EK180" s="58">
        <f>IFERROR($AF181/$AF180-1,"")</f>
        <v/>
      </c>
      <c r="EL180" s="58">
        <f>IFERROR($AG181/$AG180-1,"")</f>
        <v/>
      </c>
      <c r="EM180" s="58">
        <f>IFERROR($BB180/$BB181-1,"")</f>
        <v/>
      </c>
      <c r="EN180" s="58">
        <f>IFERROR($BC180/$BC181-1,"")</f>
        <v/>
      </c>
      <c r="EO180" s="58">
        <f>IFERROR($BD180/$BD181-1,"")</f>
        <v/>
      </c>
      <c r="EP180" s="58">
        <f>IFERROR($BE180/$BE181-1,"")</f>
        <v/>
      </c>
      <c r="EQ180" s="58">
        <f>IFERROR($BF180/$BF181-1,"")</f>
        <v/>
      </c>
      <c r="ER180" s="58">
        <f>IFERROR($BG180/$BG181-1,"")</f>
        <v/>
      </c>
      <c r="ES180" s="58">
        <f>IFERROR($BH180/$BH181-1,"")</f>
        <v/>
      </c>
      <c r="ET180" s="58">
        <f>IFERROR($BI180/$BI181-1,"")</f>
        <v/>
      </c>
      <c r="EU180" s="58">
        <f>IFERROR($BJ180/$BJ181-1,"")</f>
        <v/>
      </c>
      <c r="EV180" s="58">
        <f>IFERROR($BK180/$BK181-1,"")</f>
        <v/>
      </c>
      <c r="EW180" s="58">
        <f>IFERROR($BL180/$BL181-1,"")</f>
        <v/>
      </c>
      <c r="EX180" s="58">
        <f>IFERROR($BM180/$BM181-1,"")</f>
        <v/>
      </c>
      <c r="EY180" s="58">
        <f>IFERROR($BN180/$BN181-1,"")</f>
        <v/>
      </c>
      <c r="EZ180" s="58">
        <f>IFERROR($BO180/$BO181-1,"")</f>
        <v/>
      </c>
      <c r="FA180" s="58">
        <f>IFERROR($BP180/$BP181-1,"")</f>
        <v/>
      </c>
      <c r="FB180" s="58">
        <f>IFERROR($BQ180/$BQ181-1,"")</f>
        <v/>
      </c>
      <c r="FC180" s="58">
        <f>IFERROR($BR180/$BR181-1,"")</f>
        <v/>
      </c>
      <c r="FD180" s="58">
        <f>IFERROR($BS180/$BS181-1,"")</f>
        <v/>
      </c>
      <c r="FE180" s="58">
        <f>IFERROR($BT180/$BT181-1,"")</f>
        <v/>
      </c>
      <c r="FF180" s="58">
        <f>IFERROR($BU180/$BU181-1,"")</f>
        <v/>
      </c>
      <c r="FG180" s="58">
        <f>IFERROR($BV180/$BV181-1,"")</f>
        <v/>
      </c>
      <c r="FH180" s="58">
        <f>IFERROR($BW180/$BW181-1,"")</f>
        <v/>
      </c>
      <c r="FI180" s="58">
        <f>IFERROR($BX180/$BX181-1,"")</f>
        <v/>
      </c>
      <c r="FJ180" s="59">
        <f>$BY180-$BY181</f>
        <v/>
      </c>
      <c r="FK180" s="59">
        <f>$BZ180-$BZ181</f>
        <v/>
      </c>
      <c r="FL180" s="59">
        <f>$CA180-$CA181</f>
        <v/>
      </c>
      <c r="FM180" s="59">
        <f>$CB180-$CB181</f>
        <v/>
      </c>
      <c r="FN180" s="59">
        <f>$CC180-$CC181</f>
        <v/>
      </c>
      <c r="FO180" s="59">
        <f>$CD180-$CD181</f>
        <v/>
      </c>
      <c r="FP180" s="59">
        <f>$CE180-$CE181</f>
        <v/>
      </c>
      <c r="FQ180" s="59">
        <f>$CF180-$CF181</f>
        <v/>
      </c>
      <c r="FR180" s="59">
        <f>$CG180-$CG181</f>
        <v/>
      </c>
      <c r="FS180" s="59">
        <f>$CH180-$CH181</f>
        <v/>
      </c>
      <c r="FT180" s="59">
        <f>$CI180-$CI181</f>
        <v/>
      </c>
      <c r="FU180" s="59">
        <f>$CJ180-$CJ181</f>
        <v/>
      </c>
      <c r="FV180" s="59">
        <f>$CK180-$CK181</f>
        <v/>
      </c>
      <c r="FW180" s="59">
        <f>$CL180-$CL181</f>
        <v/>
      </c>
      <c r="FX180" s="59">
        <f>$CM180-$CM181</f>
        <v/>
      </c>
      <c r="FY180" s="59">
        <f>$CN180-$CN181</f>
        <v/>
      </c>
      <c r="FZ180" s="59">
        <f>$CO180-$CO181</f>
        <v/>
      </c>
      <c r="GA180" s="59">
        <f>$CP180-$CP181</f>
        <v/>
      </c>
      <c r="GB180" s="59">
        <f>$CQ180-$CQ181</f>
        <v/>
      </c>
      <c r="GC180" s="59">
        <f>$CR180-$CR181</f>
        <v/>
      </c>
      <c r="GD180" s="59">
        <f>$CS180-$CS181</f>
        <v/>
      </c>
      <c r="GE180" s="59">
        <f>$CT180-$CT181</f>
        <v/>
      </c>
    </row>
    <row r="181">
      <c r="CU181" s="58">
        <f>IFERROR($B181/$B182-1,"")</f>
        <v/>
      </c>
      <c r="CV181" s="59">
        <f>($F181-$F182)*100</f>
        <v/>
      </c>
      <c r="CW181" s="59">
        <f>($E181-$E182)*100</f>
        <v/>
      </c>
      <c r="CX181" s="58">
        <f>IFERROR($K181/$K182-1,"")</f>
        <v/>
      </c>
      <c r="CY181" s="59">
        <f>($AH181-$AH182)*100</f>
        <v/>
      </c>
      <c r="CZ181" s="59">
        <f>($AI181-$AI182)*100</f>
        <v/>
      </c>
      <c r="DA181" s="59">
        <f>($AJ181-$AJ182)*100</f>
        <v/>
      </c>
      <c r="DB181" s="59">
        <f>($AK181-$AK182)*100</f>
        <v/>
      </c>
      <c r="DC181" s="59">
        <f>($AL181-$AL182)*100</f>
        <v/>
      </c>
      <c r="DD181" s="59">
        <f>($AM181-$AM182)*100</f>
        <v/>
      </c>
      <c r="DE181" s="59">
        <f>($AN181-$AN182)*100</f>
        <v/>
      </c>
      <c r="DF181" s="59">
        <f>($AO181-$AO182)*100</f>
        <v/>
      </c>
      <c r="DG181" s="59">
        <f>($AP181-$AP182)*100</f>
        <v/>
      </c>
      <c r="DH181" s="59">
        <f>($AQ181-$AQ182)*100</f>
        <v/>
      </c>
      <c r="DI181" s="59">
        <f>($AR181-$AR182)*100</f>
        <v/>
      </c>
      <c r="DJ181" s="59">
        <f>($AS181-$AS182)*100</f>
        <v/>
      </c>
      <c r="DK181" s="59">
        <f>($AT181-$AT182)*100</f>
        <v/>
      </c>
      <c r="DL181" s="59">
        <f>($AU181-$AU182)*100</f>
        <v/>
      </c>
      <c r="DM181" s="59">
        <f>($AV181-$AV182)*100</f>
        <v/>
      </c>
      <c r="DN181" s="59">
        <f>($AW181-$AW182)*100</f>
        <v/>
      </c>
      <c r="DO181" s="59">
        <f>($AX181-$AX182)*100</f>
        <v/>
      </c>
      <c r="DP181" s="59">
        <f>($AY181-$AY182)*100</f>
        <v/>
      </c>
      <c r="DQ181" s="59">
        <f>($AZ181-$AZ182)*100</f>
        <v/>
      </c>
      <c r="DR181" s="59">
        <f>($BA181-$BA182)*100</f>
        <v/>
      </c>
      <c r="DS181" s="58">
        <f>IFERROR($N182/$N181-1,"")</f>
        <v/>
      </c>
      <c r="DT181" s="58">
        <f>IFERROR($O182/$O181-1,"")</f>
        <v/>
      </c>
      <c r="DU181" s="58">
        <f>IFERROR($P182/$P181-1,"")</f>
        <v/>
      </c>
      <c r="DV181" s="58">
        <f>IFERROR($Q182/$Q181-1,"")</f>
        <v/>
      </c>
      <c r="DW181" s="58">
        <f>IFERROR($R182/$R181-1,"")</f>
        <v/>
      </c>
      <c r="DX181" s="58">
        <f>IFERROR($S182/$S181-1,"")</f>
        <v/>
      </c>
      <c r="DY181" s="58">
        <f>IFERROR($T182/$T181-1,"")</f>
        <v/>
      </c>
      <c r="DZ181" s="58">
        <f>IFERROR($U182/$U181-1,"")</f>
        <v/>
      </c>
      <c r="EA181" s="58">
        <f>IFERROR($V182/$V181-1,"")</f>
        <v/>
      </c>
      <c r="EB181" s="58">
        <f>IFERROR($W182/$W181-1,"")</f>
        <v/>
      </c>
      <c r="EC181" s="58">
        <f>IFERROR($X182/$X181-1,"")</f>
        <v/>
      </c>
      <c r="ED181" s="58">
        <f>IFERROR($Y182/$Y181-1,"")</f>
        <v/>
      </c>
      <c r="EE181" s="58">
        <f>IFERROR($Z182/$Z181-1,"")</f>
        <v/>
      </c>
      <c r="EF181" s="58">
        <f>IFERROR($AA182/$AA181-1,"")</f>
        <v/>
      </c>
      <c r="EG181" s="58">
        <f>IFERROR($AB182/$AB181-1,"")</f>
        <v/>
      </c>
      <c r="EH181" s="58">
        <f>IFERROR($AC182/$AC181-1,"")</f>
        <v/>
      </c>
      <c r="EI181" s="58">
        <f>IFERROR($AD182/$AD181-1,"")</f>
        <v/>
      </c>
      <c r="EJ181" s="58">
        <f>IFERROR($AE182/$AE181-1,"")</f>
        <v/>
      </c>
      <c r="EK181" s="58">
        <f>IFERROR($AF182/$AF181-1,"")</f>
        <v/>
      </c>
      <c r="EL181" s="58">
        <f>IFERROR($AG182/$AG181-1,"")</f>
        <v/>
      </c>
      <c r="EM181" s="58">
        <f>IFERROR($BB181/$BB182-1,"")</f>
        <v/>
      </c>
      <c r="EN181" s="58">
        <f>IFERROR($BC181/$BC182-1,"")</f>
        <v/>
      </c>
      <c r="EO181" s="58">
        <f>IFERROR($BD181/$BD182-1,"")</f>
        <v/>
      </c>
      <c r="EP181" s="58">
        <f>IFERROR($BE181/$BE182-1,"")</f>
        <v/>
      </c>
      <c r="EQ181" s="58">
        <f>IFERROR($BF181/$BF182-1,"")</f>
        <v/>
      </c>
      <c r="ER181" s="58">
        <f>IFERROR($BG181/$BG182-1,"")</f>
        <v/>
      </c>
      <c r="ES181" s="58">
        <f>IFERROR($BH181/$BH182-1,"")</f>
        <v/>
      </c>
      <c r="ET181" s="58">
        <f>IFERROR($BI181/$BI182-1,"")</f>
        <v/>
      </c>
      <c r="EU181" s="58">
        <f>IFERROR($BJ181/$BJ182-1,"")</f>
        <v/>
      </c>
      <c r="EV181" s="58">
        <f>IFERROR($BK181/$BK182-1,"")</f>
        <v/>
      </c>
      <c r="EW181" s="58">
        <f>IFERROR($BL181/$BL182-1,"")</f>
        <v/>
      </c>
      <c r="EX181" s="58">
        <f>IFERROR($BM181/$BM182-1,"")</f>
        <v/>
      </c>
      <c r="EY181" s="58">
        <f>IFERROR($BN181/$BN182-1,"")</f>
        <v/>
      </c>
      <c r="EZ181" s="58">
        <f>IFERROR($BO181/$BO182-1,"")</f>
        <v/>
      </c>
      <c r="FA181" s="58">
        <f>IFERROR($BP181/$BP182-1,"")</f>
        <v/>
      </c>
      <c r="FB181" s="58">
        <f>IFERROR($BQ181/$BQ182-1,"")</f>
        <v/>
      </c>
      <c r="FC181" s="58">
        <f>IFERROR($BR181/$BR182-1,"")</f>
        <v/>
      </c>
      <c r="FD181" s="58">
        <f>IFERROR($BS181/$BS182-1,"")</f>
        <v/>
      </c>
      <c r="FE181" s="58">
        <f>IFERROR($BT181/$BT182-1,"")</f>
        <v/>
      </c>
      <c r="FF181" s="58">
        <f>IFERROR($BU181/$BU182-1,"")</f>
        <v/>
      </c>
      <c r="FG181" s="58">
        <f>IFERROR($BV181/$BV182-1,"")</f>
        <v/>
      </c>
      <c r="FH181" s="58">
        <f>IFERROR($BW181/$BW182-1,"")</f>
        <v/>
      </c>
      <c r="FI181" s="58">
        <f>IFERROR($BX181/$BX182-1,"")</f>
        <v/>
      </c>
      <c r="FJ181" s="59">
        <f>$BY181-$BY182</f>
        <v/>
      </c>
      <c r="FK181" s="59">
        <f>$BZ181-$BZ182</f>
        <v/>
      </c>
      <c r="FL181" s="59">
        <f>$CA181-$CA182</f>
        <v/>
      </c>
      <c r="FM181" s="59">
        <f>$CB181-$CB182</f>
        <v/>
      </c>
      <c r="FN181" s="59">
        <f>$CC181-$CC182</f>
        <v/>
      </c>
      <c r="FO181" s="59">
        <f>$CD181-$CD182</f>
        <v/>
      </c>
      <c r="FP181" s="59">
        <f>$CE181-$CE182</f>
        <v/>
      </c>
      <c r="FQ181" s="59">
        <f>$CF181-$CF182</f>
        <v/>
      </c>
      <c r="FR181" s="59">
        <f>$CG181-$CG182</f>
        <v/>
      </c>
      <c r="FS181" s="59">
        <f>$CH181-$CH182</f>
        <v/>
      </c>
      <c r="FT181" s="59">
        <f>$CI181-$CI182</f>
        <v/>
      </c>
      <c r="FU181" s="59">
        <f>$CJ181-$CJ182</f>
        <v/>
      </c>
      <c r="FV181" s="59">
        <f>$CK181-$CK182</f>
        <v/>
      </c>
      <c r="FW181" s="59">
        <f>$CL181-$CL182</f>
        <v/>
      </c>
      <c r="FX181" s="59">
        <f>$CM181-$CM182</f>
        <v/>
      </c>
      <c r="FY181" s="59">
        <f>$CN181-$CN182</f>
        <v/>
      </c>
      <c r="FZ181" s="59">
        <f>$CO181-$CO182</f>
        <v/>
      </c>
      <c r="GA181" s="59">
        <f>$CP181-$CP182</f>
        <v/>
      </c>
      <c r="GB181" s="59">
        <f>$CQ181-$CQ182</f>
        <v/>
      </c>
      <c r="GC181" s="59">
        <f>$CR181-$CR182</f>
        <v/>
      </c>
      <c r="GD181" s="59">
        <f>$CS181-$CS182</f>
        <v/>
      </c>
      <c r="GE181" s="59">
        <f>$CT181-$CT182</f>
        <v/>
      </c>
    </row>
    <row r="182">
      <c r="CU182" s="58">
        <f>IFERROR($B182/$B183-1,"")</f>
        <v/>
      </c>
      <c r="CV182" s="59">
        <f>($F182-$F183)*100</f>
        <v/>
      </c>
      <c r="CW182" s="59">
        <f>($E182-$E183)*100</f>
        <v/>
      </c>
      <c r="CX182" s="58">
        <f>IFERROR($K182/$K183-1,"")</f>
        <v/>
      </c>
      <c r="CY182" s="59">
        <f>($AH182-$AH183)*100</f>
        <v/>
      </c>
      <c r="CZ182" s="59">
        <f>($AI182-$AI183)*100</f>
        <v/>
      </c>
      <c r="DA182" s="59">
        <f>($AJ182-$AJ183)*100</f>
        <v/>
      </c>
      <c r="DB182" s="59">
        <f>($AK182-$AK183)*100</f>
        <v/>
      </c>
      <c r="DC182" s="59">
        <f>($AL182-$AL183)*100</f>
        <v/>
      </c>
      <c r="DD182" s="59">
        <f>($AM182-$AM183)*100</f>
        <v/>
      </c>
      <c r="DE182" s="59">
        <f>($AN182-$AN183)*100</f>
        <v/>
      </c>
      <c r="DF182" s="59">
        <f>($AO182-$AO183)*100</f>
        <v/>
      </c>
      <c r="DG182" s="59">
        <f>($AP182-$AP183)*100</f>
        <v/>
      </c>
      <c r="DH182" s="59">
        <f>($AQ182-$AQ183)*100</f>
        <v/>
      </c>
      <c r="DI182" s="59">
        <f>($AR182-$AR183)*100</f>
        <v/>
      </c>
      <c r="DJ182" s="59">
        <f>($AS182-$AS183)*100</f>
        <v/>
      </c>
      <c r="DK182" s="59">
        <f>($AT182-$AT183)*100</f>
        <v/>
      </c>
      <c r="DL182" s="59">
        <f>($AU182-$AU183)*100</f>
        <v/>
      </c>
      <c r="DM182" s="59">
        <f>($AV182-$AV183)*100</f>
        <v/>
      </c>
      <c r="DN182" s="59">
        <f>($AW182-$AW183)*100</f>
        <v/>
      </c>
      <c r="DO182" s="59">
        <f>($AX182-$AX183)*100</f>
        <v/>
      </c>
      <c r="DP182" s="59">
        <f>($AY182-$AY183)*100</f>
        <v/>
      </c>
      <c r="DQ182" s="59">
        <f>($AZ182-$AZ183)*100</f>
        <v/>
      </c>
      <c r="DR182" s="59">
        <f>($BA182-$BA183)*100</f>
        <v/>
      </c>
      <c r="DS182" s="58">
        <f>IFERROR($N183/$N182-1,"")</f>
        <v/>
      </c>
      <c r="DT182" s="58">
        <f>IFERROR($O183/$O182-1,"")</f>
        <v/>
      </c>
      <c r="DU182" s="58">
        <f>IFERROR($P183/$P182-1,"")</f>
        <v/>
      </c>
      <c r="DV182" s="58">
        <f>IFERROR($Q183/$Q182-1,"")</f>
        <v/>
      </c>
      <c r="DW182" s="58">
        <f>IFERROR($R183/$R182-1,"")</f>
        <v/>
      </c>
      <c r="DX182" s="58">
        <f>IFERROR($S183/$S182-1,"")</f>
        <v/>
      </c>
      <c r="DY182" s="58">
        <f>IFERROR($T183/$T182-1,"")</f>
        <v/>
      </c>
      <c r="DZ182" s="58">
        <f>IFERROR($U183/$U182-1,"")</f>
        <v/>
      </c>
      <c r="EA182" s="58">
        <f>IFERROR($V183/$V182-1,"")</f>
        <v/>
      </c>
      <c r="EB182" s="58">
        <f>IFERROR($W183/$W182-1,"")</f>
        <v/>
      </c>
      <c r="EC182" s="58">
        <f>IFERROR($X183/$X182-1,"")</f>
        <v/>
      </c>
      <c r="ED182" s="58">
        <f>IFERROR($Y183/$Y182-1,"")</f>
        <v/>
      </c>
      <c r="EE182" s="58">
        <f>IFERROR($Z183/$Z182-1,"")</f>
        <v/>
      </c>
      <c r="EF182" s="58">
        <f>IFERROR($AA183/$AA182-1,"")</f>
        <v/>
      </c>
      <c r="EG182" s="58">
        <f>IFERROR($AB183/$AB182-1,"")</f>
        <v/>
      </c>
      <c r="EH182" s="58">
        <f>IFERROR($AC183/$AC182-1,"")</f>
        <v/>
      </c>
      <c r="EI182" s="58">
        <f>IFERROR($AD183/$AD182-1,"")</f>
        <v/>
      </c>
      <c r="EJ182" s="58">
        <f>IFERROR($AE183/$AE182-1,"")</f>
        <v/>
      </c>
      <c r="EK182" s="58">
        <f>IFERROR($AF183/$AF182-1,"")</f>
        <v/>
      </c>
      <c r="EL182" s="58">
        <f>IFERROR($AG183/$AG182-1,"")</f>
        <v/>
      </c>
      <c r="EM182" s="58">
        <f>IFERROR($BB182/$BB183-1,"")</f>
        <v/>
      </c>
      <c r="EN182" s="58">
        <f>IFERROR($BC182/$BC183-1,"")</f>
        <v/>
      </c>
      <c r="EO182" s="58">
        <f>IFERROR($BD182/$BD183-1,"")</f>
        <v/>
      </c>
      <c r="EP182" s="58">
        <f>IFERROR($BE182/$BE183-1,"")</f>
        <v/>
      </c>
      <c r="EQ182" s="58">
        <f>IFERROR($BF182/$BF183-1,"")</f>
        <v/>
      </c>
      <c r="ER182" s="58">
        <f>IFERROR($BG182/$BG183-1,"")</f>
        <v/>
      </c>
      <c r="ES182" s="58">
        <f>IFERROR($BH182/$BH183-1,"")</f>
        <v/>
      </c>
      <c r="ET182" s="58">
        <f>IFERROR($BI182/$BI183-1,"")</f>
        <v/>
      </c>
      <c r="EU182" s="58">
        <f>IFERROR($BJ182/$BJ183-1,"")</f>
        <v/>
      </c>
      <c r="EV182" s="58">
        <f>IFERROR($BK182/$BK183-1,"")</f>
        <v/>
      </c>
      <c r="EW182" s="58">
        <f>IFERROR($BL182/$BL183-1,"")</f>
        <v/>
      </c>
      <c r="EX182" s="58">
        <f>IFERROR($BM182/$BM183-1,"")</f>
        <v/>
      </c>
      <c r="EY182" s="58">
        <f>IFERROR($BN182/$BN183-1,"")</f>
        <v/>
      </c>
      <c r="EZ182" s="58">
        <f>IFERROR($BO182/$BO183-1,"")</f>
        <v/>
      </c>
      <c r="FA182" s="58">
        <f>IFERROR($BP182/$BP183-1,"")</f>
        <v/>
      </c>
      <c r="FB182" s="58">
        <f>IFERROR($BQ182/$BQ183-1,"")</f>
        <v/>
      </c>
      <c r="FC182" s="58">
        <f>IFERROR($BR182/$BR183-1,"")</f>
        <v/>
      </c>
      <c r="FD182" s="58">
        <f>IFERROR($BS182/$BS183-1,"")</f>
        <v/>
      </c>
      <c r="FE182" s="58">
        <f>IFERROR($BT182/$BT183-1,"")</f>
        <v/>
      </c>
      <c r="FF182" s="58">
        <f>IFERROR($BU182/$BU183-1,"")</f>
        <v/>
      </c>
      <c r="FG182" s="58">
        <f>IFERROR($BV182/$BV183-1,"")</f>
        <v/>
      </c>
      <c r="FH182" s="58">
        <f>IFERROR($BW182/$BW183-1,"")</f>
        <v/>
      </c>
      <c r="FI182" s="58">
        <f>IFERROR($BX182/$BX183-1,"")</f>
        <v/>
      </c>
      <c r="FJ182" s="59">
        <f>$BY182-$BY183</f>
        <v/>
      </c>
      <c r="FK182" s="59">
        <f>$BZ182-$BZ183</f>
        <v/>
      </c>
      <c r="FL182" s="59">
        <f>$CA182-$CA183</f>
        <v/>
      </c>
      <c r="FM182" s="59">
        <f>$CB182-$CB183</f>
        <v/>
      </c>
      <c r="FN182" s="59">
        <f>$CC182-$CC183</f>
        <v/>
      </c>
      <c r="FO182" s="59">
        <f>$CD182-$CD183</f>
        <v/>
      </c>
      <c r="FP182" s="59">
        <f>$CE182-$CE183</f>
        <v/>
      </c>
      <c r="FQ182" s="59">
        <f>$CF182-$CF183</f>
        <v/>
      </c>
      <c r="FR182" s="59">
        <f>$CG182-$CG183</f>
        <v/>
      </c>
      <c r="FS182" s="59">
        <f>$CH182-$CH183</f>
        <v/>
      </c>
      <c r="FT182" s="59">
        <f>$CI182-$CI183</f>
        <v/>
      </c>
      <c r="FU182" s="59">
        <f>$CJ182-$CJ183</f>
        <v/>
      </c>
      <c r="FV182" s="59">
        <f>$CK182-$CK183</f>
        <v/>
      </c>
      <c r="FW182" s="59">
        <f>$CL182-$CL183</f>
        <v/>
      </c>
      <c r="FX182" s="59">
        <f>$CM182-$CM183</f>
        <v/>
      </c>
      <c r="FY182" s="59">
        <f>$CN182-$CN183</f>
        <v/>
      </c>
      <c r="FZ182" s="59">
        <f>$CO182-$CO183</f>
        <v/>
      </c>
      <c r="GA182" s="59">
        <f>$CP182-$CP183</f>
        <v/>
      </c>
      <c r="GB182" s="59">
        <f>$CQ182-$CQ183</f>
        <v/>
      </c>
      <c r="GC182" s="59">
        <f>$CR182-$CR183</f>
        <v/>
      </c>
      <c r="GD182" s="59">
        <f>$CS182-$CS183</f>
        <v/>
      </c>
      <c r="GE182" s="59">
        <f>$CT182-$CT183</f>
        <v/>
      </c>
    </row>
    <row r="183">
      <c r="CU183" s="58">
        <f>IFERROR($B183/$B184-1,"")</f>
        <v/>
      </c>
      <c r="CV183" s="59">
        <f>($F183-$F184)*100</f>
        <v/>
      </c>
      <c r="CW183" s="59">
        <f>($E183-$E184)*100</f>
        <v/>
      </c>
      <c r="CX183" s="58">
        <f>IFERROR($K183/$K184-1,"")</f>
        <v/>
      </c>
      <c r="CY183" s="59">
        <f>($AH183-$AH184)*100</f>
        <v/>
      </c>
      <c r="CZ183" s="59">
        <f>($AI183-$AI184)*100</f>
        <v/>
      </c>
      <c r="DA183" s="59">
        <f>($AJ183-$AJ184)*100</f>
        <v/>
      </c>
      <c r="DB183" s="59">
        <f>($AK183-$AK184)*100</f>
        <v/>
      </c>
      <c r="DC183" s="59">
        <f>($AL183-$AL184)*100</f>
        <v/>
      </c>
      <c r="DD183" s="59">
        <f>($AM183-$AM184)*100</f>
        <v/>
      </c>
      <c r="DE183" s="59">
        <f>($AN183-$AN184)*100</f>
        <v/>
      </c>
      <c r="DF183" s="59">
        <f>($AO183-$AO184)*100</f>
        <v/>
      </c>
      <c r="DG183" s="59">
        <f>($AP183-$AP184)*100</f>
        <v/>
      </c>
      <c r="DH183" s="59">
        <f>($AQ183-$AQ184)*100</f>
        <v/>
      </c>
      <c r="DI183" s="59">
        <f>($AR183-$AR184)*100</f>
        <v/>
      </c>
      <c r="DJ183" s="59">
        <f>($AS183-$AS184)*100</f>
        <v/>
      </c>
      <c r="DK183" s="59">
        <f>($AT183-$AT184)*100</f>
        <v/>
      </c>
      <c r="DL183" s="59">
        <f>($AU183-$AU184)*100</f>
        <v/>
      </c>
      <c r="DM183" s="59">
        <f>($AV183-$AV184)*100</f>
        <v/>
      </c>
      <c r="DN183" s="59">
        <f>($AW183-$AW184)*100</f>
        <v/>
      </c>
      <c r="DO183" s="59">
        <f>($AX183-$AX184)*100</f>
        <v/>
      </c>
      <c r="DP183" s="59">
        <f>($AY183-$AY184)*100</f>
        <v/>
      </c>
      <c r="DQ183" s="59">
        <f>($AZ183-$AZ184)*100</f>
        <v/>
      </c>
      <c r="DR183" s="59">
        <f>($BA183-$BA184)*100</f>
        <v/>
      </c>
      <c r="DS183" s="58">
        <f>IFERROR($N184/$N183-1,"")</f>
        <v/>
      </c>
      <c r="DT183" s="58">
        <f>IFERROR($O184/$O183-1,"")</f>
        <v/>
      </c>
      <c r="DU183" s="58">
        <f>IFERROR($P184/$P183-1,"")</f>
        <v/>
      </c>
      <c r="DV183" s="58">
        <f>IFERROR($Q184/$Q183-1,"")</f>
        <v/>
      </c>
      <c r="DW183" s="58">
        <f>IFERROR($R184/$R183-1,"")</f>
        <v/>
      </c>
      <c r="DX183" s="58">
        <f>IFERROR($S184/$S183-1,"")</f>
        <v/>
      </c>
      <c r="DY183" s="58">
        <f>IFERROR($T184/$T183-1,"")</f>
        <v/>
      </c>
      <c r="DZ183" s="58">
        <f>IFERROR($U184/$U183-1,"")</f>
        <v/>
      </c>
      <c r="EA183" s="58">
        <f>IFERROR($V184/$V183-1,"")</f>
        <v/>
      </c>
      <c r="EB183" s="58">
        <f>IFERROR($W184/$W183-1,"")</f>
        <v/>
      </c>
      <c r="EC183" s="58">
        <f>IFERROR($X184/$X183-1,"")</f>
        <v/>
      </c>
      <c r="ED183" s="58">
        <f>IFERROR($Y184/$Y183-1,"")</f>
        <v/>
      </c>
      <c r="EE183" s="58">
        <f>IFERROR($Z184/$Z183-1,"")</f>
        <v/>
      </c>
      <c r="EF183" s="58">
        <f>IFERROR($AA184/$AA183-1,"")</f>
        <v/>
      </c>
      <c r="EG183" s="58">
        <f>IFERROR($AB184/$AB183-1,"")</f>
        <v/>
      </c>
      <c r="EH183" s="58">
        <f>IFERROR($AC184/$AC183-1,"")</f>
        <v/>
      </c>
      <c r="EI183" s="58">
        <f>IFERROR($AD184/$AD183-1,"")</f>
        <v/>
      </c>
      <c r="EJ183" s="58">
        <f>IFERROR($AE184/$AE183-1,"")</f>
        <v/>
      </c>
      <c r="EK183" s="58">
        <f>IFERROR($AF184/$AF183-1,"")</f>
        <v/>
      </c>
      <c r="EL183" s="58">
        <f>IFERROR($AG184/$AG183-1,"")</f>
        <v/>
      </c>
      <c r="EM183" s="58">
        <f>IFERROR($BB183/$BB184-1,"")</f>
        <v/>
      </c>
      <c r="EN183" s="58">
        <f>IFERROR($BC183/$BC184-1,"")</f>
        <v/>
      </c>
      <c r="EO183" s="58">
        <f>IFERROR($BD183/$BD184-1,"")</f>
        <v/>
      </c>
      <c r="EP183" s="58">
        <f>IFERROR($BE183/$BE184-1,"")</f>
        <v/>
      </c>
      <c r="EQ183" s="58">
        <f>IFERROR($BF183/$BF184-1,"")</f>
        <v/>
      </c>
      <c r="ER183" s="58">
        <f>IFERROR($BG183/$BG184-1,"")</f>
        <v/>
      </c>
      <c r="ES183" s="58">
        <f>IFERROR($BH183/$BH184-1,"")</f>
        <v/>
      </c>
      <c r="ET183" s="58">
        <f>IFERROR($BI183/$BI184-1,"")</f>
        <v/>
      </c>
      <c r="EU183" s="58">
        <f>IFERROR($BJ183/$BJ184-1,"")</f>
        <v/>
      </c>
      <c r="EV183" s="58">
        <f>IFERROR($BK183/$BK184-1,"")</f>
        <v/>
      </c>
      <c r="EW183" s="58">
        <f>IFERROR($BL183/$BL184-1,"")</f>
        <v/>
      </c>
      <c r="EX183" s="58">
        <f>IFERROR($BM183/$BM184-1,"")</f>
        <v/>
      </c>
      <c r="EY183" s="58">
        <f>IFERROR($BN183/$BN184-1,"")</f>
        <v/>
      </c>
      <c r="EZ183" s="58">
        <f>IFERROR($BO183/$BO184-1,"")</f>
        <v/>
      </c>
      <c r="FA183" s="58">
        <f>IFERROR($BP183/$BP184-1,"")</f>
        <v/>
      </c>
      <c r="FB183" s="58">
        <f>IFERROR($BQ183/$BQ184-1,"")</f>
        <v/>
      </c>
      <c r="FC183" s="58">
        <f>IFERROR($BR183/$BR184-1,"")</f>
        <v/>
      </c>
      <c r="FD183" s="58">
        <f>IFERROR($BS183/$BS184-1,"")</f>
        <v/>
      </c>
      <c r="FE183" s="58">
        <f>IFERROR($BT183/$BT184-1,"")</f>
        <v/>
      </c>
      <c r="FF183" s="58">
        <f>IFERROR($BU183/$BU184-1,"")</f>
        <v/>
      </c>
      <c r="FG183" s="58">
        <f>IFERROR($BV183/$BV184-1,"")</f>
        <v/>
      </c>
      <c r="FH183" s="58">
        <f>IFERROR($BW183/$BW184-1,"")</f>
        <v/>
      </c>
      <c r="FI183" s="58">
        <f>IFERROR($BX183/$BX184-1,"")</f>
        <v/>
      </c>
      <c r="FJ183" s="59">
        <f>$BY183-$BY184</f>
        <v/>
      </c>
      <c r="FK183" s="59">
        <f>$BZ183-$BZ184</f>
        <v/>
      </c>
      <c r="FL183" s="59">
        <f>$CA183-$CA184</f>
        <v/>
      </c>
      <c r="FM183" s="59">
        <f>$CB183-$CB184</f>
        <v/>
      </c>
      <c r="FN183" s="59">
        <f>$CC183-$CC184</f>
        <v/>
      </c>
      <c r="FO183" s="59">
        <f>$CD183-$CD184</f>
        <v/>
      </c>
      <c r="FP183" s="59">
        <f>$CE183-$CE184</f>
        <v/>
      </c>
      <c r="FQ183" s="59">
        <f>$CF183-$CF184</f>
        <v/>
      </c>
      <c r="FR183" s="59">
        <f>$CG183-$CG184</f>
        <v/>
      </c>
      <c r="FS183" s="59">
        <f>$CH183-$CH184</f>
        <v/>
      </c>
      <c r="FT183" s="59">
        <f>$CI183-$CI184</f>
        <v/>
      </c>
      <c r="FU183" s="59">
        <f>$CJ183-$CJ184</f>
        <v/>
      </c>
      <c r="FV183" s="59">
        <f>$CK183-$CK184</f>
        <v/>
      </c>
      <c r="FW183" s="59">
        <f>$CL183-$CL184</f>
        <v/>
      </c>
      <c r="FX183" s="59">
        <f>$CM183-$CM184</f>
        <v/>
      </c>
      <c r="FY183" s="59">
        <f>$CN183-$CN184</f>
        <v/>
      </c>
      <c r="FZ183" s="59">
        <f>$CO183-$CO184</f>
        <v/>
      </c>
      <c r="GA183" s="59">
        <f>$CP183-$CP184</f>
        <v/>
      </c>
      <c r="GB183" s="59">
        <f>$CQ183-$CQ184</f>
        <v/>
      </c>
      <c r="GC183" s="59">
        <f>$CR183-$CR184</f>
        <v/>
      </c>
      <c r="GD183" s="59">
        <f>$CS183-$CS184</f>
        <v/>
      </c>
      <c r="GE183" s="59">
        <f>$CT183-$CT184</f>
        <v/>
      </c>
    </row>
    <row r="184">
      <c r="CU184" s="58">
        <f>IFERROR($B184/$B185-1,"")</f>
        <v/>
      </c>
      <c r="CV184" s="59">
        <f>($F184-$F185)*100</f>
        <v/>
      </c>
      <c r="CW184" s="59">
        <f>($E184-$E185)*100</f>
        <v/>
      </c>
      <c r="CX184" s="58">
        <f>IFERROR($K184/$K185-1,"")</f>
        <v/>
      </c>
      <c r="CY184" s="59">
        <f>($AH184-$AH185)*100</f>
        <v/>
      </c>
      <c r="CZ184" s="59">
        <f>($AI184-$AI185)*100</f>
        <v/>
      </c>
      <c r="DA184" s="59">
        <f>($AJ184-$AJ185)*100</f>
        <v/>
      </c>
      <c r="DB184" s="59">
        <f>($AK184-$AK185)*100</f>
        <v/>
      </c>
      <c r="DC184" s="59">
        <f>($AL184-$AL185)*100</f>
        <v/>
      </c>
      <c r="DD184" s="59">
        <f>($AM184-$AM185)*100</f>
        <v/>
      </c>
      <c r="DE184" s="59">
        <f>($AN184-$AN185)*100</f>
        <v/>
      </c>
      <c r="DF184" s="59">
        <f>($AO184-$AO185)*100</f>
        <v/>
      </c>
      <c r="DG184" s="59">
        <f>($AP184-$AP185)*100</f>
        <v/>
      </c>
      <c r="DH184" s="59">
        <f>($AQ184-$AQ185)*100</f>
        <v/>
      </c>
      <c r="DI184" s="59">
        <f>($AR184-$AR185)*100</f>
        <v/>
      </c>
      <c r="DJ184" s="59">
        <f>($AS184-$AS185)*100</f>
        <v/>
      </c>
      <c r="DK184" s="59">
        <f>($AT184-$AT185)*100</f>
        <v/>
      </c>
      <c r="DL184" s="59">
        <f>($AU184-$AU185)*100</f>
        <v/>
      </c>
      <c r="DM184" s="59">
        <f>($AV184-$AV185)*100</f>
        <v/>
      </c>
      <c r="DN184" s="59">
        <f>($AW184-$AW185)*100</f>
        <v/>
      </c>
      <c r="DO184" s="59">
        <f>($AX184-$AX185)*100</f>
        <v/>
      </c>
      <c r="DP184" s="59">
        <f>($AY184-$AY185)*100</f>
        <v/>
      </c>
      <c r="DQ184" s="59">
        <f>($AZ184-$AZ185)*100</f>
        <v/>
      </c>
      <c r="DR184" s="59">
        <f>($BA184-$BA185)*100</f>
        <v/>
      </c>
      <c r="DS184" s="58">
        <f>IFERROR($N185/$N184-1,"")</f>
        <v/>
      </c>
      <c r="DT184" s="58">
        <f>IFERROR($O185/$O184-1,"")</f>
        <v/>
      </c>
      <c r="DU184" s="58">
        <f>IFERROR($P185/$P184-1,"")</f>
        <v/>
      </c>
      <c r="DV184" s="58">
        <f>IFERROR($Q185/$Q184-1,"")</f>
        <v/>
      </c>
      <c r="DW184" s="58">
        <f>IFERROR($R185/$R184-1,"")</f>
        <v/>
      </c>
      <c r="DX184" s="58">
        <f>IFERROR($S185/$S184-1,"")</f>
        <v/>
      </c>
      <c r="DY184" s="58">
        <f>IFERROR($T185/$T184-1,"")</f>
        <v/>
      </c>
      <c r="DZ184" s="58">
        <f>IFERROR($U185/$U184-1,"")</f>
        <v/>
      </c>
      <c r="EA184" s="58">
        <f>IFERROR($V185/$V184-1,"")</f>
        <v/>
      </c>
      <c r="EB184" s="58">
        <f>IFERROR($W185/$W184-1,"")</f>
        <v/>
      </c>
      <c r="EC184" s="58">
        <f>IFERROR($X185/$X184-1,"")</f>
        <v/>
      </c>
      <c r="ED184" s="58">
        <f>IFERROR($Y185/$Y184-1,"")</f>
        <v/>
      </c>
      <c r="EE184" s="58">
        <f>IFERROR($Z185/$Z184-1,"")</f>
        <v/>
      </c>
      <c r="EF184" s="58">
        <f>IFERROR($AA185/$AA184-1,"")</f>
        <v/>
      </c>
      <c r="EG184" s="58">
        <f>IFERROR($AB185/$AB184-1,"")</f>
        <v/>
      </c>
      <c r="EH184" s="58">
        <f>IFERROR($AC185/$AC184-1,"")</f>
        <v/>
      </c>
      <c r="EI184" s="58">
        <f>IFERROR($AD185/$AD184-1,"")</f>
        <v/>
      </c>
      <c r="EJ184" s="58">
        <f>IFERROR($AE185/$AE184-1,"")</f>
        <v/>
      </c>
      <c r="EK184" s="58">
        <f>IFERROR($AF185/$AF184-1,"")</f>
        <v/>
      </c>
      <c r="EL184" s="58">
        <f>IFERROR($AG185/$AG184-1,"")</f>
        <v/>
      </c>
      <c r="EM184" s="58">
        <f>IFERROR($BB184/$BB185-1,"")</f>
        <v/>
      </c>
      <c r="EN184" s="58">
        <f>IFERROR($BC184/$BC185-1,"")</f>
        <v/>
      </c>
      <c r="EO184" s="58">
        <f>IFERROR($BD184/$BD185-1,"")</f>
        <v/>
      </c>
      <c r="EP184" s="58">
        <f>IFERROR($BE184/$BE185-1,"")</f>
        <v/>
      </c>
      <c r="EQ184" s="58">
        <f>IFERROR($BF184/$BF185-1,"")</f>
        <v/>
      </c>
      <c r="ER184" s="58">
        <f>IFERROR($BG184/$BG185-1,"")</f>
        <v/>
      </c>
      <c r="ES184" s="58">
        <f>IFERROR($BH184/$BH185-1,"")</f>
        <v/>
      </c>
      <c r="ET184" s="58">
        <f>IFERROR($BI184/$BI185-1,"")</f>
        <v/>
      </c>
      <c r="EU184" s="58">
        <f>IFERROR($BJ184/$BJ185-1,"")</f>
        <v/>
      </c>
      <c r="EV184" s="58">
        <f>IFERROR($BK184/$BK185-1,"")</f>
        <v/>
      </c>
      <c r="EW184" s="58">
        <f>IFERROR($BL184/$BL185-1,"")</f>
        <v/>
      </c>
      <c r="EX184" s="58">
        <f>IFERROR($BM184/$BM185-1,"")</f>
        <v/>
      </c>
      <c r="EY184" s="58">
        <f>IFERROR($BN184/$BN185-1,"")</f>
        <v/>
      </c>
      <c r="EZ184" s="58">
        <f>IFERROR($BO184/$BO185-1,"")</f>
        <v/>
      </c>
      <c r="FA184" s="58">
        <f>IFERROR($BP184/$BP185-1,"")</f>
        <v/>
      </c>
      <c r="FB184" s="58">
        <f>IFERROR($BQ184/$BQ185-1,"")</f>
        <v/>
      </c>
      <c r="FC184" s="58">
        <f>IFERROR($BR184/$BR185-1,"")</f>
        <v/>
      </c>
      <c r="FD184" s="58">
        <f>IFERROR($BS184/$BS185-1,"")</f>
        <v/>
      </c>
      <c r="FE184" s="58">
        <f>IFERROR($BT184/$BT185-1,"")</f>
        <v/>
      </c>
      <c r="FF184" s="58">
        <f>IFERROR($BU184/$BU185-1,"")</f>
        <v/>
      </c>
      <c r="FG184" s="58">
        <f>IFERROR($BV184/$BV185-1,"")</f>
        <v/>
      </c>
      <c r="FH184" s="58">
        <f>IFERROR($BW184/$BW185-1,"")</f>
        <v/>
      </c>
      <c r="FI184" s="58">
        <f>IFERROR($BX184/$BX185-1,"")</f>
        <v/>
      </c>
      <c r="FJ184" s="59">
        <f>$BY184-$BY185</f>
        <v/>
      </c>
      <c r="FK184" s="59">
        <f>$BZ184-$BZ185</f>
        <v/>
      </c>
      <c r="FL184" s="59">
        <f>$CA184-$CA185</f>
        <v/>
      </c>
      <c r="FM184" s="59">
        <f>$CB184-$CB185</f>
        <v/>
      </c>
      <c r="FN184" s="59">
        <f>$CC184-$CC185</f>
        <v/>
      </c>
      <c r="FO184" s="59">
        <f>$CD184-$CD185</f>
        <v/>
      </c>
      <c r="FP184" s="59">
        <f>$CE184-$CE185</f>
        <v/>
      </c>
      <c r="FQ184" s="59">
        <f>$CF184-$CF185</f>
        <v/>
      </c>
      <c r="FR184" s="59">
        <f>$CG184-$CG185</f>
        <v/>
      </c>
      <c r="FS184" s="59">
        <f>$CH184-$CH185</f>
        <v/>
      </c>
      <c r="FT184" s="59">
        <f>$CI184-$CI185</f>
        <v/>
      </c>
      <c r="FU184" s="59">
        <f>$CJ184-$CJ185</f>
        <v/>
      </c>
      <c r="FV184" s="59">
        <f>$CK184-$CK185</f>
        <v/>
      </c>
      <c r="FW184" s="59">
        <f>$CL184-$CL185</f>
        <v/>
      </c>
      <c r="FX184" s="59">
        <f>$CM184-$CM185</f>
        <v/>
      </c>
      <c r="FY184" s="59">
        <f>$CN184-$CN185</f>
        <v/>
      </c>
      <c r="FZ184" s="59">
        <f>$CO184-$CO185</f>
        <v/>
      </c>
      <c r="GA184" s="59">
        <f>$CP184-$CP185</f>
        <v/>
      </c>
      <c r="GB184" s="59">
        <f>$CQ184-$CQ185</f>
        <v/>
      </c>
      <c r="GC184" s="59">
        <f>$CR184-$CR185</f>
        <v/>
      </c>
      <c r="GD184" s="59">
        <f>$CS184-$CS185</f>
        <v/>
      </c>
      <c r="GE184" s="59">
        <f>$CT184-$CT185</f>
        <v/>
      </c>
    </row>
    <row r="185">
      <c r="CU185" s="58">
        <f>IFERROR($B185/$B186-1,"")</f>
        <v/>
      </c>
      <c r="CV185" s="59">
        <f>($F185-$F186)*100</f>
        <v/>
      </c>
      <c r="CW185" s="59">
        <f>($E185-$E186)*100</f>
        <v/>
      </c>
      <c r="CX185" s="58">
        <f>IFERROR($K185/$K186-1,"")</f>
        <v/>
      </c>
      <c r="CY185" s="59">
        <f>($AH185-$AH186)*100</f>
        <v/>
      </c>
      <c r="CZ185" s="59">
        <f>($AI185-$AI186)*100</f>
        <v/>
      </c>
      <c r="DA185" s="59">
        <f>($AJ185-$AJ186)*100</f>
        <v/>
      </c>
      <c r="DB185" s="59">
        <f>($AK185-$AK186)*100</f>
        <v/>
      </c>
      <c r="DC185" s="59">
        <f>($AL185-$AL186)*100</f>
        <v/>
      </c>
      <c r="DD185" s="59">
        <f>($AM185-$AM186)*100</f>
        <v/>
      </c>
      <c r="DE185" s="59">
        <f>($AN185-$AN186)*100</f>
        <v/>
      </c>
      <c r="DF185" s="59">
        <f>($AO185-$AO186)*100</f>
        <v/>
      </c>
      <c r="DG185" s="59">
        <f>($AP185-$AP186)*100</f>
        <v/>
      </c>
      <c r="DH185" s="59">
        <f>($AQ185-$AQ186)*100</f>
        <v/>
      </c>
      <c r="DI185" s="59">
        <f>($AR185-$AR186)*100</f>
        <v/>
      </c>
      <c r="DJ185" s="59">
        <f>($AS185-$AS186)*100</f>
        <v/>
      </c>
      <c r="DK185" s="59">
        <f>($AT185-$AT186)*100</f>
        <v/>
      </c>
      <c r="DL185" s="59">
        <f>($AU185-$AU186)*100</f>
        <v/>
      </c>
      <c r="DM185" s="59">
        <f>($AV185-$AV186)*100</f>
        <v/>
      </c>
      <c r="DN185" s="59">
        <f>($AW185-$AW186)*100</f>
        <v/>
      </c>
      <c r="DO185" s="59">
        <f>($AX185-$AX186)*100</f>
        <v/>
      </c>
      <c r="DP185" s="59">
        <f>($AY185-$AY186)*100</f>
        <v/>
      </c>
      <c r="DQ185" s="59">
        <f>($AZ185-$AZ186)*100</f>
        <v/>
      </c>
      <c r="DR185" s="59">
        <f>($BA185-$BA186)*100</f>
        <v/>
      </c>
      <c r="DS185" s="58">
        <f>IFERROR($N186/$N185-1,"")</f>
        <v/>
      </c>
      <c r="DT185" s="58">
        <f>IFERROR($O186/$O185-1,"")</f>
        <v/>
      </c>
      <c r="DU185" s="58">
        <f>IFERROR($P186/$P185-1,"")</f>
        <v/>
      </c>
      <c r="DV185" s="58">
        <f>IFERROR($Q186/$Q185-1,"")</f>
        <v/>
      </c>
      <c r="DW185" s="58">
        <f>IFERROR($R186/$R185-1,"")</f>
        <v/>
      </c>
      <c r="DX185" s="58">
        <f>IFERROR($S186/$S185-1,"")</f>
        <v/>
      </c>
      <c r="DY185" s="58">
        <f>IFERROR($T186/$T185-1,"")</f>
        <v/>
      </c>
      <c r="DZ185" s="58">
        <f>IFERROR($U186/$U185-1,"")</f>
        <v/>
      </c>
      <c r="EA185" s="58">
        <f>IFERROR($V186/$V185-1,"")</f>
        <v/>
      </c>
      <c r="EB185" s="58">
        <f>IFERROR($W186/$W185-1,"")</f>
        <v/>
      </c>
      <c r="EC185" s="58">
        <f>IFERROR($X186/$X185-1,"")</f>
        <v/>
      </c>
      <c r="ED185" s="58">
        <f>IFERROR($Y186/$Y185-1,"")</f>
        <v/>
      </c>
      <c r="EE185" s="58">
        <f>IFERROR($Z186/$Z185-1,"")</f>
        <v/>
      </c>
      <c r="EF185" s="58">
        <f>IFERROR($AA186/$AA185-1,"")</f>
        <v/>
      </c>
      <c r="EG185" s="58">
        <f>IFERROR($AB186/$AB185-1,"")</f>
        <v/>
      </c>
      <c r="EH185" s="58">
        <f>IFERROR($AC186/$AC185-1,"")</f>
        <v/>
      </c>
      <c r="EI185" s="58">
        <f>IFERROR($AD186/$AD185-1,"")</f>
        <v/>
      </c>
      <c r="EJ185" s="58">
        <f>IFERROR($AE186/$AE185-1,"")</f>
        <v/>
      </c>
      <c r="EK185" s="58">
        <f>IFERROR($AF186/$AF185-1,"")</f>
        <v/>
      </c>
      <c r="EL185" s="58">
        <f>IFERROR($AG186/$AG185-1,"")</f>
        <v/>
      </c>
      <c r="EM185" s="58">
        <f>IFERROR($BB185/$BB186-1,"")</f>
        <v/>
      </c>
      <c r="EN185" s="58">
        <f>IFERROR($BC185/$BC186-1,"")</f>
        <v/>
      </c>
      <c r="EO185" s="58">
        <f>IFERROR($BD185/$BD186-1,"")</f>
        <v/>
      </c>
      <c r="EP185" s="58">
        <f>IFERROR($BE185/$BE186-1,"")</f>
        <v/>
      </c>
      <c r="EQ185" s="58">
        <f>IFERROR($BF185/$BF186-1,"")</f>
        <v/>
      </c>
      <c r="ER185" s="58">
        <f>IFERROR($BG185/$BG186-1,"")</f>
        <v/>
      </c>
      <c r="ES185" s="58">
        <f>IFERROR($BH185/$BH186-1,"")</f>
        <v/>
      </c>
      <c r="ET185" s="58">
        <f>IFERROR($BI185/$BI186-1,"")</f>
        <v/>
      </c>
      <c r="EU185" s="58">
        <f>IFERROR($BJ185/$BJ186-1,"")</f>
        <v/>
      </c>
      <c r="EV185" s="58">
        <f>IFERROR($BK185/$BK186-1,"")</f>
        <v/>
      </c>
      <c r="EW185" s="58">
        <f>IFERROR($BL185/$BL186-1,"")</f>
        <v/>
      </c>
      <c r="EX185" s="58">
        <f>IFERROR($BM185/$BM186-1,"")</f>
        <v/>
      </c>
      <c r="EY185" s="58">
        <f>IFERROR($BN185/$BN186-1,"")</f>
        <v/>
      </c>
      <c r="EZ185" s="58">
        <f>IFERROR($BO185/$BO186-1,"")</f>
        <v/>
      </c>
      <c r="FA185" s="58">
        <f>IFERROR($BP185/$BP186-1,"")</f>
        <v/>
      </c>
      <c r="FB185" s="58">
        <f>IFERROR($BQ185/$BQ186-1,"")</f>
        <v/>
      </c>
      <c r="FC185" s="58">
        <f>IFERROR($BR185/$BR186-1,"")</f>
        <v/>
      </c>
      <c r="FD185" s="58">
        <f>IFERROR($BS185/$BS186-1,"")</f>
        <v/>
      </c>
      <c r="FE185" s="58">
        <f>IFERROR($BT185/$BT186-1,"")</f>
        <v/>
      </c>
      <c r="FF185" s="58">
        <f>IFERROR($BU185/$BU186-1,"")</f>
        <v/>
      </c>
      <c r="FG185" s="58">
        <f>IFERROR($BV185/$BV186-1,"")</f>
        <v/>
      </c>
      <c r="FH185" s="58">
        <f>IFERROR($BW185/$BW186-1,"")</f>
        <v/>
      </c>
      <c r="FI185" s="58">
        <f>IFERROR($BX185/$BX186-1,"")</f>
        <v/>
      </c>
      <c r="FJ185" s="59">
        <f>$BY185-$BY186</f>
        <v/>
      </c>
      <c r="FK185" s="59">
        <f>$BZ185-$BZ186</f>
        <v/>
      </c>
      <c r="FL185" s="59">
        <f>$CA185-$CA186</f>
        <v/>
      </c>
      <c r="FM185" s="59">
        <f>$CB185-$CB186</f>
        <v/>
      </c>
      <c r="FN185" s="59">
        <f>$CC185-$CC186</f>
        <v/>
      </c>
      <c r="FO185" s="59">
        <f>$CD185-$CD186</f>
        <v/>
      </c>
      <c r="FP185" s="59">
        <f>$CE185-$CE186</f>
        <v/>
      </c>
      <c r="FQ185" s="59">
        <f>$CF185-$CF186</f>
        <v/>
      </c>
      <c r="FR185" s="59">
        <f>$CG185-$CG186</f>
        <v/>
      </c>
      <c r="FS185" s="59">
        <f>$CH185-$CH186</f>
        <v/>
      </c>
      <c r="FT185" s="59">
        <f>$CI185-$CI186</f>
        <v/>
      </c>
      <c r="FU185" s="59">
        <f>$CJ185-$CJ186</f>
        <v/>
      </c>
      <c r="FV185" s="59">
        <f>$CK185-$CK186</f>
        <v/>
      </c>
      <c r="FW185" s="59">
        <f>$CL185-$CL186</f>
        <v/>
      </c>
      <c r="FX185" s="59">
        <f>$CM185-$CM186</f>
        <v/>
      </c>
      <c r="FY185" s="59">
        <f>$CN185-$CN186</f>
        <v/>
      </c>
      <c r="FZ185" s="59">
        <f>$CO185-$CO186</f>
        <v/>
      </c>
      <c r="GA185" s="59">
        <f>$CP185-$CP186</f>
        <v/>
      </c>
      <c r="GB185" s="59">
        <f>$CQ185-$CQ186</f>
        <v/>
      </c>
      <c r="GC185" s="59">
        <f>$CR185-$CR186</f>
        <v/>
      </c>
      <c r="GD185" s="59">
        <f>$CS185-$CS186</f>
        <v/>
      </c>
      <c r="GE185" s="59">
        <f>$CT185-$CT186</f>
        <v/>
      </c>
    </row>
    <row r="186">
      <c r="CU186" s="58">
        <f>IFERROR($B186/$B187-1,"")</f>
        <v/>
      </c>
      <c r="CV186" s="59">
        <f>($F186-$F187)*100</f>
        <v/>
      </c>
      <c r="CW186" s="59">
        <f>($E186-$E187)*100</f>
        <v/>
      </c>
      <c r="CX186" s="58">
        <f>IFERROR($K186/$K187-1,"")</f>
        <v/>
      </c>
      <c r="CY186" s="59">
        <f>($AH186-$AH187)*100</f>
        <v/>
      </c>
      <c r="CZ186" s="59">
        <f>($AI186-$AI187)*100</f>
        <v/>
      </c>
      <c r="DA186" s="59">
        <f>($AJ186-$AJ187)*100</f>
        <v/>
      </c>
      <c r="DB186" s="59">
        <f>($AK186-$AK187)*100</f>
        <v/>
      </c>
      <c r="DC186" s="59">
        <f>($AL186-$AL187)*100</f>
        <v/>
      </c>
      <c r="DD186" s="59">
        <f>($AM186-$AM187)*100</f>
        <v/>
      </c>
      <c r="DE186" s="59">
        <f>($AN186-$AN187)*100</f>
        <v/>
      </c>
      <c r="DF186" s="59">
        <f>($AO186-$AO187)*100</f>
        <v/>
      </c>
      <c r="DG186" s="59">
        <f>($AP186-$AP187)*100</f>
        <v/>
      </c>
      <c r="DH186" s="59">
        <f>($AQ186-$AQ187)*100</f>
        <v/>
      </c>
      <c r="DI186" s="59">
        <f>($AR186-$AR187)*100</f>
        <v/>
      </c>
      <c r="DJ186" s="59">
        <f>($AS186-$AS187)*100</f>
        <v/>
      </c>
      <c r="DK186" s="59">
        <f>($AT186-$AT187)*100</f>
        <v/>
      </c>
      <c r="DL186" s="59">
        <f>($AU186-$AU187)*100</f>
        <v/>
      </c>
      <c r="DM186" s="59">
        <f>($AV186-$AV187)*100</f>
        <v/>
      </c>
      <c r="DN186" s="59">
        <f>($AW186-$AW187)*100</f>
        <v/>
      </c>
      <c r="DO186" s="59">
        <f>($AX186-$AX187)*100</f>
        <v/>
      </c>
      <c r="DP186" s="59">
        <f>($AY186-$AY187)*100</f>
        <v/>
      </c>
      <c r="DQ186" s="59">
        <f>($AZ186-$AZ187)*100</f>
        <v/>
      </c>
      <c r="DR186" s="59">
        <f>($BA186-$BA187)*100</f>
        <v/>
      </c>
      <c r="DS186" s="58">
        <f>IFERROR($N187/$N186-1,"")</f>
        <v/>
      </c>
      <c r="DT186" s="58">
        <f>IFERROR($O187/$O186-1,"")</f>
        <v/>
      </c>
      <c r="DU186" s="58">
        <f>IFERROR($P187/$P186-1,"")</f>
        <v/>
      </c>
      <c r="DV186" s="58">
        <f>IFERROR($Q187/$Q186-1,"")</f>
        <v/>
      </c>
      <c r="DW186" s="58">
        <f>IFERROR($R187/$R186-1,"")</f>
        <v/>
      </c>
      <c r="DX186" s="58">
        <f>IFERROR($S187/$S186-1,"")</f>
        <v/>
      </c>
      <c r="DY186" s="58">
        <f>IFERROR($T187/$T186-1,"")</f>
        <v/>
      </c>
      <c r="DZ186" s="58">
        <f>IFERROR($U187/$U186-1,"")</f>
        <v/>
      </c>
      <c r="EA186" s="58">
        <f>IFERROR($V187/$V186-1,"")</f>
        <v/>
      </c>
      <c r="EB186" s="58">
        <f>IFERROR($W187/$W186-1,"")</f>
        <v/>
      </c>
      <c r="EC186" s="58">
        <f>IFERROR($X187/$X186-1,"")</f>
        <v/>
      </c>
      <c r="ED186" s="58">
        <f>IFERROR($Y187/$Y186-1,"")</f>
        <v/>
      </c>
      <c r="EE186" s="58">
        <f>IFERROR($Z187/$Z186-1,"")</f>
        <v/>
      </c>
      <c r="EF186" s="58">
        <f>IFERROR($AA187/$AA186-1,"")</f>
        <v/>
      </c>
      <c r="EG186" s="58">
        <f>IFERROR($AB187/$AB186-1,"")</f>
        <v/>
      </c>
      <c r="EH186" s="58">
        <f>IFERROR($AC187/$AC186-1,"")</f>
        <v/>
      </c>
      <c r="EI186" s="58">
        <f>IFERROR($AD187/$AD186-1,"")</f>
        <v/>
      </c>
      <c r="EJ186" s="58">
        <f>IFERROR($AE187/$AE186-1,"")</f>
        <v/>
      </c>
      <c r="EK186" s="58">
        <f>IFERROR($AF187/$AF186-1,"")</f>
        <v/>
      </c>
      <c r="EL186" s="58">
        <f>IFERROR($AG187/$AG186-1,"")</f>
        <v/>
      </c>
      <c r="EM186" s="58">
        <f>IFERROR($BB186/$BB187-1,"")</f>
        <v/>
      </c>
      <c r="EN186" s="58">
        <f>IFERROR($BC186/$BC187-1,"")</f>
        <v/>
      </c>
      <c r="EO186" s="58">
        <f>IFERROR($BD186/$BD187-1,"")</f>
        <v/>
      </c>
      <c r="EP186" s="58">
        <f>IFERROR($BE186/$BE187-1,"")</f>
        <v/>
      </c>
      <c r="EQ186" s="58">
        <f>IFERROR($BF186/$BF187-1,"")</f>
        <v/>
      </c>
      <c r="ER186" s="58">
        <f>IFERROR($BG186/$BG187-1,"")</f>
        <v/>
      </c>
      <c r="ES186" s="58">
        <f>IFERROR($BH186/$BH187-1,"")</f>
        <v/>
      </c>
      <c r="ET186" s="58">
        <f>IFERROR($BI186/$BI187-1,"")</f>
        <v/>
      </c>
      <c r="EU186" s="58">
        <f>IFERROR($BJ186/$BJ187-1,"")</f>
        <v/>
      </c>
      <c r="EV186" s="58">
        <f>IFERROR($BK186/$BK187-1,"")</f>
        <v/>
      </c>
      <c r="EW186" s="58">
        <f>IFERROR($BL186/$BL187-1,"")</f>
        <v/>
      </c>
      <c r="EX186" s="58">
        <f>IFERROR($BM186/$BM187-1,"")</f>
        <v/>
      </c>
      <c r="EY186" s="58">
        <f>IFERROR($BN186/$BN187-1,"")</f>
        <v/>
      </c>
      <c r="EZ186" s="58">
        <f>IFERROR($BO186/$BO187-1,"")</f>
        <v/>
      </c>
      <c r="FA186" s="58">
        <f>IFERROR($BP186/$BP187-1,"")</f>
        <v/>
      </c>
      <c r="FB186" s="58">
        <f>IFERROR($BQ186/$BQ187-1,"")</f>
        <v/>
      </c>
      <c r="FC186" s="58">
        <f>IFERROR($BR186/$BR187-1,"")</f>
        <v/>
      </c>
      <c r="FD186" s="58">
        <f>IFERROR($BS186/$BS187-1,"")</f>
        <v/>
      </c>
      <c r="FE186" s="58">
        <f>IFERROR($BT186/$BT187-1,"")</f>
        <v/>
      </c>
      <c r="FF186" s="58">
        <f>IFERROR($BU186/$BU187-1,"")</f>
        <v/>
      </c>
      <c r="FG186" s="58">
        <f>IFERROR($BV186/$BV187-1,"")</f>
        <v/>
      </c>
      <c r="FH186" s="58">
        <f>IFERROR($BW186/$BW187-1,"")</f>
        <v/>
      </c>
      <c r="FI186" s="58">
        <f>IFERROR($BX186/$BX187-1,"")</f>
        <v/>
      </c>
      <c r="FJ186" s="59">
        <f>$BY186-$BY187</f>
        <v/>
      </c>
      <c r="FK186" s="59">
        <f>$BZ186-$BZ187</f>
        <v/>
      </c>
      <c r="FL186" s="59">
        <f>$CA186-$CA187</f>
        <v/>
      </c>
      <c r="FM186" s="59">
        <f>$CB186-$CB187</f>
        <v/>
      </c>
      <c r="FN186" s="59">
        <f>$CC186-$CC187</f>
        <v/>
      </c>
      <c r="FO186" s="59">
        <f>$CD186-$CD187</f>
        <v/>
      </c>
      <c r="FP186" s="59">
        <f>$CE186-$CE187</f>
        <v/>
      </c>
      <c r="FQ186" s="59">
        <f>$CF186-$CF187</f>
        <v/>
      </c>
      <c r="FR186" s="59">
        <f>$CG186-$CG187</f>
        <v/>
      </c>
      <c r="FS186" s="59">
        <f>$CH186-$CH187</f>
        <v/>
      </c>
      <c r="FT186" s="59">
        <f>$CI186-$CI187</f>
        <v/>
      </c>
      <c r="FU186" s="59">
        <f>$CJ186-$CJ187</f>
        <v/>
      </c>
      <c r="FV186" s="59">
        <f>$CK186-$CK187</f>
        <v/>
      </c>
      <c r="FW186" s="59">
        <f>$CL186-$CL187</f>
        <v/>
      </c>
      <c r="FX186" s="59">
        <f>$CM186-$CM187</f>
        <v/>
      </c>
      <c r="FY186" s="59">
        <f>$CN186-$CN187</f>
        <v/>
      </c>
      <c r="FZ186" s="59">
        <f>$CO186-$CO187</f>
        <v/>
      </c>
      <c r="GA186" s="59">
        <f>$CP186-$CP187</f>
        <v/>
      </c>
      <c r="GB186" s="59">
        <f>$CQ186-$CQ187</f>
        <v/>
      </c>
      <c r="GC186" s="59">
        <f>$CR186-$CR187</f>
        <v/>
      </c>
      <c r="GD186" s="59">
        <f>$CS186-$CS187</f>
        <v/>
      </c>
      <c r="GE186" s="59">
        <f>$CT186-$CT187</f>
        <v/>
      </c>
    </row>
    <row r="187">
      <c r="CU187" s="58">
        <f>IFERROR($B187/$B188-1,"")</f>
        <v/>
      </c>
      <c r="CV187" s="59">
        <f>($F187-$F188)*100</f>
        <v/>
      </c>
      <c r="CW187" s="59">
        <f>($E187-$E188)*100</f>
        <v/>
      </c>
      <c r="CX187" s="58">
        <f>IFERROR($K187/$K188-1,"")</f>
        <v/>
      </c>
      <c r="CY187" s="59">
        <f>($AH187-$AH188)*100</f>
        <v/>
      </c>
      <c r="CZ187" s="59">
        <f>($AI187-$AI188)*100</f>
        <v/>
      </c>
      <c r="DA187" s="59">
        <f>($AJ187-$AJ188)*100</f>
        <v/>
      </c>
      <c r="DB187" s="59">
        <f>($AK187-$AK188)*100</f>
        <v/>
      </c>
      <c r="DC187" s="59">
        <f>($AL187-$AL188)*100</f>
        <v/>
      </c>
      <c r="DD187" s="59">
        <f>($AM187-$AM188)*100</f>
        <v/>
      </c>
      <c r="DE187" s="59">
        <f>($AN187-$AN188)*100</f>
        <v/>
      </c>
      <c r="DF187" s="59">
        <f>($AO187-$AO188)*100</f>
        <v/>
      </c>
      <c r="DG187" s="59">
        <f>($AP187-$AP188)*100</f>
        <v/>
      </c>
      <c r="DH187" s="59">
        <f>($AQ187-$AQ188)*100</f>
        <v/>
      </c>
      <c r="DI187" s="59">
        <f>($AR187-$AR188)*100</f>
        <v/>
      </c>
      <c r="DJ187" s="59">
        <f>($AS187-$AS188)*100</f>
        <v/>
      </c>
      <c r="DK187" s="59">
        <f>($AT187-$AT188)*100</f>
        <v/>
      </c>
      <c r="DL187" s="59">
        <f>($AU187-$AU188)*100</f>
        <v/>
      </c>
      <c r="DM187" s="59">
        <f>($AV187-$AV188)*100</f>
        <v/>
      </c>
      <c r="DN187" s="59">
        <f>($AW187-$AW188)*100</f>
        <v/>
      </c>
      <c r="DO187" s="59">
        <f>($AX187-$AX188)*100</f>
        <v/>
      </c>
      <c r="DP187" s="59">
        <f>($AY187-$AY188)*100</f>
        <v/>
      </c>
      <c r="DQ187" s="59">
        <f>($AZ187-$AZ188)*100</f>
        <v/>
      </c>
      <c r="DR187" s="59">
        <f>($BA187-$BA188)*100</f>
        <v/>
      </c>
      <c r="DS187" s="58">
        <f>IFERROR($N188/$N187-1,"")</f>
        <v/>
      </c>
      <c r="DT187" s="58">
        <f>IFERROR($O188/$O187-1,"")</f>
        <v/>
      </c>
      <c r="DU187" s="58">
        <f>IFERROR($P188/$P187-1,"")</f>
        <v/>
      </c>
      <c r="DV187" s="58">
        <f>IFERROR($Q188/$Q187-1,"")</f>
        <v/>
      </c>
      <c r="DW187" s="58">
        <f>IFERROR($R188/$R187-1,"")</f>
        <v/>
      </c>
      <c r="DX187" s="58">
        <f>IFERROR($S188/$S187-1,"")</f>
        <v/>
      </c>
      <c r="DY187" s="58">
        <f>IFERROR($T188/$T187-1,"")</f>
        <v/>
      </c>
      <c r="DZ187" s="58">
        <f>IFERROR($U188/$U187-1,"")</f>
        <v/>
      </c>
      <c r="EA187" s="58">
        <f>IFERROR($V188/$V187-1,"")</f>
        <v/>
      </c>
      <c r="EB187" s="58">
        <f>IFERROR($W188/$W187-1,"")</f>
        <v/>
      </c>
      <c r="EC187" s="58">
        <f>IFERROR($X188/$X187-1,"")</f>
        <v/>
      </c>
      <c r="ED187" s="58">
        <f>IFERROR($Y188/$Y187-1,"")</f>
        <v/>
      </c>
      <c r="EE187" s="58">
        <f>IFERROR($Z188/$Z187-1,"")</f>
        <v/>
      </c>
      <c r="EF187" s="58">
        <f>IFERROR($AA188/$AA187-1,"")</f>
        <v/>
      </c>
      <c r="EG187" s="58">
        <f>IFERROR($AB188/$AB187-1,"")</f>
        <v/>
      </c>
      <c r="EH187" s="58">
        <f>IFERROR($AC188/$AC187-1,"")</f>
        <v/>
      </c>
      <c r="EI187" s="58">
        <f>IFERROR($AD188/$AD187-1,"")</f>
        <v/>
      </c>
      <c r="EJ187" s="58">
        <f>IFERROR($AE188/$AE187-1,"")</f>
        <v/>
      </c>
      <c r="EK187" s="58">
        <f>IFERROR($AF188/$AF187-1,"")</f>
        <v/>
      </c>
      <c r="EL187" s="58">
        <f>IFERROR($AG188/$AG187-1,"")</f>
        <v/>
      </c>
      <c r="EM187" s="58">
        <f>IFERROR($BB187/$BB188-1,"")</f>
        <v/>
      </c>
      <c r="EN187" s="58">
        <f>IFERROR($BC187/$BC188-1,"")</f>
        <v/>
      </c>
      <c r="EO187" s="58">
        <f>IFERROR($BD187/$BD188-1,"")</f>
        <v/>
      </c>
      <c r="EP187" s="58">
        <f>IFERROR($BE187/$BE188-1,"")</f>
        <v/>
      </c>
      <c r="EQ187" s="58">
        <f>IFERROR($BF187/$BF188-1,"")</f>
        <v/>
      </c>
      <c r="ER187" s="58">
        <f>IFERROR($BG187/$BG188-1,"")</f>
        <v/>
      </c>
      <c r="ES187" s="58">
        <f>IFERROR($BH187/$BH188-1,"")</f>
        <v/>
      </c>
      <c r="ET187" s="58">
        <f>IFERROR($BI187/$BI188-1,"")</f>
        <v/>
      </c>
      <c r="EU187" s="58">
        <f>IFERROR($BJ187/$BJ188-1,"")</f>
        <v/>
      </c>
      <c r="EV187" s="58">
        <f>IFERROR($BK187/$BK188-1,"")</f>
        <v/>
      </c>
      <c r="EW187" s="58">
        <f>IFERROR($BL187/$BL188-1,"")</f>
        <v/>
      </c>
      <c r="EX187" s="58">
        <f>IFERROR($BM187/$BM188-1,"")</f>
        <v/>
      </c>
      <c r="EY187" s="58">
        <f>IFERROR($BN187/$BN188-1,"")</f>
        <v/>
      </c>
      <c r="EZ187" s="58">
        <f>IFERROR($BO187/$BO188-1,"")</f>
        <v/>
      </c>
      <c r="FA187" s="58">
        <f>IFERROR($BP187/$BP188-1,"")</f>
        <v/>
      </c>
      <c r="FB187" s="58">
        <f>IFERROR($BQ187/$BQ188-1,"")</f>
        <v/>
      </c>
      <c r="FC187" s="58">
        <f>IFERROR($BR187/$BR188-1,"")</f>
        <v/>
      </c>
      <c r="FD187" s="58">
        <f>IFERROR($BS187/$BS188-1,"")</f>
        <v/>
      </c>
      <c r="FE187" s="58">
        <f>IFERROR($BT187/$BT188-1,"")</f>
        <v/>
      </c>
      <c r="FF187" s="58">
        <f>IFERROR($BU187/$BU188-1,"")</f>
        <v/>
      </c>
      <c r="FG187" s="58">
        <f>IFERROR($BV187/$BV188-1,"")</f>
        <v/>
      </c>
      <c r="FH187" s="58">
        <f>IFERROR($BW187/$BW188-1,"")</f>
        <v/>
      </c>
      <c r="FI187" s="58">
        <f>IFERROR($BX187/$BX188-1,"")</f>
        <v/>
      </c>
      <c r="FJ187" s="59">
        <f>$BY187-$BY188</f>
        <v/>
      </c>
      <c r="FK187" s="59">
        <f>$BZ187-$BZ188</f>
        <v/>
      </c>
      <c r="FL187" s="59">
        <f>$CA187-$CA188</f>
        <v/>
      </c>
      <c r="FM187" s="59">
        <f>$CB187-$CB188</f>
        <v/>
      </c>
      <c r="FN187" s="59">
        <f>$CC187-$CC188</f>
        <v/>
      </c>
      <c r="FO187" s="59">
        <f>$CD187-$CD188</f>
        <v/>
      </c>
      <c r="FP187" s="59">
        <f>$CE187-$CE188</f>
        <v/>
      </c>
      <c r="FQ187" s="59">
        <f>$CF187-$CF188</f>
        <v/>
      </c>
      <c r="FR187" s="59">
        <f>$CG187-$CG188</f>
        <v/>
      </c>
      <c r="FS187" s="59">
        <f>$CH187-$CH188</f>
        <v/>
      </c>
      <c r="FT187" s="59">
        <f>$CI187-$CI188</f>
        <v/>
      </c>
      <c r="FU187" s="59">
        <f>$CJ187-$CJ188</f>
        <v/>
      </c>
      <c r="FV187" s="59">
        <f>$CK187-$CK188</f>
        <v/>
      </c>
      <c r="FW187" s="59">
        <f>$CL187-$CL188</f>
        <v/>
      </c>
      <c r="FX187" s="59">
        <f>$CM187-$CM188</f>
        <v/>
      </c>
      <c r="FY187" s="59">
        <f>$CN187-$CN188</f>
        <v/>
      </c>
      <c r="FZ187" s="59">
        <f>$CO187-$CO188</f>
        <v/>
      </c>
      <c r="GA187" s="59">
        <f>$CP187-$CP188</f>
        <v/>
      </c>
      <c r="GB187" s="59">
        <f>$CQ187-$CQ188</f>
        <v/>
      </c>
      <c r="GC187" s="59">
        <f>$CR187-$CR188</f>
        <v/>
      </c>
      <c r="GD187" s="59">
        <f>$CS187-$CS188</f>
        <v/>
      </c>
      <c r="GE187" s="59">
        <f>$CT187-$CT188</f>
        <v/>
      </c>
    </row>
    <row r="188">
      <c r="CU188" s="58">
        <f>IFERROR($B188/$B189-1,"")</f>
        <v/>
      </c>
      <c r="CV188" s="59">
        <f>($F188-$F189)*100</f>
        <v/>
      </c>
      <c r="CW188" s="59">
        <f>($E188-$E189)*100</f>
        <v/>
      </c>
      <c r="CX188" s="58">
        <f>IFERROR($K188/$K189-1,"")</f>
        <v/>
      </c>
      <c r="CY188" s="59">
        <f>($AH188-$AH189)*100</f>
        <v/>
      </c>
      <c r="CZ188" s="59">
        <f>($AI188-$AI189)*100</f>
        <v/>
      </c>
      <c r="DA188" s="59">
        <f>($AJ188-$AJ189)*100</f>
        <v/>
      </c>
      <c r="DB188" s="59">
        <f>($AK188-$AK189)*100</f>
        <v/>
      </c>
      <c r="DC188" s="59">
        <f>($AL188-$AL189)*100</f>
        <v/>
      </c>
      <c r="DD188" s="59">
        <f>($AM188-$AM189)*100</f>
        <v/>
      </c>
      <c r="DE188" s="59">
        <f>($AN188-$AN189)*100</f>
        <v/>
      </c>
      <c r="DF188" s="59">
        <f>($AO188-$AO189)*100</f>
        <v/>
      </c>
      <c r="DG188" s="59">
        <f>($AP188-$AP189)*100</f>
        <v/>
      </c>
      <c r="DH188" s="59">
        <f>($AQ188-$AQ189)*100</f>
        <v/>
      </c>
      <c r="DI188" s="59">
        <f>($AR188-$AR189)*100</f>
        <v/>
      </c>
      <c r="DJ188" s="59">
        <f>($AS188-$AS189)*100</f>
        <v/>
      </c>
      <c r="DK188" s="59">
        <f>($AT188-$AT189)*100</f>
        <v/>
      </c>
      <c r="DL188" s="59">
        <f>($AU188-$AU189)*100</f>
        <v/>
      </c>
      <c r="DM188" s="59">
        <f>($AV188-$AV189)*100</f>
        <v/>
      </c>
      <c r="DN188" s="59">
        <f>($AW188-$AW189)*100</f>
        <v/>
      </c>
      <c r="DO188" s="59">
        <f>($AX188-$AX189)*100</f>
        <v/>
      </c>
      <c r="DP188" s="59">
        <f>($AY188-$AY189)*100</f>
        <v/>
      </c>
      <c r="DQ188" s="59">
        <f>($AZ188-$AZ189)*100</f>
        <v/>
      </c>
      <c r="DR188" s="59">
        <f>($BA188-$BA189)*100</f>
        <v/>
      </c>
      <c r="DS188" s="58">
        <f>IFERROR($N189/$N188-1,"")</f>
        <v/>
      </c>
      <c r="DT188" s="58">
        <f>IFERROR($O189/$O188-1,"")</f>
        <v/>
      </c>
      <c r="DU188" s="58">
        <f>IFERROR($P189/$P188-1,"")</f>
        <v/>
      </c>
      <c r="DV188" s="58">
        <f>IFERROR($Q189/$Q188-1,"")</f>
        <v/>
      </c>
      <c r="DW188" s="58">
        <f>IFERROR($R189/$R188-1,"")</f>
        <v/>
      </c>
      <c r="DX188" s="58">
        <f>IFERROR($S189/$S188-1,"")</f>
        <v/>
      </c>
      <c r="DY188" s="58">
        <f>IFERROR($T189/$T188-1,"")</f>
        <v/>
      </c>
      <c r="DZ188" s="58">
        <f>IFERROR($U189/$U188-1,"")</f>
        <v/>
      </c>
      <c r="EA188" s="58">
        <f>IFERROR($V189/$V188-1,"")</f>
        <v/>
      </c>
      <c r="EB188" s="58">
        <f>IFERROR($W189/$W188-1,"")</f>
        <v/>
      </c>
      <c r="EC188" s="58">
        <f>IFERROR($X189/$X188-1,"")</f>
        <v/>
      </c>
      <c r="ED188" s="58">
        <f>IFERROR($Y189/$Y188-1,"")</f>
        <v/>
      </c>
      <c r="EE188" s="58">
        <f>IFERROR($Z189/$Z188-1,"")</f>
        <v/>
      </c>
      <c r="EF188" s="58">
        <f>IFERROR($AA189/$AA188-1,"")</f>
        <v/>
      </c>
      <c r="EG188" s="58">
        <f>IFERROR($AB189/$AB188-1,"")</f>
        <v/>
      </c>
      <c r="EH188" s="58">
        <f>IFERROR($AC189/$AC188-1,"")</f>
        <v/>
      </c>
      <c r="EI188" s="58">
        <f>IFERROR($AD189/$AD188-1,"")</f>
        <v/>
      </c>
      <c r="EJ188" s="58">
        <f>IFERROR($AE189/$AE188-1,"")</f>
        <v/>
      </c>
      <c r="EK188" s="58">
        <f>IFERROR($AF189/$AF188-1,"")</f>
        <v/>
      </c>
      <c r="EL188" s="58">
        <f>IFERROR($AG189/$AG188-1,"")</f>
        <v/>
      </c>
      <c r="EM188" s="58">
        <f>IFERROR($BB188/$BB189-1,"")</f>
        <v/>
      </c>
      <c r="EN188" s="58">
        <f>IFERROR($BC188/$BC189-1,"")</f>
        <v/>
      </c>
      <c r="EO188" s="58">
        <f>IFERROR($BD188/$BD189-1,"")</f>
        <v/>
      </c>
      <c r="EP188" s="58">
        <f>IFERROR($BE188/$BE189-1,"")</f>
        <v/>
      </c>
      <c r="EQ188" s="58">
        <f>IFERROR($BF188/$BF189-1,"")</f>
        <v/>
      </c>
      <c r="ER188" s="58">
        <f>IFERROR($BG188/$BG189-1,"")</f>
        <v/>
      </c>
      <c r="ES188" s="58">
        <f>IFERROR($BH188/$BH189-1,"")</f>
        <v/>
      </c>
      <c r="ET188" s="58">
        <f>IFERROR($BI188/$BI189-1,"")</f>
        <v/>
      </c>
      <c r="EU188" s="58">
        <f>IFERROR($BJ188/$BJ189-1,"")</f>
        <v/>
      </c>
      <c r="EV188" s="58">
        <f>IFERROR($BK188/$BK189-1,"")</f>
        <v/>
      </c>
      <c r="EW188" s="58">
        <f>IFERROR($BL188/$BL189-1,"")</f>
        <v/>
      </c>
      <c r="EX188" s="58">
        <f>IFERROR($BM188/$BM189-1,"")</f>
        <v/>
      </c>
      <c r="EY188" s="58">
        <f>IFERROR($BN188/$BN189-1,"")</f>
        <v/>
      </c>
      <c r="EZ188" s="58">
        <f>IFERROR($BO188/$BO189-1,"")</f>
        <v/>
      </c>
      <c r="FA188" s="58">
        <f>IFERROR($BP188/$BP189-1,"")</f>
        <v/>
      </c>
      <c r="FB188" s="58">
        <f>IFERROR($BQ188/$BQ189-1,"")</f>
        <v/>
      </c>
      <c r="FC188" s="58">
        <f>IFERROR($BR188/$BR189-1,"")</f>
        <v/>
      </c>
      <c r="FD188" s="58">
        <f>IFERROR($BS188/$BS189-1,"")</f>
        <v/>
      </c>
      <c r="FE188" s="58">
        <f>IFERROR($BT188/$BT189-1,"")</f>
        <v/>
      </c>
      <c r="FF188" s="58">
        <f>IFERROR($BU188/$BU189-1,"")</f>
        <v/>
      </c>
      <c r="FG188" s="58">
        <f>IFERROR($BV188/$BV189-1,"")</f>
        <v/>
      </c>
      <c r="FH188" s="58">
        <f>IFERROR($BW188/$BW189-1,"")</f>
        <v/>
      </c>
      <c r="FI188" s="58">
        <f>IFERROR($BX188/$BX189-1,"")</f>
        <v/>
      </c>
      <c r="FJ188" s="59">
        <f>$BY188-$BY189</f>
        <v/>
      </c>
      <c r="FK188" s="59">
        <f>$BZ188-$BZ189</f>
        <v/>
      </c>
      <c r="FL188" s="59">
        <f>$CA188-$CA189</f>
        <v/>
      </c>
      <c r="FM188" s="59">
        <f>$CB188-$CB189</f>
        <v/>
      </c>
      <c r="FN188" s="59">
        <f>$CC188-$CC189</f>
        <v/>
      </c>
      <c r="FO188" s="59">
        <f>$CD188-$CD189</f>
        <v/>
      </c>
      <c r="FP188" s="59">
        <f>$CE188-$CE189</f>
        <v/>
      </c>
      <c r="FQ188" s="59">
        <f>$CF188-$CF189</f>
        <v/>
      </c>
      <c r="FR188" s="59">
        <f>$CG188-$CG189</f>
        <v/>
      </c>
      <c r="FS188" s="59">
        <f>$CH188-$CH189</f>
        <v/>
      </c>
      <c r="FT188" s="59">
        <f>$CI188-$CI189</f>
        <v/>
      </c>
      <c r="FU188" s="59">
        <f>$CJ188-$CJ189</f>
        <v/>
      </c>
      <c r="FV188" s="59">
        <f>$CK188-$CK189</f>
        <v/>
      </c>
      <c r="FW188" s="59">
        <f>$CL188-$CL189</f>
        <v/>
      </c>
      <c r="FX188" s="59">
        <f>$CM188-$CM189</f>
        <v/>
      </c>
      <c r="FY188" s="59">
        <f>$CN188-$CN189</f>
        <v/>
      </c>
      <c r="FZ188" s="59">
        <f>$CO188-$CO189</f>
        <v/>
      </c>
      <c r="GA188" s="59">
        <f>$CP188-$CP189</f>
        <v/>
      </c>
      <c r="GB188" s="59">
        <f>$CQ188-$CQ189</f>
        <v/>
      </c>
      <c r="GC188" s="59">
        <f>$CR188-$CR189</f>
        <v/>
      </c>
      <c r="GD188" s="59">
        <f>$CS188-$CS189</f>
        <v/>
      </c>
      <c r="GE188" s="59">
        <f>$CT188-$CT189</f>
        <v/>
      </c>
    </row>
    <row r="189">
      <c r="CU189" s="58">
        <f>IFERROR($B189/$B190-1,"")</f>
        <v/>
      </c>
      <c r="CV189" s="59">
        <f>($F189-$F190)*100</f>
        <v/>
      </c>
      <c r="CW189" s="59">
        <f>($E189-$E190)*100</f>
        <v/>
      </c>
      <c r="CX189" s="58">
        <f>IFERROR($K189/$K190-1,"")</f>
        <v/>
      </c>
      <c r="CY189" s="59">
        <f>($AH189-$AH190)*100</f>
        <v/>
      </c>
      <c r="CZ189" s="59">
        <f>($AI189-$AI190)*100</f>
        <v/>
      </c>
      <c r="DA189" s="59">
        <f>($AJ189-$AJ190)*100</f>
        <v/>
      </c>
      <c r="DB189" s="59">
        <f>($AK189-$AK190)*100</f>
        <v/>
      </c>
      <c r="DC189" s="59">
        <f>($AL189-$AL190)*100</f>
        <v/>
      </c>
      <c r="DD189" s="59">
        <f>($AM189-$AM190)*100</f>
        <v/>
      </c>
      <c r="DE189" s="59">
        <f>($AN189-$AN190)*100</f>
        <v/>
      </c>
      <c r="DF189" s="59">
        <f>($AO189-$AO190)*100</f>
        <v/>
      </c>
      <c r="DG189" s="59">
        <f>($AP189-$AP190)*100</f>
        <v/>
      </c>
      <c r="DH189" s="59">
        <f>($AQ189-$AQ190)*100</f>
        <v/>
      </c>
      <c r="DI189" s="59">
        <f>($AR189-$AR190)*100</f>
        <v/>
      </c>
      <c r="DJ189" s="59">
        <f>($AS189-$AS190)*100</f>
        <v/>
      </c>
      <c r="DK189" s="59">
        <f>($AT189-$AT190)*100</f>
        <v/>
      </c>
      <c r="DL189" s="59">
        <f>($AU189-$AU190)*100</f>
        <v/>
      </c>
      <c r="DM189" s="59">
        <f>($AV189-$AV190)*100</f>
        <v/>
      </c>
      <c r="DN189" s="59">
        <f>($AW189-$AW190)*100</f>
        <v/>
      </c>
      <c r="DO189" s="59">
        <f>($AX189-$AX190)*100</f>
        <v/>
      </c>
      <c r="DP189" s="59">
        <f>($AY189-$AY190)*100</f>
        <v/>
      </c>
      <c r="DQ189" s="59">
        <f>($AZ189-$AZ190)*100</f>
        <v/>
      </c>
      <c r="DR189" s="59">
        <f>($BA189-$BA190)*100</f>
        <v/>
      </c>
      <c r="DS189" s="58">
        <f>IFERROR($N190/$N189-1,"")</f>
        <v/>
      </c>
      <c r="DT189" s="58">
        <f>IFERROR($O190/$O189-1,"")</f>
        <v/>
      </c>
      <c r="DU189" s="58">
        <f>IFERROR($P190/$P189-1,"")</f>
        <v/>
      </c>
      <c r="DV189" s="58">
        <f>IFERROR($Q190/$Q189-1,"")</f>
        <v/>
      </c>
      <c r="DW189" s="58">
        <f>IFERROR($R190/$R189-1,"")</f>
        <v/>
      </c>
      <c r="DX189" s="58">
        <f>IFERROR($S190/$S189-1,"")</f>
        <v/>
      </c>
      <c r="DY189" s="58">
        <f>IFERROR($T190/$T189-1,"")</f>
        <v/>
      </c>
      <c r="DZ189" s="58">
        <f>IFERROR($U190/$U189-1,"")</f>
        <v/>
      </c>
      <c r="EA189" s="58">
        <f>IFERROR($V190/$V189-1,"")</f>
        <v/>
      </c>
      <c r="EB189" s="58">
        <f>IFERROR($W190/$W189-1,"")</f>
        <v/>
      </c>
      <c r="EC189" s="58">
        <f>IFERROR($X190/$X189-1,"")</f>
        <v/>
      </c>
      <c r="ED189" s="58">
        <f>IFERROR($Y190/$Y189-1,"")</f>
        <v/>
      </c>
      <c r="EE189" s="58">
        <f>IFERROR($Z190/$Z189-1,"")</f>
        <v/>
      </c>
      <c r="EF189" s="58">
        <f>IFERROR($AA190/$AA189-1,"")</f>
        <v/>
      </c>
      <c r="EG189" s="58">
        <f>IFERROR($AB190/$AB189-1,"")</f>
        <v/>
      </c>
      <c r="EH189" s="58">
        <f>IFERROR($AC190/$AC189-1,"")</f>
        <v/>
      </c>
      <c r="EI189" s="58">
        <f>IFERROR($AD190/$AD189-1,"")</f>
        <v/>
      </c>
      <c r="EJ189" s="58">
        <f>IFERROR($AE190/$AE189-1,"")</f>
        <v/>
      </c>
      <c r="EK189" s="58">
        <f>IFERROR($AF190/$AF189-1,"")</f>
        <v/>
      </c>
      <c r="EL189" s="58">
        <f>IFERROR($AG190/$AG189-1,"")</f>
        <v/>
      </c>
      <c r="EM189" s="58">
        <f>IFERROR($BB189/$BB190-1,"")</f>
        <v/>
      </c>
      <c r="EN189" s="58">
        <f>IFERROR($BC189/$BC190-1,"")</f>
        <v/>
      </c>
      <c r="EO189" s="58">
        <f>IFERROR($BD189/$BD190-1,"")</f>
        <v/>
      </c>
      <c r="EP189" s="58">
        <f>IFERROR($BE189/$BE190-1,"")</f>
        <v/>
      </c>
      <c r="EQ189" s="58">
        <f>IFERROR($BF189/$BF190-1,"")</f>
        <v/>
      </c>
      <c r="ER189" s="58">
        <f>IFERROR($BG189/$BG190-1,"")</f>
        <v/>
      </c>
      <c r="ES189" s="58">
        <f>IFERROR($BH189/$BH190-1,"")</f>
        <v/>
      </c>
      <c r="ET189" s="58">
        <f>IFERROR($BI189/$BI190-1,"")</f>
        <v/>
      </c>
      <c r="EU189" s="58">
        <f>IFERROR($BJ189/$BJ190-1,"")</f>
        <v/>
      </c>
      <c r="EV189" s="58">
        <f>IFERROR($BK189/$BK190-1,"")</f>
        <v/>
      </c>
      <c r="EW189" s="58">
        <f>IFERROR($BL189/$BL190-1,"")</f>
        <v/>
      </c>
      <c r="EX189" s="58">
        <f>IFERROR($BM189/$BM190-1,"")</f>
        <v/>
      </c>
      <c r="EY189" s="58">
        <f>IFERROR($BN189/$BN190-1,"")</f>
        <v/>
      </c>
      <c r="EZ189" s="58">
        <f>IFERROR($BO189/$BO190-1,"")</f>
        <v/>
      </c>
      <c r="FA189" s="58">
        <f>IFERROR($BP189/$BP190-1,"")</f>
        <v/>
      </c>
      <c r="FB189" s="58">
        <f>IFERROR($BQ189/$BQ190-1,"")</f>
        <v/>
      </c>
      <c r="FC189" s="58">
        <f>IFERROR($BR189/$BR190-1,"")</f>
        <v/>
      </c>
      <c r="FD189" s="58">
        <f>IFERROR($BS189/$BS190-1,"")</f>
        <v/>
      </c>
      <c r="FE189" s="58">
        <f>IFERROR($BT189/$BT190-1,"")</f>
        <v/>
      </c>
      <c r="FF189" s="58">
        <f>IFERROR($BU189/$BU190-1,"")</f>
        <v/>
      </c>
      <c r="FG189" s="58">
        <f>IFERROR($BV189/$BV190-1,"")</f>
        <v/>
      </c>
      <c r="FH189" s="58">
        <f>IFERROR($BW189/$BW190-1,"")</f>
        <v/>
      </c>
      <c r="FI189" s="58">
        <f>IFERROR($BX189/$BX190-1,"")</f>
        <v/>
      </c>
      <c r="FJ189" s="59">
        <f>$BY189-$BY190</f>
        <v/>
      </c>
      <c r="FK189" s="59">
        <f>$BZ189-$BZ190</f>
        <v/>
      </c>
      <c r="FL189" s="59">
        <f>$CA189-$CA190</f>
        <v/>
      </c>
      <c r="FM189" s="59">
        <f>$CB189-$CB190</f>
        <v/>
      </c>
      <c r="FN189" s="59">
        <f>$CC189-$CC190</f>
        <v/>
      </c>
      <c r="FO189" s="59">
        <f>$CD189-$CD190</f>
        <v/>
      </c>
      <c r="FP189" s="59">
        <f>$CE189-$CE190</f>
        <v/>
      </c>
      <c r="FQ189" s="59">
        <f>$CF189-$CF190</f>
        <v/>
      </c>
      <c r="FR189" s="59">
        <f>$CG189-$CG190</f>
        <v/>
      </c>
      <c r="FS189" s="59">
        <f>$CH189-$CH190</f>
        <v/>
      </c>
      <c r="FT189" s="59">
        <f>$CI189-$CI190</f>
        <v/>
      </c>
      <c r="FU189" s="59">
        <f>$CJ189-$CJ190</f>
        <v/>
      </c>
      <c r="FV189" s="59">
        <f>$CK189-$CK190</f>
        <v/>
      </c>
      <c r="FW189" s="59">
        <f>$CL189-$CL190</f>
        <v/>
      </c>
      <c r="FX189" s="59">
        <f>$CM189-$CM190</f>
        <v/>
      </c>
      <c r="FY189" s="59">
        <f>$CN189-$CN190</f>
        <v/>
      </c>
      <c r="FZ189" s="59">
        <f>$CO189-$CO190</f>
        <v/>
      </c>
      <c r="GA189" s="59">
        <f>$CP189-$CP190</f>
        <v/>
      </c>
      <c r="GB189" s="59">
        <f>$CQ189-$CQ190</f>
        <v/>
      </c>
      <c r="GC189" s="59">
        <f>$CR189-$CR190</f>
        <v/>
      </c>
      <c r="GD189" s="59">
        <f>$CS189-$CS190</f>
        <v/>
      </c>
      <c r="GE189" s="59">
        <f>$CT189-$CT190</f>
        <v/>
      </c>
    </row>
    <row r="190">
      <c r="CU190" s="58">
        <f>IFERROR($B190/$B191-1,"")</f>
        <v/>
      </c>
      <c r="CV190" s="59">
        <f>($F190-$F191)*100</f>
        <v/>
      </c>
      <c r="CW190" s="59">
        <f>($E190-$E191)*100</f>
        <v/>
      </c>
      <c r="CX190" s="58">
        <f>IFERROR($K190/$K191-1,"")</f>
        <v/>
      </c>
      <c r="CY190" s="59">
        <f>($AH190-$AH191)*100</f>
        <v/>
      </c>
      <c r="CZ190" s="59">
        <f>($AI190-$AI191)*100</f>
        <v/>
      </c>
      <c r="DA190" s="59">
        <f>($AJ190-$AJ191)*100</f>
        <v/>
      </c>
      <c r="DB190" s="59">
        <f>($AK190-$AK191)*100</f>
        <v/>
      </c>
      <c r="DC190" s="59">
        <f>($AL190-$AL191)*100</f>
        <v/>
      </c>
      <c r="DD190" s="59">
        <f>($AM190-$AM191)*100</f>
        <v/>
      </c>
      <c r="DE190" s="59">
        <f>($AN190-$AN191)*100</f>
        <v/>
      </c>
      <c r="DF190" s="59">
        <f>($AO190-$AO191)*100</f>
        <v/>
      </c>
      <c r="DG190" s="59">
        <f>($AP190-$AP191)*100</f>
        <v/>
      </c>
      <c r="DH190" s="59">
        <f>($AQ190-$AQ191)*100</f>
        <v/>
      </c>
      <c r="DI190" s="59">
        <f>($AR190-$AR191)*100</f>
        <v/>
      </c>
      <c r="DJ190" s="59">
        <f>($AS190-$AS191)*100</f>
        <v/>
      </c>
      <c r="DK190" s="59">
        <f>($AT190-$AT191)*100</f>
        <v/>
      </c>
      <c r="DL190" s="59">
        <f>($AU190-$AU191)*100</f>
        <v/>
      </c>
      <c r="DM190" s="59">
        <f>($AV190-$AV191)*100</f>
        <v/>
      </c>
      <c r="DN190" s="59">
        <f>($AW190-$AW191)*100</f>
        <v/>
      </c>
      <c r="DO190" s="59">
        <f>($AX190-$AX191)*100</f>
        <v/>
      </c>
      <c r="DP190" s="59">
        <f>($AY190-$AY191)*100</f>
        <v/>
      </c>
      <c r="DQ190" s="59">
        <f>($AZ190-$AZ191)*100</f>
        <v/>
      </c>
      <c r="DR190" s="59">
        <f>($BA190-$BA191)*100</f>
        <v/>
      </c>
      <c r="DS190" s="58">
        <f>IFERROR($N191/$N190-1,"")</f>
        <v/>
      </c>
      <c r="DT190" s="58">
        <f>IFERROR($O191/$O190-1,"")</f>
        <v/>
      </c>
      <c r="DU190" s="58">
        <f>IFERROR($P191/$P190-1,"")</f>
        <v/>
      </c>
      <c r="DV190" s="58">
        <f>IFERROR($Q191/$Q190-1,"")</f>
        <v/>
      </c>
      <c r="DW190" s="58">
        <f>IFERROR($R191/$R190-1,"")</f>
        <v/>
      </c>
      <c r="DX190" s="58">
        <f>IFERROR($S191/$S190-1,"")</f>
        <v/>
      </c>
      <c r="DY190" s="58">
        <f>IFERROR($T191/$T190-1,"")</f>
        <v/>
      </c>
      <c r="DZ190" s="58">
        <f>IFERROR($U191/$U190-1,"")</f>
        <v/>
      </c>
      <c r="EA190" s="58">
        <f>IFERROR($V191/$V190-1,"")</f>
        <v/>
      </c>
      <c r="EB190" s="58">
        <f>IFERROR($W191/$W190-1,"")</f>
        <v/>
      </c>
      <c r="EC190" s="58">
        <f>IFERROR($X191/$X190-1,"")</f>
        <v/>
      </c>
      <c r="ED190" s="58">
        <f>IFERROR($Y191/$Y190-1,"")</f>
        <v/>
      </c>
      <c r="EE190" s="58">
        <f>IFERROR($Z191/$Z190-1,"")</f>
        <v/>
      </c>
      <c r="EF190" s="58">
        <f>IFERROR($AA191/$AA190-1,"")</f>
        <v/>
      </c>
      <c r="EG190" s="58">
        <f>IFERROR($AB191/$AB190-1,"")</f>
        <v/>
      </c>
      <c r="EH190" s="58">
        <f>IFERROR($AC191/$AC190-1,"")</f>
        <v/>
      </c>
      <c r="EI190" s="58">
        <f>IFERROR($AD191/$AD190-1,"")</f>
        <v/>
      </c>
      <c r="EJ190" s="58">
        <f>IFERROR($AE191/$AE190-1,"")</f>
        <v/>
      </c>
      <c r="EK190" s="58">
        <f>IFERROR($AF191/$AF190-1,"")</f>
        <v/>
      </c>
      <c r="EL190" s="58">
        <f>IFERROR($AG191/$AG190-1,"")</f>
        <v/>
      </c>
      <c r="EM190" s="58">
        <f>IFERROR($BB190/$BB191-1,"")</f>
        <v/>
      </c>
      <c r="EN190" s="58">
        <f>IFERROR($BC190/$BC191-1,"")</f>
        <v/>
      </c>
      <c r="EO190" s="58">
        <f>IFERROR($BD190/$BD191-1,"")</f>
        <v/>
      </c>
      <c r="EP190" s="58">
        <f>IFERROR($BE190/$BE191-1,"")</f>
        <v/>
      </c>
      <c r="EQ190" s="58">
        <f>IFERROR($BF190/$BF191-1,"")</f>
        <v/>
      </c>
      <c r="ER190" s="58">
        <f>IFERROR($BG190/$BG191-1,"")</f>
        <v/>
      </c>
      <c r="ES190" s="58">
        <f>IFERROR($BH190/$BH191-1,"")</f>
        <v/>
      </c>
      <c r="ET190" s="58">
        <f>IFERROR($BI190/$BI191-1,"")</f>
        <v/>
      </c>
      <c r="EU190" s="58">
        <f>IFERROR($BJ190/$BJ191-1,"")</f>
        <v/>
      </c>
      <c r="EV190" s="58">
        <f>IFERROR($BK190/$BK191-1,"")</f>
        <v/>
      </c>
      <c r="EW190" s="58">
        <f>IFERROR($BL190/$BL191-1,"")</f>
        <v/>
      </c>
      <c r="EX190" s="58">
        <f>IFERROR($BM190/$BM191-1,"")</f>
        <v/>
      </c>
      <c r="EY190" s="58">
        <f>IFERROR($BN190/$BN191-1,"")</f>
        <v/>
      </c>
      <c r="EZ190" s="58">
        <f>IFERROR($BO190/$BO191-1,"")</f>
        <v/>
      </c>
      <c r="FA190" s="58">
        <f>IFERROR($BP190/$BP191-1,"")</f>
        <v/>
      </c>
      <c r="FB190" s="58">
        <f>IFERROR($BQ190/$BQ191-1,"")</f>
        <v/>
      </c>
      <c r="FC190" s="58">
        <f>IFERROR($BR190/$BR191-1,"")</f>
        <v/>
      </c>
      <c r="FD190" s="58">
        <f>IFERROR($BS190/$BS191-1,"")</f>
        <v/>
      </c>
      <c r="FE190" s="58">
        <f>IFERROR($BT190/$BT191-1,"")</f>
        <v/>
      </c>
      <c r="FF190" s="58">
        <f>IFERROR($BU190/$BU191-1,"")</f>
        <v/>
      </c>
      <c r="FG190" s="58">
        <f>IFERROR($BV190/$BV191-1,"")</f>
        <v/>
      </c>
      <c r="FH190" s="58">
        <f>IFERROR($BW190/$BW191-1,"")</f>
        <v/>
      </c>
      <c r="FI190" s="58">
        <f>IFERROR($BX190/$BX191-1,"")</f>
        <v/>
      </c>
      <c r="FJ190" s="59">
        <f>$BY190-$BY191</f>
        <v/>
      </c>
      <c r="FK190" s="59">
        <f>$BZ190-$BZ191</f>
        <v/>
      </c>
      <c r="FL190" s="59">
        <f>$CA190-$CA191</f>
        <v/>
      </c>
      <c r="FM190" s="59">
        <f>$CB190-$CB191</f>
        <v/>
      </c>
      <c r="FN190" s="59">
        <f>$CC190-$CC191</f>
        <v/>
      </c>
      <c r="FO190" s="59">
        <f>$CD190-$CD191</f>
        <v/>
      </c>
      <c r="FP190" s="59">
        <f>$CE190-$CE191</f>
        <v/>
      </c>
      <c r="FQ190" s="59">
        <f>$CF190-$CF191</f>
        <v/>
      </c>
      <c r="FR190" s="59">
        <f>$CG190-$CG191</f>
        <v/>
      </c>
      <c r="FS190" s="59">
        <f>$CH190-$CH191</f>
        <v/>
      </c>
      <c r="FT190" s="59">
        <f>$CI190-$CI191</f>
        <v/>
      </c>
      <c r="FU190" s="59">
        <f>$CJ190-$CJ191</f>
        <v/>
      </c>
      <c r="FV190" s="59">
        <f>$CK190-$CK191</f>
        <v/>
      </c>
      <c r="FW190" s="59">
        <f>$CL190-$CL191</f>
        <v/>
      </c>
      <c r="FX190" s="59">
        <f>$CM190-$CM191</f>
        <v/>
      </c>
      <c r="FY190" s="59">
        <f>$CN190-$CN191</f>
        <v/>
      </c>
      <c r="FZ190" s="59">
        <f>$CO190-$CO191</f>
        <v/>
      </c>
      <c r="GA190" s="59">
        <f>$CP190-$CP191</f>
        <v/>
      </c>
      <c r="GB190" s="59">
        <f>$CQ190-$CQ191</f>
        <v/>
      </c>
      <c r="GC190" s="59">
        <f>$CR190-$CR191</f>
        <v/>
      </c>
      <c r="GD190" s="59">
        <f>$CS190-$CS191</f>
        <v/>
      </c>
      <c r="GE190" s="59">
        <f>$CT190-$CT191</f>
        <v/>
      </c>
    </row>
    <row r="191">
      <c r="CU191" s="58">
        <f>IFERROR($B191/$B192-1,"")</f>
        <v/>
      </c>
      <c r="CV191" s="59">
        <f>($F191-$F192)*100</f>
        <v/>
      </c>
      <c r="CW191" s="59">
        <f>($E191-$E192)*100</f>
        <v/>
      </c>
      <c r="CX191" s="58">
        <f>IFERROR($K191/$K192-1,"")</f>
        <v/>
      </c>
      <c r="CY191" s="59">
        <f>($AH191-$AH192)*100</f>
        <v/>
      </c>
      <c r="CZ191" s="59">
        <f>($AI191-$AI192)*100</f>
        <v/>
      </c>
      <c r="DA191" s="59">
        <f>($AJ191-$AJ192)*100</f>
        <v/>
      </c>
      <c r="DB191" s="59">
        <f>($AK191-$AK192)*100</f>
        <v/>
      </c>
      <c r="DC191" s="59">
        <f>($AL191-$AL192)*100</f>
        <v/>
      </c>
      <c r="DD191" s="59">
        <f>($AM191-$AM192)*100</f>
        <v/>
      </c>
      <c r="DE191" s="59">
        <f>($AN191-$AN192)*100</f>
        <v/>
      </c>
      <c r="DF191" s="59">
        <f>($AO191-$AO192)*100</f>
        <v/>
      </c>
      <c r="DG191" s="59">
        <f>($AP191-$AP192)*100</f>
        <v/>
      </c>
      <c r="DH191" s="59">
        <f>($AQ191-$AQ192)*100</f>
        <v/>
      </c>
      <c r="DI191" s="59">
        <f>($AR191-$AR192)*100</f>
        <v/>
      </c>
      <c r="DJ191" s="59">
        <f>($AS191-$AS192)*100</f>
        <v/>
      </c>
      <c r="DK191" s="59">
        <f>($AT191-$AT192)*100</f>
        <v/>
      </c>
      <c r="DL191" s="59">
        <f>($AU191-$AU192)*100</f>
        <v/>
      </c>
      <c r="DM191" s="59">
        <f>($AV191-$AV192)*100</f>
        <v/>
      </c>
      <c r="DN191" s="59">
        <f>($AW191-$AW192)*100</f>
        <v/>
      </c>
      <c r="DO191" s="59">
        <f>($AX191-$AX192)*100</f>
        <v/>
      </c>
      <c r="DP191" s="59">
        <f>($AY191-$AY192)*100</f>
        <v/>
      </c>
      <c r="DQ191" s="59">
        <f>($AZ191-$AZ192)*100</f>
        <v/>
      </c>
      <c r="DR191" s="59">
        <f>($BA191-$BA192)*100</f>
        <v/>
      </c>
      <c r="DS191" s="58">
        <f>IFERROR($N192/$N191-1,"")</f>
        <v/>
      </c>
      <c r="DT191" s="58">
        <f>IFERROR($O192/$O191-1,"")</f>
        <v/>
      </c>
      <c r="DU191" s="58">
        <f>IFERROR($P192/$P191-1,"")</f>
        <v/>
      </c>
      <c r="DV191" s="58">
        <f>IFERROR($Q192/$Q191-1,"")</f>
        <v/>
      </c>
      <c r="DW191" s="58">
        <f>IFERROR($R192/$R191-1,"")</f>
        <v/>
      </c>
      <c r="DX191" s="58">
        <f>IFERROR($S192/$S191-1,"")</f>
        <v/>
      </c>
      <c r="DY191" s="58">
        <f>IFERROR($T192/$T191-1,"")</f>
        <v/>
      </c>
      <c r="DZ191" s="58">
        <f>IFERROR($U192/$U191-1,"")</f>
        <v/>
      </c>
      <c r="EA191" s="58">
        <f>IFERROR($V192/$V191-1,"")</f>
        <v/>
      </c>
      <c r="EB191" s="58">
        <f>IFERROR($W192/$W191-1,"")</f>
        <v/>
      </c>
      <c r="EC191" s="58">
        <f>IFERROR($X192/$X191-1,"")</f>
        <v/>
      </c>
      <c r="ED191" s="58">
        <f>IFERROR($Y192/$Y191-1,"")</f>
        <v/>
      </c>
      <c r="EE191" s="58">
        <f>IFERROR($Z192/$Z191-1,"")</f>
        <v/>
      </c>
      <c r="EF191" s="58">
        <f>IFERROR($AA192/$AA191-1,"")</f>
        <v/>
      </c>
      <c r="EG191" s="58">
        <f>IFERROR($AB192/$AB191-1,"")</f>
        <v/>
      </c>
      <c r="EH191" s="58">
        <f>IFERROR($AC192/$AC191-1,"")</f>
        <v/>
      </c>
      <c r="EI191" s="58">
        <f>IFERROR($AD192/$AD191-1,"")</f>
        <v/>
      </c>
      <c r="EJ191" s="58">
        <f>IFERROR($AE192/$AE191-1,"")</f>
        <v/>
      </c>
      <c r="EK191" s="58">
        <f>IFERROR($AF192/$AF191-1,"")</f>
        <v/>
      </c>
      <c r="EL191" s="58">
        <f>IFERROR($AG192/$AG191-1,"")</f>
        <v/>
      </c>
      <c r="EM191" s="58">
        <f>IFERROR($BB191/$BB192-1,"")</f>
        <v/>
      </c>
      <c r="EN191" s="58">
        <f>IFERROR($BC191/$BC192-1,"")</f>
        <v/>
      </c>
      <c r="EO191" s="58">
        <f>IFERROR($BD191/$BD192-1,"")</f>
        <v/>
      </c>
      <c r="EP191" s="58">
        <f>IFERROR($BE191/$BE192-1,"")</f>
        <v/>
      </c>
      <c r="EQ191" s="58">
        <f>IFERROR($BF191/$BF192-1,"")</f>
        <v/>
      </c>
      <c r="ER191" s="58">
        <f>IFERROR($BG191/$BG192-1,"")</f>
        <v/>
      </c>
      <c r="ES191" s="58">
        <f>IFERROR($BH191/$BH192-1,"")</f>
        <v/>
      </c>
      <c r="ET191" s="58">
        <f>IFERROR($BI191/$BI192-1,"")</f>
        <v/>
      </c>
      <c r="EU191" s="58">
        <f>IFERROR($BJ191/$BJ192-1,"")</f>
        <v/>
      </c>
      <c r="EV191" s="58">
        <f>IFERROR($BK191/$BK192-1,"")</f>
        <v/>
      </c>
      <c r="EW191" s="58">
        <f>IFERROR($BL191/$BL192-1,"")</f>
        <v/>
      </c>
      <c r="EX191" s="58">
        <f>IFERROR($BM191/$BM192-1,"")</f>
        <v/>
      </c>
      <c r="EY191" s="58">
        <f>IFERROR($BN191/$BN192-1,"")</f>
        <v/>
      </c>
      <c r="EZ191" s="58">
        <f>IFERROR($BO191/$BO192-1,"")</f>
        <v/>
      </c>
      <c r="FA191" s="58">
        <f>IFERROR($BP191/$BP192-1,"")</f>
        <v/>
      </c>
      <c r="FB191" s="58">
        <f>IFERROR($BQ191/$BQ192-1,"")</f>
        <v/>
      </c>
      <c r="FC191" s="58">
        <f>IFERROR($BR191/$BR192-1,"")</f>
        <v/>
      </c>
      <c r="FD191" s="58">
        <f>IFERROR($BS191/$BS192-1,"")</f>
        <v/>
      </c>
      <c r="FE191" s="58">
        <f>IFERROR($BT191/$BT192-1,"")</f>
        <v/>
      </c>
      <c r="FF191" s="58">
        <f>IFERROR($BU191/$BU192-1,"")</f>
        <v/>
      </c>
      <c r="FG191" s="58">
        <f>IFERROR($BV191/$BV192-1,"")</f>
        <v/>
      </c>
      <c r="FH191" s="58">
        <f>IFERROR($BW191/$BW192-1,"")</f>
        <v/>
      </c>
      <c r="FI191" s="58">
        <f>IFERROR($BX191/$BX192-1,"")</f>
        <v/>
      </c>
      <c r="FJ191" s="59">
        <f>$BY191-$BY192</f>
        <v/>
      </c>
      <c r="FK191" s="59">
        <f>$BZ191-$BZ192</f>
        <v/>
      </c>
      <c r="FL191" s="59">
        <f>$CA191-$CA192</f>
        <v/>
      </c>
      <c r="FM191" s="59">
        <f>$CB191-$CB192</f>
        <v/>
      </c>
      <c r="FN191" s="59">
        <f>$CC191-$CC192</f>
        <v/>
      </c>
      <c r="FO191" s="59">
        <f>$CD191-$CD192</f>
        <v/>
      </c>
      <c r="FP191" s="59">
        <f>$CE191-$CE192</f>
        <v/>
      </c>
      <c r="FQ191" s="59">
        <f>$CF191-$CF192</f>
        <v/>
      </c>
      <c r="FR191" s="59">
        <f>$CG191-$CG192</f>
        <v/>
      </c>
      <c r="FS191" s="59">
        <f>$CH191-$CH192</f>
        <v/>
      </c>
      <c r="FT191" s="59">
        <f>$CI191-$CI192</f>
        <v/>
      </c>
      <c r="FU191" s="59">
        <f>$CJ191-$CJ192</f>
        <v/>
      </c>
      <c r="FV191" s="59">
        <f>$CK191-$CK192</f>
        <v/>
      </c>
      <c r="FW191" s="59">
        <f>$CL191-$CL192</f>
        <v/>
      </c>
      <c r="FX191" s="59">
        <f>$CM191-$CM192</f>
        <v/>
      </c>
      <c r="FY191" s="59">
        <f>$CN191-$CN192</f>
        <v/>
      </c>
      <c r="FZ191" s="59">
        <f>$CO191-$CO192</f>
        <v/>
      </c>
      <c r="GA191" s="59">
        <f>$CP191-$CP192</f>
        <v/>
      </c>
      <c r="GB191" s="59">
        <f>$CQ191-$CQ192</f>
        <v/>
      </c>
      <c r="GC191" s="59">
        <f>$CR191-$CR192</f>
        <v/>
      </c>
      <c r="GD191" s="59">
        <f>$CS191-$CS192</f>
        <v/>
      </c>
      <c r="GE191" s="59">
        <f>$CT191-$CT192</f>
        <v/>
      </c>
    </row>
    <row r="192">
      <c r="CU192" s="58">
        <f>IFERROR($B192/$B193-1,"")</f>
        <v/>
      </c>
      <c r="CV192" s="59">
        <f>($F192-$F193)*100</f>
        <v/>
      </c>
      <c r="CW192" s="59">
        <f>($E192-$E193)*100</f>
        <v/>
      </c>
      <c r="CX192" s="58">
        <f>IFERROR($K192/$K193-1,"")</f>
        <v/>
      </c>
      <c r="CY192" s="59">
        <f>($AH192-$AH193)*100</f>
        <v/>
      </c>
      <c r="CZ192" s="59">
        <f>($AI192-$AI193)*100</f>
        <v/>
      </c>
      <c r="DA192" s="59">
        <f>($AJ192-$AJ193)*100</f>
        <v/>
      </c>
      <c r="DB192" s="59">
        <f>($AK192-$AK193)*100</f>
        <v/>
      </c>
      <c r="DC192" s="59">
        <f>($AL192-$AL193)*100</f>
        <v/>
      </c>
      <c r="DD192" s="59">
        <f>($AM192-$AM193)*100</f>
        <v/>
      </c>
      <c r="DE192" s="59">
        <f>($AN192-$AN193)*100</f>
        <v/>
      </c>
      <c r="DF192" s="59">
        <f>($AO192-$AO193)*100</f>
        <v/>
      </c>
      <c r="DG192" s="59">
        <f>($AP192-$AP193)*100</f>
        <v/>
      </c>
      <c r="DH192" s="59">
        <f>($AQ192-$AQ193)*100</f>
        <v/>
      </c>
      <c r="DI192" s="59">
        <f>($AR192-$AR193)*100</f>
        <v/>
      </c>
      <c r="DJ192" s="59">
        <f>($AS192-$AS193)*100</f>
        <v/>
      </c>
      <c r="DK192" s="59">
        <f>($AT192-$AT193)*100</f>
        <v/>
      </c>
      <c r="DL192" s="59">
        <f>($AU192-$AU193)*100</f>
        <v/>
      </c>
      <c r="DM192" s="59">
        <f>($AV192-$AV193)*100</f>
        <v/>
      </c>
      <c r="DN192" s="59">
        <f>($AW192-$AW193)*100</f>
        <v/>
      </c>
      <c r="DO192" s="59">
        <f>($AX192-$AX193)*100</f>
        <v/>
      </c>
      <c r="DP192" s="59">
        <f>($AY192-$AY193)*100</f>
        <v/>
      </c>
      <c r="DQ192" s="59">
        <f>($AZ192-$AZ193)*100</f>
        <v/>
      </c>
      <c r="DR192" s="59">
        <f>($BA192-$BA193)*100</f>
        <v/>
      </c>
      <c r="DS192" s="58">
        <f>IFERROR($N193/$N192-1,"")</f>
        <v/>
      </c>
      <c r="DT192" s="58">
        <f>IFERROR($O193/$O192-1,"")</f>
        <v/>
      </c>
      <c r="DU192" s="58">
        <f>IFERROR($P193/$P192-1,"")</f>
        <v/>
      </c>
      <c r="DV192" s="58">
        <f>IFERROR($Q193/$Q192-1,"")</f>
        <v/>
      </c>
      <c r="DW192" s="58">
        <f>IFERROR($R193/$R192-1,"")</f>
        <v/>
      </c>
      <c r="DX192" s="58">
        <f>IFERROR($S193/$S192-1,"")</f>
        <v/>
      </c>
      <c r="DY192" s="58">
        <f>IFERROR($T193/$T192-1,"")</f>
        <v/>
      </c>
      <c r="DZ192" s="58">
        <f>IFERROR($U193/$U192-1,"")</f>
        <v/>
      </c>
      <c r="EA192" s="58">
        <f>IFERROR($V193/$V192-1,"")</f>
        <v/>
      </c>
      <c r="EB192" s="58">
        <f>IFERROR($W193/$W192-1,"")</f>
        <v/>
      </c>
      <c r="EC192" s="58">
        <f>IFERROR($X193/$X192-1,"")</f>
        <v/>
      </c>
      <c r="ED192" s="58">
        <f>IFERROR($Y193/$Y192-1,"")</f>
        <v/>
      </c>
      <c r="EE192" s="58">
        <f>IFERROR($Z193/$Z192-1,"")</f>
        <v/>
      </c>
      <c r="EF192" s="58">
        <f>IFERROR($AA193/$AA192-1,"")</f>
        <v/>
      </c>
      <c r="EG192" s="58">
        <f>IFERROR($AB193/$AB192-1,"")</f>
        <v/>
      </c>
      <c r="EH192" s="58">
        <f>IFERROR($AC193/$AC192-1,"")</f>
        <v/>
      </c>
      <c r="EI192" s="58">
        <f>IFERROR($AD193/$AD192-1,"")</f>
        <v/>
      </c>
      <c r="EJ192" s="58">
        <f>IFERROR($AE193/$AE192-1,"")</f>
        <v/>
      </c>
      <c r="EK192" s="58">
        <f>IFERROR($AF193/$AF192-1,"")</f>
        <v/>
      </c>
      <c r="EL192" s="58">
        <f>IFERROR($AG193/$AG192-1,"")</f>
        <v/>
      </c>
      <c r="EM192" s="58">
        <f>IFERROR($BB192/$BB193-1,"")</f>
        <v/>
      </c>
      <c r="EN192" s="58">
        <f>IFERROR($BC192/$BC193-1,"")</f>
        <v/>
      </c>
      <c r="EO192" s="58">
        <f>IFERROR($BD192/$BD193-1,"")</f>
        <v/>
      </c>
      <c r="EP192" s="58">
        <f>IFERROR($BE192/$BE193-1,"")</f>
        <v/>
      </c>
      <c r="EQ192" s="58">
        <f>IFERROR($BF192/$BF193-1,"")</f>
        <v/>
      </c>
      <c r="ER192" s="58">
        <f>IFERROR($BG192/$BG193-1,"")</f>
        <v/>
      </c>
      <c r="ES192" s="58">
        <f>IFERROR($BH192/$BH193-1,"")</f>
        <v/>
      </c>
      <c r="ET192" s="58">
        <f>IFERROR($BI192/$BI193-1,"")</f>
        <v/>
      </c>
      <c r="EU192" s="58">
        <f>IFERROR($BJ192/$BJ193-1,"")</f>
        <v/>
      </c>
      <c r="EV192" s="58">
        <f>IFERROR($BK192/$BK193-1,"")</f>
        <v/>
      </c>
      <c r="EW192" s="58">
        <f>IFERROR($BL192/$BL193-1,"")</f>
        <v/>
      </c>
      <c r="EX192" s="58">
        <f>IFERROR($BM192/$BM193-1,"")</f>
        <v/>
      </c>
      <c r="EY192" s="58">
        <f>IFERROR($BN192/$BN193-1,"")</f>
        <v/>
      </c>
      <c r="EZ192" s="58">
        <f>IFERROR($BO192/$BO193-1,"")</f>
        <v/>
      </c>
      <c r="FA192" s="58">
        <f>IFERROR($BP192/$BP193-1,"")</f>
        <v/>
      </c>
      <c r="FB192" s="58">
        <f>IFERROR($BQ192/$BQ193-1,"")</f>
        <v/>
      </c>
      <c r="FC192" s="58">
        <f>IFERROR($BR192/$BR193-1,"")</f>
        <v/>
      </c>
      <c r="FD192" s="58">
        <f>IFERROR($BS192/$BS193-1,"")</f>
        <v/>
      </c>
      <c r="FE192" s="58">
        <f>IFERROR($BT192/$BT193-1,"")</f>
        <v/>
      </c>
      <c r="FF192" s="58">
        <f>IFERROR($BU192/$BU193-1,"")</f>
        <v/>
      </c>
      <c r="FG192" s="58">
        <f>IFERROR($BV192/$BV193-1,"")</f>
        <v/>
      </c>
      <c r="FH192" s="58">
        <f>IFERROR($BW192/$BW193-1,"")</f>
        <v/>
      </c>
      <c r="FI192" s="58">
        <f>IFERROR($BX192/$BX193-1,"")</f>
        <v/>
      </c>
      <c r="FJ192" s="59">
        <f>$BY192-$BY193</f>
        <v/>
      </c>
      <c r="FK192" s="59">
        <f>$BZ192-$BZ193</f>
        <v/>
      </c>
      <c r="FL192" s="59">
        <f>$CA192-$CA193</f>
        <v/>
      </c>
      <c r="FM192" s="59">
        <f>$CB192-$CB193</f>
        <v/>
      </c>
      <c r="FN192" s="59">
        <f>$CC192-$CC193</f>
        <v/>
      </c>
      <c r="FO192" s="59">
        <f>$CD192-$CD193</f>
        <v/>
      </c>
      <c r="FP192" s="59">
        <f>$CE192-$CE193</f>
        <v/>
      </c>
      <c r="FQ192" s="59">
        <f>$CF192-$CF193</f>
        <v/>
      </c>
      <c r="FR192" s="59">
        <f>$CG192-$CG193</f>
        <v/>
      </c>
      <c r="FS192" s="59">
        <f>$CH192-$CH193</f>
        <v/>
      </c>
      <c r="FT192" s="59">
        <f>$CI192-$CI193</f>
        <v/>
      </c>
      <c r="FU192" s="59">
        <f>$CJ192-$CJ193</f>
        <v/>
      </c>
      <c r="FV192" s="59">
        <f>$CK192-$CK193</f>
        <v/>
      </c>
      <c r="FW192" s="59">
        <f>$CL192-$CL193</f>
        <v/>
      </c>
      <c r="FX192" s="59">
        <f>$CM192-$CM193</f>
        <v/>
      </c>
      <c r="FY192" s="59">
        <f>$CN192-$CN193</f>
        <v/>
      </c>
      <c r="FZ192" s="59">
        <f>$CO192-$CO193</f>
        <v/>
      </c>
      <c r="GA192" s="59">
        <f>$CP192-$CP193</f>
        <v/>
      </c>
      <c r="GB192" s="59">
        <f>$CQ192-$CQ193</f>
        <v/>
      </c>
      <c r="GC192" s="59">
        <f>$CR192-$CR193</f>
        <v/>
      </c>
      <c r="GD192" s="59">
        <f>$CS192-$CS193</f>
        <v/>
      </c>
      <c r="GE192" s="59">
        <f>$CT192-$CT193</f>
        <v/>
      </c>
    </row>
    <row r="193">
      <c r="CU193" s="58">
        <f>IFERROR($B193/$B194-1,"")</f>
        <v/>
      </c>
      <c r="CV193" s="59">
        <f>($F193-$F194)*100</f>
        <v/>
      </c>
      <c r="CW193" s="59">
        <f>($E193-$E194)*100</f>
        <v/>
      </c>
      <c r="CX193" s="58">
        <f>IFERROR($K193/$K194-1,"")</f>
        <v/>
      </c>
      <c r="CY193" s="59">
        <f>($AH193-$AH194)*100</f>
        <v/>
      </c>
      <c r="CZ193" s="59">
        <f>($AI193-$AI194)*100</f>
        <v/>
      </c>
      <c r="DA193" s="59">
        <f>($AJ193-$AJ194)*100</f>
        <v/>
      </c>
      <c r="DB193" s="59">
        <f>($AK193-$AK194)*100</f>
        <v/>
      </c>
      <c r="DC193" s="59">
        <f>($AL193-$AL194)*100</f>
        <v/>
      </c>
      <c r="DD193" s="59">
        <f>($AM193-$AM194)*100</f>
        <v/>
      </c>
      <c r="DE193" s="59">
        <f>($AN193-$AN194)*100</f>
        <v/>
      </c>
      <c r="DF193" s="59">
        <f>($AO193-$AO194)*100</f>
        <v/>
      </c>
      <c r="DG193" s="59">
        <f>($AP193-$AP194)*100</f>
        <v/>
      </c>
      <c r="DH193" s="59">
        <f>($AQ193-$AQ194)*100</f>
        <v/>
      </c>
      <c r="DI193" s="59">
        <f>($AR193-$AR194)*100</f>
        <v/>
      </c>
      <c r="DJ193" s="59">
        <f>($AS193-$AS194)*100</f>
        <v/>
      </c>
      <c r="DK193" s="59">
        <f>($AT193-$AT194)*100</f>
        <v/>
      </c>
      <c r="DL193" s="59">
        <f>($AU193-$AU194)*100</f>
        <v/>
      </c>
      <c r="DM193" s="59">
        <f>($AV193-$AV194)*100</f>
        <v/>
      </c>
      <c r="DN193" s="59">
        <f>($AW193-$AW194)*100</f>
        <v/>
      </c>
      <c r="DO193" s="59">
        <f>($AX193-$AX194)*100</f>
        <v/>
      </c>
      <c r="DP193" s="59">
        <f>($AY193-$AY194)*100</f>
        <v/>
      </c>
      <c r="DQ193" s="59">
        <f>($AZ193-$AZ194)*100</f>
        <v/>
      </c>
      <c r="DR193" s="59">
        <f>($BA193-$BA194)*100</f>
        <v/>
      </c>
      <c r="DS193" s="58">
        <f>IFERROR($N194/$N193-1,"")</f>
        <v/>
      </c>
      <c r="DT193" s="58">
        <f>IFERROR($O194/$O193-1,"")</f>
        <v/>
      </c>
      <c r="DU193" s="58">
        <f>IFERROR($P194/$P193-1,"")</f>
        <v/>
      </c>
      <c r="DV193" s="58">
        <f>IFERROR($Q194/$Q193-1,"")</f>
        <v/>
      </c>
      <c r="DW193" s="58">
        <f>IFERROR($R194/$R193-1,"")</f>
        <v/>
      </c>
      <c r="DX193" s="58">
        <f>IFERROR($S194/$S193-1,"")</f>
        <v/>
      </c>
      <c r="DY193" s="58">
        <f>IFERROR($T194/$T193-1,"")</f>
        <v/>
      </c>
      <c r="DZ193" s="58">
        <f>IFERROR($U194/$U193-1,"")</f>
        <v/>
      </c>
      <c r="EA193" s="58">
        <f>IFERROR($V194/$V193-1,"")</f>
        <v/>
      </c>
      <c r="EB193" s="58">
        <f>IFERROR($W194/$W193-1,"")</f>
        <v/>
      </c>
      <c r="EC193" s="58">
        <f>IFERROR($X194/$X193-1,"")</f>
        <v/>
      </c>
      <c r="ED193" s="58">
        <f>IFERROR($Y194/$Y193-1,"")</f>
        <v/>
      </c>
      <c r="EE193" s="58">
        <f>IFERROR($Z194/$Z193-1,"")</f>
        <v/>
      </c>
      <c r="EF193" s="58">
        <f>IFERROR($AA194/$AA193-1,"")</f>
        <v/>
      </c>
      <c r="EG193" s="58">
        <f>IFERROR($AB194/$AB193-1,"")</f>
        <v/>
      </c>
      <c r="EH193" s="58">
        <f>IFERROR($AC194/$AC193-1,"")</f>
        <v/>
      </c>
      <c r="EI193" s="58">
        <f>IFERROR($AD194/$AD193-1,"")</f>
        <v/>
      </c>
      <c r="EJ193" s="58">
        <f>IFERROR($AE194/$AE193-1,"")</f>
        <v/>
      </c>
      <c r="EK193" s="58">
        <f>IFERROR($AF194/$AF193-1,"")</f>
        <v/>
      </c>
      <c r="EL193" s="58">
        <f>IFERROR($AG194/$AG193-1,"")</f>
        <v/>
      </c>
      <c r="EM193" s="58">
        <f>IFERROR($BB193/$BB194-1,"")</f>
        <v/>
      </c>
      <c r="EN193" s="58">
        <f>IFERROR($BC193/$BC194-1,"")</f>
        <v/>
      </c>
      <c r="EO193" s="58">
        <f>IFERROR($BD193/$BD194-1,"")</f>
        <v/>
      </c>
      <c r="EP193" s="58">
        <f>IFERROR($BE193/$BE194-1,"")</f>
        <v/>
      </c>
      <c r="EQ193" s="58">
        <f>IFERROR($BF193/$BF194-1,"")</f>
        <v/>
      </c>
      <c r="ER193" s="58">
        <f>IFERROR($BG193/$BG194-1,"")</f>
        <v/>
      </c>
      <c r="ES193" s="58">
        <f>IFERROR($BH193/$BH194-1,"")</f>
        <v/>
      </c>
      <c r="ET193" s="58">
        <f>IFERROR($BI193/$BI194-1,"")</f>
        <v/>
      </c>
      <c r="EU193" s="58">
        <f>IFERROR($BJ193/$BJ194-1,"")</f>
        <v/>
      </c>
      <c r="EV193" s="58">
        <f>IFERROR($BK193/$BK194-1,"")</f>
        <v/>
      </c>
      <c r="EW193" s="58">
        <f>IFERROR($BL193/$BL194-1,"")</f>
        <v/>
      </c>
      <c r="EX193" s="58">
        <f>IFERROR($BM193/$BM194-1,"")</f>
        <v/>
      </c>
      <c r="EY193" s="58">
        <f>IFERROR($BN193/$BN194-1,"")</f>
        <v/>
      </c>
      <c r="EZ193" s="58">
        <f>IFERROR($BO193/$BO194-1,"")</f>
        <v/>
      </c>
      <c r="FA193" s="58">
        <f>IFERROR($BP193/$BP194-1,"")</f>
        <v/>
      </c>
      <c r="FB193" s="58">
        <f>IFERROR($BQ193/$BQ194-1,"")</f>
        <v/>
      </c>
      <c r="FC193" s="58">
        <f>IFERROR($BR193/$BR194-1,"")</f>
        <v/>
      </c>
      <c r="FD193" s="58">
        <f>IFERROR($BS193/$BS194-1,"")</f>
        <v/>
      </c>
      <c r="FE193" s="58">
        <f>IFERROR($BT193/$BT194-1,"")</f>
        <v/>
      </c>
      <c r="FF193" s="58">
        <f>IFERROR($BU193/$BU194-1,"")</f>
        <v/>
      </c>
      <c r="FG193" s="58">
        <f>IFERROR($BV193/$BV194-1,"")</f>
        <v/>
      </c>
      <c r="FH193" s="58">
        <f>IFERROR($BW193/$BW194-1,"")</f>
        <v/>
      </c>
      <c r="FI193" s="58">
        <f>IFERROR($BX193/$BX194-1,"")</f>
        <v/>
      </c>
      <c r="FJ193" s="59">
        <f>$BY193-$BY194</f>
        <v/>
      </c>
      <c r="FK193" s="59">
        <f>$BZ193-$BZ194</f>
        <v/>
      </c>
      <c r="FL193" s="59">
        <f>$CA193-$CA194</f>
        <v/>
      </c>
      <c r="FM193" s="59">
        <f>$CB193-$CB194</f>
        <v/>
      </c>
      <c r="FN193" s="59">
        <f>$CC193-$CC194</f>
        <v/>
      </c>
      <c r="FO193" s="59">
        <f>$CD193-$CD194</f>
        <v/>
      </c>
      <c r="FP193" s="59">
        <f>$CE193-$CE194</f>
        <v/>
      </c>
      <c r="FQ193" s="59">
        <f>$CF193-$CF194</f>
        <v/>
      </c>
      <c r="FR193" s="59">
        <f>$CG193-$CG194</f>
        <v/>
      </c>
      <c r="FS193" s="59">
        <f>$CH193-$CH194</f>
        <v/>
      </c>
      <c r="FT193" s="59">
        <f>$CI193-$CI194</f>
        <v/>
      </c>
      <c r="FU193" s="59">
        <f>$CJ193-$CJ194</f>
        <v/>
      </c>
      <c r="FV193" s="59">
        <f>$CK193-$CK194</f>
        <v/>
      </c>
      <c r="FW193" s="59">
        <f>$CL193-$CL194</f>
        <v/>
      </c>
      <c r="FX193" s="59">
        <f>$CM193-$CM194</f>
        <v/>
      </c>
      <c r="FY193" s="59">
        <f>$CN193-$CN194</f>
        <v/>
      </c>
      <c r="FZ193" s="59">
        <f>$CO193-$CO194</f>
        <v/>
      </c>
      <c r="GA193" s="59">
        <f>$CP193-$CP194</f>
        <v/>
      </c>
      <c r="GB193" s="59">
        <f>$CQ193-$CQ194</f>
        <v/>
      </c>
      <c r="GC193" s="59">
        <f>$CR193-$CR194</f>
        <v/>
      </c>
      <c r="GD193" s="59">
        <f>$CS193-$CS194</f>
        <v/>
      </c>
      <c r="GE193" s="59">
        <f>$CT193-$CT194</f>
        <v/>
      </c>
    </row>
    <row r="194">
      <c r="CU194" s="58">
        <f>IFERROR($B194/$B195-1,"")</f>
        <v/>
      </c>
      <c r="CV194" s="59">
        <f>($F194-$F195)*100</f>
        <v/>
      </c>
      <c r="CW194" s="59">
        <f>($E194-$E195)*100</f>
        <v/>
      </c>
      <c r="CX194" s="58">
        <f>IFERROR($K194/$K195-1,"")</f>
        <v/>
      </c>
      <c r="CY194" s="59">
        <f>($AH194-$AH195)*100</f>
        <v/>
      </c>
      <c r="CZ194" s="59">
        <f>($AI194-$AI195)*100</f>
        <v/>
      </c>
      <c r="DA194" s="59">
        <f>($AJ194-$AJ195)*100</f>
        <v/>
      </c>
      <c r="DB194" s="59">
        <f>($AK194-$AK195)*100</f>
        <v/>
      </c>
      <c r="DC194" s="59">
        <f>($AL194-$AL195)*100</f>
        <v/>
      </c>
      <c r="DD194" s="59">
        <f>($AM194-$AM195)*100</f>
        <v/>
      </c>
      <c r="DE194" s="59">
        <f>($AN194-$AN195)*100</f>
        <v/>
      </c>
      <c r="DF194" s="59">
        <f>($AO194-$AO195)*100</f>
        <v/>
      </c>
      <c r="DG194" s="59">
        <f>($AP194-$AP195)*100</f>
        <v/>
      </c>
      <c r="DH194" s="59">
        <f>($AQ194-$AQ195)*100</f>
        <v/>
      </c>
      <c r="DI194" s="59">
        <f>($AR194-$AR195)*100</f>
        <v/>
      </c>
      <c r="DJ194" s="59">
        <f>($AS194-$AS195)*100</f>
        <v/>
      </c>
      <c r="DK194" s="59">
        <f>($AT194-$AT195)*100</f>
        <v/>
      </c>
      <c r="DL194" s="59">
        <f>($AU194-$AU195)*100</f>
        <v/>
      </c>
      <c r="DM194" s="59">
        <f>($AV194-$AV195)*100</f>
        <v/>
      </c>
      <c r="DN194" s="59">
        <f>($AW194-$AW195)*100</f>
        <v/>
      </c>
      <c r="DO194" s="59">
        <f>($AX194-$AX195)*100</f>
        <v/>
      </c>
      <c r="DP194" s="59">
        <f>($AY194-$AY195)*100</f>
        <v/>
      </c>
      <c r="DQ194" s="59">
        <f>($AZ194-$AZ195)*100</f>
        <v/>
      </c>
      <c r="DR194" s="59">
        <f>($BA194-$BA195)*100</f>
        <v/>
      </c>
      <c r="DS194" s="58">
        <f>IFERROR($N195/$N194-1,"")</f>
        <v/>
      </c>
      <c r="DT194" s="58">
        <f>IFERROR($O195/$O194-1,"")</f>
        <v/>
      </c>
      <c r="DU194" s="58">
        <f>IFERROR($P195/$P194-1,"")</f>
        <v/>
      </c>
      <c r="DV194" s="58">
        <f>IFERROR($Q195/$Q194-1,"")</f>
        <v/>
      </c>
      <c r="DW194" s="58">
        <f>IFERROR($R195/$R194-1,"")</f>
        <v/>
      </c>
      <c r="DX194" s="58">
        <f>IFERROR($S195/$S194-1,"")</f>
        <v/>
      </c>
      <c r="DY194" s="58">
        <f>IFERROR($T195/$T194-1,"")</f>
        <v/>
      </c>
      <c r="DZ194" s="58">
        <f>IFERROR($U195/$U194-1,"")</f>
        <v/>
      </c>
      <c r="EA194" s="58">
        <f>IFERROR($V195/$V194-1,"")</f>
        <v/>
      </c>
      <c r="EB194" s="58">
        <f>IFERROR($W195/$W194-1,"")</f>
        <v/>
      </c>
      <c r="EC194" s="58">
        <f>IFERROR($X195/$X194-1,"")</f>
        <v/>
      </c>
      <c r="ED194" s="58">
        <f>IFERROR($Y195/$Y194-1,"")</f>
        <v/>
      </c>
      <c r="EE194" s="58">
        <f>IFERROR($Z195/$Z194-1,"")</f>
        <v/>
      </c>
      <c r="EF194" s="58">
        <f>IFERROR($AA195/$AA194-1,"")</f>
        <v/>
      </c>
      <c r="EG194" s="58">
        <f>IFERROR($AB195/$AB194-1,"")</f>
        <v/>
      </c>
      <c r="EH194" s="58">
        <f>IFERROR($AC195/$AC194-1,"")</f>
        <v/>
      </c>
      <c r="EI194" s="58">
        <f>IFERROR($AD195/$AD194-1,"")</f>
        <v/>
      </c>
      <c r="EJ194" s="58">
        <f>IFERROR($AE195/$AE194-1,"")</f>
        <v/>
      </c>
      <c r="EK194" s="58">
        <f>IFERROR($AF195/$AF194-1,"")</f>
        <v/>
      </c>
      <c r="EL194" s="58">
        <f>IFERROR($AG195/$AG194-1,"")</f>
        <v/>
      </c>
      <c r="EM194" s="58">
        <f>IFERROR($BB194/$BB195-1,"")</f>
        <v/>
      </c>
      <c r="EN194" s="58">
        <f>IFERROR($BC194/$BC195-1,"")</f>
        <v/>
      </c>
      <c r="EO194" s="58">
        <f>IFERROR($BD194/$BD195-1,"")</f>
        <v/>
      </c>
      <c r="EP194" s="58">
        <f>IFERROR($BE194/$BE195-1,"")</f>
        <v/>
      </c>
      <c r="EQ194" s="58">
        <f>IFERROR($BF194/$BF195-1,"")</f>
        <v/>
      </c>
      <c r="ER194" s="58">
        <f>IFERROR($BG194/$BG195-1,"")</f>
        <v/>
      </c>
      <c r="ES194" s="58">
        <f>IFERROR($BH194/$BH195-1,"")</f>
        <v/>
      </c>
      <c r="ET194" s="58">
        <f>IFERROR($BI194/$BI195-1,"")</f>
        <v/>
      </c>
      <c r="EU194" s="58">
        <f>IFERROR($BJ194/$BJ195-1,"")</f>
        <v/>
      </c>
      <c r="EV194" s="58">
        <f>IFERROR($BK194/$BK195-1,"")</f>
        <v/>
      </c>
      <c r="EW194" s="58">
        <f>IFERROR($BL194/$BL195-1,"")</f>
        <v/>
      </c>
      <c r="EX194" s="58">
        <f>IFERROR($BM194/$BM195-1,"")</f>
        <v/>
      </c>
      <c r="EY194" s="58">
        <f>IFERROR($BN194/$BN195-1,"")</f>
        <v/>
      </c>
      <c r="EZ194" s="58">
        <f>IFERROR($BO194/$BO195-1,"")</f>
        <v/>
      </c>
      <c r="FA194" s="58">
        <f>IFERROR($BP194/$BP195-1,"")</f>
        <v/>
      </c>
      <c r="FB194" s="58">
        <f>IFERROR($BQ194/$BQ195-1,"")</f>
        <v/>
      </c>
      <c r="FC194" s="58">
        <f>IFERROR($BR194/$BR195-1,"")</f>
        <v/>
      </c>
      <c r="FD194" s="58">
        <f>IFERROR($BS194/$BS195-1,"")</f>
        <v/>
      </c>
      <c r="FE194" s="58">
        <f>IFERROR($BT194/$BT195-1,"")</f>
        <v/>
      </c>
      <c r="FF194" s="58">
        <f>IFERROR($BU194/$BU195-1,"")</f>
        <v/>
      </c>
      <c r="FG194" s="58">
        <f>IFERROR($BV194/$BV195-1,"")</f>
        <v/>
      </c>
      <c r="FH194" s="58">
        <f>IFERROR($BW194/$BW195-1,"")</f>
        <v/>
      </c>
      <c r="FI194" s="58">
        <f>IFERROR($BX194/$BX195-1,"")</f>
        <v/>
      </c>
      <c r="FJ194" s="59">
        <f>$BY194-$BY195</f>
        <v/>
      </c>
      <c r="FK194" s="59">
        <f>$BZ194-$BZ195</f>
        <v/>
      </c>
      <c r="FL194" s="59">
        <f>$CA194-$CA195</f>
        <v/>
      </c>
      <c r="FM194" s="59">
        <f>$CB194-$CB195</f>
        <v/>
      </c>
      <c r="FN194" s="59">
        <f>$CC194-$CC195</f>
        <v/>
      </c>
      <c r="FO194" s="59">
        <f>$CD194-$CD195</f>
        <v/>
      </c>
      <c r="FP194" s="59">
        <f>$CE194-$CE195</f>
        <v/>
      </c>
      <c r="FQ194" s="59">
        <f>$CF194-$CF195</f>
        <v/>
      </c>
      <c r="FR194" s="59">
        <f>$CG194-$CG195</f>
        <v/>
      </c>
      <c r="FS194" s="59">
        <f>$CH194-$CH195</f>
        <v/>
      </c>
      <c r="FT194" s="59">
        <f>$CI194-$CI195</f>
        <v/>
      </c>
      <c r="FU194" s="59">
        <f>$CJ194-$CJ195</f>
        <v/>
      </c>
      <c r="FV194" s="59">
        <f>$CK194-$CK195</f>
        <v/>
      </c>
      <c r="FW194" s="59">
        <f>$CL194-$CL195</f>
        <v/>
      </c>
      <c r="FX194" s="59">
        <f>$CM194-$CM195</f>
        <v/>
      </c>
      <c r="FY194" s="59">
        <f>$CN194-$CN195</f>
        <v/>
      </c>
      <c r="FZ194" s="59">
        <f>$CO194-$CO195</f>
        <v/>
      </c>
      <c r="GA194" s="59">
        <f>$CP194-$CP195</f>
        <v/>
      </c>
      <c r="GB194" s="59">
        <f>$CQ194-$CQ195</f>
        <v/>
      </c>
      <c r="GC194" s="59">
        <f>$CR194-$CR195</f>
        <v/>
      </c>
      <c r="GD194" s="59">
        <f>$CS194-$CS195</f>
        <v/>
      </c>
      <c r="GE194" s="59">
        <f>$CT194-$CT195</f>
        <v/>
      </c>
    </row>
    <row r="195">
      <c r="CU195" s="58">
        <f>IFERROR($B195/$B196-1,"")</f>
        <v/>
      </c>
      <c r="CV195" s="59">
        <f>($F195-$F196)*100</f>
        <v/>
      </c>
      <c r="CW195" s="59">
        <f>($E195-$E196)*100</f>
        <v/>
      </c>
      <c r="CX195" s="58">
        <f>IFERROR($K195/$K196-1,"")</f>
        <v/>
      </c>
      <c r="CY195" s="59">
        <f>($AH195-$AH196)*100</f>
        <v/>
      </c>
      <c r="CZ195" s="59">
        <f>($AI195-$AI196)*100</f>
        <v/>
      </c>
      <c r="DA195" s="59">
        <f>($AJ195-$AJ196)*100</f>
        <v/>
      </c>
      <c r="DB195" s="59">
        <f>($AK195-$AK196)*100</f>
        <v/>
      </c>
      <c r="DC195" s="59">
        <f>($AL195-$AL196)*100</f>
        <v/>
      </c>
      <c r="DD195" s="59">
        <f>($AM195-$AM196)*100</f>
        <v/>
      </c>
      <c r="DE195" s="59">
        <f>($AN195-$AN196)*100</f>
        <v/>
      </c>
      <c r="DF195" s="59">
        <f>($AO195-$AO196)*100</f>
        <v/>
      </c>
      <c r="DG195" s="59">
        <f>($AP195-$AP196)*100</f>
        <v/>
      </c>
      <c r="DH195" s="59">
        <f>($AQ195-$AQ196)*100</f>
        <v/>
      </c>
      <c r="DI195" s="59">
        <f>($AR195-$AR196)*100</f>
        <v/>
      </c>
      <c r="DJ195" s="59">
        <f>($AS195-$AS196)*100</f>
        <v/>
      </c>
      <c r="DK195" s="59">
        <f>($AT195-$AT196)*100</f>
        <v/>
      </c>
      <c r="DL195" s="59">
        <f>($AU195-$AU196)*100</f>
        <v/>
      </c>
      <c r="DM195" s="59">
        <f>($AV195-$AV196)*100</f>
        <v/>
      </c>
      <c r="DN195" s="59">
        <f>($AW195-$AW196)*100</f>
        <v/>
      </c>
      <c r="DO195" s="59">
        <f>($AX195-$AX196)*100</f>
        <v/>
      </c>
      <c r="DP195" s="59">
        <f>($AY195-$AY196)*100</f>
        <v/>
      </c>
      <c r="DQ195" s="59">
        <f>($AZ195-$AZ196)*100</f>
        <v/>
      </c>
      <c r="DR195" s="59">
        <f>($BA195-$BA196)*100</f>
        <v/>
      </c>
      <c r="DS195" s="58">
        <f>IFERROR($N196/$N195-1,"")</f>
        <v/>
      </c>
      <c r="DT195" s="58">
        <f>IFERROR($O196/$O195-1,"")</f>
        <v/>
      </c>
      <c r="DU195" s="58">
        <f>IFERROR($P196/$P195-1,"")</f>
        <v/>
      </c>
      <c r="DV195" s="58">
        <f>IFERROR($Q196/$Q195-1,"")</f>
        <v/>
      </c>
      <c r="DW195" s="58">
        <f>IFERROR($R196/$R195-1,"")</f>
        <v/>
      </c>
      <c r="DX195" s="58">
        <f>IFERROR($S196/$S195-1,"")</f>
        <v/>
      </c>
      <c r="DY195" s="58">
        <f>IFERROR($T196/$T195-1,"")</f>
        <v/>
      </c>
      <c r="DZ195" s="58">
        <f>IFERROR($U196/$U195-1,"")</f>
        <v/>
      </c>
      <c r="EA195" s="58">
        <f>IFERROR($V196/$V195-1,"")</f>
        <v/>
      </c>
      <c r="EB195" s="58">
        <f>IFERROR($W196/$W195-1,"")</f>
        <v/>
      </c>
      <c r="EC195" s="58">
        <f>IFERROR($X196/$X195-1,"")</f>
        <v/>
      </c>
      <c r="ED195" s="58">
        <f>IFERROR($Y196/$Y195-1,"")</f>
        <v/>
      </c>
      <c r="EE195" s="58">
        <f>IFERROR($Z196/$Z195-1,"")</f>
        <v/>
      </c>
      <c r="EF195" s="58">
        <f>IFERROR($AA196/$AA195-1,"")</f>
        <v/>
      </c>
      <c r="EG195" s="58">
        <f>IFERROR($AB196/$AB195-1,"")</f>
        <v/>
      </c>
      <c r="EH195" s="58">
        <f>IFERROR($AC196/$AC195-1,"")</f>
        <v/>
      </c>
      <c r="EI195" s="58">
        <f>IFERROR($AD196/$AD195-1,"")</f>
        <v/>
      </c>
      <c r="EJ195" s="58">
        <f>IFERROR($AE196/$AE195-1,"")</f>
        <v/>
      </c>
      <c r="EK195" s="58">
        <f>IFERROR($AF196/$AF195-1,"")</f>
        <v/>
      </c>
      <c r="EL195" s="58">
        <f>IFERROR($AG196/$AG195-1,"")</f>
        <v/>
      </c>
      <c r="EM195" s="58">
        <f>IFERROR($BB195/$BB196-1,"")</f>
        <v/>
      </c>
      <c r="EN195" s="58">
        <f>IFERROR($BC195/$BC196-1,"")</f>
        <v/>
      </c>
      <c r="EO195" s="58">
        <f>IFERROR($BD195/$BD196-1,"")</f>
        <v/>
      </c>
      <c r="EP195" s="58">
        <f>IFERROR($BE195/$BE196-1,"")</f>
        <v/>
      </c>
      <c r="EQ195" s="58">
        <f>IFERROR($BF195/$BF196-1,"")</f>
        <v/>
      </c>
      <c r="ER195" s="58">
        <f>IFERROR($BG195/$BG196-1,"")</f>
        <v/>
      </c>
      <c r="ES195" s="58">
        <f>IFERROR($BH195/$BH196-1,"")</f>
        <v/>
      </c>
      <c r="ET195" s="58">
        <f>IFERROR($BI195/$BI196-1,"")</f>
        <v/>
      </c>
      <c r="EU195" s="58">
        <f>IFERROR($BJ195/$BJ196-1,"")</f>
        <v/>
      </c>
      <c r="EV195" s="58">
        <f>IFERROR($BK195/$BK196-1,"")</f>
        <v/>
      </c>
      <c r="EW195" s="58">
        <f>IFERROR($BL195/$BL196-1,"")</f>
        <v/>
      </c>
      <c r="EX195" s="58">
        <f>IFERROR($BM195/$BM196-1,"")</f>
        <v/>
      </c>
      <c r="EY195" s="58">
        <f>IFERROR($BN195/$BN196-1,"")</f>
        <v/>
      </c>
      <c r="EZ195" s="58">
        <f>IFERROR($BO195/$BO196-1,"")</f>
        <v/>
      </c>
      <c r="FA195" s="58">
        <f>IFERROR($BP195/$BP196-1,"")</f>
        <v/>
      </c>
      <c r="FB195" s="58">
        <f>IFERROR($BQ195/$BQ196-1,"")</f>
        <v/>
      </c>
      <c r="FC195" s="58">
        <f>IFERROR($BR195/$BR196-1,"")</f>
        <v/>
      </c>
      <c r="FD195" s="58">
        <f>IFERROR($BS195/$BS196-1,"")</f>
        <v/>
      </c>
      <c r="FE195" s="58">
        <f>IFERROR($BT195/$BT196-1,"")</f>
        <v/>
      </c>
      <c r="FF195" s="58">
        <f>IFERROR($BU195/$BU196-1,"")</f>
        <v/>
      </c>
      <c r="FG195" s="58">
        <f>IFERROR($BV195/$BV196-1,"")</f>
        <v/>
      </c>
      <c r="FH195" s="58">
        <f>IFERROR($BW195/$BW196-1,"")</f>
        <v/>
      </c>
      <c r="FI195" s="58">
        <f>IFERROR($BX195/$BX196-1,"")</f>
        <v/>
      </c>
      <c r="FJ195" s="59">
        <f>$BY195-$BY196</f>
        <v/>
      </c>
      <c r="FK195" s="59">
        <f>$BZ195-$BZ196</f>
        <v/>
      </c>
      <c r="FL195" s="59">
        <f>$CA195-$CA196</f>
        <v/>
      </c>
      <c r="FM195" s="59">
        <f>$CB195-$CB196</f>
        <v/>
      </c>
      <c r="FN195" s="59">
        <f>$CC195-$CC196</f>
        <v/>
      </c>
      <c r="FO195" s="59">
        <f>$CD195-$CD196</f>
        <v/>
      </c>
      <c r="FP195" s="59">
        <f>$CE195-$CE196</f>
        <v/>
      </c>
      <c r="FQ195" s="59">
        <f>$CF195-$CF196</f>
        <v/>
      </c>
      <c r="FR195" s="59">
        <f>$CG195-$CG196</f>
        <v/>
      </c>
      <c r="FS195" s="59">
        <f>$CH195-$CH196</f>
        <v/>
      </c>
      <c r="FT195" s="59">
        <f>$CI195-$CI196</f>
        <v/>
      </c>
      <c r="FU195" s="59">
        <f>$CJ195-$CJ196</f>
        <v/>
      </c>
      <c r="FV195" s="59">
        <f>$CK195-$CK196</f>
        <v/>
      </c>
      <c r="FW195" s="59">
        <f>$CL195-$CL196</f>
        <v/>
      </c>
      <c r="FX195" s="59">
        <f>$CM195-$CM196</f>
        <v/>
      </c>
      <c r="FY195" s="59">
        <f>$CN195-$CN196</f>
        <v/>
      </c>
      <c r="FZ195" s="59">
        <f>$CO195-$CO196</f>
        <v/>
      </c>
      <c r="GA195" s="59">
        <f>$CP195-$CP196</f>
        <v/>
      </c>
      <c r="GB195" s="59">
        <f>$CQ195-$CQ196</f>
        <v/>
      </c>
      <c r="GC195" s="59">
        <f>$CR195-$CR196</f>
        <v/>
      </c>
      <c r="GD195" s="59">
        <f>$CS195-$CS196</f>
        <v/>
      </c>
      <c r="GE195" s="59">
        <f>$CT195-$CT196</f>
        <v/>
      </c>
    </row>
    <row r="196">
      <c r="CU196" s="58">
        <f>IFERROR($B196/$B197-1,"")</f>
        <v/>
      </c>
      <c r="CV196" s="59">
        <f>($F196-$F197)*100</f>
        <v/>
      </c>
      <c r="CW196" s="59">
        <f>($E196-$E197)*100</f>
        <v/>
      </c>
      <c r="CX196" s="58">
        <f>IFERROR($K196/$K197-1,"")</f>
        <v/>
      </c>
      <c r="CY196" s="59">
        <f>($AH196-$AH197)*100</f>
        <v/>
      </c>
      <c r="CZ196" s="59">
        <f>($AI196-$AI197)*100</f>
        <v/>
      </c>
      <c r="DA196" s="59">
        <f>($AJ196-$AJ197)*100</f>
        <v/>
      </c>
      <c r="DB196" s="59">
        <f>($AK196-$AK197)*100</f>
        <v/>
      </c>
      <c r="DC196" s="59">
        <f>($AL196-$AL197)*100</f>
        <v/>
      </c>
      <c r="DD196" s="59">
        <f>($AM196-$AM197)*100</f>
        <v/>
      </c>
      <c r="DE196" s="59">
        <f>($AN196-$AN197)*100</f>
        <v/>
      </c>
      <c r="DF196" s="59">
        <f>($AO196-$AO197)*100</f>
        <v/>
      </c>
      <c r="DG196" s="59">
        <f>($AP196-$AP197)*100</f>
        <v/>
      </c>
      <c r="DH196" s="59">
        <f>($AQ196-$AQ197)*100</f>
        <v/>
      </c>
      <c r="DI196" s="59">
        <f>($AR196-$AR197)*100</f>
        <v/>
      </c>
      <c r="DJ196" s="59">
        <f>($AS196-$AS197)*100</f>
        <v/>
      </c>
      <c r="DK196" s="59">
        <f>($AT196-$AT197)*100</f>
        <v/>
      </c>
      <c r="DL196" s="59">
        <f>($AU196-$AU197)*100</f>
        <v/>
      </c>
      <c r="DM196" s="59">
        <f>($AV196-$AV197)*100</f>
        <v/>
      </c>
      <c r="DN196" s="59">
        <f>($AW196-$AW197)*100</f>
        <v/>
      </c>
      <c r="DO196" s="59">
        <f>($AX196-$AX197)*100</f>
        <v/>
      </c>
      <c r="DP196" s="59">
        <f>($AY196-$AY197)*100</f>
        <v/>
      </c>
      <c r="DQ196" s="59">
        <f>($AZ196-$AZ197)*100</f>
        <v/>
      </c>
      <c r="DR196" s="59">
        <f>($BA196-$BA197)*100</f>
        <v/>
      </c>
      <c r="DS196" s="58">
        <f>IFERROR($N197/$N196-1,"")</f>
        <v/>
      </c>
      <c r="DT196" s="58">
        <f>IFERROR($O197/$O196-1,"")</f>
        <v/>
      </c>
      <c r="DU196" s="58">
        <f>IFERROR($P197/$P196-1,"")</f>
        <v/>
      </c>
      <c r="DV196" s="58">
        <f>IFERROR($Q197/$Q196-1,"")</f>
        <v/>
      </c>
      <c r="DW196" s="58">
        <f>IFERROR($R197/$R196-1,"")</f>
        <v/>
      </c>
      <c r="DX196" s="58">
        <f>IFERROR($S197/$S196-1,"")</f>
        <v/>
      </c>
      <c r="DY196" s="58">
        <f>IFERROR($T197/$T196-1,"")</f>
        <v/>
      </c>
      <c r="DZ196" s="58">
        <f>IFERROR($U197/$U196-1,"")</f>
        <v/>
      </c>
      <c r="EA196" s="58">
        <f>IFERROR($V197/$V196-1,"")</f>
        <v/>
      </c>
      <c r="EB196" s="58">
        <f>IFERROR($W197/$W196-1,"")</f>
        <v/>
      </c>
      <c r="EC196" s="58">
        <f>IFERROR($X197/$X196-1,"")</f>
        <v/>
      </c>
      <c r="ED196" s="58">
        <f>IFERROR($Y197/$Y196-1,"")</f>
        <v/>
      </c>
      <c r="EE196" s="58">
        <f>IFERROR($Z197/$Z196-1,"")</f>
        <v/>
      </c>
      <c r="EF196" s="58">
        <f>IFERROR($AA197/$AA196-1,"")</f>
        <v/>
      </c>
      <c r="EG196" s="58">
        <f>IFERROR($AB197/$AB196-1,"")</f>
        <v/>
      </c>
      <c r="EH196" s="58">
        <f>IFERROR($AC197/$AC196-1,"")</f>
        <v/>
      </c>
      <c r="EI196" s="58">
        <f>IFERROR($AD197/$AD196-1,"")</f>
        <v/>
      </c>
      <c r="EJ196" s="58">
        <f>IFERROR($AE197/$AE196-1,"")</f>
        <v/>
      </c>
      <c r="EK196" s="58">
        <f>IFERROR($AF197/$AF196-1,"")</f>
        <v/>
      </c>
      <c r="EL196" s="58">
        <f>IFERROR($AG197/$AG196-1,"")</f>
        <v/>
      </c>
      <c r="EM196" s="58">
        <f>IFERROR($BB196/$BB197-1,"")</f>
        <v/>
      </c>
      <c r="EN196" s="58">
        <f>IFERROR($BC196/$BC197-1,"")</f>
        <v/>
      </c>
      <c r="EO196" s="58">
        <f>IFERROR($BD196/$BD197-1,"")</f>
        <v/>
      </c>
      <c r="EP196" s="58">
        <f>IFERROR($BE196/$BE197-1,"")</f>
        <v/>
      </c>
      <c r="EQ196" s="58">
        <f>IFERROR($BF196/$BF197-1,"")</f>
        <v/>
      </c>
      <c r="ER196" s="58">
        <f>IFERROR($BG196/$BG197-1,"")</f>
        <v/>
      </c>
      <c r="ES196" s="58">
        <f>IFERROR($BH196/$BH197-1,"")</f>
        <v/>
      </c>
      <c r="ET196" s="58">
        <f>IFERROR($BI196/$BI197-1,"")</f>
        <v/>
      </c>
      <c r="EU196" s="58">
        <f>IFERROR($BJ196/$BJ197-1,"")</f>
        <v/>
      </c>
      <c r="EV196" s="58">
        <f>IFERROR($BK196/$BK197-1,"")</f>
        <v/>
      </c>
      <c r="EW196" s="58">
        <f>IFERROR($BL196/$BL197-1,"")</f>
        <v/>
      </c>
      <c r="EX196" s="58">
        <f>IFERROR($BM196/$BM197-1,"")</f>
        <v/>
      </c>
      <c r="EY196" s="58">
        <f>IFERROR($BN196/$BN197-1,"")</f>
        <v/>
      </c>
      <c r="EZ196" s="58">
        <f>IFERROR($BO196/$BO197-1,"")</f>
        <v/>
      </c>
      <c r="FA196" s="58">
        <f>IFERROR($BP196/$BP197-1,"")</f>
        <v/>
      </c>
      <c r="FB196" s="58">
        <f>IFERROR($BQ196/$BQ197-1,"")</f>
        <v/>
      </c>
      <c r="FC196" s="58">
        <f>IFERROR($BR196/$BR197-1,"")</f>
        <v/>
      </c>
      <c r="FD196" s="58">
        <f>IFERROR($BS196/$BS197-1,"")</f>
        <v/>
      </c>
      <c r="FE196" s="58">
        <f>IFERROR($BT196/$BT197-1,"")</f>
        <v/>
      </c>
      <c r="FF196" s="58">
        <f>IFERROR($BU196/$BU197-1,"")</f>
        <v/>
      </c>
      <c r="FG196" s="58">
        <f>IFERROR($BV196/$BV197-1,"")</f>
        <v/>
      </c>
      <c r="FH196" s="58">
        <f>IFERROR($BW196/$BW197-1,"")</f>
        <v/>
      </c>
      <c r="FI196" s="58">
        <f>IFERROR($BX196/$BX197-1,"")</f>
        <v/>
      </c>
      <c r="FJ196" s="59">
        <f>$BY196-$BY197</f>
        <v/>
      </c>
      <c r="FK196" s="59">
        <f>$BZ196-$BZ197</f>
        <v/>
      </c>
      <c r="FL196" s="59">
        <f>$CA196-$CA197</f>
        <v/>
      </c>
      <c r="FM196" s="59">
        <f>$CB196-$CB197</f>
        <v/>
      </c>
      <c r="FN196" s="59">
        <f>$CC196-$CC197</f>
        <v/>
      </c>
      <c r="FO196" s="59">
        <f>$CD196-$CD197</f>
        <v/>
      </c>
      <c r="FP196" s="59">
        <f>$CE196-$CE197</f>
        <v/>
      </c>
      <c r="FQ196" s="59">
        <f>$CF196-$CF197</f>
        <v/>
      </c>
      <c r="FR196" s="59">
        <f>$CG196-$CG197</f>
        <v/>
      </c>
      <c r="FS196" s="59">
        <f>$CH196-$CH197</f>
        <v/>
      </c>
      <c r="FT196" s="59">
        <f>$CI196-$CI197</f>
        <v/>
      </c>
      <c r="FU196" s="59">
        <f>$CJ196-$CJ197</f>
        <v/>
      </c>
      <c r="FV196" s="59">
        <f>$CK196-$CK197</f>
        <v/>
      </c>
      <c r="FW196" s="59">
        <f>$CL196-$CL197</f>
        <v/>
      </c>
      <c r="FX196" s="59">
        <f>$CM196-$CM197</f>
        <v/>
      </c>
      <c r="FY196" s="59">
        <f>$CN196-$CN197</f>
        <v/>
      </c>
      <c r="FZ196" s="59">
        <f>$CO196-$CO197</f>
        <v/>
      </c>
      <c r="GA196" s="59">
        <f>$CP196-$CP197</f>
        <v/>
      </c>
      <c r="GB196" s="59">
        <f>$CQ196-$CQ197</f>
        <v/>
      </c>
      <c r="GC196" s="59">
        <f>$CR196-$CR197</f>
        <v/>
      </c>
      <c r="GD196" s="59">
        <f>$CS196-$CS197</f>
        <v/>
      </c>
      <c r="GE196" s="59">
        <f>$CT196-$CT197</f>
        <v/>
      </c>
    </row>
    <row r="197">
      <c r="CU197" s="58">
        <f>IFERROR($B197/$B198-1,"")</f>
        <v/>
      </c>
      <c r="CV197" s="59">
        <f>($F197-$F198)*100</f>
        <v/>
      </c>
      <c r="CW197" s="59">
        <f>($E197-$E198)*100</f>
        <v/>
      </c>
      <c r="CX197" s="58">
        <f>IFERROR($K197/$K198-1,"")</f>
        <v/>
      </c>
      <c r="CY197" s="59">
        <f>($AH197-$AH198)*100</f>
        <v/>
      </c>
      <c r="CZ197" s="59">
        <f>($AI197-$AI198)*100</f>
        <v/>
      </c>
      <c r="DA197" s="59">
        <f>($AJ197-$AJ198)*100</f>
        <v/>
      </c>
      <c r="DB197" s="59">
        <f>($AK197-$AK198)*100</f>
        <v/>
      </c>
      <c r="DC197" s="59">
        <f>($AL197-$AL198)*100</f>
        <v/>
      </c>
      <c r="DD197" s="59">
        <f>($AM197-$AM198)*100</f>
        <v/>
      </c>
      <c r="DE197" s="59">
        <f>($AN197-$AN198)*100</f>
        <v/>
      </c>
      <c r="DF197" s="59">
        <f>($AO197-$AO198)*100</f>
        <v/>
      </c>
      <c r="DG197" s="59">
        <f>($AP197-$AP198)*100</f>
        <v/>
      </c>
      <c r="DH197" s="59">
        <f>($AQ197-$AQ198)*100</f>
        <v/>
      </c>
      <c r="DI197" s="59">
        <f>($AR197-$AR198)*100</f>
        <v/>
      </c>
      <c r="DJ197" s="59">
        <f>($AS197-$AS198)*100</f>
        <v/>
      </c>
      <c r="DK197" s="59">
        <f>($AT197-$AT198)*100</f>
        <v/>
      </c>
      <c r="DL197" s="59">
        <f>($AU197-$AU198)*100</f>
        <v/>
      </c>
      <c r="DM197" s="59">
        <f>($AV197-$AV198)*100</f>
        <v/>
      </c>
      <c r="DN197" s="59">
        <f>($AW197-$AW198)*100</f>
        <v/>
      </c>
      <c r="DO197" s="59">
        <f>($AX197-$AX198)*100</f>
        <v/>
      </c>
      <c r="DP197" s="59">
        <f>($AY197-$AY198)*100</f>
        <v/>
      </c>
      <c r="DQ197" s="59">
        <f>($AZ197-$AZ198)*100</f>
        <v/>
      </c>
      <c r="DR197" s="59">
        <f>($BA197-$BA198)*100</f>
        <v/>
      </c>
      <c r="DS197" s="58">
        <f>IFERROR($N198/$N197-1,"")</f>
        <v/>
      </c>
      <c r="DT197" s="58">
        <f>IFERROR($O198/$O197-1,"")</f>
        <v/>
      </c>
      <c r="DU197" s="58">
        <f>IFERROR($P198/$P197-1,"")</f>
        <v/>
      </c>
      <c r="DV197" s="58">
        <f>IFERROR($Q198/$Q197-1,"")</f>
        <v/>
      </c>
      <c r="DW197" s="58">
        <f>IFERROR($R198/$R197-1,"")</f>
        <v/>
      </c>
      <c r="DX197" s="58">
        <f>IFERROR($S198/$S197-1,"")</f>
        <v/>
      </c>
      <c r="DY197" s="58">
        <f>IFERROR($T198/$T197-1,"")</f>
        <v/>
      </c>
      <c r="DZ197" s="58">
        <f>IFERROR($U198/$U197-1,"")</f>
        <v/>
      </c>
      <c r="EA197" s="58">
        <f>IFERROR($V198/$V197-1,"")</f>
        <v/>
      </c>
      <c r="EB197" s="58">
        <f>IFERROR($W198/$W197-1,"")</f>
        <v/>
      </c>
      <c r="EC197" s="58">
        <f>IFERROR($X198/$X197-1,"")</f>
        <v/>
      </c>
      <c r="ED197" s="58">
        <f>IFERROR($Y198/$Y197-1,"")</f>
        <v/>
      </c>
      <c r="EE197" s="58">
        <f>IFERROR($Z198/$Z197-1,"")</f>
        <v/>
      </c>
      <c r="EF197" s="58">
        <f>IFERROR($AA198/$AA197-1,"")</f>
        <v/>
      </c>
      <c r="EG197" s="58">
        <f>IFERROR($AB198/$AB197-1,"")</f>
        <v/>
      </c>
      <c r="EH197" s="58">
        <f>IFERROR($AC198/$AC197-1,"")</f>
        <v/>
      </c>
      <c r="EI197" s="58">
        <f>IFERROR($AD198/$AD197-1,"")</f>
        <v/>
      </c>
      <c r="EJ197" s="58">
        <f>IFERROR($AE198/$AE197-1,"")</f>
        <v/>
      </c>
      <c r="EK197" s="58">
        <f>IFERROR($AF198/$AF197-1,"")</f>
        <v/>
      </c>
      <c r="EL197" s="58">
        <f>IFERROR($AG198/$AG197-1,"")</f>
        <v/>
      </c>
      <c r="EM197" s="58">
        <f>IFERROR($BB197/$BB198-1,"")</f>
        <v/>
      </c>
      <c r="EN197" s="58">
        <f>IFERROR($BC197/$BC198-1,"")</f>
        <v/>
      </c>
      <c r="EO197" s="58">
        <f>IFERROR($BD197/$BD198-1,"")</f>
        <v/>
      </c>
      <c r="EP197" s="58">
        <f>IFERROR($BE197/$BE198-1,"")</f>
        <v/>
      </c>
      <c r="EQ197" s="58">
        <f>IFERROR($BF197/$BF198-1,"")</f>
        <v/>
      </c>
      <c r="ER197" s="58">
        <f>IFERROR($BG197/$BG198-1,"")</f>
        <v/>
      </c>
      <c r="ES197" s="58">
        <f>IFERROR($BH197/$BH198-1,"")</f>
        <v/>
      </c>
      <c r="ET197" s="58">
        <f>IFERROR($BI197/$BI198-1,"")</f>
        <v/>
      </c>
      <c r="EU197" s="58">
        <f>IFERROR($BJ197/$BJ198-1,"")</f>
        <v/>
      </c>
      <c r="EV197" s="58">
        <f>IFERROR($BK197/$BK198-1,"")</f>
        <v/>
      </c>
      <c r="EW197" s="58">
        <f>IFERROR($BL197/$BL198-1,"")</f>
        <v/>
      </c>
      <c r="EX197" s="58">
        <f>IFERROR($BM197/$BM198-1,"")</f>
        <v/>
      </c>
      <c r="EY197" s="58">
        <f>IFERROR($BN197/$BN198-1,"")</f>
        <v/>
      </c>
      <c r="EZ197" s="58">
        <f>IFERROR($BO197/$BO198-1,"")</f>
        <v/>
      </c>
      <c r="FA197" s="58">
        <f>IFERROR($BP197/$BP198-1,"")</f>
        <v/>
      </c>
      <c r="FB197" s="58">
        <f>IFERROR($BQ197/$BQ198-1,"")</f>
        <v/>
      </c>
      <c r="FC197" s="58">
        <f>IFERROR($BR197/$BR198-1,"")</f>
        <v/>
      </c>
      <c r="FD197" s="58">
        <f>IFERROR($BS197/$BS198-1,"")</f>
        <v/>
      </c>
      <c r="FE197" s="58">
        <f>IFERROR($BT197/$BT198-1,"")</f>
        <v/>
      </c>
      <c r="FF197" s="58">
        <f>IFERROR($BU197/$BU198-1,"")</f>
        <v/>
      </c>
      <c r="FG197" s="58">
        <f>IFERROR($BV197/$BV198-1,"")</f>
        <v/>
      </c>
      <c r="FH197" s="58">
        <f>IFERROR($BW197/$BW198-1,"")</f>
        <v/>
      </c>
      <c r="FI197" s="58">
        <f>IFERROR($BX197/$BX198-1,"")</f>
        <v/>
      </c>
      <c r="FJ197" s="59">
        <f>$BY197-$BY198</f>
        <v/>
      </c>
      <c r="FK197" s="59">
        <f>$BZ197-$BZ198</f>
        <v/>
      </c>
      <c r="FL197" s="59">
        <f>$CA197-$CA198</f>
        <v/>
      </c>
      <c r="FM197" s="59">
        <f>$CB197-$CB198</f>
        <v/>
      </c>
      <c r="FN197" s="59">
        <f>$CC197-$CC198</f>
        <v/>
      </c>
      <c r="FO197" s="59">
        <f>$CD197-$CD198</f>
        <v/>
      </c>
      <c r="FP197" s="59">
        <f>$CE197-$CE198</f>
        <v/>
      </c>
      <c r="FQ197" s="59">
        <f>$CF197-$CF198</f>
        <v/>
      </c>
      <c r="FR197" s="59">
        <f>$CG197-$CG198</f>
        <v/>
      </c>
      <c r="FS197" s="59">
        <f>$CH197-$CH198</f>
        <v/>
      </c>
      <c r="FT197" s="59">
        <f>$CI197-$CI198</f>
        <v/>
      </c>
      <c r="FU197" s="59">
        <f>$CJ197-$CJ198</f>
        <v/>
      </c>
      <c r="FV197" s="59">
        <f>$CK197-$CK198</f>
        <v/>
      </c>
      <c r="FW197" s="59">
        <f>$CL197-$CL198</f>
        <v/>
      </c>
      <c r="FX197" s="59">
        <f>$CM197-$CM198</f>
        <v/>
      </c>
      <c r="FY197" s="59">
        <f>$CN197-$CN198</f>
        <v/>
      </c>
      <c r="FZ197" s="59">
        <f>$CO197-$CO198</f>
        <v/>
      </c>
      <c r="GA197" s="59">
        <f>$CP197-$CP198</f>
        <v/>
      </c>
      <c r="GB197" s="59">
        <f>$CQ197-$CQ198</f>
        <v/>
      </c>
      <c r="GC197" s="59">
        <f>$CR197-$CR198</f>
        <v/>
      </c>
      <c r="GD197" s="59">
        <f>$CS197-$CS198</f>
        <v/>
      </c>
      <c r="GE197" s="59">
        <f>$CT197-$CT198</f>
        <v/>
      </c>
    </row>
    <row r="198">
      <c r="CU198" s="58">
        <f>IFERROR($B198/$B199-1,"")</f>
        <v/>
      </c>
      <c r="CV198" s="59">
        <f>($F198-$F199)*100</f>
        <v/>
      </c>
      <c r="CW198" s="59">
        <f>($E198-$E199)*100</f>
        <v/>
      </c>
      <c r="CX198" s="58">
        <f>IFERROR($K198/$K199-1,"")</f>
        <v/>
      </c>
      <c r="CY198" s="59">
        <f>($AH198-$AH199)*100</f>
        <v/>
      </c>
      <c r="CZ198" s="59">
        <f>($AI198-$AI199)*100</f>
        <v/>
      </c>
      <c r="DA198" s="59">
        <f>($AJ198-$AJ199)*100</f>
        <v/>
      </c>
      <c r="DB198" s="59">
        <f>($AK198-$AK199)*100</f>
        <v/>
      </c>
      <c r="DC198" s="59">
        <f>($AL198-$AL199)*100</f>
        <v/>
      </c>
      <c r="DD198" s="59">
        <f>($AM198-$AM199)*100</f>
        <v/>
      </c>
      <c r="DE198" s="59">
        <f>($AN198-$AN199)*100</f>
        <v/>
      </c>
      <c r="DF198" s="59">
        <f>($AO198-$AO199)*100</f>
        <v/>
      </c>
      <c r="DG198" s="59">
        <f>($AP198-$AP199)*100</f>
        <v/>
      </c>
      <c r="DH198" s="59">
        <f>($AQ198-$AQ199)*100</f>
        <v/>
      </c>
      <c r="DI198" s="59">
        <f>($AR198-$AR199)*100</f>
        <v/>
      </c>
      <c r="DJ198" s="59">
        <f>($AS198-$AS199)*100</f>
        <v/>
      </c>
      <c r="DK198" s="59">
        <f>($AT198-$AT199)*100</f>
        <v/>
      </c>
      <c r="DL198" s="59">
        <f>($AU198-$AU199)*100</f>
        <v/>
      </c>
      <c r="DM198" s="59">
        <f>($AV198-$AV199)*100</f>
        <v/>
      </c>
      <c r="DN198" s="59">
        <f>($AW198-$AW199)*100</f>
        <v/>
      </c>
      <c r="DO198" s="59">
        <f>($AX198-$AX199)*100</f>
        <v/>
      </c>
      <c r="DP198" s="59">
        <f>($AY198-$AY199)*100</f>
        <v/>
      </c>
      <c r="DQ198" s="59">
        <f>($AZ198-$AZ199)*100</f>
        <v/>
      </c>
      <c r="DR198" s="59">
        <f>($BA198-$BA199)*100</f>
        <v/>
      </c>
      <c r="DS198" s="58">
        <f>IFERROR($N199/$N198-1,"")</f>
        <v/>
      </c>
      <c r="DT198" s="58">
        <f>IFERROR($O199/$O198-1,"")</f>
        <v/>
      </c>
      <c r="DU198" s="58">
        <f>IFERROR($P199/$P198-1,"")</f>
        <v/>
      </c>
      <c r="DV198" s="58">
        <f>IFERROR($Q199/$Q198-1,"")</f>
        <v/>
      </c>
      <c r="DW198" s="58">
        <f>IFERROR($R199/$R198-1,"")</f>
        <v/>
      </c>
      <c r="DX198" s="58">
        <f>IFERROR($S199/$S198-1,"")</f>
        <v/>
      </c>
      <c r="DY198" s="58">
        <f>IFERROR($T199/$T198-1,"")</f>
        <v/>
      </c>
      <c r="DZ198" s="58">
        <f>IFERROR($U199/$U198-1,"")</f>
        <v/>
      </c>
      <c r="EA198" s="58">
        <f>IFERROR($V199/$V198-1,"")</f>
        <v/>
      </c>
      <c r="EB198" s="58">
        <f>IFERROR($W199/$W198-1,"")</f>
        <v/>
      </c>
      <c r="EC198" s="58">
        <f>IFERROR($X199/$X198-1,"")</f>
        <v/>
      </c>
      <c r="ED198" s="58">
        <f>IFERROR($Y199/$Y198-1,"")</f>
        <v/>
      </c>
      <c r="EE198" s="58">
        <f>IFERROR($Z199/$Z198-1,"")</f>
        <v/>
      </c>
      <c r="EF198" s="58">
        <f>IFERROR($AA199/$AA198-1,"")</f>
        <v/>
      </c>
      <c r="EG198" s="58">
        <f>IFERROR($AB199/$AB198-1,"")</f>
        <v/>
      </c>
      <c r="EH198" s="58">
        <f>IFERROR($AC199/$AC198-1,"")</f>
        <v/>
      </c>
      <c r="EI198" s="58">
        <f>IFERROR($AD199/$AD198-1,"")</f>
        <v/>
      </c>
      <c r="EJ198" s="58">
        <f>IFERROR($AE199/$AE198-1,"")</f>
        <v/>
      </c>
      <c r="EK198" s="58">
        <f>IFERROR($AF199/$AF198-1,"")</f>
        <v/>
      </c>
      <c r="EL198" s="58">
        <f>IFERROR($AG199/$AG198-1,"")</f>
        <v/>
      </c>
      <c r="EM198" s="58">
        <f>IFERROR($BB198/$BB199-1,"")</f>
        <v/>
      </c>
      <c r="EN198" s="58">
        <f>IFERROR($BC198/$BC199-1,"")</f>
        <v/>
      </c>
      <c r="EO198" s="58">
        <f>IFERROR($BD198/$BD199-1,"")</f>
        <v/>
      </c>
      <c r="EP198" s="58">
        <f>IFERROR($BE198/$BE199-1,"")</f>
        <v/>
      </c>
      <c r="EQ198" s="58">
        <f>IFERROR($BF198/$BF199-1,"")</f>
        <v/>
      </c>
      <c r="ER198" s="58">
        <f>IFERROR($BG198/$BG199-1,"")</f>
        <v/>
      </c>
      <c r="ES198" s="58">
        <f>IFERROR($BH198/$BH199-1,"")</f>
        <v/>
      </c>
      <c r="ET198" s="58">
        <f>IFERROR($BI198/$BI199-1,"")</f>
        <v/>
      </c>
      <c r="EU198" s="58">
        <f>IFERROR($BJ198/$BJ199-1,"")</f>
        <v/>
      </c>
      <c r="EV198" s="58">
        <f>IFERROR($BK198/$BK199-1,"")</f>
        <v/>
      </c>
      <c r="EW198" s="58">
        <f>IFERROR($BL198/$BL199-1,"")</f>
        <v/>
      </c>
      <c r="EX198" s="58">
        <f>IFERROR($BM198/$BM199-1,"")</f>
        <v/>
      </c>
      <c r="EY198" s="58">
        <f>IFERROR($BN198/$BN199-1,"")</f>
        <v/>
      </c>
      <c r="EZ198" s="58">
        <f>IFERROR($BO198/$BO199-1,"")</f>
        <v/>
      </c>
      <c r="FA198" s="58">
        <f>IFERROR($BP198/$BP199-1,"")</f>
        <v/>
      </c>
      <c r="FB198" s="58">
        <f>IFERROR($BQ198/$BQ199-1,"")</f>
        <v/>
      </c>
      <c r="FC198" s="58">
        <f>IFERROR($BR198/$BR199-1,"")</f>
        <v/>
      </c>
      <c r="FD198" s="58">
        <f>IFERROR($BS198/$BS199-1,"")</f>
        <v/>
      </c>
      <c r="FE198" s="58">
        <f>IFERROR($BT198/$BT199-1,"")</f>
        <v/>
      </c>
      <c r="FF198" s="58">
        <f>IFERROR($BU198/$BU199-1,"")</f>
        <v/>
      </c>
      <c r="FG198" s="58">
        <f>IFERROR($BV198/$BV199-1,"")</f>
        <v/>
      </c>
      <c r="FH198" s="58">
        <f>IFERROR($BW198/$BW199-1,"")</f>
        <v/>
      </c>
      <c r="FI198" s="58">
        <f>IFERROR($BX198/$BX199-1,"")</f>
        <v/>
      </c>
      <c r="FJ198" s="59">
        <f>$BY198-$BY199</f>
        <v/>
      </c>
      <c r="FK198" s="59">
        <f>$BZ198-$BZ199</f>
        <v/>
      </c>
      <c r="FL198" s="59">
        <f>$CA198-$CA199</f>
        <v/>
      </c>
      <c r="FM198" s="59">
        <f>$CB198-$CB199</f>
        <v/>
      </c>
      <c r="FN198" s="59">
        <f>$CC198-$CC199</f>
        <v/>
      </c>
      <c r="FO198" s="59">
        <f>$CD198-$CD199</f>
        <v/>
      </c>
      <c r="FP198" s="59">
        <f>$CE198-$CE199</f>
        <v/>
      </c>
      <c r="FQ198" s="59">
        <f>$CF198-$CF199</f>
        <v/>
      </c>
      <c r="FR198" s="59">
        <f>$CG198-$CG199</f>
        <v/>
      </c>
      <c r="FS198" s="59">
        <f>$CH198-$CH199</f>
        <v/>
      </c>
      <c r="FT198" s="59">
        <f>$CI198-$CI199</f>
        <v/>
      </c>
      <c r="FU198" s="59">
        <f>$CJ198-$CJ199</f>
        <v/>
      </c>
      <c r="FV198" s="59">
        <f>$CK198-$CK199</f>
        <v/>
      </c>
      <c r="FW198" s="59">
        <f>$CL198-$CL199</f>
        <v/>
      </c>
      <c r="FX198" s="59">
        <f>$CM198-$CM199</f>
        <v/>
      </c>
      <c r="FY198" s="59">
        <f>$CN198-$CN199</f>
        <v/>
      </c>
      <c r="FZ198" s="59">
        <f>$CO198-$CO199</f>
        <v/>
      </c>
      <c r="GA198" s="59">
        <f>$CP198-$CP199</f>
        <v/>
      </c>
      <c r="GB198" s="59">
        <f>$CQ198-$CQ199</f>
        <v/>
      </c>
      <c r="GC198" s="59">
        <f>$CR198-$CR199</f>
        <v/>
      </c>
      <c r="GD198" s="59">
        <f>$CS198-$CS199</f>
        <v/>
      </c>
      <c r="GE198" s="59">
        <f>$CT198-$CT199</f>
        <v/>
      </c>
    </row>
    <row r="199">
      <c r="CU199" s="58">
        <f>IFERROR($B199/$B200-1,"")</f>
        <v/>
      </c>
      <c r="CV199" s="59">
        <f>($F199-$F200)*100</f>
        <v/>
      </c>
      <c r="CW199" s="59">
        <f>($E199-$E200)*100</f>
        <v/>
      </c>
      <c r="CX199" s="58">
        <f>IFERROR($K199/$K200-1,"")</f>
        <v/>
      </c>
      <c r="CY199" s="59">
        <f>($AH199-$AH200)*100</f>
        <v/>
      </c>
      <c r="CZ199" s="59">
        <f>($AI199-$AI200)*100</f>
        <v/>
      </c>
      <c r="DA199" s="59">
        <f>($AJ199-$AJ200)*100</f>
        <v/>
      </c>
      <c r="DB199" s="59">
        <f>($AK199-$AK200)*100</f>
        <v/>
      </c>
      <c r="DC199" s="59">
        <f>($AL199-$AL200)*100</f>
        <v/>
      </c>
      <c r="DD199" s="59">
        <f>($AM199-$AM200)*100</f>
        <v/>
      </c>
      <c r="DE199" s="59">
        <f>($AN199-$AN200)*100</f>
        <v/>
      </c>
      <c r="DF199" s="59">
        <f>($AO199-$AO200)*100</f>
        <v/>
      </c>
      <c r="DG199" s="59">
        <f>($AP199-$AP200)*100</f>
        <v/>
      </c>
      <c r="DH199" s="59">
        <f>($AQ199-$AQ200)*100</f>
        <v/>
      </c>
      <c r="DI199" s="59">
        <f>($AR199-$AR200)*100</f>
        <v/>
      </c>
      <c r="DJ199" s="59">
        <f>($AS199-$AS200)*100</f>
        <v/>
      </c>
      <c r="DK199" s="59">
        <f>($AT199-$AT200)*100</f>
        <v/>
      </c>
      <c r="DL199" s="59">
        <f>($AU199-$AU200)*100</f>
        <v/>
      </c>
      <c r="DM199" s="59">
        <f>($AV199-$AV200)*100</f>
        <v/>
      </c>
      <c r="DN199" s="59">
        <f>($AW199-$AW200)*100</f>
        <v/>
      </c>
      <c r="DO199" s="59">
        <f>($AX199-$AX200)*100</f>
        <v/>
      </c>
      <c r="DP199" s="59">
        <f>($AY199-$AY200)*100</f>
        <v/>
      </c>
      <c r="DQ199" s="59">
        <f>($AZ199-$AZ200)*100</f>
        <v/>
      </c>
      <c r="DR199" s="59">
        <f>($BA199-$BA200)*100</f>
        <v/>
      </c>
      <c r="DS199" s="58">
        <f>IFERROR($N200/$N199-1,"")</f>
        <v/>
      </c>
      <c r="DT199" s="58">
        <f>IFERROR($O200/$O199-1,"")</f>
        <v/>
      </c>
      <c r="DU199" s="58">
        <f>IFERROR($P200/$P199-1,"")</f>
        <v/>
      </c>
      <c r="DV199" s="58">
        <f>IFERROR($Q200/$Q199-1,"")</f>
        <v/>
      </c>
      <c r="DW199" s="58">
        <f>IFERROR($R200/$R199-1,"")</f>
        <v/>
      </c>
      <c r="DX199" s="58">
        <f>IFERROR($S200/$S199-1,"")</f>
        <v/>
      </c>
      <c r="DY199" s="58">
        <f>IFERROR($T200/$T199-1,"")</f>
        <v/>
      </c>
      <c r="DZ199" s="58">
        <f>IFERROR($U200/$U199-1,"")</f>
        <v/>
      </c>
      <c r="EA199" s="58">
        <f>IFERROR($V200/$V199-1,"")</f>
        <v/>
      </c>
      <c r="EB199" s="58">
        <f>IFERROR($W200/$W199-1,"")</f>
        <v/>
      </c>
      <c r="EC199" s="58">
        <f>IFERROR($X200/$X199-1,"")</f>
        <v/>
      </c>
      <c r="ED199" s="58">
        <f>IFERROR($Y200/$Y199-1,"")</f>
        <v/>
      </c>
      <c r="EE199" s="58">
        <f>IFERROR($Z200/$Z199-1,"")</f>
        <v/>
      </c>
      <c r="EF199" s="58">
        <f>IFERROR($AA200/$AA199-1,"")</f>
        <v/>
      </c>
      <c r="EG199" s="58">
        <f>IFERROR($AB200/$AB199-1,"")</f>
        <v/>
      </c>
      <c r="EH199" s="58">
        <f>IFERROR($AC200/$AC199-1,"")</f>
        <v/>
      </c>
      <c r="EI199" s="58">
        <f>IFERROR($AD200/$AD199-1,"")</f>
        <v/>
      </c>
      <c r="EJ199" s="58">
        <f>IFERROR($AE200/$AE199-1,"")</f>
        <v/>
      </c>
      <c r="EK199" s="58">
        <f>IFERROR($AF200/$AF199-1,"")</f>
        <v/>
      </c>
      <c r="EL199" s="58">
        <f>IFERROR($AG200/$AG199-1,"")</f>
        <v/>
      </c>
      <c r="EM199" s="58">
        <f>IFERROR($BB199/$BB200-1,"")</f>
        <v/>
      </c>
      <c r="EN199" s="58">
        <f>IFERROR($BC199/$BC200-1,"")</f>
        <v/>
      </c>
      <c r="EO199" s="58">
        <f>IFERROR($BD199/$BD200-1,"")</f>
        <v/>
      </c>
      <c r="EP199" s="58">
        <f>IFERROR($BE199/$BE200-1,"")</f>
        <v/>
      </c>
      <c r="EQ199" s="58">
        <f>IFERROR($BF199/$BF200-1,"")</f>
        <v/>
      </c>
      <c r="ER199" s="58">
        <f>IFERROR($BG199/$BG200-1,"")</f>
        <v/>
      </c>
      <c r="ES199" s="58">
        <f>IFERROR($BH199/$BH200-1,"")</f>
        <v/>
      </c>
      <c r="ET199" s="58">
        <f>IFERROR($BI199/$BI200-1,"")</f>
        <v/>
      </c>
      <c r="EU199" s="58">
        <f>IFERROR($BJ199/$BJ200-1,"")</f>
        <v/>
      </c>
      <c r="EV199" s="58">
        <f>IFERROR($BK199/$BK200-1,"")</f>
        <v/>
      </c>
      <c r="EW199" s="58">
        <f>IFERROR($BL199/$BL200-1,"")</f>
        <v/>
      </c>
      <c r="EX199" s="58">
        <f>IFERROR($BM199/$BM200-1,"")</f>
        <v/>
      </c>
      <c r="EY199" s="58">
        <f>IFERROR($BN199/$BN200-1,"")</f>
        <v/>
      </c>
      <c r="EZ199" s="58">
        <f>IFERROR($BO199/$BO200-1,"")</f>
        <v/>
      </c>
      <c r="FA199" s="58">
        <f>IFERROR($BP199/$BP200-1,"")</f>
        <v/>
      </c>
      <c r="FB199" s="58">
        <f>IFERROR($BQ199/$BQ200-1,"")</f>
        <v/>
      </c>
      <c r="FC199" s="58">
        <f>IFERROR($BR199/$BR200-1,"")</f>
        <v/>
      </c>
      <c r="FD199" s="58">
        <f>IFERROR($BS199/$BS200-1,"")</f>
        <v/>
      </c>
      <c r="FE199" s="58">
        <f>IFERROR($BT199/$BT200-1,"")</f>
        <v/>
      </c>
      <c r="FF199" s="58">
        <f>IFERROR($BU199/$BU200-1,"")</f>
        <v/>
      </c>
      <c r="FG199" s="58">
        <f>IFERROR($BV199/$BV200-1,"")</f>
        <v/>
      </c>
      <c r="FH199" s="58">
        <f>IFERROR($BW199/$BW200-1,"")</f>
        <v/>
      </c>
      <c r="FI199" s="58">
        <f>IFERROR($BX199/$BX200-1,"")</f>
        <v/>
      </c>
      <c r="FJ199" s="59">
        <f>$BY199-$BY200</f>
        <v/>
      </c>
      <c r="FK199" s="59">
        <f>$BZ199-$BZ200</f>
        <v/>
      </c>
      <c r="FL199" s="59">
        <f>$CA199-$CA200</f>
        <v/>
      </c>
      <c r="FM199" s="59">
        <f>$CB199-$CB200</f>
        <v/>
      </c>
      <c r="FN199" s="59">
        <f>$CC199-$CC200</f>
        <v/>
      </c>
      <c r="FO199" s="59">
        <f>$CD199-$CD200</f>
        <v/>
      </c>
      <c r="FP199" s="59">
        <f>$CE199-$CE200</f>
        <v/>
      </c>
      <c r="FQ199" s="59">
        <f>$CF199-$CF200</f>
        <v/>
      </c>
      <c r="FR199" s="59">
        <f>$CG199-$CG200</f>
        <v/>
      </c>
      <c r="FS199" s="59">
        <f>$CH199-$CH200</f>
        <v/>
      </c>
      <c r="FT199" s="59">
        <f>$CI199-$CI200</f>
        <v/>
      </c>
      <c r="FU199" s="59">
        <f>$CJ199-$CJ200</f>
        <v/>
      </c>
      <c r="FV199" s="59">
        <f>$CK199-$CK200</f>
        <v/>
      </c>
      <c r="FW199" s="59">
        <f>$CL199-$CL200</f>
        <v/>
      </c>
      <c r="FX199" s="59">
        <f>$CM199-$CM200</f>
        <v/>
      </c>
      <c r="FY199" s="59">
        <f>$CN199-$CN200</f>
        <v/>
      </c>
      <c r="FZ199" s="59">
        <f>$CO199-$CO200</f>
        <v/>
      </c>
      <c r="GA199" s="59">
        <f>$CP199-$CP200</f>
        <v/>
      </c>
      <c r="GB199" s="59">
        <f>$CQ199-$CQ200</f>
        <v/>
      </c>
      <c r="GC199" s="59">
        <f>$CR199-$CR200</f>
        <v/>
      </c>
      <c r="GD199" s="59">
        <f>$CS199-$CS200</f>
        <v/>
      </c>
      <c r="GE199" s="59">
        <f>$CT199-$CT200</f>
        <v/>
      </c>
    </row>
    <row r="200">
      <c r="CU200" s="58">
        <f>IFERROR($B200/$B201-1,"")</f>
        <v/>
      </c>
      <c r="CV200" s="59">
        <f>($F200-$F201)*100</f>
        <v/>
      </c>
      <c r="CW200" s="59">
        <f>($E200-$E201)*100</f>
        <v/>
      </c>
      <c r="CX200" s="58">
        <f>IFERROR($K200/$K201-1,"")</f>
        <v/>
      </c>
      <c r="CY200" s="59">
        <f>($AH200-$AH201)*100</f>
        <v/>
      </c>
      <c r="CZ200" s="59">
        <f>($AI200-$AI201)*100</f>
        <v/>
      </c>
      <c r="DA200" s="59">
        <f>($AJ200-$AJ201)*100</f>
        <v/>
      </c>
      <c r="DB200" s="59">
        <f>($AK200-$AK201)*100</f>
        <v/>
      </c>
      <c r="DC200" s="59">
        <f>($AL200-$AL201)*100</f>
        <v/>
      </c>
      <c r="DD200" s="59">
        <f>($AM200-$AM201)*100</f>
        <v/>
      </c>
      <c r="DE200" s="59">
        <f>($AN200-$AN201)*100</f>
        <v/>
      </c>
      <c r="DF200" s="59">
        <f>($AO200-$AO201)*100</f>
        <v/>
      </c>
      <c r="DG200" s="59">
        <f>($AP200-$AP201)*100</f>
        <v/>
      </c>
      <c r="DH200" s="59">
        <f>($AQ200-$AQ201)*100</f>
        <v/>
      </c>
      <c r="DI200" s="59">
        <f>($AR200-$AR201)*100</f>
        <v/>
      </c>
      <c r="DJ200" s="59">
        <f>($AS200-$AS201)*100</f>
        <v/>
      </c>
      <c r="DK200" s="59">
        <f>($AT200-$AT201)*100</f>
        <v/>
      </c>
      <c r="DL200" s="59">
        <f>($AU200-$AU201)*100</f>
        <v/>
      </c>
      <c r="DM200" s="59">
        <f>($AV200-$AV201)*100</f>
        <v/>
      </c>
      <c r="DN200" s="59">
        <f>($AW200-$AW201)*100</f>
        <v/>
      </c>
      <c r="DO200" s="59">
        <f>($AX200-$AX201)*100</f>
        <v/>
      </c>
      <c r="DP200" s="59">
        <f>($AY200-$AY201)*100</f>
        <v/>
      </c>
      <c r="DQ200" s="59">
        <f>($AZ200-$AZ201)*100</f>
        <v/>
      </c>
      <c r="DR200" s="59">
        <f>($BA200-$BA201)*100</f>
        <v/>
      </c>
      <c r="DS200" s="58">
        <f>IFERROR($N201/$N200-1,"")</f>
        <v/>
      </c>
      <c r="DT200" s="58">
        <f>IFERROR($O201/$O200-1,"")</f>
        <v/>
      </c>
      <c r="DU200" s="58">
        <f>IFERROR($P201/$P200-1,"")</f>
        <v/>
      </c>
      <c r="DV200" s="58">
        <f>IFERROR($Q201/$Q200-1,"")</f>
        <v/>
      </c>
      <c r="DW200" s="58">
        <f>IFERROR($R201/$R200-1,"")</f>
        <v/>
      </c>
      <c r="DX200" s="58">
        <f>IFERROR($S201/$S200-1,"")</f>
        <v/>
      </c>
      <c r="DY200" s="58">
        <f>IFERROR($T201/$T200-1,"")</f>
        <v/>
      </c>
      <c r="DZ200" s="58">
        <f>IFERROR($U201/$U200-1,"")</f>
        <v/>
      </c>
      <c r="EA200" s="58">
        <f>IFERROR($V201/$V200-1,"")</f>
        <v/>
      </c>
      <c r="EB200" s="58">
        <f>IFERROR($W201/$W200-1,"")</f>
        <v/>
      </c>
      <c r="EC200" s="58">
        <f>IFERROR($X201/$X200-1,"")</f>
        <v/>
      </c>
      <c r="ED200" s="58">
        <f>IFERROR($Y201/$Y200-1,"")</f>
        <v/>
      </c>
      <c r="EE200" s="58">
        <f>IFERROR($Z201/$Z200-1,"")</f>
        <v/>
      </c>
      <c r="EF200" s="58">
        <f>IFERROR($AA201/$AA200-1,"")</f>
        <v/>
      </c>
      <c r="EG200" s="58">
        <f>IFERROR($AB201/$AB200-1,"")</f>
        <v/>
      </c>
      <c r="EH200" s="58">
        <f>IFERROR($AC201/$AC200-1,"")</f>
        <v/>
      </c>
      <c r="EI200" s="58">
        <f>IFERROR($AD201/$AD200-1,"")</f>
        <v/>
      </c>
      <c r="EJ200" s="58">
        <f>IFERROR($AE201/$AE200-1,"")</f>
        <v/>
      </c>
      <c r="EK200" s="58">
        <f>IFERROR($AF201/$AF200-1,"")</f>
        <v/>
      </c>
      <c r="EL200" s="58">
        <f>IFERROR($AG201/$AG200-1,"")</f>
        <v/>
      </c>
      <c r="EM200" s="58">
        <f>IFERROR($BB200/$BB201-1,"")</f>
        <v/>
      </c>
      <c r="EN200" s="58">
        <f>IFERROR($BC200/$BC201-1,"")</f>
        <v/>
      </c>
      <c r="EO200" s="58">
        <f>IFERROR($BD200/$BD201-1,"")</f>
        <v/>
      </c>
      <c r="EP200" s="58">
        <f>IFERROR($BE200/$BE201-1,"")</f>
        <v/>
      </c>
      <c r="EQ200" s="58">
        <f>IFERROR($BF200/$BF201-1,"")</f>
        <v/>
      </c>
      <c r="ER200" s="58">
        <f>IFERROR($BG200/$BG201-1,"")</f>
        <v/>
      </c>
      <c r="ES200" s="58">
        <f>IFERROR($BH200/$BH201-1,"")</f>
        <v/>
      </c>
      <c r="ET200" s="58">
        <f>IFERROR($BI200/$BI201-1,"")</f>
        <v/>
      </c>
      <c r="EU200" s="58">
        <f>IFERROR($BJ200/$BJ201-1,"")</f>
        <v/>
      </c>
      <c r="EV200" s="58">
        <f>IFERROR($BK200/$BK201-1,"")</f>
        <v/>
      </c>
      <c r="EW200" s="58">
        <f>IFERROR($BL200/$BL201-1,"")</f>
        <v/>
      </c>
      <c r="EX200" s="58">
        <f>IFERROR($BM200/$BM201-1,"")</f>
        <v/>
      </c>
      <c r="EY200" s="58">
        <f>IFERROR($BN200/$BN201-1,"")</f>
        <v/>
      </c>
      <c r="EZ200" s="58">
        <f>IFERROR($BO200/$BO201-1,"")</f>
        <v/>
      </c>
      <c r="FA200" s="58">
        <f>IFERROR($BP200/$BP201-1,"")</f>
        <v/>
      </c>
      <c r="FB200" s="58">
        <f>IFERROR($BQ200/$BQ201-1,"")</f>
        <v/>
      </c>
      <c r="FC200" s="58">
        <f>IFERROR($BR200/$BR201-1,"")</f>
        <v/>
      </c>
      <c r="FD200" s="58">
        <f>IFERROR($BS200/$BS201-1,"")</f>
        <v/>
      </c>
      <c r="FE200" s="58">
        <f>IFERROR($BT200/$BT201-1,"")</f>
        <v/>
      </c>
      <c r="FF200" s="58">
        <f>IFERROR($BU200/$BU201-1,"")</f>
        <v/>
      </c>
      <c r="FG200" s="58">
        <f>IFERROR($BV200/$BV201-1,"")</f>
        <v/>
      </c>
      <c r="FH200" s="58">
        <f>IFERROR($BW200/$BW201-1,"")</f>
        <v/>
      </c>
      <c r="FI200" s="58">
        <f>IFERROR($BX200/$BX201-1,"")</f>
        <v/>
      </c>
      <c r="FJ200" s="59">
        <f>$BY200-$BY201</f>
        <v/>
      </c>
      <c r="FK200" s="59">
        <f>$BZ200-$BZ201</f>
        <v/>
      </c>
      <c r="FL200" s="59">
        <f>$CA200-$CA201</f>
        <v/>
      </c>
      <c r="FM200" s="59">
        <f>$CB200-$CB201</f>
        <v/>
      </c>
      <c r="FN200" s="59">
        <f>$CC200-$CC201</f>
        <v/>
      </c>
      <c r="FO200" s="59">
        <f>$CD200-$CD201</f>
        <v/>
      </c>
      <c r="FP200" s="59">
        <f>$CE200-$CE201</f>
        <v/>
      </c>
      <c r="FQ200" s="59">
        <f>$CF200-$CF201</f>
        <v/>
      </c>
      <c r="FR200" s="59">
        <f>$CG200-$CG201</f>
        <v/>
      </c>
      <c r="FS200" s="59">
        <f>$CH200-$CH201</f>
        <v/>
      </c>
      <c r="FT200" s="59">
        <f>$CI200-$CI201</f>
        <v/>
      </c>
      <c r="FU200" s="59">
        <f>$CJ200-$CJ201</f>
        <v/>
      </c>
      <c r="FV200" s="59">
        <f>$CK200-$CK201</f>
        <v/>
      </c>
      <c r="FW200" s="59">
        <f>$CL200-$CL201</f>
        <v/>
      </c>
      <c r="FX200" s="59">
        <f>$CM200-$CM201</f>
        <v/>
      </c>
      <c r="FY200" s="59">
        <f>$CN200-$CN201</f>
        <v/>
      </c>
      <c r="FZ200" s="59">
        <f>$CO200-$CO201</f>
        <v/>
      </c>
      <c r="GA200" s="59">
        <f>$CP200-$CP201</f>
        <v/>
      </c>
      <c r="GB200" s="59">
        <f>$CQ200-$CQ201</f>
        <v/>
      </c>
      <c r="GC200" s="59">
        <f>$CR200-$CR201</f>
        <v/>
      </c>
      <c r="GD200" s="59">
        <f>$CS200-$CS201</f>
        <v/>
      </c>
      <c r="GE200" s="59">
        <f>$CT200-$CT201</f>
        <v/>
      </c>
    </row>
    <row r="201">
      <c r="CU201" s="58">
        <f>IFERROR($B201/$B202-1,"")</f>
        <v/>
      </c>
      <c r="CV201" s="59">
        <f>($F201-$F202)*100</f>
        <v/>
      </c>
      <c r="CW201" s="59">
        <f>($E201-$E202)*100</f>
        <v/>
      </c>
      <c r="CX201" s="58">
        <f>IFERROR($K201/$K202-1,"")</f>
        <v/>
      </c>
      <c r="CY201" s="59">
        <f>($AH201-$AH202)*100</f>
        <v/>
      </c>
      <c r="CZ201" s="59">
        <f>($AI201-$AI202)*100</f>
        <v/>
      </c>
      <c r="DA201" s="59">
        <f>($AJ201-$AJ202)*100</f>
        <v/>
      </c>
      <c r="DB201" s="59">
        <f>($AK201-$AK202)*100</f>
        <v/>
      </c>
      <c r="DC201" s="59">
        <f>($AL201-$AL202)*100</f>
        <v/>
      </c>
      <c r="DD201" s="59">
        <f>($AM201-$AM202)*100</f>
        <v/>
      </c>
      <c r="DE201" s="59">
        <f>($AN201-$AN202)*100</f>
        <v/>
      </c>
      <c r="DF201" s="59">
        <f>($AO201-$AO202)*100</f>
        <v/>
      </c>
      <c r="DG201" s="59">
        <f>($AP201-$AP202)*100</f>
        <v/>
      </c>
      <c r="DH201" s="59">
        <f>($AQ201-$AQ202)*100</f>
        <v/>
      </c>
      <c r="DI201" s="59">
        <f>($AR201-$AR202)*100</f>
        <v/>
      </c>
      <c r="DJ201" s="59">
        <f>($AS201-$AS202)*100</f>
        <v/>
      </c>
      <c r="DK201" s="59">
        <f>($AT201-$AT202)*100</f>
        <v/>
      </c>
      <c r="DL201" s="59">
        <f>($AU201-$AU202)*100</f>
        <v/>
      </c>
      <c r="DM201" s="59">
        <f>($AV201-$AV202)*100</f>
        <v/>
      </c>
      <c r="DN201" s="59">
        <f>($AW201-$AW202)*100</f>
        <v/>
      </c>
      <c r="DO201" s="59">
        <f>($AX201-$AX202)*100</f>
        <v/>
      </c>
      <c r="DP201" s="59">
        <f>($AY201-$AY202)*100</f>
        <v/>
      </c>
      <c r="DQ201" s="59">
        <f>($AZ201-$AZ202)*100</f>
        <v/>
      </c>
      <c r="DR201" s="59">
        <f>($BA201-$BA202)*100</f>
        <v/>
      </c>
      <c r="DS201" s="58">
        <f>IFERROR($N202/$N201-1,"")</f>
        <v/>
      </c>
      <c r="DT201" s="58">
        <f>IFERROR($O202/$O201-1,"")</f>
        <v/>
      </c>
      <c r="DU201" s="58">
        <f>IFERROR($P202/$P201-1,"")</f>
        <v/>
      </c>
      <c r="DV201" s="58">
        <f>IFERROR($Q202/$Q201-1,"")</f>
        <v/>
      </c>
      <c r="DW201" s="58">
        <f>IFERROR($R202/$R201-1,"")</f>
        <v/>
      </c>
      <c r="DX201" s="58">
        <f>IFERROR($S202/$S201-1,"")</f>
        <v/>
      </c>
      <c r="DY201" s="58">
        <f>IFERROR($T202/$T201-1,"")</f>
        <v/>
      </c>
      <c r="DZ201" s="58">
        <f>IFERROR($U202/$U201-1,"")</f>
        <v/>
      </c>
      <c r="EA201" s="58">
        <f>IFERROR($V202/$V201-1,"")</f>
        <v/>
      </c>
      <c r="EB201" s="58">
        <f>IFERROR($W202/$W201-1,"")</f>
        <v/>
      </c>
      <c r="EC201" s="58">
        <f>IFERROR($X202/$X201-1,"")</f>
        <v/>
      </c>
      <c r="ED201" s="58">
        <f>IFERROR($Y202/$Y201-1,"")</f>
        <v/>
      </c>
      <c r="EE201" s="58">
        <f>IFERROR($Z202/$Z201-1,"")</f>
        <v/>
      </c>
      <c r="EF201" s="58">
        <f>IFERROR($AA202/$AA201-1,"")</f>
        <v/>
      </c>
      <c r="EG201" s="58">
        <f>IFERROR($AB202/$AB201-1,"")</f>
        <v/>
      </c>
      <c r="EH201" s="58">
        <f>IFERROR($AC202/$AC201-1,"")</f>
        <v/>
      </c>
      <c r="EI201" s="58">
        <f>IFERROR($AD202/$AD201-1,"")</f>
        <v/>
      </c>
      <c r="EJ201" s="58">
        <f>IFERROR($AE202/$AE201-1,"")</f>
        <v/>
      </c>
      <c r="EK201" s="58">
        <f>IFERROR($AF202/$AF201-1,"")</f>
        <v/>
      </c>
      <c r="EL201" s="58">
        <f>IFERROR($AG202/$AG201-1,"")</f>
        <v/>
      </c>
      <c r="EM201" s="58">
        <f>IFERROR($BB201/$BB202-1,"")</f>
        <v/>
      </c>
      <c r="EN201" s="58">
        <f>IFERROR($BC201/$BC202-1,"")</f>
        <v/>
      </c>
      <c r="EO201" s="58">
        <f>IFERROR($BD201/$BD202-1,"")</f>
        <v/>
      </c>
      <c r="EP201" s="58">
        <f>IFERROR($BE201/$BE202-1,"")</f>
        <v/>
      </c>
      <c r="EQ201" s="58">
        <f>IFERROR($BF201/$BF202-1,"")</f>
        <v/>
      </c>
      <c r="ER201" s="58">
        <f>IFERROR($BG201/$BG202-1,"")</f>
        <v/>
      </c>
      <c r="ES201" s="58">
        <f>IFERROR($BH201/$BH202-1,"")</f>
        <v/>
      </c>
      <c r="ET201" s="58">
        <f>IFERROR($BI201/$BI202-1,"")</f>
        <v/>
      </c>
      <c r="EU201" s="58">
        <f>IFERROR($BJ201/$BJ202-1,"")</f>
        <v/>
      </c>
      <c r="EV201" s="58">
        <f>IFERROR($BK201/$BK202-1,"")</f>
        <v/>
      </c>
      <c r="EW201" s="58">
        <f>IFERROR($BL201/$BL202-1,"")</f>
        <v/>
      </c>
      <c r="EX201" s="58">
        <f>IFERROR($BM201/$BM202-1,"")</f>
        <v/>
      </c>
      <c r="EY201" s="58">
        <f>IFERROR($BN201/$BN202-1,"")</f>
        <v/>
      </c>
      <c r="EZ201" s="58">
        <f>IFERROR($BO201/$BO202-1,"")</f>
        <v/>
      </c>
      <c r="FA201" s="58">
        <f>IFERROR($BP201/$BP202-1,"")</f>
        <v/>
      </c>
      <c r="FB201" s="58">
        <f>IFERROR($BQ201/$BQ202-1,"")</f>
        <v/>
      </c>
      <c r="FC201" s="58">
        <f>IFERROR($BR201/$BR202-1,"")</f>
        <v/>
      </c>
      <c r="FD201" s="58">
        <f>IFERROR($BS201/$BS202-1,"")</f>
        <v/>
      </c>
      <c r="FE201" s="58">
        <f>IFERROR($BT201/$BT202-1,"")</f>
        <v/>
      </c>
      <c r="FF201" s="58">
        <f>IFERROR($BU201/$BU202-1,"")</f>
        <v/>
      </c>
      <c r="FG201" s="58">
        <f>IFERROR($BV201/$BV202-1,"")</f>
        <v/>
      </c>
      <c r="FH201" s="58">
        <f>IFERROR($BW201/$BW202-1,"")</f>
        <v/>
      </c>
      <c r="FI201" s="58">
        <f>IFERROR($BX201/$BX202-1,"")</f>
        <v/>
      </c>
      <c r="FJ201" s="59">
        <f>$BY201-$BY202</f>
        <v/>
      </c>
      <c r="FK201" s="59">
        <f>$BZ201-$BZ202</f>
        <v/>
      </c>
      <c r="FL201" s="59">
        <f>$CA201-$CA202</f>
        <v/>
      </c>
      <c r="FM201" s="59">
        <f>$CB201-$CB202</f>
        <v/>
      </c>
      <c r="FN201" s="59">
        <f>$CC201-$CC202</f>
        <v/>
      </c>
      <c r="FO201" s="59">
        <f>$CD201-$CD202</f>
        <v/>
      </c>
      <c r="FP201" s="59">
        <f>$CE201-$CE202</f>
        <v/>
      </c>
      <c r="FQ201" s="59">
        <f>$CF201-$CF202</f>
        <v/>
      </c>
      <c r="FR201" s="59">
        <f>$CG201-$CG202</f>
        <v/>
      </c>
      <c r="FS201" s="59">
        <f>$CH201-$CH202</f>
        <v/>
      </c>
      <c r="FT201" s="59">
        <f>$CI201-$CI202</f>
        <v/>
      </c>
      <c r="FU201" s="59">
        <f>$CJ201-$CJ202</f>
        <v/>
      </c>
      <c r="FV201" s="59">
        <f>$CK201-$CK202</f>
        <v/>
      </c>
      <c r="FW201" s="59">
        <f>$CL201-$CL202</f>
        <v/>
      </c>
      <c r="FX201" s="59">
        <f>$CM201-$CM202</f>
        <v/>
      </c>
      <c r="FY201" s="59">
        <f>$CN201-$CN202</f>
        <v/>
      </c>
      <c r="FZ201" s="59">
        <f>$CO201-$CO202</f>
        <v/>
      </c>
      <c r="GA201" s="59">
        <f>$CP201-$CP202</f>
        <v/>
      </c>
      <c r="GB201" s="59">
        <f>$CQ201-$CQ202</f>
        <v/>
      </c>
      <c r="GC201" s="59">
        <f>$CR201-$CR202</f>
        <v/>
      </c>
      <c r="GD201" s="59">
        <f>$CS201-$CS202</f>
        <v/>
      </c>
      <c r="GE201" s="59">
        <f>$CT201-$CT202</f>
        <v/>
      </c>
    </row>
    <row r="202">
      <c r="CU202" s="58">
        <f>IFERROR($B202/$B203-1,"")</f>
        <v/>
      </c>
      <c r="CV202" s="59">
        <f>($F202-$F203)*100</f>
        <v/>
      </c>
      <c r="CW202" s="59">
        <f>($E202-$E203)*100</f>
        <v/>
      </c>
      <c r="CX202" s="58">
        <f>IFERROR($K202/$K203-1,"")</f>
        <v/>
      </c>
      <c r="CY202" s="59">
        <f>($AH202-$AH203)*100</f>
        <v/>
      </c>
      <c r="CZ202" s="59">
        <f>($AI202-$AI203)*100</f>
        <v/>
      </c>
      <c r="DA202" s="59">
        <f>($AJ202-$AJ203)*100</f>
        <v/>
      </c>
      <c r="DB202" s="59">
        <f>($AK202-$AK203)*100</f>
        <v/>
      </c>
      <c r="DC202" s="59">
        <f>($AL202-$AL203)*100</f>
        <v/>
      </c>
      <c r="DD202" s="59">
        <f>($AM202-$AM203)*100</f>
        <v/>
      </c>
      <c r="DE202" s="59">
        <f>($AN202-$AN203)*100</f>
        <v/>
      </c>
      <c r="DF202" s="59">
        <f>($AO202-$AO203)*100</f>
        <v/>
      </c>
      <c r="DG202" s="59">
        <f>($AP202-$AP203)*100</f>
        <v/>
      </c>
      <c r="DH202" s="59">
        <f>($AQ202-$AQ203)*100</f>
        <v/>
      </c>
      <c r="DI202" s="59">
        <f>($AR202-$AR203)*100</f>
        <v/>
      </c>
      <c r="DJ202" s="59">
        <f>($AS202-$AS203)*100</f>
        <v/>
      </c>
      <c r="DK202" s="59">
        <f>($AT202-$AT203)*100</f>
        <v/>
      </c>
      <c r="DL202" s="59">
        <f>($AU202-$AU203)*100</f>
        <v/>
      </c>
      <c r="DM202" s="59">
        <f>($AV202-$AV203)*100</f>
        <v/>
      </c>
      <c r="DN202" s="59">
        <f>($AW202-$AW203)*100</f>
        <v/>
      </c>
      <c r="DO202" s="59">
        <f>($AX202-$AX203)*100</f>
        <v/>
      </c>
      <c r="DP202" s="59">
        <f>($AY202-$AY203)*100</f>
        <v/>
      </c>
      <c r="DQ202" s="59">
        <f>($AZ202-$AZ203)*100</f>
        <v/>
      </c>
      <c r="DR202" s="59">
        <f>($BA202-$BA203)*100</f>
        <v/>
      </c>
      <c r="DS202" s="58">
        <f>IFERROR($N203/$N202-1,"")</f>
        <v/>
      </c>
      <c r="DT202" s="58">
        <f>IFERROR($O203/$O202-1,"")</f>
        <v/>
      </c>
      <c r="DU202" s="58">
        <f>IFERROR($P203/$P202-1,"")</f>
        <v/>
      </c>
      <c r="DV202" s="58">
        <f>IFERROR($Q203/$Q202-1,"")</f>
        <v/>
      </c>
      <c r="DW202" s="58">
        <f>IFERROR($R203/$R202-1,"")</f>
        <v/>
      </c>
      <c r="DX202" s="58">
        <f>IFERROR($S203/$S202-1,"")</f>
        <v/>
      </c>
      <c r="DY202" s="58">
        <f>IFERROR($T203/$T202-1,"")</f>
        <v/>
      </c>
      <c r="DZ202" s="58">
        <f>IFERROR($U203/$U202-1,"")</f>
        <v/>
      </c>
      <c r="EA202" s="58">
        <f>IFERROR($V203/$V202-1,"")</f>
        <v/>
      </c>
      <c r="EB202" s="58">
        <f>IFERROR($W203/$W202-1,"")</f>
        <v/>
      </c>
      <c r="EC202" s="58">
        <f>IFERROR($X203/$X202-1,"")</f>
        <v/>
      </c>
      <c r="ED202" s="58">
        <f>IFERROR($Y203/$Y202-1,"")</f>
        <v/>
      </c>
      <c r="EE202" s="58">
        <f>IFERROR($Z203/$Z202-1,"")</f>
        <v/>
      </c>
      <c r="EF202" s="58">
        <f>IFERROR($AA203/$AA202-1,"")</f>
        <v/>
      </c>
      <c r="EG202" s="58">
        <f>IFERROR($AB203/$AB202-1,"")</f>
        <v/>
      </c>
      <c r="EH202" s="58">
        <f>IFERROR($AC203/$AC202-1,"")</f>
        <v/>
      </c>
      <c r="EI202" s="58">
        <f>IFERROR($AD203/$AD202-1,"")</f>
        <v/>
      </c>
      <c r="EJ202" s="58">
        <f>IFERROR($AE203/$AE202-1,"")</f>
        <v/>
      </c>
      <c r="EK202" s="58">
        <f>IFERROR($AF203/$AF202-1,"")</f>
        <v/>
      </c>
      <c r="EL202" s="58">
        <f>IFERROR($AG203/$AG202-1,"")</f>
        <v/>
      </c>
      <c r="EM202" s="58">
        <f>IFERROR($BB202/$BB203-1,"")</f>
        <v/>
      </c>
      <c r="EN202" s="58">
        <f>IFERROR($BC202/$BC203-1,"")</f>
        <v/>
      </c>
      <c r="EO202" s="58">
        <f>IFERROR($BD202/$BD203-1,"")</f>
        <v/>
      </c>
      <c r="EP202" s="58">
        <f>IFERROR($BE202/$BE203-1,"")</f>
        <v/>
      </c>
      <c r="EQ202" s="58">
        <f>IFERROR($BF202/$BF203-1,"")</f>
        <v/>
      </c>
      <c r="ER202" s="58">
        <f>IFERROR($BG202/$BG203-1,"")</f>
        <v/>
      </c>
      <c r="ES202" s="58">
        <f>IFERROR($BH202/$BH203-1,"")</f>
        <v/>
      </c>
      <c r="ET202" s="58">
        <f>IFERROR($BI202/$BI203-1,"")</f>
        <v/>
      </c>
      <c r="EU202" s="58">
        <f>IFERROR($BJ202/$BJ203-1,"")</f>
        <v/>
      </c>
      <c r="EV202" s="58">
        <f>IFERROR($BK202/$BK203-1,"")</f>
        <v/>
      </c>
      <c r="EW202" s="58">
        <f>IFERROR($BL202/$BL203-1,"")</f>
        <v/>
      </c>
      <c r="EX202" s="58">
        <f>IFERROR($BM202/$BM203-1,"")</f>
        <v/>
      </c>
      <c r="EY202" s="58">
        <f>IFERROR($BN202/$BN203-1,"")</f>
        <v/>
      </c>
      <c r="EZ202" s="58">
        <f>IFERROR($BO202/$BO203-1,"")</f>
        <v/>
      </c>
      <c r="FA202" s="58">
        <f>IFERROR($BP202/$BP203-1,"")</f>
        <v/>
      </c>
      <c r="FB202" s="58">
        <f>IFERROR($BQ202/$BQ203-1,"")</f>
        <v/>
      </c>
      <c r="FC202" s="58">
        <f>IFERROR($BR202/$BR203-1,"")</f>
        <v/>
      </c>
      <c r="FD202" s="58">
        <f>IFERROR($BS202/$BS203-1,"")</f>
        <v/>
      </c>
      <c r="FE202" s="58">
        <f>IFERROR($BT202/$BT203-1,"")</f>
        <v/>
      </c>
      <c r="FF202" s="58">
        <f>IFERROR($BU202/$BU203-1,"")</f>
        <v/>
      </c>
      <c r="FG202" s="58">
        <f>IFERROR($BV202/$BV203-1,"")</f>
        <v/>
      </c>
      <c r="FH202" s="58">
        <f>IFERROR($BW202/$BW203-1,"")</f>
        <v/>
      </c>
      <c r="FI202" s="58">
        <f>IFERROR($BX202/$BX203-1,"")</f>
        <v/>
      </c>
      <c r="FJ202" s="59">
        <f>$BY202-$BY203</f>
        <v/>
      </c>
      <c r="FK202" s="59">
        <f>$BZ202-$BZ203</f>
        <v/>
      </c>
      <c r="FL202" s="59">
        <f>$CA202-$CA203</f>
        <v/>
      </c>
      <c r="FM202" s="59">
        <f>$CB202-$CB203</f>
        <v/>
      </c>
      <c r="FN202" s="59">
        <f>$CC202-$CC203</f>
        <v/>
      </c>
      <c r="FO202" s="59">
        <f>$CD202-$CD203</f>
        <v/>
      </c>
      <c r="FP202" s="59">
        <f>$CE202-$CE203</f>
        <v/>
      </c>
      <c r="FQ202" s="59">
        <f>$CF202-$CF203</f>
        <v/>
      </c>
      <c r="FR202" s="59">
        <f>$CG202-$CG203</f>
        <v/>
      </c>
      <c r="FS202" s="59">
        <f>$CH202-$CH203</f>
        <v/>
      </c>
      <c r="FT202" s="59">
        <f>$CI202-$CI203</f>
        <v/>
      </c>
      <c r="FU202" s="59">
        <f>$CJ202-$CJ203</f>
        <v/>
      </c>
      <c r="FV202" s="59">
        <f>$CK202-$CK203</f>
        <v/>
      </c>
      <c r="FW202" s="59">
        <f>$CL202-$CL203</f>
        <v/>
      </c>
      <c r="FX202" s="59">
        <f>$CM202-$CM203</f>
        <v/>
      </c>
      <c r="FY202" s="59">
        <f>$CN202-$CN203</f>
        <v/>
      </c>
      <c r="FZ202" s="59">
        <f>$CO202-$CO203</f>
        <v/>
      </c>
      <c r="GA202" s="59">
        <f>$CP202-$CP203</f>
        <v/>
      </c>
      <c r="GB202" s="59">
        <f>$CQ202-$CQ203</f>
        <v/>
      </c>
      <c r="GC202" s="59">
        <f>$CR202-$CR203</f>
        <v/>
      </c>
      <c r="GD202" s="59">
        <f>$CS202-$CS203</f>
        <v/>
      </c>
      <c r="GE202" s="59">
        <f>$CT202-$CT203</f>
        <v/>
      </c>
    </row>
    <row r="203">
      <c r="CU203" s="58">
        <f>IFERROR($B203/$B204-1,"")</f>
        <v/>
      </c>
      <c r="CV203" s="59">
        <f>($F203-$F204)*100</f>
        <v/>
      </c>
      <c r="CW203" s="59">
        <f>($E203-$E204)*100</f>
        <v/>
      </c>
      <c r="CX203" s="58">
        <f>IFERROR($K203/$K204-1,"")</f>
        <v/>
      </c>
      <c r="CY203" s="59">
        <f>($AH203-$AH204)*100</f>
        <v/>
      </c>
      <c r="CZ203" s="59">
        <f>($AI203-$AI204)*100</f>
        <v/>
      </c>
      <c r="DA203" s="59">
        <f>($AJ203-$AJ204)*100</f>
        <v/>
      </c>
      <c r="DB203" s="59">
        <f>($AK203-$AK204)*100</f>
        <v/>
      </c>
      <c r="DC203" s="59">
        <f>($AL203-$AL204)*100</f>
        <v/>
      </c>
      <c r="DD203" s="59">
        <f>($AM203-$AM204)*100</f>
        <v/>
      </c>
      <c r="DE203" s="59">
        <f>($AN203-$AN204)*100</f>
        <v/>
      </c>
      <c r="DF203" s="59">
        <f>($AO203-$AO204)*100</f>
        <v/>
      </c>
      <c r="DG203" s="59">
        <f>($AP203-$AP204)*100</f>
        <v/>
      </c>
      <c r="DH203" s="59">
        <f>($AQ203-$AQ204)*100</f>
        <v/>
      </c>
      <c r="DI203" s="59">
        <f>($AR203-$AR204)*100</f>
        <v/>
      </c>
      <c r="DJ203" s="59">
        <f>($AS203-$AS204)*100</f>
        <v/>
      </c>
      <c r="DK203" s="59">
        <f>($AT203-$AT204)*100</f>
        <v/>
      </c>
      <c r="DL203" s="59">
        <f>($AU203-$AU204)*100</f>
        <v/>
      </c>
      <c r="DM203" s="59">
        <f>($AV203-$AV204)*100</f>
        <v/>
      </c>
      <c r="DN203" s="59">
        <f>($AW203-$AW204)*100</f>
        <v/>
      </c>
      <c r="DO203" s="59">
        <f>($AX203-$AX204)*100</f>
        <v/>
      </c>
      <c r="DP203" s="59">
        <f>($AY203-$AY204)*100</f>
        <v/>
      </c>
      <c r="DQ203" s="59">
        <f>($AZ203-$AZ204)*100</f>
        <v/>
      </c>
      <c r="DR203" s="59">
        <f>($BA203-$BA204)*100</f>
        <v/>
      </c>
      <c r="DS203" s="58">
        <f>IFERROR($N204/$N203-1,"")</f>
        <v/>
      </c>
      <c r="DT203" s="58">
        <f>IFERROR($O204/$O203-1,"")</f>
        <v/>
      </c>
      <c r="DU203" s="58">
        <f>IFERROR($P204/$P203-1,"")</f>
        <v/>
      </c>
      <c r="DV203" s="58">
        <f>IFERROR($Q204/$Q203-1,"")</f>
        <v/>
      </c>
      <c r="DW203" s="58">
        <f>IFERROR($R204/$R203-1,"")</f>
        <v/>
      </c>
      <c r="DX203" s="58">
        <f>IFERROR($S204/$S203-1,"")</f>
        <v/>
      </c>
      <c r="DY203" s="58">
        <f>IFERROR($T204/$T203-1,"")</f>
        <v/>
      </c>
      <c r="DZ203" s="58">
        <f>IFERROR($U204/$U203-1,"")</f>
        <v/>
      </c>
      <c r="EA203" s="58">
        <f>IFERROR($V204/$V203-1,"")</f>
        <v/>
      </c>
      <c r="EB203" s="58">
        <f>IFERROR($W204/$W203-1,"")</f>
        <v/>
      </c>
      <c r="EC203" s="58">
        <f>IFERROR($X204/$X203-1,"")</f>
        <v/>
      </c>
      <c r="ED203" s="58">
        <f>IFERROR($Y204/$Y203-1,"")</f>
        <v/>
      </c>
      <c r="EE203" s="58">
        <f>IFERROR($Z204/$Z203-1,"")</f>
        <v/>
      </c>
      <c r="EF203" s="58">
        <f>IFERROR($AA204/$AA203-1,"")</f>
        <v/>
      </c>
      <c r="EG203" s="58">
        <f>IFERROR($AB204/$AB203-1,"")</f>
        <v/>
      </c>
      <c r="EH203" s="58">
        <f>IFERROR($AC204/$AC203-1,"")</f>
        <v/>
      </c>
      <c r="EI203" s="58">
        <f>IFERROR($AD204/$AD203-1,"")</f>
        <v/>
      </c>
      <c r="EJ203" s="58">
        <f>IFERROR($AE204/$AE203-1,"")</f>
        <v/>
      </c>
      <c r="EK203" s="58">
        <f>IFERROR($AF204/$AF203-1,"")</f>
        <v/>
      </c>
      <c r="EL203" s="58">
        <f>IFERROR($AG204/$AG203-1,"")</f>
        <v/>
      </c>
      <c r="EM203" s="58">
        <f>IFERROR($BB203/$BB204-1,"")</f>
        <v/>
      </c>
      <c r="EN203" s="58">
        <f>IFERROR($BC203/$BC204-1,"")</f>
        <v/>
      </c>
      <c r="EO203" s="58">
        <f>IFERROR($BD203/$BD204-1,"")</f>
        <v/>
      </c>
      <c r="EP203" s="58">
        <f>IFERROR($BE203/$BE204-1,"")</f>
        <v/>
      </c>
      <c r="EQ203" s="58">
        <f>IFERROR($BF203/$BF204-1,"")</f>
        <v/>
      </c>
      <c r="ER203" s="58">
        <f>IFERROR($BG203/$BG204-1,"")</f>
        <v/>
      </c>
      <c r="ES203" s="58">
        <f>IFERROR($BH203/$BH204-1,"")</f>
        <v/>
      </c>
      <c r="ET203" s="58">
        <f>IFERROR($BI203/$BI204-1,"")</f>
        <v/>
      </c>
      <c r="EU203" s="58">
        <f>IFERROR($BJ203/$BJ204-1,"")</f>
        <v/>
      </c>
      <c r="EV203" s="58">
        <f>IFERROR($BK203/$BK204-1,"")</f>
        <v/>
      </c>
      <c r="EW203" s="58">
        <f>IFERROR($BL203/$BL204-1,"")</f>
        <v/>
      </c>
      <c r="EX203" s="58">
        <f>IFERROR($BM203/$BM204-1,"")</f>
        <v/>
      </c>
      <c r="EY203" s="58">
        <f>IFERROR($BN203/$BN204-1,"")</f>
        <v/>
      </c>
      <c r="EZ203" s="58">
        <f>IFERROR($BO203/$BO204-1,"")</f>
        <v/>
      </c>
      <c r="FA203" s="58">
        <f>IFERROR($BP203/$BP204-1,"")</f>
        <v/>
      </c>
      <c r="FB203" s="58">
        <f>IFERROR($BQ203/$BQ204-1,"")</f>
        <v/>
      </c>
      <c r="FC203" s="58">
        <f>IFERROR($BR203/$BR204-1,"")</f>
        <v/>
      </c>
      <c r="FD203" s="58">
        <f>IFERROR($BS203/$BS204-1,"")</f>
        <v/>
      </c>
      <c r="FE203" s="58">
        <f>IFERROR($BT203/$BT204-1,"")</f>
        <v/>
      </c>
      <c r="FF203" s="58">
        <f>IFERROR($BU203/$BU204-1,"")</f>
        <v/>
      </c>
      <c r="FG203" s="58">
        <f>IFERROR($BV203/$BV204-1,"")</f>
        <v/>
      </c>
      <c r="FH203" s="58">
        <f>IFERROR($BW203/$BW204-1,"")</f>
        <v/>
      </c>
      <c r="FI203" s="58">
        <f>IFERROR($BX203/$BX204-1,"")</f>
        <v/>
      </c>
      <c r="FJ203" s="59">
        <f>$BY203-$BY204</f>
        <v/>
      </c>
      <c r="FK203" s="59">
        <f>$BZ203-$BZ204</f>
        <v/>
      </c>
      <c r="FL203" s="59">
        <f>$CA203-$CA204</f>
        <v/>
      </c>
      <c r="FM203" s="59">
        <f>$CB203-$CB204</f>
        <v/>
      </c>
      <c r="FN203" s="59">
        <f>$CC203-$CC204</f>
        <v/>
      </c>
      <c r="FO203" s="59">
        <f>$CD203-$CD204</f>
        <v/>
      </c>
      <c r="FP203" s="59">
        <f>$CE203-$CE204</f>
        <v/>
      </c>
      <c r="FQ203" s="59">
        <f>$CF203-$CF204</f>
        <v/>
      </c>
      <c r="FR203" s="59">
        <f>$CG203-$CG204</f>
        <v/>
      </c>
      <c r="FS203" s="59">
        <f>$CH203-$CH204</f>
        <v/>
      </c>
      <c r="FT203" s="59">
        <f>$CI203-$CI204</f>
        <v/>
      </c>
      <c r="FU203" s="59">
        <f>$CJ203-$CJ204</f>
        <v/>
      </c>
      <c r="FV203" s="59">
        <f>$CK203-$CK204</f>
        <v/>
      </c>
      <c r="FW203" s="59">
        <f>$CL203-$CL204</f>
        <v/>
      </c>
      <c r="FX203" s="59">
        <f>$CM203-$CM204</f>
        <v/>
      </c>
      <c r="FY203" s="59">
        <f>$CN203-$CN204</f>
        <v/>
      </c>
      <c r="FZ203" s="59">
        <f>$CO203-$CO204</f>
        <v/>
      </c>
      <c r="GA203" s="59">
        <f>$CP203-$CP204</f>
        <v/>
      </c>
      <c r="GB203" s="59">
        <f>$CQ203-$CQ204</f>
        <v/>
      </c>
      <c r="GC203" s="59">
        <f>$CR203-$CR204</f>
        <v/>
      </c>
      <c r="GD203" s="59">
        <f>$CS203-$CS204</f>
        <v/>
      </c>
      <c r="GE203" s="59">
        <f>$CT203-$CT204</f>
        <v/>
      </c>
    </row>
    <row r="204">
      <c r="CU204" s="58">
        <f>IFERROR($B204/$B205-1,"")</f>
        <v/>
      </c>
      <c r="CV204" s="59">
        <f>($F204-$F205)*100</f>
        <v/>
      </c>
      <c r="CW204" s="59">
        <f>($E204-$E205)*100</f>
        <v/>
      </c>
      <c r="CX204" s="58">
        <f>IFERROR($K204/$K205-1,"")</f>
        <v/>
      </c>
      <c r="CY204" s="59">
        <f>($AH204-$AH205)*100</f>
        <v/>
      </c>
      <c r="CZ204" s="59">
        <f>($AI204-$AI205)*100</f>
        <v/>
      </c>
      <c r="DA204" s="59">
        <f>($AJ204-$AJ205)*100</f>
        <v/>
      </c>
      <c r="DB204" s="59">
        <f>($AK204-$AK205)*100</f>
        <v/>
      </c>
      <c r="DC204" s="59">
        <f>($AL204-$AL205)*100</f>
        <v/>
      </c>
      <c r="DD204" s="59">
        <f>($AM204-$AM205)*100</f>
        <v/>
      </c>
      <c r="DE204" s="59">
        <f>($AN204-$AN205)*100</f>
        <v/>
      </c>
      <c r="DF204" s="59">
        <f>($AO204-$AO205)*100</f>
        <v/>
      </c>
      <c r="DG204" s="59">
        <f>($AP204-$AP205)*100</f>
        <v/>
      </c>
      <c r="DH204" s="59">
        <f>($AQ204-$AQ205)*100</f>
        <v/>
      </c>
      <c r="DI204" s="59">
        <f>($AR204-$AR205)*100</f>
        <v/>
      </c>
      <c r="DJ204" s="59">
        <f>($AS204-$AS205)*100</f>
        <v/>
      </c>
      <c r="DK204" s="59">
        <f>($AT204-$AT205)*100</f>
        <v/>
      </c>
      <c r="DL204" s="59">
        <f>($AU204-$AU205)*100</f>
        <v/>
      </c>
      <c r="DM204" s="59">
        <f>($AV204-$AV205)*100</f>
        <v/>
      </c>
      <c r="DN204" s="59">
        <f>($AW204-$AW205)*100</f>
        <v/>
      </c>
      <c r="DO204" s="59">
        <f>($AX204-$AX205)*100</f>
        <v/>
      </c>
      <c r="DP204" s="59">
        <f>($AY204-$AY205)*100</f>
        <v/>
      </c>
      <c r="DQ204" s="59">
        <f>($AZ204-$AZ205)*100</f>
        <v/>
      </c>
      <c r="DR204" s="59">
        <f>($BA204-$BA205)*100</f>
        <v/>
      </c>
      <c r="DS204" s="58">
        <f>IFERROR($N205/$N204-1,"")</f>
        <v/>
      </c>
      <c r="DT204" s="58">
        <f>IFERROR($O205/$O204-1,"")</f>
        <v/>
      </c>
      <c r="DU204" s="58">
        <f>IFERROR($P205/$P204-1,"")</f>
        <v/>
      </c>
      <c r="DV204" s="58">
        <f>IFERROR($Q205/$Q204-1,"")</f>
        <v/>
      </c>
      <c r="DW204" s="58">
        <f>IFERROR($R205/$R204-1,"")</f>
        <v/>
      </c>
      <c r="DX204" s="58">
        <f>IFERROR($S205/$S204-1,"")</f>
        <v/>
      </c>
      <c r="DY204" s="58">
        <f>IFERROR($T205/$T204-1,"")</f>
        <v/>
      </c>
      <c r="DZ204" s="58">
        <f>IFERROR($U205/$U204-1,"")</f>
        <v/>
      </c>
      <c r="EA204" s="58">
        <f>IFERROR($V205/$V204-1,"")</f>
        <v/>
      </c>
      <c r="EB204" s="58">
        <f>IFERROR($W205/$W204-1,"")</f>
        <v/>
      </c>
      <c r="EC204" s="58">
        <f>IFERROR($X205/$X204-1,"")</f>
        <v/>
      </c>
      <c r="ED204" s="58">
        <f>IFERROR($Y205/$Y204-1,"")</f>
        <v/>
      </c>
      <c r="EE204" s="58">
        <f>IFERROR($Z205/$Z204-1,"")</f>
        <v/>
      </c>
      <c r="EF204" s="58">
        <f>IFERROR($AA205/$AA204-1,"")</f>
        <v/>
      </c>
      <c r="EG204" s="58">
        <f>IFERROR($AB205/$AB204-1,"")</f>
        <v/>
      </c>
      <c r="EH204" s="58">
        <f>IFERROR($AC205/$AC204-1,"")</f>
        <v/>
      </c>
      <c r="EI204" s="58">
        <f>IFERROR($AD205/$AD204-1,"")</f>
        <v/>
      </c>
      <c r="EJ204" s="58">
        <f>IFERROR($AE205/$AE204-1,"")</f>
        <v/>
      </c>
      <c r="EK204" s="58">
        <f>IFERROR($AF205/$AF204-1,"")</f>
        <v/>
      </c>
      <c r="EL204" s="58">
        <f>IFERROR($AG205/$AG204-1,"")</f>
        <v/>
      </c>
      <c r="EM204" s="58">
        <f>IFERROR($BB204/$BB205-1,"")</f>
        <v/>
      </c>
      <c r="EN204" s="58">
        <f>IFERROR($BC204/$BC205-1,"")</f>
        <v/>
      </c>
      <c r="EO204" s="58">
        <f>IFERROR($BD204/$BD205-1,"")</f>
        <v/>
      </c>
      <c r="EP204" s="58">
        <f>IFERROR($BE204/$BE205-1,"")</f>
        <v/>
      </c>
      <c r="EQ204" s="58">
        <f>IFERROR($BF204/$BF205-1,"")</f>
        <v/>
      </c>
      <c r="ER204" s="58">
        <f>IFERROR($BG204/$BG205-1,"")</f>
        <v/>
      </c>
      <c r="ES204" s="58">
        <f>IFERROR($BH204/$BH205-1,"")</f>
        <v/>
      </c>
      <c r="ET204" s="58">
        <f>IFERROR($BI204/$BI205-1,"")</f>
        <v/>
      </c>
      <c r="EU204" s="58">
        <f>IFERROR($BJ204/$BJ205-1,"")</f>
        <v/>
      </c>
      <c r="EV204" s="58">
        <f>IFERROR($BK204/$BK205-1,"")</f>
        <v/>
      </c>
      <c r="EW204" s="58">
        <f>IFERROR($BL204/$BL205-1,"")</f>
        <v/>
      </c>
      <c r="EX204" s="58">
        <f>IFERROR($BM204/$BM205-1,"")</f>
        <v/>
      </c>
      <c r="EY204" s="58">
        <f>IFERROR($BN204/$BN205-1,"")</f>
        <v/>
      </c>
      <c r="EZ204" s="58">
        <f>IFERROR($BO204/$BO205-1,"")</f>
        <v/>
      </c>
      <c r="FA204" s="58">
        <f>IFERROR($BP204/$BP205-1,"")</f>
        <v/>
      </c>
      <c r="FB204" s="58">
        <f>IFERROR($BQ204/$BQ205-1,"")</f>
        <v/>
      </c>
      <c r="FC204" s="58">
        <f>IFERROR($BR204/$BR205-1,"")</f>
        <v/>
      </c>
      <c r="FD204" s="58">
        <f>IFERROR($BS204/$BS205-1,"")</f>
        <v/>
      </c>
      <c r="FE204" s="58">
        <f>IFERROR($BT204/$BT205-1,"")</f>
        <v/>
      </c>
      <c r="FF204" s="58">
        <f>IFERROR($BU204/$BU205-1,"")</f>
        <v/>
      </c>
      <c r="FG204" s="58">
        <f>IFERROR($BV204/$BV205-1,"")</f>
        <v/>
      </c>
      <c r="FH204" s="58">
        <f>IFERROR($BW204/$BW205-1,"")</f>
        <v/>
      </c>
      <c r="FI204" s="58">
        <f>IFERROR($BX204/$BX205-1,"")</f>
        <v/>
      </c>
      <c r="FJ204" s="59">
        <f>$BY204-$BY205</f>
        <v/>
      </c>
      <c r="FK204" s="59">
        <f>$BZ204-$BZ205</f>
        <v/>
      </c>
      <c r="FL204" s="59">
        <f>$CA204-$CA205</f>
        <v/>
      </c>
      <c r="FM204" s="59">
        <f>$CB204-$CB205</f>
        <v/>
      </c>
      <c r="FN204" s="59">
        <f>$CC204-$CC205</f>
        <v/>
      </c>
      <c r="FO204" s="59">
        <f>$CD204-$CD205</f>
        <v/>
      </c>
      <c r="FP204" s="59">
        <f>$CE204-$CE205</f>
        <v/>
      </c>
      <c r="FQ204" s="59">
        <f>$CF204-$CF205</f>
        <v/>
      </c>
      <c r="FR204" s="59">
        <f>$CG204-$CG205</f>
        <v/>
      </c>
      <c r="FS204" s="59">
        <f>$CH204-$CH205</f>
        <v/>
      </c>
      <c r="FT204" s="59">
        <f>$CI204-$CI205</f>
        <v/>
      </c>
      <c r="FU204" s="59">
        <f>$CJ204-$CJ205</f>
        <v/>
      </c>
      <c r="FV204" s="59">
        <f>$CK204-$CK205</f>
        <v/>
      </c>
      <c r="FW204" s="59">
        <f>$CL204-$CL205</f>
        <v/>
      </c>
      <c r="FX204" s="59">
        <f>$CM204-$CM205</f>
        <v/>
      </c>
      <c r="FY204" s="59">
        <f>$CN204-$CN205</f>
        <v/>
      </c>
      <c r="FZ204" s="59">
        <f>$CO204-$CO205</f>
        <v/>
      </c>
      <c r="GA204" s="59">
        <f>$CP204-$CP205</f>
        <v/>
      </c>
      <c r="GB204" s="59">
        <f>$CQ204-$CQ205</f>
        <v/>
      </c>
      <c r="GC204" s="59">
        <f>$CR204-$CR205</f>
        <v/>
      </c>
      <c r="GD204" s="59">
        <f>$CS204-$CS205</f>
        <v/>
      </c>
      <c r="GE204" s="59">
        <f>$CT204-$CT205</f>
        <v/>
      </c>
    </row>
    <row r="205">
      <c r="CU205" s="58">
        <f>IFERROR($B205/$B206-1,"")</f>
        <v/>
      </c>
      <c r="CV205" s="59">
        <f>($F205-$F206)*100</f>
        <v/>
      </c>
      <c r="CW205" s="59">
        <f>($E205-$E206)*100</f>
        <v/>
      </c>
      <c r="CX205" s="58">
        <f>IFERROR($K205/$K206-1,"")</f>
        <v/>
      </c>
      <c r="CY205" s="59">
        <f>($AH205-$AH206)*100</f>
        <v/>
      </c>
      <c r="CZ205" s="59">
        <f>($AI205-$AI206)*100</f>
        <v/>
      </c>
      <c r="DA205" s="59">
        <f>($AJ205-$AJ206)*100</f>
        <v/>
      </c>
      <c r="DB205" s="59">
        <f>($AK205-$AK206)*100</f>
        <v/>
      </c>
      <c r="DC205" s="59">
        <f>($AL205-$AL206)*100</f>
        <v/>
      </c>
      <c r="DD205" s="59">
        <f>($AM205-$AM206)*100</f>
        <v/>
      </c>
      <c r="DE205" s="59">
        <f>($AN205-$AN206)*100</f>
        <v/>
      </c>
      <c r="DF205" s="59">
        <f>($AO205-$AO206)*100</f>
        <v/>
      </c>
      <c r="DG205" s="59">
        <f>($AP205-$AP206)*100</f>
        <v/>
      </c>
      <c r="DH205" s="59">
        <f>($AQ205-$AQ206)*100</f>
        <v/>
      </c>
      <c r="DI205" s="59">
        <f>($AR205-$AR206)*100</f>
        <v/>
      </c>
      <c r="DJ205" s="59">
        <f>($AS205-$AS206)*100</f>
        <v/>
      </c>
      <c r="DK205" s="59">
        <f>($AT205-$AT206)*100</f>
        <v/>
      </c>
      <c r="DL205" s="59">
        <f>($AU205-$AU206)*100</f>
        <v/>
      </c>
      <c r="DM205" s="59">
        <f>($AV205-$AV206)*100</f>
        <v/>
      </c>
      <c r="DN205" s="59">
        <f>($AW205-$AW206)*100</f>
        <v/>
      </c>
      <c r="DO205" s="59">
        <f>($AX205-$AX206)*100</f>
        <v/>
      </c>
      <c r="DP205" s="59">
        <f>($AY205-$AY206)*100</f>
        <v/>
      </c>
      <c r="DQ205" s="59">
        <f>($AZ205-$AZ206)*100</f>
        <v/>
      </c>
      <c r="DR205" s="59">
        <f>($BA205-$BA206)*100</f>
        <v/>
      </c>
      <c r="DS205" s="58">
        <f>IFERROR($N206/$N205-1,"")</f>
        <v/>
      </c>
      <c r="DT205" s="58">
        <f>IFERROR($O206/$O205-1,"")</f>
        <v/>
      </c>
      <c r="DU205" s="58">
        <f>IFERROR($P206/$P205-1,"")</f>
        <v/>
      </c>
      <c r="DV205" s="58">
        <f>IFERROR($Q206/$Q205-1,"")</f>
        <v/>
      </c>
      <c r="DW205" s="58">
        <f>IFERROR($R206/$R205-1,"")</f>
        <v/>
      </c>
      <c r="DX205" s="58">
        <f>IFERROR($S206/$S205-1,"")</f>
        <v/>
      </c>
      <c r="DY205" s="58">
        <f>IFERROR($T206/$T205-1,"")</f>
        <v/>
      </c>
      <c r="DZ205" s="58">
        <f>IFERROR($U206/$U205-1,"")</f>
        <v/>
      </c>
      <c r="EA205" s="58">
        <f>IFERROR($V206/$V205-1,"")</f>
        <v/>
      </c>
      <c r="EB205" s="58">
        <f>IFERROR($W206/$W205-1,"")</f>
        <v/>
      </c>
      <c r="EC205" s="58">
        <f>IFERROR($X206/$X205-1,"")</f>
        <v/>
      </c>
      <c r="ED205" s="58">
        <f>IFERROR($Y206/$Y205-1,"")</f>
        <v/>
      </c>
      <c r="EE205" s="58">
        <f>IFERROR($Z206/$Z205-1,"")</f>
        <v/>
      </c>
      <c r="EF205" s="58">
        <f>IFERROR($AA206/$AA205-1,"")</f>
        <v/>
      </c>
      <c r="EG205" s="58">
        <f>IFERROR($AB206/$AB205-1,"")</f>
        <v/>
      </c>
      <c r="EH205" s="58">
        <f>IFERROR($AC206/$AC205-1,"")</f>
        <v/>
      </c>
      <c r="EI205" s="58">
        <f>IFERROR($AD206/$AD205-1,"")</f>
        <v/>
      </c>
      <c r="EJ205" s="58">
        <f>IFERROR($AE206/$AE205-1,"")</f>
        <v/>
      </c>
      <c r="EK205" s="58">
        <f>IFERROR($AF206/$AF205-1,"")</f>
        <v/>
      </c>
      <c r="EL205" s="58">
        <f>IFERROR($AG206/$AG205-1,"")</f>
        <v/>
      </c>
      <c r="EM205" s="58">
        <f>IFERROR($BB205/$BB206-1,"")</f>
        <v/>
      </c>
      <c r="EN205" s="58">
        <f>IFERROR($BC205/$BC206-1,"")</f>
        <v/>
      </c>
      <c r="EO205" s="58">
        <f>IFERROR($BD205/$BD206-1,"")</f>
        <v/>
      </c>
      <c r="EP205" s="58">
        <f>IFERROR($BE205/$BE206-1,"")</f>
        <v/>
      </c>
      <c r="EQ205" s="58">
        <f>IFERROR($BF205/$BF206-1,"")</f>
        <v/>
      </c>
      <c r="ER205" s="58">
        <f>IFERROR($BG205/$BG206-1,"")</f>
        <v/>
      </c>
      <c r="ES205" s="58">
        <f>IFERROR($BH205/$BH206-1,"")</f>
        <v/>
      </c>
      <c r="ET205" s="58">
        <f>IFERROR($BI205/$BI206-1,"")</f>
        <v/>
      </c>
      <c r="EU205" s="58">
        <f>IFERROR($BJ205/$BJ206-1,"")</f>
        <v/>
      </c>
      <c r="EV205" s="58">
        <f>IFERROR($BK205/$BK206-1,"")</f>
        <v/>
      </c>
      <c r="EW205" s="58">
        <f>IFERROR($BL205/$BL206-1,"")</f>
        <v/>
      </c>
      <c r="EX205" s="58">
        <f>IFERROR($BM205/$BM206-1,"")</f>
        <v/>
      </c>
      <c r="EY205" s="58">
        <f>IFERROR($BN205/$BN206-1,"")</f>
        <v/>
      </c>
      <c r="EZ205" s="58">
        <f>IFERROR($BO205/$BO206-1,"")</f>
        <v/>
      </c>
      <c r="FA205" s="58">
        <f>IFERROR($BP205/$BP206-1,"")</f>
        <v/>
      </c>
      <c r="FB205" s="58">
        <f>IFERROR($BQ205/$BQ206-1,"")</f>
        <v/>
      </c>
      <c r="FC205" s="58">
        <f>IFERROR($BR205/$BR206-1,"")</f>
        <v/>
      </c>
      <c r="FD205" s="58">
        <f>IFERROR($BS205/$BS206-1,"")</f>
        <v/>
      </c>
      <c r="FE205" s="58">
        <f>IFERROR($BT205/$BT206-1,"")</f>
        <v/>
      </c>
      <c r="FF205" s="58">
        <f>IFERROR($BU205/$BU206-1,"")</f>
        <v/>
      </c>
      <c r="FG205" s="58">
        <f>IFERROR($BV205/$BV206-1,"")</f>
        <v/>
      </c>
      <c r="FH205" s="58">
        <f>IFERROR($BW205/$BW206-1,"")</f>
        <v/>
      </c>
      <c r="FI205" s="58">
        <f>IFERROR($BX205/$BX206-1,"")</f>
        <v/>
      </c>
      <c r="FJ205" s="59">
        <f>$BY205-$BY206</f>
        <v/>
      </c>
      <c r="FK205" s="59">
        <f>$BZ205-$BZ206</f>
        <v/>
      </c>
      <c r="FL205" s="59">
        <f>$CA205-$CA206</f>
        <v/>
      </c>
      <c r="FM205" s="59">
        <f>$CB205-$CB206</f>
        <v/>
      </c>
      <c r="FN205" s="59">
        <f>$CC205-$CC206</f>
        <v/>
      </c>
      <c r="FO205" s="59">
        <f>$CD205-$CD206</f>
        <v/>
      </c>
      <c r="FP205" s="59">
        <f>$CE205-$CE206</f>
        <v/>
      </c>
      <c r="FQ205" s="59">
        <f>$CF205-$CF206</f>
        <v/>
      </c>
      <c r="FR205" s="59">
        <f>$CG205-$CG206</f>
        <v/>
      </c>
      <c r="FS205" s="59">
        <f>$CH205-$CH206</f>
        <v/>
      </c>
      <c r="FT205" s="59">
        <f>$CI205-$CI206</f>
        <v/>
      </c>
      <c r="FU205" s="59">
        <f>$CJ205-$CJ206</f>
        <v/>
      </c>
      <c r="FV205" s="59">
        <f>$CK205-$CK206</f>
        <v/>
      </c>
      <c r="FW205" s="59">
        <f>$CL205-$CL206</f>
        <v/>
      </c>
      <c r="FX205" s="59">
        <f>$CM205-$CM206</f>
        <v/>
      </c>
      <c r="FY205" s="59">
        <f>$CN205-$CN206</f>
        <v/>
      </c>
      <c r="FZ205" s="59">
        <f>$CO205-$CO206</f>
        <v/>
      </c>
      <c r="GA205" s="59">
        <f>$CP205-$CP206</f>
        <v/>
      </c>
      <c r="GB205" s="59">
        <f>$CQ205-$CQ206</f>
        <v/>
      </c>
      <c r="GC205" s="59">
        <f>$CR205-$CR206</f>
        <v/>
      </c>
      <c r="GD205" s="59">
        <f>$CS205-$CS206</f>
        <v/>
      </c>
      <c r="GE205" s="59">
        <f>$CT205-$CT206</f>
        <v/>
      </c>
    </row>
    <row r="206">
      <c r="CU206" s="58">
        <f>IFERROR($B206/$B207-1,"")</f>
        <v/>
      </c>
      <c r="CV206" s="59">
        <f>($F206-$F207)*100</f>
        <v/>
      </c>
      <c r="CW206" s="59">
        <f>($E206-$E207)*100</f>
        <v/>
      </c>
      <c r="CX206" s="58">
        <f>IFERROR($K206/$K207-1,"")</f>
        <v/>
      </c>
      <c r="CY206" s="59">
        <f>($AH206-$AH207)*100</f>
        <v/>
      </c>
      <c r="CZ206" s="59">
        <f>($AI206-$AI207)*100</f>
        <v/>
      </c>
      <c r="DA206" s="59">
        <f>($AJ206-$AJ207)*100</f>
        <v/>
      </c>
      <c r="DB206" s="59">
        <f>($AK206-$AK207)*100</f>
        <v/>
      </c>
      <c r="DC206" s="59">
        <f>($AL206-$AL207)*100</f>
        <v/>
      </c>
      <c r="DD206" s="59">
        <f>($AM206-$AM207)*100</f>
        <v/>
      </c>
      <c r="DE206" s="59">
        <f>($AN206-$AN207)*100</f>
        <v/>
      </c>
      <c r="DF206" s="59">
        <f>($AO206-$AO207)*100</f>
        <v/>
      </c>
      <c r="DG206" s="59">
        <f>($AP206-$AP207)*100</f>
        <v/>
      </c>
      <c r="DH206" s="59">
        <f>($AQ206-$AQ207)*100</f>
        <v/>
      </c>
      <c r="DI206" s="59">
        <f>($AR206-$AR207)*100</f>
        <v/>
      </c>
      <c r="DJ206" s="59">
        <f>($AS206-$AS207)*100</f>
        <v/>
      </c>
      <c r="DK206" s="59">
        <f>($AT206-$AT207)*100</f>
        <v/>
      </c>
      <c r="DL206" s="59">
        <f>($AU206-$AU207)*100</f>
        <v/>
      </c>
      <c r="DM206" s="59">
        <f>($AV206-$AV207)*100</f>
        <v/>
      </c>
      <c r="DN206" s="59">
        <f>($AW206-$AW207)*100</f>
        <v/>
      </c>
      <c r="DO206" s="59">
        <f>($AX206-$AX207)*100</f>
        <v/>
      </c>
      <c r="DP206" s="59">
        <f>($AY206-$AY207)*100</f>
        <v/>
      </c>
      <c r="DQ206" s="59">
        <f>($AZ206-$AZ207)*100</f>
        <v/>
      </c>
      <c r="DR206" s="59">
        <f>($BA206-$BA207)*100</f>
        <v/>
      </c>
      <c r="DS206" s="58">
        <f>IFERROR($N207/$N206-1,"")</f>
        <v/>
      </c>
      <c r="DT206" s="58">
        <f>IFERROR($O207/$O206-1,"")</f>
        <v/>
      </c>
      <c r="DU206" s="58">
        <f>IFERROR($P207/$P206-1,"")</f>
        <v/>
      </c>
      <c r="DV206" s="58">
        <f>IFERROR($Q207/$Q206-1,"")</f>
        <v/>
      </c>
      <c r="DW206" s="58">
        <f>IFERROR($R207/$R206-1,"")</f>
        <v/>
      </c>
      <c r="DX206" s="58">
        <f>IFERROR($S207/$S206-1,"")</f>
        <v/>
      </c>
      <c r="DY206" s="58">
        <f>IFERROR($T207/$T206-1,"")</f>
        <v/>
      </c>
      <c r="DZ206" s="58">
        <f>IFERROR($U207/$U206-1,"")</f>
        <v/>
      </c>
      <c r="EA206" s="58">
        <f>IFERROR($V207/$V206-1,"")</f>
        <v/>
      </c>
      <c r="EB206" s="58">
        <f>IFERROR($W207/$W206-1,"")</f>
        <v/>
      </c>
      <c r="EC206" s="58">
        <f>IFERROR($X207/$X206-1,"")</f>
        <v/>
      </c>
      <c r="ED206" s="58">
        <f>IFERROR($Y207/$Y206-1,"")</f>
        <v/>
      </c>
      <c r="EE206" s="58">
        <f>IFERROR($Z207/$Z206-1,"")</f>
        <v/>
      </c>
      <c r="EF206" s="58">
        <f>IFERROR($AA207/$AA206-1,"")</f>
        <v/>
      </c>
      <c r="EG206" s="58">
        <f>IFERROR($AB207/$AB206-1,"")</f>
        <v/>
      </c>
      <c r="EH206" s="58">
        <f>IFERROR($AC207/$AC206-1,"")</f>
        <v/>
      </c>
      <c r="EI206" s="58">
        <f>IFERROR($AD207/$AD206-1,"")</f>
        <v/>
      </c>
      <c r="EJ206" s="58">
        <f>IFERROR($AE207/$AE206-1,"")</f>
        <v/>
      </c>
      <c r="EK206" s="58">
        <f>IFERROR($AF207/$AF206-1,"")</f>
        <v/>
      </c>
      <c r="EL206" s="58">
        <f>IFERROR($AG207/$AG206-1,"")</f>
        <v/>
      </c>
      <c r="EM206" s="58">
        <f>IFERROR($BB206/$BB207-1,"")</f>
        <v/>
      </c>
      <c r="EN206" s="58">
        <f>IFERROR($BC206/$BC207-1,"")</f>
        <v/>
      </c>
      <c r="EO206" s="58">
        <f>IFERROR($BD206/$BD207-1,"")</f>
        <v/>
      </c>
      <c r="EP206" s="58">
        <f>IFERROR($BE206/$BE207-1,"")</f>
        <v/>
      </c>
      <c r="EQ206" s="58">
        <f>IFERROR($BF206/$BF207-1,"")</f>
        <v/>
      </c>
      <c r="ER206" s="58">
        <f>IFERROR($BG206/$BG207-1,"")</f>
        <v/>
      </c>
      <c r="ES206" s="58">
        <f>IFERROR($BH206/$BH207-1,"")</f>
        <v/>
      </c>
      <c r="ET206" s="58">
        <f>IFERROR($BI206/$BI207-1,"")</f>
        <v/>
      </c>
      <c r="EU206" s="58">
        <f>IFERROR($BJ206/$BJ207-1,"")</f>
        <v/>
      </c>
      <c r="EV206" s="58">
        <f>IFERROR($BK206/$BK207-1,"")</f>
        <v/>
      </c>
      <c r="EW206" s="58">
        <f>IFERROR($BL206/$BL207-1,"")</f>
        <v/>
      </c>
      <c r="EX206" s="58">
        <f>IFERROR($BM206/$BM207-1,"")</f>
        <v/>
      </c>
      <c r="EY206" s="58">
        <f>IFERROR($BN206/$BN207-1,"")</f>
        <v/>
      </c>
      <c r="EZ206" s="58">
        <f>IFERROR($BO206/$BO207-1,"")</f>
        <v/>
      </c>
      <c r="FA206" s="58">
        <f>IFERROR($BP206/$BP207-1,"")</f>
        <v/>
      </c>
      <c r="FB206" s="58">
        <f>IFERROR($BQ206/$BQ207-1,"")</f>
        <v/>
      </c>
      <c r="FC206" s="58">
        <f>IFERROR($BR206/$BR207-1,"")</f>
        <v/>
      </c>
      <c r="FD206" s="58">
        <f>IFERROR($BS206/$BS207-1,"")</f>
        <v/>
      </c>
      <c r="FE206" s="58">
        <f>IFERROR($BT206/$BT207-1,"")</f>
        <v/>
      </c>
      <c r="FF206" s="58">
        <f>IFERROR($BU206/$BU207-1,"")</f>
        <v/>
      </c>
      <c r="FG206" s="58">
        <f>IFERROR($BV206/$BV207-1,"")</f>
        <v/>
      </c>
      <c r="FH206" s="58">
        <f>IFERROR($BW206/$BW207-1,"")</f>
        <v/>
      </c>
      <c r="FI206" s="58">
        <f>IFERROR($BX206/$BX207-1,"")</f>
        <v/>
      </c>
      <c r="FJ206" s="59">
        <f>$BY206-$BY207</f>
        <v/>
      </c>
      <c r="FK206" s="59">
        <f>$BZ206-$BZ207</f>
        <v/>
      </c>
      <c r="FL206" s="59">
        <f>$CA206-$CA207</f>
        <v/>
      </c>
      <c r="FM206" s="59">
        <f>$CB206-$CB207</f>
        <v/>
      </c>
      <c r="FN206" s="59">
        <f>$CC206-$CC207</f>
        <v/>
      </c>
      <c r="FO206" s="59">
        <f>$CD206-$CD207</f>
        <v/>
      </c>
      <c r="FP206" s="59">
        <f>$CE206-$CE207</f>
        <v/>
      </c>
      <c r="FQ206" s="59">
        <f>$CF206-$CF207</f>
        <v/>
      </c>
      <c r="FR206" s="59">
        <f>$CG206-$CG207</f>
        <v/>
      </c>
      <c r="FS206" s="59">
        <f>$CH206-$CH207</f>
        <v/>
      </c>
      <c r="FT206" s="59">
        <f>$CI206-$CI207</f>
        <v/>
      </c>
      <c r="FU206" s="59">
        <f>$CJ206-$CJ207</f>
        <v/>
      </c>
      <c r="FV206" s="59">
        <f>$CK206-$CK207</f>
        <v/>
      </c>
      <c r="FW206" s="59">
        <f>$CL206-$CL207</f>
        <v/>
      </c>
      <c r="FX206" s="59">
        <f>$CM206-$CM207</f>
        <v/>
      </c>
      <c r="FY206" s="59">
        <f>$CN206-$CN207</f>
        <v/>
      </c>
      <c r="FZ206" s="59">
        <f>$CO206-$CO207</f>
        <v/>
      </c>
      <c r="GA206" s="59">
        <f>$CP206-$CP207</f>
        <v/>
      </c>
      <c r="GB206" s="59">
        <f>$CQ206-$CQ207</f>
        <v/>
      </c>
      <c r="GC206" s="59">
        <f>$CR206-$CR207</f>
        <v/>
      </c>
      <c r="GD206" s="59">
        <f>$CS206-$CS207</f>
        <v/>
      </c>
      <c r="GE206" s="59">
        <f>$CT206-$CT207</f>
        <v/>
      </c>
    </row>
    <row r="207">
      <c r="CU207" s="58">
        <f>IFERROR($B207/$B208-1,"")</f>
        <v/>
      </c>
      <c r="CV207" s="59">
        <f>($F207-$F208)*100</f>
        <v/>
      </c>
      <c r="CW207" s="59">
        <f>($E207-$E208)*100</f>
        <v/>
      </c>
      <c r="CX207" s="58">
        <f>IFERROR($K207/$K208-1,"")</f>
        <v/>
      </c>
      <c r="CY207" s="59">
        <f>($AH207-$AH208)*100</f>
        <v/>
      </c>
      <c r="CZ207" s="59">
        <f>($AI207-$AI208)*100</f>
        <v/>
      </c>
      <c r="DA207" s="59">
        <f>($AJ207-$AJ208)*100</f>
        <v/>
      </c>
      <c r="DB207" s="59">
        <f>($AK207-$AK208)*100</f>
        <v/>
      </c>
      <c r="DC207" s="59">
        <f>($AL207-$AL208)*100</f>
        <v/>
      </c>
      <c r="DD207" s="59">
        <f>($AM207-$AM208)*100</f>
        <v/>
      </c>
      <c r="DE207" s="59">
        <f>($AN207-$AN208)*100</f>
        <v/>
      </c>
      <c r="DF207" s="59">
        <f>($AO207-$AO208)*100</f>
        <v/>
      </c>
      <c r="DG207" s="59">
        <f>($AP207-$AP208)*100</f>
        <v/>
      </c>
      <c r="DH207" s="59">
        <f>($AQ207-$AQ208)*100</f>
        <v/>
      </c>
      <c r="DI207" s="59">
        <f>($AR207-$AR208)*100</f>
        <v/>
      </c>
      <c r="DJ207" s="59">
        <f>($AS207-$AS208)*100</f>
        <v/>
      </c>
      <c r="DK207" s="59">
        <f>($AT207-$AT208)*100</f>
        <v/>
      </c>
      <c r="DL207" s="59">
        <f>($AU207-$AU208)*100</f>
        <v/>
      </c>
      <c r="DM207" s="59">
        <f>($AV207-$AV208)*100</f>
        <v/>
      </c>
      <c r="DN207" s="59">
        <f>($AW207-$AW208)*100</f>
        <v/>
      </c>
      <c r="DO207" s="59">
        <f>($AX207-$AX208)*100</f>
        <v/>
      </c>
      <c r="DP207" s="59">
        <f>($AY207-$AY208)*100</f>
        <v/>
      </c>
      <c r="DQ207" s="59">
        <f>($AZ207-$AZ208)*100</f>
        <v/>
      </c>
      <c r="DR207" s="59">
        <f>($BA207-$BA208)*100</f>
        <v/>
      </c>
      <c r="DS207" s="58">
        <f>IFERROR($N208/$N207-1,"")</f>
        <v/>
      </c>
      <c r="DT207" s="58">
        <f>IFERROR($O208/$O207-1,"")</f>
        <v/>
      </c>
      <c r="DU207" s="58">
        <f>IFERROR($P208/$P207-1,"")</f>
        <v/>
      </c>
      <c r="DV207" s="58">
        <f>IFERROR($Q208/$Q207-1,"")</f>
        <v/>
      </c>
      <c r="DW207" s="58">
        <f>IFERROR($R208/$R207-1,"")</f>
        <v/>
      </c>
      <c r="DX207" s="58">
        <f>IFERROR($S208/$S207-1,"")</f>
        <v/>
      </c>
      <c r="DY207" s="58">
        <f>IFERROR($T208/$T207-1,"")</f>
        <v/>
      </c>
      <c r="DZ207" s="58">
        <f>IFERROR($U208/$U207-1,"")</f>
        <v/>
      </c>
      <c r="EA207" s="58">
        <f>IFERROR($V208/$V207-1,"")</f>
        <v/>
      </c>
      <c r="EB207" s="58">
        <f>IFERROR($W208/$W207-1,"")</f>
        <v/>
      </c>
      <c r="EC207" s="58">
        <f>IFERROR($X208/$X207-1,"")</f>
        <v/>
      </c>
      <c r="ED207" s="58">
        <f>IFERROR($Y208/$Y207-1,"")</f>
        <v/>
      </c>
      <c r="EE207" s="58">
        <f>IFERROR($Z208/$Z207-1,"")</f>
        <v/>
      </c>
      <c r="EF207" s="58">
        <f>IFERROR($AA208/$AA207-1,"")</f>
        <v/>
      </c>
      <c r="EG207" s="58">
        <f>IFERROR($AB208/$AB207-1,"")</f>
        <v/>
      </c>
      <c r="EH207" s="58">
        <f>IFERROR($AC208/$AC207-1,"")</f>
        <v/>
      </c>
      <c r="EI207" s="58">
        <f>IFERROR($AD208/$AD207-1,"")</f>
        <v/>
      </c>
      <c r="EJ207" s="58">
        <f>IFERROR($AE208/$AE207-1,"")</f>
        <v/>
      </c>
      <c r="EK207" s="58">
        <f>IFERROR($AF208/$AF207-1,"")</f>
        <v/>
      </c>
      <c r="EL207" s="58">
        <f>IFERROR($AG208/$AG207-1,"")</f>
        <v/>
      </c>
      <c r="EM207" s="58">
        <f>IFERROR($BB207/$BB208-1,"")</f>
        <v/>
      </c>
      <c r="EN207" s="58">
        <f>IFERROR($BC207/$BC208-1,"")</f>
        <v/>
      </c>
      <c r="EO207" s="58">
        <f>IFERROR($BD207/$BD208-1,"")</f>
        <v/>
      </c>
      <c r="EP207" s="58">
        <f>IFERROR($BE207/$BE208-1,"")</f>
        <v/>
      </c>
      <c r="EQ207" s="58">
        <f>IFERROR($BF207/$BF208-1,"")</f>
        <v/>
      </c>
      <c r="ER207" s="58">
        <f>IFERROR($BG207/$BG208-1,"")</f>
        <v/>
      </c>
      <c r="ES207" s="58">
        <f>IFERROR($BH207/$BH208-1,"")</f>
        <v/>
      </c>
      <c r="ET207" s="58">
        <f>IFERROR($BI207/$BI208-1,"")</f>
        <v/>
      </c>
      <c r="EU207" s="58">
        <f>IFERROR($BJ207/$BJ208-1,"")</f>
        <v/>
      </c>
      <c r="EV207" s="58">
        <f>IFERROR($BK207/$BK208-1,"")</f>
        <v/>
      </c>
      <c r="EW207" s="58">
        <f>IFERROR($BL207/$BL208-1,"")</f>
        <v/>
      </c>
      <c r="EX207" s="58">
        <f>IFERROR($BM207/$BM208-1,"")</f>
        <v/>
      </c>
      <c r="EY207" s="58">
        <f>IFERROR($BN207/$BN208-1,"")</f>
        <v/>
      </c>
      <c r="EZ207" s="58">
        <f>IFERROR($BO207/$BO208-1,"")</f>
        <v/>
      </c>
      <c r="FA207" s="58">
        <f>IFERROR($BP207/$BP208-1,"")</f>
        <v/>
      </c>
      <c r="FB207" s="58">
        <f>IFERROR($BQ207/$BQ208-1,"")</f>
        <v/>
      </c>
      <c r="FC207" s="58">
        <f>IFERROR($BR207/$BR208-1,"")</f>
        <v/>
      </c>
      <c r="FD207" s="58">
        <f>IFERROR($BS207/$BS208-1,"")</f>
        <v/>
      </c>
      <c r="FE207" s="58">
        <f>IFERROR($BT207/$BT208-1,"")</f>
        <v/>
      </c>
      <c r="FF207" s="58">
        <f>IFERROR($BU207/$BU208-1,"")</f>
        <v/>
      </c>
      <c r="FG207" s="58">
        <f>IFERROR($BV207/$BV208-1,"")</f>
        <v/>
      </c>
      <c r="FH207" s="58">
        <f>IFERROR($BW207/$BW208-1,"")</f>
        <v/>
      </c>
      <c r="FI207" s="58">
        <f>IFERROR($BX207/$BX208-1,"")</f>
        <v/>
      </c>
      <c r="FJ207" s="59">
        <f>$BY207-$BY208</f>
        <v/>
      </c>
      <c r="FK207" s="59">
        <f>$BZ207-$BZ208</f>
        <v/>
      </c>
      <c r="FL207" s="59">
        <f>$CA207-$CA208</f>
        <v/>
      </c>
      <c r="FM207" s="59">
        <f>$CB207-$CB208</f>
        <v/>
      </c>
      <c r="FN207" s="59">
        <f>$CC207-$CC208</f>
        <v/>
      </c>
      <c r="FO207" s="59">
        <f>$CD207-$CD208</f>
        <v/>
      </c>
      <c r="FP207" s="59">
        <f>$CE207-$CE208</f>
        <v/>
      </c>
      <c r="FQ207" s="59">
        <f>$CF207-$CF208</f>
        <v/>
      </c>
      <c r="FR207" s="59">
        <f>$CG207-$CG208</f>
        <v/>
      </c>
      <c r="FS207" s="59">
        <f>$CH207-$CH208</f>
        <v/>
      </c>
      <c r="FT207" s="59">
        <f>$CI207-$CI208</f>
        <v/>
      </c>
      <c r="FU207" s="59">
        <f>$CJ207-$CJ208</f>
        <v/>
      </c>
      <c r="FV207" s="59">
        <f>$CK207-$CK208</f>
        <v/>
      </c>
      <c r="FW207" s="59">
        <f>$CL207-$CL208</f>
        <v/>
      </c>
      <c r="FX207" s="59">
        <f>$CM207-$CM208</f>
        <v/>
      </c>
      <c r="FY207" s="59">
        <f>$CN207-$CN208</f>
        <v/>
      </c>
      <c r="FZ207" s="59">
        <f>$CO207-$CO208</f>
        <v/>
      </c>
      <c r="GA207" s="59">
        <f>$CP207-$CP208</f>
        <v/>
      </c>
      <c r="GB207" s="59">
        <f>$CQ207-$CQ208</f>
        <v/>
      </c>
      <c r="GC207" s="59">
        <f>$CR207-$CR208</f>
        <v/>
      </c>
      <c r="GD207" s="59">
        <f>$CS207-$CS208</f>
        <v/>
      </c>
      <c r="GE207" s="59">
        <f>$CT207-$CT208</f>
        <v/>
      </c>
    </row>
    <row r="208">
      <c r="CU208" s="58">
        <f>IFERROR($B208/$B209-1,"")</f>
        <v/>
      </c>
      <c r="CV208" s="59">
        <f>($F208-$F209)*100</f>
        <v/>
      </c>
      <c r="CW208" s="59">
        <f>($E208-$E209)*100</f>
        <v/>
      </c>
      <c r="CX208" s="58">
        <f>IFERROR($K208/$K209-1,"")</f>
        <v/>
      </c>
      <c r="CY208" s="59">
        <f>($AH208-$AH209)*100</f>
        <v/>
      </c>
      <c r="CZ208" s="59">
        <f>($AI208-$AI209)*100</f>
        <v/>
      </c>
      <c r="DA208" s="59">
        <f>($AJ208-$AJ209)*100</f>
        <v/>
      </c>
      <c r="DB208" s="59">
        <f>($AK208-$AK209)*100</f>
        <v/>
      </c>
      <c r="DC208" s="59">
        <f>($AL208-$AL209)*100</f>
        <v/>
      </c>
      <c r="DD208" s="59">
        <f>($AM208-$AM209)*100</f>
        <v/>
      </c>
      <c r="DE208" s="59">
        <f>($AN208-$AN209)*100</f>
        <v/>
      </c>
      <c r="DF208" s="59">
        <f>($AO208-$AO209)*100</f>
        <v/>
      </c>
      <c r="DG208" s="59">
        <f>($AP208-$AP209)*100</f>
        <v/>
      </c>
      <c r="DH208" s="59">
        <f>($AQ208-$AQ209)*100</f>
        <v/>
      </c>
      <c r="DI208" s="59">
        <f>($AR208-$AR209)*100</f>
        <v/>
      </c>
      <c r="DJ208" s="59">
        <f>($AS208-$AS209)*100</f>
        <v/>
      </c>
      <c r="DK208" s="59">
        <f>($AT208-$AT209)*100</f>
        <v/>
      </c>
      <c r="DL208" s="59">
        <f>($AU208-$AU209)*100</f>
        <v/>
      </c>
      <c r="DM208" s="59">
        <f>($AV208-$AV209)*100</f>
        <v/>
      </c>
      <c r="DN208" s="59">
        <f>($AW208-$AW209)*100</f>
        <v/>
      </c>
      <c r="DO208" s="59">
        <f>($AX208-$AX209)*100</f>
        <v/>
      </c>
      <c r="DP208" s="59">
        <f>($AY208-$AY209)*100</f>
        <v/>
      </c>
      <c r="DQ208" s="59">
        <f>($AZ208-$AZ209)*100</f>
        <v/>
      </c>
      <c r="DR208" s="59">
        <f>($BA208-$BA209)*100</f>
        <v/>
      </c>
      <c r="DS208" s="58">
        <f>IFERROR($N209/$N208-1,"")</f>
        <v/>
      </c>
      <c r="DT208" s="58">
        <f>IFERROR($O209/$O208-1,"")</f>
        <v/>
      </c>
      <c r="DU208" s="58">
        <f>IFERROR($P209/$P208-1,"")</f>
        <v/>
      </c>
      <c r="DV208" s="58">
        <f>IFERROR($Q209/$Q208-1,"")</f>
        <v/>
      </c>
      <c r="DW208" s="58">
        <f>IFERROR($R209/$R208-1,"")</f>
        <v/>
      </c>
      <c r="DX208" s="58">
        <f>IFERROR($S209/$S208-1,"")</f>
        <v/>
      </c>
      <c r="DY208" s="58">
        <f>IFERROR($T209/$T208-1,"")</f>
        <v/>
      </c>
      <c r="DZ208" s="58">
        <f>IFERROR($U209/$U208-1,"")</f>
        <v/>
      </c>
      <c r="EA208" s="58">
        <f>IFERROR($V209/$V208-1,"")</f>
        <v/>
      </c>
      <c r="EB208" s="58">
        <f>IFERROR($W209/$W208-1,"")</f>
        <v/>
      </c>
      <c r="EC208" s="58">
        <f>IFERROR($X209/$X208-1,"")</f>
        <v/>
      </c>
      <c r="ED208" s="58">
        <f>IFERROR($Y209/$Y208-1,"")</f>
        <v/>
      </c>
      <c r="EE208" s="58">
        <f>IFERROR($Z209/$Z208-1,"")</f>
        <v/>
      </c>
      <c r="EF208" s="58">
        <f>IFERROR($AA209/$AA208-1,"")</f>
        <v/>
      </c>
      <c r="EG208" s="58">
        <f>IFERROR($AB209/$AB208-1,"")</f>
        <v/>
      </c>
      <c r="EH208" s="58">
        <f>IFERROR($AC209/$AC208-1,"")</f>
        <v/>
      </c>
      <c r="EI208" s="58">
        <f>IFERROR($AD209/$AD208-1,"")</f>
        <v/>
      </c>
      <c r="EJ208" s="58">
        <f>IFERROR($AE209/$AE208-1,"")</f>
        <v/>
      </c>
      <c r="EK208" s="58">
        <f>IFERROR($AF209/$AF208-1,"")</f>
        <v/>
      </c>
      <c r="EL208" s="58">
        <f>IFERROR($AG209/$AG208-1,"")</f>
        <v/>
      </c>
      <c r="EM208" s="58">
        <f>IFERROR($BB208/$BB209-1,"")</f>
        <v/>
      </c>
      <c r="EN208" s="58">
        <f>IFERROR($BC208/$BC209-1,"")</f>
        <v/>
      </c>
      <c r="EO208" s="58">
        <f>IFERROR($BD208/$BD209-1,"")</f>
        <v/>
      </c>
      <c r="EP208" s="58">
        <f>IFERROR($BE208/$BE209-1,"")</f>
        <v/>
      </c>
      <c r="EQ208" s="58">
        <f>IFERROR($BF208/$BF209-1,"")</f>
        <v/>
      </c>
      <c r="ER208" s="58">
        <f>IFERROR($BG208/$BG209-1,"")</f>
        <v/>
      </c>
      <c r="ES208" s="58">
        <f>IFERROR($BH208/$BH209-1,"")</f>
        <v/>
      </c>
      <c r="ET208" s="58">
        <f>IFERROR($BI208/$BI209-1,"")</f>
        <v/>
      </c>
      <c r="EU208" s="58">
        <f>IFERROR($BJ208/$BJ209-1,"")</f>
        <v/>
      </c>
      <c r="EV208" s="58">
        <f>IFERROR($BK208/$BK209-1,"")</f>
        <v/>
      </c>
      <c r="EW208" s="58">
        <f>IFERROR($BL208/$BL209-1,"")</f>
        <v/>
      </c>
      <c r="EX208" s="58">
        <f>IFERROR($BM208/$BM209-1,"")</f>
        <v/>
      </c>
      <c r="EY208" s="58">
        <f>IFERROR($BN208/$BN209-1,"")</f>
        <v/>
      </c>
      <c r="EZ208" s="58">
        <f>IFERROR($BO208/$BO209-1,"")</f>
        <v/>
      </c>
      <c r="FA208" s="58">
        <f>IFERROR($BP208/$BP209-1,"")</f>
        <v/>
      </c>
      <c r="FB208" s="58">
        <f>IFERROR($BQ208/$BQ209-1,"")</f>
        <v/>
      </c>
      <c r="FC208" s="58">
        <f>IFERROR($BR208/$BR209-1,"")</f>
        <v/>
      </c>
      <c r="FD208" s="58">
        <f>IFERROR($BS208/$BS209-1,"")</f>
        <v/>
      </c>
      <c r="FE208" s="58">
        <f>IFERROR($BT208/$BT209-1,"")</f>
        <v/>
      </c>
      <c r="FF208" s="58">
        <f>IFERROR($BU208/$BU209-1,"")</f>
        <v/>
      </c>
      <c r="FG208" s="58">
        <f>IFERROR($BV208/$BV209-1,"")</f>
        <v/>
      </c>
      <c r="FH208" s="58">
        <f>IFERROR($BW208/$BW209-1,"")</f>
        <v/>
      </c>
      <c r="FI208" s="58">
        <f>IFERROR($BX208/$BX209-1,"")</f>
        <v/>
      </c>
      <c r="FJ208" s="59">
        <f>$BY208-$BY209</f>
        <v/>
      </c>
      <c r="FK208" s="59">
        <f>$BZ208-$BZ209</f>
        <v/>
      </c>
      <c r="FL208" s="59">
        <f>$CA208-$CA209</f>
        <v/>
      </c>
      <c r="FM208" s="59">
        <f>$CB208-$CB209</f>
        <v/>
      </c>
      <c r="FN208" s="59">
        <f>$CC208-$CC209</f>
        <v/>
      </c>
      <c r="FO208" s="59">
        <f>$CD208-$CD209</f>
        <v/>
      </c>
      <c r="FP208" s="59">
        <f>$CE208-$CE209</f>
        <v/>
      </c>
      <c r="FQ208" s="59">
        <f>$CF208-$CF209</f>
        <v/>
      </c>
      <c r="FR208" s="59">
        <f>$CG208-$CG209</f>
        <v/>
      </c>
      <c r="FS208" s="59">
        <f>$CH208-$CH209</f>
        <v/>
      </c>
      <c r="FT208" s="59">
        <f>$CI208-$CI209</f>
        <v/>
      </c>
      <c r="FU208" s="59">
        <f>$CJ208-$CJ209</f>
        <v/>
      </c>
      <c r="FV208" s="59">
        <f>$CK208-$CK209</f>
        <v/>
      </c>
      <c r="FW208" s="59">
        <f>$CL208-$CL209</f>
        <v/>
      </c>
      <c r="FX208" s="59">
        <f>$CM208-$CM209</f>
        <v/>
      </c>
      <c r="FY208" s="59">
        <f>$CN208-$CN209</f>
        <v/>
      </c>
      <c r="FZ208" s="59">
        <f>$CO208-$CO209</f>
        <v/>
      </c>
      <c r="GA208" s="59">
        <f>$CP208-$CP209</f>
        <v/>
      </c>
      <c r="GB208" s="59">
        <f>$CQ208-$CQ209</f>
        <v/>
      </c>
      <c r="GC208" s="59">
        <f>$CR208-$CR209</f>
        <v/>
      </c>
      <c r="GD208" s="59">
        <f>$CS208-$CS209</f>
        <v/>
      </c>
      <c r="GE208" s="59">
        <f>$CT208-$CT209</f>
        <v/>
      </c>
    </row>
    <row r="209">
      <c r="CU209" s="58">
        <f>IFERROR($B209/$B210-1,"")</f>
        <v/>
      </c>
      <c r="CV209" s="59">
        <f>($F209-$F210)*100</f>
        <v/>
      </c>
      <c r="CW209" s="59">
        <f>($E209-$E210)*100</f>
        <v/>
      </c>
      <c r="CX209" s="58">
        <f>IFERROR($K209/$K210-1,"")</f>
        <v/>
      </c>
      <c r="CY209" s="59">
        <f>($AH209-$AH210)*100</f>
        <v/>
      </c>
      <c r="CZ209" s="59">
        <f>($AI209-$AI210)*100</f>
        <v/>
      </c>
      <c r="DA209" s="59">
        <f>($AJ209-$AJ210)*100</f>
        <v/>
      </c>
      <c r="DB209" s="59">
        <f>($AK209-$AK210)*100</f>
        <v/>
      </c>
      <c r="DC209" s="59">
        <f>($AL209-$AL210)*100</f>
        <v/>
      </c>
      <c r="DD209" s="59">
        <f>($AM209-$AM210)*100</f>
        <v/>
      </c>
      <c r="DE209" s="59">
        <f>($AN209-$AN210)*100</f>
        <v/>
      </c>
      <c r="DF209" s="59">
        <f>($AO209-$AO210)*100</f>
        <v/>
      </c>
      <c r="DG209" s="59">
        <f>($AP209-$AP210)*100</f>
        <v/>
      </c>
      <c r="DH209" s="59">
        <f>($AQ209-$AQ210)*100</f>
        <v/>
      </c>
      <c r="DI209" s="59">
        <f>($AR209-$AR210)*100</f>
        <v/>
      </c>
      <c r="DJ209" s="59">
        <f>($AS209-$AS210)*100</f>
        <v/>
      </c>
      <c r="DK209" s="59">
        <f>($AT209-$AT210)*100</f>
        <v/>
      </c>
      <c r="DL209" s="59">
        <f>($AU209-$AU210)*100</f>
        <v/>
      </c>
      <c r="DM209" s="59">
        <f>($AV209-$AV210)*100</f>
        <v/>
      </c>
      <c r="DN209" s="59">
        <f>($AW209-$AW210)*100</f>
        <v/>
      </c>
      <c r="DO209" s="59">
        <f>($AX209-$AX210)*100</f>
        <v/>
      </c>
      <c r="DP209" s="59">
        <f>($AY209-$AY210)*100</f>
        <v/>
      </c>
      <c r="DQ209" s="59">
        <f>($AZ209-$AZ210)*100</f>
        <v/>
      </c>
      <c r="DR209" s="59">
        <f>($BA209-$BA210)*100</f>
        <v/>
      </c>
      <c r="DS209" s="58">
        <f>IFERROR($N210/$N209-1,"")</f>
        <v/>
      </c>
      <c r="DT209" s="58">
        <f>IFERROR($O210/$O209-1,"")</f>
        <v/>
      </c>
      <c r="DU209" s="58">
        <f>IFERROR($P210/$P209-1,"")</f>
        <v/>
      </c>
      <c r="DV209" s="58">
        <f>IFERROR($Q210/$Q209-1,"")</f>
        <v/>
      </c>
      <c r="DW209" s="58">
        <f>IFERROR($R210/$R209-1,"")</f>
        <v/>
      </c>
      <c r="DX209" s="58">
        <f>IFERROR($S210/$S209-1,"")</f>
        <v/>
      </c>
      <c r="DY209" s="58">
        <f>IFERROR($T210/$T209-1,"")</f>
        <v/>
      </c>
      <c r="DZ209" s="58">
        <f>IFERROR($U210/$U209-1,"")</f>
        <v/>
      </c>
      <c r="EA209" s="58">
        <f>IFERROR($V210/$V209-1,"")</f>
        <v/>
      </c>
      <c r="EB209" s="58">
        <f>IFERROR($W210/$W209-1,"")</f>
        <v/>
      </c>
      <c r="EC209" s="58">
        <f>IFERROR($X210/$X209-1,"")</f>
        <v/>
      </c>
      <c r="ED209" s="58">
        <f>IFERROR($Y210/$Y209-1,"")</f>
        <v/>
      </c>
      <c r="EE209" s="58">
        <f>IFERROR($Z210/$Z209-1,"")</f>
        <v/>
      </c>
      <c r="EF209" s="58">
        <f>IFERROR($AA210/$AA209-1,"")</f>
        <v/>
      </c>
      <c r="EG209" s="58">
        <f>IFERROR($AB210/$AB209-1,"")</f>
        <v/>
      </c>
      <c r="EH209" s="58">
        <f>IFERROR($AC210/$AC209-1,"")</f>
        <v/>
      </c>
      <c r="EI209" s="58">
        <f>IFERROR($AD210/$AD209-1,"")</f>
        <v/>
      </c>
      <c r="EJ209" s="58">
        <f>IFERROR($AE210/$AE209-1,"")</f>
        <v/>
      </c>
      <c r="EK209" s="58">
        <f>IFERROR($AF210/$AF209-1,"")</f>
        <v/>
      </c>
      <c r="EL209" s="58">
        <f>IFERROR($AG210/$AG209-1,"")</f>
        <v/>
      </c>
      <c r="EM209" s="58">
        <f>IFERROR($BB209/$BB210-1,"")</f>
        <v/>
      </c>
      <c r="EN209" s="58">
        <f>IFERROR($BC209/$BC210-1,"")</f>
        <v/>
      </c>
      <c r="EO209" s="58">
        <f>IFERROR($BD209/$BD210-1,"")</f>
        <v/>
      </c>
      <c r="EP209" s="58">
        <f>IFERROR($BE209/$BE210-1,"")</f>
        <v/>
      </c>
      <c r="EQ209" s="58">
        <f>IFERROR($BF209/$BF210-1,"")</f>
        <v/>
      </c>
      <c r="ER209" s="58">
        <f>IFERROR($BG209/$BG210-1,"")</f>
        <v/>
      </c>
      <c r="ES209" s="58">
        <f>IFERROR($BH209/$BH210-1,"")</f>
        <v/>
      </c>
      <c r="ET209" s="58">
        <f>IFERROR($BI209/$BI210-1,"")</f>
        <v/>
      </c>
      <c r="EU209" s="58">
        <f>IFERROR($BJ209/$BJ210-1,"")</f>
        <v/>
      </c>
      <c r="EV209" s="58">
        <f>IFERROR($BK209/$BK210-1,"")</f>
        <v/>
      </c>
      <c r="EW209" s="58">
        <f>IFERROR($BL209/$BL210-1,"")</f>
        <v/>
      </c>
      <c r="EX209" s="58">
        <f>IFERROR($BM209/$BM210-1,"")</f>
        <v/>
      </c>
      <c r="EY209" s="58">
        <f>IFERROR($BN209/$BN210-1,"")</f>
        <v/>
      </c>
      <c r="EZ209" s="58">
        <f>IFERROR($BO209/$BO210-1,"")</f>
        <v/>
      </c>
      <c r="FA209" s="58">
        <f>IFERROR($BP209/$BP210-1,"")</f>
        <v/>
      </c>
      <c r="FB209" s="58">
        <f>IFERROR($BQ209/$BQ210-1,"")</f>
        <v/>
      </c>
      <c r="FC209" s="58">
        <f>IFERROR($BR209/$BR210-1,"")</f>
        <v/>
      </c>
      <c r="FD209" s="58">
        <f>IFERROR($BS209/$BS210-1,"")</f>
        <v/>
      </c>
      <c r="FE209" s="58">
        <f>IFERROR($BT209/$BT210-1,"")</f>
        <v/>
      </c>
      <c r="FF209" s="58">
        <f>IFERROR($BU209/$BU210-1,"")</f>
        <v/>
      </c>
      <c r="FG209" s="58">
        <f>IFERROR($BV209/$BV210-1,"")</f>
        <v/>
      </c>
      <c r="FH209" s="58">
        <f>IFERROR($BW209/$BW210-1,"")</f>
        <v/>
      </c>
      <c r="FI209" s="58">
        <f>IFERROR($BX209/$BX210-1,"")</f>
        <v/>
      </c>
      <c r="FJ209" s="59">
        <f>$BY209-$BY210</f>
        <v/>
      </c>
      <c r="FK209" s="59">
        <f>$BZ209-$BZ210</f>
        <v/>
      </c>
      <c r="FL209" s="59">
        <f>$CA209-$CA210</f>
        <v/>
      </c>
      <c r="FM209" s="59">
        <f>$CB209-$CB210</f>
        <v/>
      </c>
      <c r="FN209" s="59">
        <f>$CC209-$CC210</f>
        <v/>
      </c>
      <c r="FO209" s="59">
        <f>$CD209-$CD210</f>
        <v/>
      </c>
      <c r="FP209" s="59">
        <f>$CE209-$CE210</f>
        <v/>
      </c>
      <c r="FQ209" s="59">
        <f>$CF209-$CF210</f>
        <v/>
      </c>
      <c r="FR209" s="59">
        <f>$CG209-$CG210</f>
        <v/>
      </c>
      <c r="FS209" s="59">
        <f>$CH209-$CH210</f>
        <v/>
      </c>
      <c r="FT209" s="59">
        <f>$CI209-$CI210</f>
        <v/>
      </c>
      <c r="FU209" s="59">
        <f>$CJ209-$CJ210</f>
        <v/>
      </c>
      <c r="FV209" s="59">
        <f>$CK209-$CK210</f>
        <v/>
      </c>
      <c r="FW209" s="59">
        <f>$CL209-$CL210</f>
        <v/>
      </c>
      <c r="FX209" s="59">
        <f>$CM209-$CM210</f>
        <v/>
      </c>
      <c r="FY209" s="59">
        <f>$CN209-$CN210</f>
        <v/>
      </c>
      <c r="FZ209" s="59">
        <f>$CO209-$CO210</f>
        <v/>
      </c>
      <c r="GA209" s="59">
        <f>$CP209-$CP210</f>
        <v/>
      </c>
      <c r="GB209" s="59">
        <f>$CQ209-$CQ210</f>
        <v/>
      </c>
      <c r="GC209" s="59">
        <f>$CR209-$CR210</f>
        <v/>
      </c>
      <c r="GD209" s="59">
        <f>$CS209-$CS210</f>
        <v/>
      </c>
      <c r="GE209" s="59">
        <f>$CT209-$CT210</f>
        <v/>
      </c>
    </row>
    <row r="210">
      <c r="CU210" s="58">
        <f>IFERROR($B210/$B211-1,"")</f>
        <v/>
      </c>
      <c r="CV210" s="59">
        <f>($F210-$F211)*100</f>
        <v/>
      </c>
      <c r="CW210" s="59">
        <f>($E210-$E211)*100</f>
        <v/>
      </c>
      <c r="CX210" s="58">
        <f>IFERROR($K210/$K211-1,"")</f>
        <v/>
      </c>
      <c r="CY210" s="59">
        <f>($AH210-$AH211)*100</f>
        <v/>
      </c>
      <c r="CZ210" s="59">
        <f>($AI210-$AI211)*100</f>
        <v/>
      </c>
      <c r="DA210" s="59">
        <f>($AJ210-$AJ211)*100</f>
        <v/>
      </c>
      <c r="DB210" s="59">
        <f>($AK210-$AK211)*100</f>
        <v/>
      </c>
      <c r="DC210" s="59">
        <f>($AL210-$AL211)*100</f>
        <v/>
      </c>
      <c r="DD210" s="59">
        <f>($AM210-$AM211)*100</f>
        <v/>
      </c>
      <c r="DE210" s="59">
        <f>($AN210-$AN211)*100</f>
        <v/>
      </c>
      <c r="DF210" s="59">
        <f>($AO210-$AO211)*100</f>
        <v/>
      </c>
      <c r="DG210" s="59">
        <f>($AP210-$AP211)*100</f>
        <v/>
      </c>
      <c r="DH210" s="59">
        <f>($AQ210-$AQ211)*100</f>
        <v/>
      </c>
      <c r="DI210" s="59">
        <f>($AR210-$AR211)*100</f>
        <v/>
      </c>
      <c r="DJ210" s="59">
        <f>($AS210-$AS211)*100</f>
        <v/>
      </c>
      <c r="DK210" s="59">
        <f>($AT210-$AT211)*100</f>
        <v/>
      </c>
      <c r="DL210" s="59">
        <f>($AU210-$AU211)*100</f>
        <v/>
      </c>
      <c r="DM210" s="59">
        <f>($AV210-$AV211)*100</f>
        <v/>
      </c>
      <c r="DN210" s="59">
        <f>($AW210-$AW211)*100</f>
        <v/>
      </c>
      <c r="DO210" s="59">
        <f>($AX210-$AX211)*100</f>
        <v/>
      </c>
      <c r="DP210" s="59">
        <f>($AY210-$AY211)*100</f>
        <v/>
      </c>
      <c r="DQ210" s="59">
        <f>($AZ210-$AZ211)*100</f>
        <v/>
      </c>
      <c r="DR210" s="59">
        <f>($BA210-$BA211)*100</f>
        <v/>
      </c>
      <c r="DS210" s="58">
        <f>IFERROR($N211/$N210-1,"")</f>
        <v/>
      </c>
      <c r="DT210" s="58">
        <f>IFERROR($O211/$O210-1,"")</f>
        <v/>
      </c>
      <c r="DU210" s="58">
        <f>IFERROR($P211/$P210-1,"")</f>
        <v/>
      </c>
      <c r="DV210" s="58">
        <f>IFERROR($Q211/$Q210-1,"")</f>
        <v/>
      </c>
      <c r="DW210" s="58">
        <f>IFERROR($R211/$R210-1,"")</f>
        <v/>
      </c>
      <c r="DX210" s="58">
        <f>IFERROR($S211/$S210-1,"")</f>
        <v/>
      </c>
      <c r="DY210" s="58">
        <f>IFERROR($T211/$T210-1,"")</f>
        <v/>
      </c>
      <c r="DZ210" s="58">
        <f>IFERROR($U211/$U210-1,"")</f>
        <v/>
      </c>
      <c r="EA210" s="58">
        <f>IFERROR($V211/$V210-1,"")</f>
        <v/>
      </c>
      <c r="EB210" s="58">
        <f>IFERROR($W211/$W210-1,"")</f>
        <v/>
      </c>
      <c r="EC210" s="58">
        <f>IFERROR($X211/$X210-1,"")</f>
        <v/>
      </c>
      <c r="ED210" s="58">
        <f>IFERROR($Y211/$Y210-1,"")</f>
        <v/>
      </c>
      <c r="EE210" s="58">
        <f>IFERROR($Z211/$Z210-1,"")</f>
        <v/>
      </c>
      <c r="EF210" s="58">
        <f>IFERROR($AA211/$AA210-1,"")</f>
        <v/>
      </c>
      <c r="EG210" s="58">
        <f>IFERROR($AB211/$AB210-1,"")</f>
        <v/>
      </c>
      <c r="EH210" s="58">
        <f>IFERROR($AC211/$AC210-1,"")</f>
        <v/>
      </c>
      <c r="EI210" s="58">
        <f>IFERROR($AD211/$AD210-1,"")</f>
        <v/>
      </c>
      <c r="EJ210" s="58">
        <f>IFERROR($AE211/$AE210-1,"")</f>
        <v/>
      </c>
      <c r="EK210" s="58">
        <f>IFERROR($AF211/$AF210-1,"")</f>
        <v/>
      </c>
      <c r="EL210" s="58">
        <f>IFERROR($AG211/$AG210-1,"")</f>
        <v/>
      </c>
      <c r="EM210" s="58">
        <f>IFERROR($BB210/$BB211-1,"")</f>
        <v/>
      </c>
      <c r="EN210" s="58">
        <f>IFERROR($BC210/$BC211-1,"")</f>
        <v/>
      </c>
      <c r="EO210" s="58">
        <f>IFERROR($BD210/$BD211-1,"")</f>
        <v/>
      </c>
      <c r="EP210" s="58">
        <f>IFERROR($BE210/$BE211-1,"")</f>
        <v/>
      </c>
      <c r="EQ210" s="58">
        <f>IFERROR($BF210/$BF211-1,"")</f>
        <v/>
      </c>
      <c r="ER210" s="58">
        <f>IFERROR($BG210/$BG211-1,"")</f>
        <v/>
      </c>
      <c r="ES210" s="58">
        <f>IFERROR($BH210/$BH211-1,"")</f>
        <v/>
      </c>
      <c r="ET210" s="58">
        <f>IFERROR($BI210/$BI211-1,"")</f>
        <v/>
      </c>
      <c r="EU210" s="58">
        <f>IFERROR($BJ210/$BJ211-1,"")</f>
        <v/>
      </c>
      <c r="EV210" s="58">
        <f>IFERROR($BK210/$BK211-1,"")</f>
        <v/>
      </c>
      <c r="EW210" s="58">
        <f>IFERROR($BL210/$BL211-1,"")</f>
        <v/>
      </c>
      <c r="EX210" s="58">
        <f>IFERROR($BM210/$BM211-1,"")</f>
        <v/>
      </c>
      <c r="EY210" s="58">
        <f>IFERROR($BN210/$BN211-1,"")</f>
        <v/>
      </c>
      <c r="EZ210" s="58">
        <f>IFERROR($BO210/$BO211-1,"")</f>
        <v/>
      </c>
      <c r="FA210" s="58">
        <f>IFERROR($BP210/$BP211-1,"")</f>
        <v/>
      </c>
      <c r="FB210" s="58">
        <f>IFERROR($BQ210/$BQ211-1,"")</f>
        <v/>
      </c>
      <c r="FC210" s="58">
        <f>IFERROR($BR210/$BR211-1,"")</f>
        <v/>
      </c>
      <c r="FD210" s="58">
        <f>IFERROR($BS210/$BS211-1,"")</f>
        <v/>
      </c>
      <c r="FE210" s="58">
        <f>IFERROR($BT210/$BT211-1,"")</f>
        <v/>
      </c>
      <c r="FF210" s="58">
        <f>IFERROR($BU210/$BU211-1,"")</f>
        <v/>
      </c>
      <c r="FG210" s="58">
        <f>IFERROR($BV210/$BV211-1,"")</f>
        <v/>
      </c>
      <c r="FH210" s="58">
        <f>IFERROR($BW210/$BW211-1,"")</f>
        <v/>
      </c>
      <c r="FI210" s="58">
        <f>IFERROR($BX210/$BX211-1,"")</f>
        <v/>
      </c>
      <c r="FJ210" s="59">
        <f>$BY210-$BY211</f>
        <v/>
      </c>
      <c r="FK210" s="59">
        <f>$BZ210-$BZ211</f>
        <v/>
      </c>
      <c r="FL210" s="59">
        <f>$CA210-$CA211</f>
        <v/>
      </c>
      <c r="FM210" s="59">
        <f>$CB210-$CB211</f>
        <v/>
      </c>
      <c r="FN210" s="59">
        <f>$CC210-$CC211</f>
        <v/>
      </c>
      <c r="FO210" s="59">
        <f>$CD210-$CD211</f>
        <v/>
      </c>
      <c r="FP210" s="59">
        <f>$CE210-$CE211</f>
        <v/>
      </c>
      <c r="FQ210" s="59">
        <f>$CF210-$CF211</f>
        <v/>
      </c>
      <c r="FR210" s="59">
        <f>$CG210-$CG211</f>
        <v/>
      </c>
      <c r="FS210" s="59">
        <f>$CH210-$CH211</f>
        <v/>
      </c>
      <c r="FT210" s="59">
        <f>$CI210-$CI211</f>
        <v/>
      </c>
      <c r="FU210" s="59">
        <f>$CJ210-$CJ211</f>
        <v/>
      </c>
      <c r="FV210" s="59">
        <f>$CK210-$CK211</f>
        <v/>
      </c>
      <c r="FW210" s="59">
        <f>$CL210-$CL211</f>
        <v/>
      </c>
      <c r="FX210" s="59">
        <f>$CM210-$CM211</f>
        <v/>
      </c>
      <c r="FY210" s="59">
        <f>$CN210-$CN211</f>
        <v/>
      </c>
      <c r="FZ210" s="59">
        <f>$CO210-$CO211</f>
        <v/>
      </c>
      <c r="GA210" s="59">
        <f>$CP210-$CP211</f>
        <v/>
      </c>
      <c r="GB210" s="59">
        <f>$CQ210-$CQ211</f>
        <v/>
      </c>
      <c r="GC210" s="59">
        <f>$CR210-$CR211</f>
        <v/>
      </c>
      <c r="GD210" s="59">
        <f>$CS210-$CS211</f>
        <v/>
      </c>
      <c r="GE210" s="59">
        <f>$CT210-$CT211</f>
        <v/>
      </c>
    </row>
    <row r="211">
      <c r="CU211" s="58">
        <f>IFERROR($B211/$B212-1,"")</f>
        <v/>
      </c>
      <c r="CV211" s="59">
        <f>($F211-$F212)*100</f>
        <v/>
      </c>
      <c r="CW211" s="59">
        <f>($E211-$E212)*100</f>
        <v/>
      </c>
      <c r="CX211" s="58">
        <f>IFERROR($K211/$K212-1,"")</f>
        <v/>
      </c>
      <c r="CY211" s="59">
        <f>($AH211-$AH212)*100</f>
        <v/>
      </c>
      <c r="CZ211" s="59">
        <f>($AI211-$AI212)*100</f>
        <v/>
      </c>
      <c r="DA211" s="59">
        <f>($AJ211-$AJ212)*100</f>
        <v/>
      </c>
      <c r="DB211" s="59">
        <f>($AK211-$AK212)*100</f>
        <v/>
      </c>
      <c r="DC211" s="59">
        <f>($AL211-$AL212)*100</f>
        <v/>
      </c>
      <c r="DD211" s="59">
        <f>($AM211-$AM212)*100</f>
        <v/>
      </c>
      <c r="DE211" s="59">
        <f>($AN211-$AN212)*100</f>
        <v/>
      </c>
      <c r="DF211" s="59">
        <f>($AO211-$AO212)*100</f>
        <v/>
      </c>
      <c r="DG211" s="59">
        <f>($AP211-$AP212)*100</f>
        <v/>
      </c>
      <c r="DH211" s="59">
        <f>($AQ211-$AQ212)*100</f>
        <v/>
      </c>
      <c r="DI211" s="59">
        <f>($AR211-$AR212)*100</f>
        <v/>
      </c>
      <c r="DJ211" s="59">
        <f>($AS211-$AS212)*100</f>
        <v/>
      </c>
      <c r="DK211" s="59">
        <f>($AT211-$AT212)*100</f>
        <v/>
      </c>
      <c r="DL211" s="59">
        <f>($AU211-$AU212)*100</f>
        <v/>
      </c>
      <c r="DM211" s="59">
        <f>($AV211-$AV212)*100</f>
        <v/>
      </c>
      <c r="DN211" s="59">
        <f>($AW211-$AW212)*100</f>
        <v/>
      </c>
      <c r="DO211" s="59">
        <f>($AX211-$AX212)*100</f>
        <v/>
      </c>
      <c r="DP211" s="59">
        <f>($AY211-$AY212)*100</f>
        <v/>
      </c>
      <c r="DQ211" s="59">
        <f>($AZ211-$AZ212)*100</f>
        <v/>
      </c>
      <c r="DR211" s="59">
        <f>($BA211-$BA212)*100</f>
        <v/>
      </c>
      <c r="DS211" s="58">
        <f>IFERROR($N212/$N211-1,"")</f>
        <v/>
      </c>
      <c r="DT211" s="58">
        <f>IFERROR($O212/$O211-1,"")</f>
        <v/>
      </c>
      <c r="DU211" s="58">
        <f>IFERROR($P212/$P211-1,"")</f>
        <v/>
      </c>
      <c r="DV211" s="58">
        <f>IFERROR($Q212/$Q211-1,"")</f>
        <v/>
      </c>
      <c r="DW211" s="58">
        <f>IFERROR($R212/$R211-1,"")</f>
        <v/>
      </c>
      <c r="DX211" s="58">
        <f>IFERROR($S212/$S211-1,"")</f>
        <v/>
      </c>
      <c r="DY211" s="58">
        <f>IFERROR($T212/$T211-1,"")</f>
        <v/>
      </c>
      <c r="DZ211" s="58">
        <f>IFERROR($U212/$U211-1,"")</f>
        <v/>
      </c>
      <c r="EA211" s="58">
        <f>IFERROR($V212/$V211-1,"")</f>
        <v/>
      </c>
      <c r="EB211" s="58">
        <f>IFERROR($W212/$W211-1,"")</f>
        <v/>
      </c>
      <c r="EC211" s="58">
        <f>IFERROR($X212/$X211-1,"")</f>
        <v/>
      </c>
      <c r="ED211" s="58">
        <f>IFERROR($Y212/$Y211-1,"")</f>
        <v/>
      </c>
      <c r="EE211" s="58">
        <f>IFERROR($Z212/$Z211-1,"")</f>
        <v/>
      </c>
      <c r="EF211" s="58">
        <f>IFERROR($AA212/$AA211-1,"")</f>
        <v/>
      </c>
      <c r="EG211" s="58">
        <f>IFERROR($AB212/$AB211-1,"")</f>
        <v/>
      </c>
      <c r="EH211" s="58">
        <f>IFERROR($AC212/$AC211-1,"")</f>
        <v/>
      </c>
      <c r="EI211" s="58">
        <f>IFERROR($AD212/$AD211-1,"")</f>
        <v/>
      </c>
      <c r="EJ211" s="58">
        <f>IFERROR($AE212/$AE211-1,"")</f>
        <v/>
      </c>
      <c r="EK211" s="58">
        <f>IFERROR($AF212/$AF211-1,"")</f>
        <v/>
      </c>
      <c r="EL211" s="58">
        <f>IFERROR($AG212/$AG211-1,"")</f>
        <v/>
      </c>
      <c r="EM211" s="58">
        <f>IFERROR($BB211/$BB212-1,"")</f>
        <v/>
      </c>
      <c r="EN211" s="58">
        <f>IFERROR($BC211/$BC212-1,"")</f>
        <v/>
      </c>
      <c r="EO211" s="58">
        <f>IFERROR($BD211/$BD212-1,"")</f>
        <v/>
      </c>
      <c r="EP211" s="58">
        <f>IFERROR($BE211/$BE212-1,"")</f>
        <v/>
      </c>
      <c r="EQ211" s="58">
        <f>IFERROR($BF211/$BF212-1,"")</f>
        <v/>
      </c>
      <c r="ER211" s="58">
        <f>IFERROR($BG211/$BG212-1,"")</f>
        <v/>
      </c>
      <c r="ES211" s="58">
        <f>IFERROR($BH211/$BH212-1,"")</f>
        <v/>
      </c>
      <c r="ET211" s="58">
        <f>IFERROR($BI211/$BI212-1,"")</f>
        <v/>
      </c>
      <c r="EU211" s="58">
        <f>IFERROR($BJ211/$BJ212-1,"")</f>
        <v/>
      </c>
      <c r="EV211" s="58">
        <f>IFERROR($BK211/$BK212-1,"")</f>
        <v/>
      </c>
      <c r="EW211" s="58">
        <f>IFERROR($BL211/$BL212-1,"")</f>
        <v/>
      </c>
      <c r="EX211" s="58">
        <f>IFERROR($BM211/$BM212-1,"")</f>
        <v/>
      </c>
      <c r="EY211" s="58">
        <f>IFERROR($BN211/$BN212-1,"")</f>
        <v/>
      </c>
      <c r="EZ211" s="58">
        <f>IFERROR($BO211/$BO212-1,"")</f>
        <v/>
      </c>
      <c r="FA211" s="58">
        <f>IFERROR($BP211/$BP212-1,"")</f>
        <v/>
      </c>
      <c r="FB211" s="58">
        <f>IFERROR($BQ211/$BQ212-1,"")</f>
        <v/>
      </c>
      <c r="FC211" s="58">
        <f>IFERROR($BR211/$BR212-1,"")</f>
        <v/>
      </c>
      <c r="FD211" s="58">
        <f>IFERROR($BS211/$BS212-1,"")</f>
        <v/>
      </c>
      <c r="FE211" s="58">
        <f>IFERROR($BT211/$BT212-1,"")</f>
        <v/>
      </c>
      <c r="FF211" s="58">
        <f>IFERROR($BU211/$BU212-1,"")</f>
        <v/>
      </c>
      <c r="FG211" s="58">
        <f>IFERROR($BV211/$BV212-1,"")</f>
        <v/>
      </c>
      <c r="FH211" s="58">
        <f>IFERROR($BW211/$BW212-1,"")</f>
        <v/>
      </c>
      <c r="FI211" s="58">
        <f>IFERROR($BX211/$BX212-1,"")</f>
        <v/>
      </c>
      <c r="FJ211" s="59">
        <f>$BY211-$BY212</f>
        <v/>
      </c>
      <c r="FK211" s="59">
        <f>$BZ211-$BZ212</f>
        <v/>
      </c>
      <c r="FL211" s="59">
        <f>$CA211-$CA212</f>
        <v/>
      </c>
      <c r="FM211" s="59">
        <f>$CB211-$CB212</f>
        <v/>
      </c>
      <c r="FN211" s="59">
        <f>$CC211-$CC212</f>
        <v/>
      </c>
      <c r="FO211" s="59">
        <f>$CD211-$CD212</f>
        <v/>
      </c>
      <c r="FP211" s="59">
        <f>$CE211-$CE212</f>
        <v/>
      </c>
      <c r="FQ211" s="59">
        <f>$CF211-$CF212</f>
        <v/>
      </c>
      <c r="FR211" s="59">
        <f>$CG211-$CG212</f>
        <v/>
      </c>
      <c r="FS211" s="59">
        <f>$CH211-$CH212</f>
        <v/>
      </c>
      <c r="FT211" s="59">
        <f>$CI211-$CI212</f>
        <v/>
      </c>
      <c r="FU211" s="59">
        <f>$CJ211-$CJ212</f>
        <v/>
      </c>
      <c r="FV211" s="59">
        <f>$CK211-$CK212</f>
        <v/>
      </c>
      <c r="FW211" s="59">
        <f>$CL211-$CL212</f>
        <v/>
      </c>
      <c r="FX211" s="59">
        <f>$CM211-$CM212</f>
        <v/>
      </c>
      <c r="FY211" s="59">
        <f>$CN211-$CN212</f>
        <v/>
      </c>
      <c r="FZ211" s="59">
        <f>$CO211-$CO212</f>
        <v/>
      </c>
      <c r="GA211" s="59">
        <f>$CP211-$CP212</f>
        <v/>
      </c>
      <c r="GB211" s="59">
        <f>$CQ211-$CQ212</f>
        <v/>
      </c>
      <c r="GC211" s="59">
        <f>$CR211-$CR212</f>
        <v/>
      </c>
      <c r="GD211" s="59">
        <f>$CS211-$CS212</f>
        <v/>
      </c>
      <c r="GE211" s="59">
        <f>$CT211-$CT212</f>
        <v/>
      </c>
    </row>
    <row r="212">
      <c r="CU212" s="58">
        <f>IFERROR($B212/$B213-1,"")</f>
        <v/>
      </c>
      <c r="CV212" s="59">
        <f>($F212-$F213)*100</f>
        <v/>
      </c>
      <c r="CW212" s="59">
        <f>($E212-$E213)*100</f>
        <v/>
      </c>
      <c r="CX212" s="58">
        <f>IFERROR($K212/$K213-1,"")</f>
        <v/>
      </c>
      <c r="CY212" s="59">
        <f>($AH212-$AH213)*100</f>
        <v/>
      </c>
      <c r="CZ212" s="59">
        <f>($AI212-$AI213)*100</f>
        <v/>
      </c>
      <c r="DA212" s="59">
        <f>($AJ212-$AJ213)*100</f>
        <v/>
      </c>
      <c r="DB212" s="59">
        <f>($AK212-$AK213)*100</f>
        <v/>
      </c>
      <c r="DC212" s="59">
        <f>($AL212-$AL213)*100</f>
        <v/>
      </c>
      <c r="DD212" s="59">
        <f>($AM212-$AM213)*100</f>
        <v/>
      </c>
      <c r="DE212" s="59">
        <f>($AN212-$AN213)*100</f>
        <v/>
      </c>
      <c r="DF212" s="59">
        <f>($AO212-$AO213)*100</f>
        <v/>
      </c>
      <c r="DG212" s="59">
        <f>($AP212-$AP213)*100</f>
        <v/>
      </c>
      <c r="DH212" s="59">
        <f>($AQ212-$AQ213)*100</f>
        <v/>
      </c>
      <c r="DI212" s="59">
        <f>($AR212-$AR213)*100</f>
        <v/>
      </c>
      <c r="DJ212" s="59">
        <f>($AS212-$AS213)*100</f>
        <v/>
      </c>
      <c r="DK212" s="59">
        <f>($AT212-$AT213)*100</f>
        <v/>
      </c>
      <c r="DL212" s="59">
        <f>($AU212-$AU213)*100</f>
        <v/>
      </c>
      <c r="DM212" s="59">
        <f>($AV212-$AV213)*100</f>
        <v/>
      </c>
      <c r="DN212" s="59">
        <f>($AW212-$AW213)*100</f>
        <v/>
      </c>
      <c r="DO212" s="59">
        <f>($AX212-$AX213)*100</f>
        <v/>
      </c>
      <c r="DP212" s="59">
        <f>($AY212-$AY213)*100</f>
        <v/>
      </c>
      <c r="DQ212" s="59">
        <f>($AZ212-$AZ213)*100</f>
        <v/>
      </c>
      <c r="DR212" s="59">
        <f>($BA212-$BA213)*100</f>
        <v/>
      </c>
      <c r="DS212" s="58">
        <f>IFERROR($N213/$N212-1,"")</f>
        <v/>
      </c>
      <c r="DT212" s="58">
        <f>IFERROR($O213/$O212-1,"")</f>
        <v/>
      </c>
      <c r="DU212" s="58">
        <f>IFERROR($P213/$P212-1,"")</f>
        <v/>
      </c>
      <c r="DV212" s="58">
        <f>IFERROR($Q213/$Q212-1,"")</f>
        <v/>
      </c>
      <c r="DW212" s="58">
        <f>IFERROR($R213/$R212-1,"")</f>
        <v/>
      </c>
      <c r="DX212" s="58">
        <f>IFERROR($S213/$S212-1,"")</f>
        <v/>
      </c>
      <c r="DY212" s="58">
        <f>IFERROR($T213/$T212-1,"")</f>
        <v/>
      </c>
      <c r="DZ212" s="58">
        <f>IFERROR($U213/$U212-1,"")</f>
        <v/>
      </c>
      <c r="EA212" s="58">
        <f>IFERROR($V213/$V212-1,"")</f>
        <v/>
      </c>
      <c r="EB212" s="58">
        <f>IFERROR($W213/$W212-1,"")</f>
        <v/>
      </c>
      <c r="EC212" s="58">
        <f>IFERROR($X213/$X212-1,"")</f>
        <v/>
      </c>
      <c r="ED212" s="58">
        <f>IFERROR($Y213/$Y212-1,"")</f>
        <v/>
      </c>
      <c r="EE212" s="58">
        <f>IFERROR($Z213/$Z212-1,"")</f>
        <v/>
      </c>
      <c r="EF212" s="58">
        <f>IFERROR($AA213/$AA212-1,"")</f>
        <v/>
      </c>
      <c r="EG212" s="58">
        <f>IFERROR($AB213/$AB212-1,"")</f>
        <v/>
      </c>
      <c r="EH212" s="58">
        <f>IFERROR($AC213/$AC212-1,"")</f>
        <v/>
      </c>
      <c r="EI212" s="58">
        <f>IFERROR($AD213/$AD212-1,"")</f>
        <v/>
      </c>
      <c r="EJ212" s="58">
        <f>IFERROR($AE213/$AE212-1,"")</f>
        <v/>
      </c>
      <c r="EK212" s="58">
        <f>IFERROR($AF213/$AF212-1,"")</f>
        <v/>
      </c>
      <c r="EL212" s="58">
        <f>IFERROR($AG213/$AG212-1,"")</f>
        <v/>
      </c>
      <c r="EM212" s="58">
        <f>IFERROR($BB212/$BB213-1,"")</f>
        <v/>
      </c>
      <c r="EN212" s="58">
        <f>IFERROR($BC212/$BC213-1,"")</f>
        <v/>
      </c>
      <c r="EO212" s="58">
        <f>IFERROR($BD212/$BD213-1,"")</f>
        <v/>
      </c>
      <c r="EP212" s="58">
        <f>IFERROR($BE212/$BE213-1,"")</f>
        <v/>
      </c>
      <c r="EQ212" s="58">
        <f>IFERROR($BF212/$BF213-1,"")</f>
        <v/>
      </c>
      <c r="ER212" s="58">
        <f>IFERROR($BG212/$BG213-1,"")</f>
        <v/>
      </c>
      <c r="ES212" s="58">
        <f>IFERROR($BH212/$BH213-1,"")</f>
        <v/>
      </c>
      <c r="ET212" s="58">
        <f>IFERROR($BI212/$BI213-1,"")</f>
        <v/>
      </c>
      <c r="EU212" s="58">
        <f>IFERROR($BJ212/$BJ213-1,"")</f>
        <v/>
      </c>
      <c r="EV212" s="58">
        <f>IFERROR($BK212/$BK213-1,"")</f>
        <v/>
      </c>
      <c r="EW212" s="58">
        <f>IFERROR($BL212/$BL213-1,"")</f>
        <v/>
      </c>
      <c r="EX212" s="58">
        <f>IFERROR($BM212/$BM213-1,"")</f>
        <v/>
      </c>
      <c r="EY212" s="58">
        <f>IFERROR($BN212/$BN213-1,"")</f>
        <v/>
      </c>
      <c r="EZ212" s="58">
        <f>IFERROR($BO212/$BO213-1,"")</f>
        <v/>
      </c>
      <c r="FA212" s="58">
        <f>IFERROR($BP212/$BP213-1,"")</f>
        <v/>
      </c>
      <c r="FB212" s="58">
        <f>IFERROR($BQ212/$BQ213-1,"")</f>
        <v/>
      </c>
      <c r="FC212" s="58">
        <f>IFERROR($BR212/$BR213-1,"")</f>
        <v/>
      </c>
      <c r="FD212" s="58">
        <f>IFERROR($BS212/$BS213-1,"")</f>
        <v/>
      </c>
      <c r="FE212" s="58">
        <f>IFERROR($BT212/$BT213-1,"")</f>
        <v/>
      </c>
      <c r="FF212" s="58">
        <f>IFERROR($BU212/$BU213-1,"")</f>
        <v/>
      </c>
      <c r="FG212" s="58">
        <f>IFERROR($BV212/$BV213-1,"")</f>
        <v/>
      </c>
      <c r="FH212" s="58">
        <f>IFERROR($BW212/$BW213-1,"")</f>
        <v/>
      </c>
      <c r="FI212" s="58">
        <f>IFERROR($BX212/$BX213-1,"")</f>
        <v/>
      </c>
      <c r="FJ212" s="59">
        <f>$BY212-$BY213</f>
        <v/>
      </c>
      <c r="FK212" s="59">
        <f>$BZ212-$BZ213</f>
        <v/>
      </c>
      <c r="FL212" s="59">
        <f>$CA212-$CA213</f>
        <v/>
      </c>
      <c r="FM212" s="59">
        <f>$CB212-$CB213</f>
        <v/>
      </c>
      <c r="FN212" s="59">
        <f>$CC212-$CC213</f>
        <v/>
      </c>
      <c r="FO212" s="59">
        <f>$CD212-$CD213</f>
        <v/>
      </c>
      <c r="FP212" s="59">
        <f>$CE212-$CE213</f>
        <v/>
      </c>
      <c r="FQ212" s="59">
        <f>$CF212-$CF213</f>
        <v/>
      </c>
      <c r="FR212" s="59">
        <f>$CG212-$CG213</f>
        <v/>
      </c>
      <c r="FS212" s="59">
        <f>$CH212-$CH213</f>
        <v/>
      </c>
      <c r="FT212" s="59">
        <f>$CI212-$CI213</f>
        <v/>
      </c>
      <c r="FU212" s="59">
        <f>$CJ212-$CJ213</f>
        <v/>
      </c>
      <c r="FV212" s="59">
        <f>$CK212-$CK213</f>
        <v/>
      </c>
      <c r="FW212" s="59">
        <f>$CL212-$CL213</f>
        <v/>
      </c>
      <c r="FX212" s="59">
        <f>$CM212-$CM213</f>
        <v/>
      </c>
      <c r="FY212" s="59">
        <f>$CN212-$CN213</f>
        <v/>
      </c>
      <c r="FZ212" s="59">
        <f>$CO212-$CO213</f>
        <v/>
      </c>
      <c r="GA212" s="59">
        <f>$CP212-$CP213</f>
        <v/>
      </c>
      <c r="GB212" s="59">
        <f>$CQ212-$CQ213</f>
        <v/>
      </c>
      <c r="GC212" s="59">
        <f>$CR212-$CR213</f>
        <v/>
      </c>
      <c r="GD212" s="59">
        <f>$CS212-$CS213</f>
        <v/>
      </c>
      <c r="GE212" s="59">
        <f>$CT212-$CT213</f>
        <v/>
      </c>
    </row>
    <row r="213">
      <c r="CU213" s="58">
        <f>IFERROR($B213/$B214-1,"")</f>
        <v/>
      </c>
      <c r="CV213" s="59">
        <f>($F213-$F214)*100</f>
        <v/>
      </c>
      <c r="CW213" s="59">
        <f>($E213-$E214)*100</f>
        <v/>
      </c>
      <c r="CX213" s="58">
        <f>IFERROR($K213/$K214-1,"")</f>
        <v/>
      </c>
      <c r="CY213" s="59">
        <f>($AH213-$AH214)*100</f>
        <v/>
      </c>
      <c r="CZ213" s="59">
        <f>($AI213-$AI214)*100</f>
        <v/>
      </c>
      <c r="DA213" s="59">
        <f>($AJ213-$AJ214)*100</f>
        <v/>
      </c>
      <c r="DB213" s="59">
        <f>($AK213-$AK214)*100</f>
        <v/>
      </c>
      <c r="DC213" s="59">
        <f>($AL213-$AL214)*100</f>
        <v/>
      </c>
      <c r="DD213" s="59">
        <f>($AM213-$AM214)*100</f>
        <v/>
      </c>
      <c r="DE213" s="59">
        <f>($AN213-$AN214)*100</f>
        <v/>
      </c>
      <c r="DF213" s="59">
        <f>($AO213-$AO214)*100</f>
        <v/>
      </c>
      <c r="DG213" s="59">
        <f>($AP213-$AP214)*100</f>
        <v/>
      </c>
      <c r="DH213" s="59">
        <f>($AQ213-$AQ214)*100</f>
        <v/>
      </c>
      <c r="DI213" s="59">
        <f>($AR213-$AR214)*100</f>
        <v/>
      </c>
      <c r="DJ213" s="59">
        <f>($AS213-$AS214)*100</f>
        <v/>
      </c>
      <c r="DK213" s="59">
        <f>($AT213-$AT214)*100</f>
        <v/>
      </c>
      <c r="DL213" s="59">
        <f>($AU213-$AU214)*100</f>
        <v/>
      </c>
      <c r="DM213" s="59">
        <f>($AV213-$AV214)*100</f>
        <v/>
      </c>
      <c r="DN213" s="59">
        <f>($AW213-$AW214)*100</f>
        <v/>
      </c>
      <c r="DO213" s="59">
        <f>($AX213-$AX214)*100</f>
        <v/>
      </c>
      <c r="DP213" s="59">
        <f>($AY213-$AY214)*100</f>
        <v/>
      </c>
      <c r="DQ213" s="59">
        <f>($AZ213-$AZ214)*100</f>
        <v/>
      </c>
      <c r="DR213" s="59">
        <f>($BA213-$BA214)*100</f>
        <v/>
      </c>
      <c r="DS213" s="58">
        <f>IFERROR($N214/$N213-1,"")</f>
        <v/>
      </c>
      <c r="DT213" s="58">
        <f>IFERROR($O214/$O213-1,"")</f>
        <v/>
      </c>
      <c r="DU213" s="58">
        <f>IFERROR($P214/$P213-1,"")</f>
        <v/>
      </c>
      <c r="DV213" s="58">
        <f>IFERROR($Q214/$Q213-1,"")</f>
        <v/>
      </c>
      <c r="DW213" s="58">
        <f>IFERROR($R214/$R213-1,"")</f>
        <v/>
      </c>
      <c r="DX213" s="58">
        <f>IFERROR($S214/$S213-1,"")</f>
        <v/>
      </c>
      <c r="DY213" s="58">
        <f>IFERROR($T214/$T213-1,"")</f>
        <v/>
      </c>
      <c r="DZ213" s="58">
        <f>IFERROR($U214/$U213-1,"")</f>
        <v/>
      </c>
      <c r="EA213" s="58">
        <f>IFERROR($V214/$V213-1,"")</f>
        <v/>
      </c>
      <c r="EB213" s="58">
        <f>IFERROR($W214/$W213-1,"")</f>
        <v/>
      </c>
      <c r="EC213" s="58">
        <f>IFERROR($X214/$X213-1,"")</f>
        <v/>
      </c>
      <c r="ED213" s="58">
        <f>IFERROR($Y214/$Y213-1,"")</f>
        <v/>
      </c>
      <c r="EE213" s="58">
        <f>IFERROR($Z214/$Z213-1,"")</f>
        <v/>
      </c>
      <c r="EF213" s="58">
        <f>IFERROR($AA214/$AA213-1,"")</f>
        <v/>
      </c>
      <c r="EG213" s="58">
        <f>IFERROR($AB214/$AB213-1,"")</f>
        <v/>
      </c>
      <c r="EH213" s="58">
        <f>IFERROR($AC214/$AC213-1,"")</f>
        <v/>
      </c>
      <c r="EI213" s="58">
        <f>IFERROR($AD214/$AD213-1,"")</f>
        <v/>
      </c>
      <c r="EJ213" s="58">
        <f>IFERROR($AE214/$AE213-1,"")</f>
        <v/>
      </c>
      <c r="EK213" s="58">
        <f>IFERROR($AF214/$AF213-1,"")</f>
        <v/>
      </c>
      <c r="EL213" s="58">
        <f>IFERROR($AG214/$AG213-1,"")</f>
        <v/>
      </c>
      <c r="EM213" s="58">
        <f>IFERROR($BB213/$BB214-1,"")</f>
        <v/>
      </c>
      <c r="EN213" s="58">
        <f>IFERROR($BC213/$BC214-1,"")</f>
        <v/>
      </c>
      <c r="EO213" s="58">
        <f>IFERROR($BD213/$BD214-1,"")</f>
        <v/>
      </c>
      <c r="EP213" s="58">
        <f>IFERROR($BE213/$BE214-1,"")</f>
        <v/>
      </c>
      <c r="EQ213" s="58">
        <f>IFERROR($BF213/$BF214-1,"")</f>
        <v/>
      </c>
      <c r="ER213" s="58">
        <f>IFERROR($BG213/$BG214-1,"")</f>
        <v/>
      </c>
      <c r="ES213" s="58">
        <f>IFERROR($BH213/$BH214-1,"")</f>
        <v/>
      </c>
      <c r="ET213" s="58">
        <f>IFERROR($BI213/$BI214-1,"")</f>
        <v/>
      </c>
      <c r="EU213" s="58">
        <f>IFERROR($BJ213/$BJ214-1,"")</f>
        <v/>
      </c>
      <c r="EV213" s="58">
        <f>IFERROR($BK213/$BK214-1,"")</f>
        <v/>
      </c>
      <c r="EW213" s="58">
        <f>IFERROR($BL213/$BL214-1,"")</f>
        <v/>
      </c>
      <c r="EX213" s="58">
        <f>IFERROR($BM213/$BM214-1,"")</f>
        <v/>
      </c>
      <c r="EY213" s="58">
        <f>IFERROR($BN213/$BN214-1,"")</f>
        <v/>
      </c>
      <c r="EZ213" s="58">
        <f>IFERROR($BO213/$BO214-1,"")</f>
        <v/>
      </c>
      <c r="FA213" s="58">
        <f>IFERROR($BP213/$BP214-1,"")</f>
        <v/>
      </c>
      <c r="FB213" s="58">
        <f>IFERROR($BQ213/$BQ214-1,"")</f>
        <v/>
      </c>
      <c r="FC213" s="58">
        <f>IFERROR($BR213/$BR214-1,"")</f>
        <v/>
      </c>
      <c r="FD213" s="58">
        <f>IFERROR($BS213/$BS214-1,"")</f>
        <v/>
      </c>
      <c r="FE213" s="58">
        <f>IFERROR($BT213/$BT214-1,"")</f>
        <v/>
      </c>
      <c r="FF213" s="58">
        <f>IFERROR($BU213/$BU214-1,"")</f>
        <v/>
      </c>
      <c r="FG213" s="58">
        <f>IFERROR($BV213/$BV214-1,"")</f>
        <v/>
      </c>
      <c r="FH213" s="58">
        <f>IFERROR($BW213/$BW214-1,"")</f>
        <v/>
      </c>
      <c r="FI213" s="58">
        <f>IFERROR($BX213/$BX214-1,"")</f>
        <v/>
      </c>
      <c r="FJ213" s="59">
        <f>$BY213-$BY214</f>
        <v/>
      </c>
      <c r="FK213" s="59">
        <f>$BZ213-$BZ214</f>
        <v/>
      </c>
      <c r="FL213" s="59">
        <f>$CA213-$CA214</f>
        <v/>
      </c>
      <c r="FM213" s="59">
        <f>$CB213-$CB214</f>
        <v/>
      </c>
      <c r="FN213" s="59">
        <f>$CC213-$CC214</f>
        <v/>
      </c>
      <c r="FO213" s="59">
        <f>$CD213-$CD214</f>
        <v/>
      </c>
      <c r="FP213" s="59">
        <f>$CE213-$CE214</f>
        <v/>
      </c>
      <c r="FQ213" s="59">
        <f>$CF213-$CF214</f>
        <v/>
      </c>
      <c r="FR213" s="59">
        <f>$CG213-$CG214</f>
        <v/>
      </c>
      <c r="FS213" s="59">
        <f>$CH213-$CH214</f>
        <v/>
      </c>
      <c r="FT213" s="59">
        <f>$CI213-$CI214</f>
        <v/>
      </c>
      <c r="FU213" s="59">
        <f>$CJ213-$CJ214</f>
        <v/>
      </c>
      <c r="FV213" s="59">
        <f>$CK213-$CK214</f>
        <v/>
      </c>
      <c r="FW213" s="59">
        <f>$CL213-$CL214</f>
        <v/>
      </c>
      <c r="FX213" s="59">
        <f>$CM213-$CM214</f>
        <v/>
      </c>
      <c r="FY213" s="59">
        <f>$CN213-$CN214</f>
        <v/>
      </c>
      <c r="FZ213" s="59">
        <f>$CO213-$CO214</f>
        <v/>
      </c>
      <c r="GA213" s="59">
        <f>$CP213-$CP214</f>
        <v/>
      </c>
      <c r="GB213" s="59">
        <f>$CQ213-$CQ214</f>
        <v/>
      </c>
      <c r="GC213" s="59">
        <f>$CR213-$CR214</f>
        <v/>
      </c>
      <c r="GD213" s="59">
        <f>$CS213-$CS214</f>
        <v/>
      </c>
      <c r="GE213" s="59">
        <f>$CT213-$CT214</f>
        <v/>
      </c>
    </row>
    <row r="214">
      <c r="CU214" s="58">
        <f>IFERROR($B214/$B215-1,"")</f>
        <v/>
      </c>
      <c r="CV214" s="59">
        <f>($F214-$F215)*100</f>
        <v/>
      </c>
      <c r="CW214" s="59">
        <f>($E214-$E215)*100</f>
        <v/>
      </c>
      <c r="CX214" s="58">
        <f>IFERROR($K214/$K215-1,"")</f>
        <v/>
      </c>
      <c r="CY214" s="59">
        <f>($AH214-$AH215)*100</f>
        <v/>
      </c>
      <c r="CZ214" s="59">
        <f>($AI214-$AI215)*100</f>
        <v/>
      </c>
      <c r="DA214" s="59">
        <f>($AJ214-$AJ215)*100</f>
        <v/>
      </c>
      <c r="DB214" s="59">
        <f>($AK214-$AK215)*100</f>
        <v/>
      </c>
      <c r="DC214" s="59">
        <f>($AL214-$AL215)*100</f>
        <v/>
      </c>
      <c r="DD214" s="59">
        <f>($AM214-$AM215)*100</f>
        <v/>
      </c>
      <c r="DE214" s="59">
        <f>($AN214-$AN215)*100</f>
        <v/>
      </c>
      <c r="DF214" s="59">
        <f>($AO214-$AO215)*100</f>
        <v/>
      </c>
      <c r="DG214" s="59">
        <f>($AP214-$AP215)*100</f>
        <v/>
      </c>
      <c r="DH214" s="59">
        <f>($AQ214-$AQ215)*100</f>
        <v/>
      </c>
      <c r="DI214" s="59">
        <f>($AR214-$AR215)*100</f>
        <v/>
      </c>
      <c r="DJ214" s="59">
        <f>($AS214-$AS215)*100</f>
        <v/>
      </c>
      <c r="DK214" s="59">
        <f>($AT214-$AT215)*100</f>
        <v/>
      </c>
      <c r="DL214" s="59">
        <f>($AU214-$AU215)*100</f>
        <v/>
      </c>
      <c r="DM214" s="59">
        <f>($AV214-$AV215)*100</f>
        <v/>
      </c>
      <c r="DN214" s="59">
        <f>($AW214-$AW215)*100</f>
        <v/>
      </c>
      <c r="DO214" s="59">
        <f>($AX214-$AX215)*100</f>
        <v/>
      </c>
      <c r="DP214" s="59">
        <f>($AY214-$AY215)*100</f>
        <v/>
      </c>
      <c r="DQ214" s="59">
        <f>($AZ214-$AZ215)*100</f>
        <v/>
      </c>
      <c r="DR214" s="59">
        <f>($BA214-$BA215)*100</f>
        <v/>
      </c>
      <c r="DS214" s="58">
        <f>IFERROR($N215/$N214-1,"")</f>
        <v/>
      </c>
      <c r="DT214" s="58">
        <f>IFERROR($O215/$O214-1,"")</f>
        <v/>
      </c>
      <c r="DU214" s="58">
        <f>IFERROR($P215/$P214-1,"")</f>
        <v/>
      </c>
      <c r="DV214" s="58">
        <f>IFERROR($Q215/$Q214-1,"")</f>
        <v/>
      </c>
      <c r="DW214" s="58">
        <f>IFERROR($R215/$R214-1,"")</f>
        <v/>
      </c>
      <c r="DX214" s="58">
        <f>IFERROR($S215/$S214-1,"")</f>
        <v/>
      </c>
      <c r="DY214" s="58">
        <f>IFERROR($T215/$T214-1,"")</f>
        <v/>
      </c>
      <c r="DZ214" s="58">
        <f>IFERROR($U215/$U214-1,"")</f>
        <v/>
      </c>
      <c r="EA214" s="58">
        <f>IFERROR($V215/$V214-1,"")</f>
        <v/>
      </c>
      <c r="EB214" s="58">
        <f>IFERROR($W215/$W214-1,"")</f>
        <v/>
      </c>
      <c r="EC214" s="58">
        <f>IFERROR($X215/$X214-1,"")</f>
        <v/>
      </c>
      <c r="ED214" s="58">
        <f>IFERROR($Y215/$Y214-1,"")</f>
        <v/>
      </c>
      <c r="EE214" s="58">
        <f>IFERROR($Z215/$Z214-1,"")</f>
        <v/>
      </c>
      <c r="EF214" s="58">
        <f>IFERROR($AA215/$AA214-1,"")</f>
        <v/>
      </c>
      <c r="EG214" s="58">
        <f>IFERROR($AB215/$AB214-1,"")</f>
        <v/>
      </c>
      <c r="EH214" s="58">
        <f>IFERROR($AC215/$AC214-1,"")</f>
        <v/>
      </c>
      <c r="EI214" s="58">
        <f>IFERROR($AD215/$AD214-1,"")</f>
        <v/>
      </c>
      <c r="EJ214" s="58">
        <f>IFERROR($AE215/$AE214-1,"")</f>
        <v/>
      </c>
      <c r="EK214" s="58">
        <f>IFERROR($AF215/$AF214-1,"")</f>
        <v/>
      </c>
      <c r="EL214" s="58">
        <f>IFERROR($AG215/$AG214-1,"")</f>
        <v/>
      </c>
      <c r="EM214" s="58">
        <f>IFERROR($BB214/$BB215-1,"")</f>
        <v/>
      </c>
      <c r="EN214" s="58">
        <f>IFERROR($BC214/$BC215-1,"")</f>
        <v/>
      </c>
      <c r="EO214" s="58">
        <f>IFERROR($BD214/$BD215-1,"")</f>
        <v/>
      </c>
      <c r="EP214" s="58">
        <f>IFERROR($BE214/$BE215-1,"")</f>
        <v/>
      </c>
      <c r="EQ214" s="58">
        <f>IFERROR($BF214/$BF215-1,"")</f>
        <v/>
      </c>
      <c r="ER214" s="58">
        <f>IFERROR($BG214/$BG215-1,"")</f>
        <v/>
      </c>
      <c r="ES214" s="58">
        <f>IFERROR($BH214/$BH215-1,"")</f>
        <v/>
      </c>
      <c r="ET214" s="58">
        <f>IFERROR($BI214/$BI215-1,"")</f>
        <v/>
      </c>
      <c r="EU214" s="58">
        <f>IFERROR($BJ214/$BJ215-1,"")</f>
        <v/>
      </c>
      <c r="EV214" s="58">
        <f>IFERROR($BK214/$BK215-1,"")</f>
        <v/>
      </c>
      <c r="EW214" s="58">
        <f>IFERROR($BL214/$BL215-1,"")</f>
        <v/>
      </c>
      <c r="EX214" s="58">
        <f>IFERROR($BM214/$BM215-1,"")</f>
        <v/>
      </c>
      <c r="EY214" s="58">
        <f>IFERROR($BN214/$BN215-1,"")</f>
        <v/>
      </c>
      <c r="EZ214" s="58">
        <f>IFERROR($BO214/$BO215-1,"")</f>
        <v/>
      </c>
      <c r="FA214" s="58">
        <f>IFERROR($BP214/$BP215-1,"")</f>
        <v/>
      </c>
      <c r="FB214" s="58">
        <f>IFERROR($BQ214/$BQ215-1,"")</f>
        <v/>
      </c>
      <c r="FC214" s="58">
        <f>IFERROR($BR214/$BR215-1,"")</f>
        <v/>
      </c>
      <c r="FD214" s="58">
        <f>IFERROR($BS214/$BS215-1,"")</f>
        <v/>
      </c>
      <c r="FE214" s="58">
        <f>IFERROR($BT214/$BT215-1,"")</f>
        <v/>
      </c>
      <c r="FF214" s="58">
        <f>IFERROR($BU214/$BU215-1,"")</f>
        <v/>
      </c>
      <c r="FG214" s="58">
        <f>IFERROR($BV214/$BV215-1,"")</f>
        <v/>
      </c>
      <c r="FH214" s="58">
        <f>IFERROR($BW214/$BW215-1,"")</f>
        <v/>
      </c>
      <c r="FI214" s="58">
        <f>IFERROR($BX214/$BX215-1,"")</f>
        <v/>
      </c>
      <c r="FJ214" s="59">
        <f>$BY214-$BY215</f>
        <v/>
      </c>
      <c r="FK214" s="59">
        <f>$BZ214-$BZ215</f>
        <v/>
      </c>
      <c r="FL214" s="59">
        <f>$CA214-$CA215</f>
        <v/>
      </c>
      <c r="FM214" s="59">
        <f>$CB214-$CB215</f>
        <v/>
      </c>
      <c r="FN214" s="59">
        <f>$CC214-$CC215</f>
        <v/>
      </c>
      <c r="FO214" s="59">
        <f>$CD214-$CD215</f>
        <v/>
      </c>
      <c r="FP214" s="59">
        <f>$CE214-$CE215</f>
        <v/>
      </c>
      <c r="FQ214" s="59">
        <f>$CF214-$CF215</f>
        <v/>
      </c>
      <c r="FR214" s="59">
        <f>$CG214-$CG215</f>
        <v/>
      </c>
      <c r="FS214" s="59">
        <f>$CH214-$CH215</f>
        <v/>
      </c>
      <c r="FT214" s="59">
        <f>$CI214-$CI215</f>
        <v/>
      </c>
      <c r="FU214" s="59">
        <f>$CJ214-$CJ215</f>
        <v/>
      </c>
      <c r="FV214" s="59">
        <f>$CK214-$CK215</f>
        <v/>
      </c>
      <c r="FW214" s="59">
        <f>$CL214-$CL215</f>
        <v/>
      </c>
      <c r="FX214" s="59">
        <f>$CM214-$CM215</f>
        <v/>
      </c>
      <c r="FY214" s="59">
        <f>$CN214-$CN215</f>
        <v/>
      </c>
      <c r="FZ214" s="59">
        <f>$CO214-$CO215</f>
        <v/>
      </c>
      <c r="GA214" s="59">
        <f>$CP214-$CP215</f>
        <v/>
      </c>
      <c r="GB214" s="59">
        <f>$CQ214-$CQ215</f>
        <v/>
      </c>
      <c r="GC214" s="59">
        <f>$CR214-$CR215</f>
        <v/>
      </c>
      <c r="GD214" s="59">
        <f>$CS214-$CS215</f>
        <v/>
      </c>
      <c r="GE214" s="59">
        <f>$CT214-$CT215</f>
        <v/>
      </c>
    </row>
    <row r="215">
      <c r="CU215" s="58">
        <f>IFERROR($B215/$B216-1,"")</f>
        <v/>
      </c>
      <c r="CV215" s="59">
        <f>($F215-$F216)*100</f>
        <v/>
      </c>
      <c r="CW215" s="59">
        <f>($E215-$E216)*100</f>
        <v/>
      </c>
      <c r="CX215" s="58">
        <f>IFERROR($K215/$K216-1,"")</f>
        <v/>
      </c>
      <c r="CY215" s="59">
        <f>($AH215-$AH216)*100</f>
        <v/>
      </c>
      <c r="CZ215" s="59">
        <f>($AI215-$AI216)*100</f>
        <v/>
      </c>
      <c r="DA215" s="59">
        <f>($AJ215-$AJ216)*100</f>
        <v/>
      </c>
      <c r="DB215" s="59">
        <f>($AK215-$AK216)*100</f>
        <v/>
      </c>
      <c r="DC215" s="59">
        <f>($AL215-$AL216)*100</f>
        <v/>
      </c>
      <c r="DD215" s="59">
        <f>($AM215-$AM216)*100</f>
        <v/>
      </c>
      <c r="DE215" s="59">
        <f>($AN215-$AN216)*100</f>
        <v/>
      </c>
      <c r="DF215" s="59">
        <f>($AO215-$AO216)*100</f>
        <v/>
      </c>
      <c r="DG215" s="59">
        <f>($AP215-$AP216)*100</f>
        <v/>
      </c>
      <c r="DH215" s="59">
        <f>($AQ215-$AQ216)*100</f>
        <v/>
      </c>
      <c r="DI215" s="59">
        <f>($AR215-$AR216)*100</f>
        <v/>
      </c>
      <c r="DJ215" s="59">
        <f>($AS215-$AS216)*100</f>
        <v/>
      </c>
      <c r="DK215" s="59">
        <f>($AT215-$AT216)*100</f>
        <v/>
      </c>
      <c r="DL215" s="59">
        <f>($AU215-$AU216)*100</f>
        <v/>
      </c>
      <c r="DM215" s="59">
        <f>($AV215-$AV216)*100</f>
        <v/>
      </c>
      <c r="DN215" s="59">
        <f>($AW215-$AW216)*100</f>
        <v/>
      </c>
      <c r="DO215" s="59">
        <f>($AX215-$AX216)*100</f>
        <v/>
      </c>
      <c r="DP215" s="59">
        <f>($AY215-$AY216)*100</f>
        <v/>
      </c>
      <c r="DQ215" s="59">
        <f>($AZ215-$AZ216)*100</f>
        <v/>
      </c>
      <c r="DR215" s="59">
        <f>($BA215-$BA216)*100</f>
        <v/>
      </c>
      <c r="DS215" s="58">
        <f>IFERROR($N216/$N215-1,"")</f>
        <v/>
      </c>
      <c r="DT215" s="58">
        <f>IFERROR($O216/$O215-1,"")</f>
        <v/>
      </c>
      <c r="DU215" s="58">
        <f>IFERROR($P216/$P215-1,"")</f>
        <v/>
      </c>
      <c r="DV215" s="58">
        <f>IFERROR($Q216/$Q215-1,"")</f>
        <v/>
      </c>
      <c r="DW215" s="58">
        <f>IFERROR($R216/$R215-1,"")</f>
        <v/>
      </c>
      <c r="DX215" s="58">
        <f>IFERROR($S216/$S215-1,"")</f>
        <v/>
      </c>
      <c r="DY215" s="58">
        <f>IFERROR($T216/$T215-1,"")</f>
        <v/>
      </c>
      <c r="DZ215" s="58">
        <f>IFERROR($U216/$U215-1,"")</f>
        <v/>
      </c>
      <c r="EA215" s="58">
        <f>IFERROR($V216/$V215-1,"")</f>
        <v/>
      </c>
      <c r="EB215" s="58">
        <f>IFERROR($W216/$W215-1,"")</f>
        <v/>
      </c>
      <c r="EC215" s="58">
        <f>IFERROR($X216/$X215-1,"")</f>
        <v/>
      </c>
      <c r="ED215" s="58">
        <f>IFERROR($Y216/$Y215-1,"")</f>
        <v/>
      </c>
      <c r="EE215" s="58">
        <f>IFERROR($Z216/$Z215-1,"")</f>
        <v/>
      </c>
      <c r="EF215" s="58">
        <f>IFERROR($AA216/$AA215-1,"")</f>
        <v/>
      </c>
      <c r="EG215" s="58">
        <f>IFERROR($AB216/$AB215-1,"")</f>
        <v/>
      </c>
      <c r="EH215" s="58">
        <f>IFERROR($AC216/$AC215-1,"")</f>
        <v/>
      </c>
      <c r="EI215" s="58">
        <f>IFERROR($AD216/$AD215-1,"")</f>
        <v/>
      </c>
      <c r="EJ215" s="58">
        <f>IFERROR($AE216/$AE215-1,"")</f>
        <v/>
      </c>
      <c r="EK215" s="58">
        <f>IFERROR($AF216/$AF215-1,"")</f>
        <v/>
      </c>
      <c r="EL215" s="58">
        <f>IFERROR($AG216/$AG215-1,"")</f>
        <v/>
      </c>
      <c r="EM215" s="58">
        <f>IFERROR($BB215/$BB216-1,"")</f>
        <v/>
      </c>
      <c r="EN215" s="58">
        <f>IFERROR($BC215/$BC216-1,"")</f>
        <v/>
      </c>
      <c r="EO215" s="58">
        <f>IFERROR($BD215/$BD216-1,"")</f>
        <v/>
      </c>
      <c r="EP215" s="58">
        <f>IFERROR($BE215/$BE216-1,"")</f>
        <v/>
      </c>
      <c r="EQ215" s="58">
        <f>IFERROR($BF215/$BF216-1,"")</f>
        <v/>
      </c>
      <c r="ER215" s="58">
        <f>IFERROR($BG215/$BG216-1,"")</f>
        <v/>
      </c>
      <c r="ES215" s="58">
        <f>IFERROR($BH215/$BH216-1,"")</f>
        <v/>
      </c>
      <c r="ET215" s="58">
        <f>IFERROR($BI215/$BI216-1,"")</f>
        <v/>
      </c>
      <c r="EU215" s="58">
        <f>IFERROR($BJ215/$BJ216-1,"")</f>
        <v/>
      </c>
      <c r="EV215" s="58">
        <f>IFERROR($BK215/$BK216-1,"")</f>
        <v/>
      </c>
      <c r="EW215" s="58">
        <f>IFERROR($BL215/$BL216-1,"")</f>
        <v/>
      </c>
      <c r="EX215" s="58">
        <f>IFERROR($BM215/$BM216-1,"")</f>
        <v/>
      </c>
      <c r="EY215" s="58">
        <f>IFERROR($BN215/$BN216-1,"")</f>
        <v/>
      </c>
      <c r="EZ215" s="58">
        <f>IFERROR($BO215/$BO216-1,"")</f>
        <v/>
      </c>
      <c r="FA215" s="58">
        <f>IFERROR($BP215/$BP216-1,"")</f>
        <v/>
      </c>
      <c r="FB215" s="58">
        <f>IFERROR($BQ215/$BQ216-1,"")</f>
        <v/>
      </c>
      <c r="FC215" s="58">
        <f>IFERROR($BR215/$BR216-1,"")</f>
        <v/>
      </c>
      <c r="FD215" s="58">
        <f>IFERROR($BS215/$BS216-1,"")</f>
        <v/>
      </c>
      <c r="FE215" s="58">
        <f>IFERROR($BT215/$BT216-1,"")</f>
        <v/>
      </c>
      <c r="FF215" s="58">
        <f>IFERROR($BU215/$BU216-1,"")</f>
        <v/>
      </c>
      <c r="FG215" s="58">
        <f>IFERROR($BV215/$BV216-1,"")</f>
        <v/>
      </c>
      <c r="FH215" s="58">
        <f>IFERROR($BW215/$BW216-1,"")</f>
        <v/>
      </c>
      <c r="FI215" s="58">
        <f>IFERROR($BX215/$BX216-1,"")</f>
        <v/>
      </c>
      <c r="FJ215" s="59">
        <f>$BY215-$BY216</f>
        <v/>
      </c>
      <c r="FK215" s="59">
        <f>$BZ215-$BZ216</f>
        <v/>
      </c>
      <c r="FL215" s="59">
        <f>$CA215-$CA216</f>
        <v/>
      </c>
      <c r="FM215" s="59">
        <f>$CB215-$CB216</f>
        <v/>
      </c>
      <c r="FN215" s="59">
        <f>$CC215-$CC216</f>
        <v/>
      </c>
      <c r="FO215" s="59">
        <f>$CD215-$CD216</f>
        <v/>
      </c>
      <c r="FP215" s="59">
        <f>$CE215-$CE216</f>
        <v/>
      </c>
      <c r="FQ215" s="59">
        <f>$CF215-$CF216</f>
        <v/>
      </c>
      <c r="FR215" s="59">
        <f>$CG215-$CG216</f>
        <v/>
      </c>
      <c r="FS215" s="59">
        <f>$CH215-$CH216</f>
        <v/>
      </c>
      <c r="FT215" s="59">
        <f>$CI215-$CI216</f>
        <v/>
      </c>
      <c r="FU215" s="59">
        <f>$CJ215-$CJ216</f>
        <v/>
      </c>
      <c r="FV215" s="59">
        <f>$CK215-$CK216</f>
        <v/>
      </c>
      <c r="FW215" s="59">
        <f>$CL215-$CL216</f>
        <v/>
      </c>
      <c r="FX215" s="59">
        <f>$CM215-$CM216</f>
        <v/>
      </c>
      <c r="FY215" s="59">
        <f>$CN215-$CN216</f>
        <v/>
      </c>
      <c r="FZ215" s="59">
        <f>$CO215-$CO216</f>
        <v/>
      </c>
      <c r="GA215" s="59">
        <f>$CP215-$CP216</f>
        <v/>
      </c>
      <c r="GB215" s="59">
        <f>$CQ215-$CQ216</f>
        <v/>
      </c>
      <c r="GC215" s="59">
        <f>$CR215-$CR216</f>
        <v/>
      </c>
      <c r="GD215" s="59">
        <f>$CS215-$CS216</f>
        <v/>
      </c>
      <c r="GE215" s="59">
        <f>$CT215-$CT216</f>
        <v/>
      </c>
    </row>
    <row r="216">
      <c r="CU216" s="58">
        <f>IFERROR($B216/$B217-1,"")</f>
        <v/>
      </c>
      <c r="CV216" s="59">
        <f>($F216-$F217)*100</f>
        <v/>
      </c>
      <c r="CW216" s="59">
        <f>($E216-$E217)*100</f>
        <v/>
      </c>
      <c r="CX216" s="58">
        <f>IFERROR($K216/$K217-1,"")</f>
        <v/>
      </c>
      <c r="CY216" s="59">
        <f>($AH216-$AH217)*100</f>
        <v/>
      </c>
      <c r="CZ216" s="59">
        <f>($AI216-$AI217)*100</f>
        <v/>
      </c>
      <c r="DA216" s="59">
        <f>($AJ216-$AJ217)*100</f>
        <v/>
      </c>
      <c r="DB216" s="59">
        <f>($AK216-$AK217)*100</f>
        <v/>
      </c>
      <c r="DC216" s="59">
        <f>($AL216-$AL217)*100</f>
        <v/>
      </c>
      <c r="DD216" s="59">
        <f>($AM216-$AM217)*100</f>
        <v/>
      </c>
      <c r="DE216" s="59">
        <f>($AN216-$AN217)*100</f>
        <v/>
      </c>
      <c r="DF216" s="59">
        <f>($AO216-$AO217)*100</f>
        <v/>
      </c>
      <c r="DG216" s="59">
        <f>($AP216-$AP217)*100</f>
        <v/>
      </c>
      <c r="DH216" s="59">
        <f>($AQ216-$AQ217)*100</f>
        <v/>
      </c>
      <c r="DI216" s="59">
        <f>($AR216-$AR217)*100</f>
        <v/>
      </c>
      <c r="DJ216" s="59">
        <f>($AS216-$AS217)*100</f>
        <v/>
      </c>
      <c r="DK216" s="59">
        <f>($AT216-$AT217)*100</f>
        <v/>
      </c>
      <c r="DL216" s="59">
        <f>($AU216-$AU217)*100</f>
        <v/>
      </c>
      <c r="DM216" s="59">
        <f>($AV216-$AV217)*100</f>
        <v/>
      </c>
      <c r="DN216" s="59">
        <f>($AW216-$AW217)*100</f>
        <v/>
      </c>
      <c r="DO216" s="59">
        <f>($AX216-$AX217)*100</f>
        <v/>
      </c>
      <c r="DP216" s="59">
        <f>($AY216-$AY217)*100</f>
        <v/>
      </c>
      <c r="DQ216" s="59">
        <f>($AZ216-$AZ217)*100</f>
        <v/>
      </c>
      <c r="DR216" s="59">
        <f>($BA216-$BA217)*100</f>
        <v/>
      </c>
      <c r="DS216" s="58">
        <f>IFERROR($N217/$N216-1,"")</f>
        <v/>
      </c>
      <c r="DT216" s="58">
        <f>IFERROR($O217/$O216-1,"")</f>
        <v/>
      </c>
      <c r="DU216" s="58">
        <f>IFERROR($P217/$P216-1,"")</f>
        <v/>
      </c>
      <c r="DV216" s="58">
        <f>IFERROR($Q217/$Q216-1,"")</f>
        <v/>
      </c>
      <c r="DW216" s="58">
        <f>IFERROR($R217/$R216-1,"")</f>
        <v/>
      </c>
      <c r="DX216" s="58">
        <f>IFERROR($S217/$S216-1,"")</f>
        <v/>
      </c>
      <c r="DY216" s="58">
        <f>IFERROR($T217/$T216-1,"")</f>
        <v/>
      </c>
      <c r="DZ216" s="58">
        <f>IFERROR($U217/$U216-1,"")</f>
        <v/>
      </c>
      <c r="EA216" s="58">
        <f>IFERROR($V217/$V216-1,"")</f>
        <v/>
      </c>
      <c r="EB216" s="58">
        <f>IFERROR($W217/$W216-1,"")</f>
        <v/>
      </c>
      <c r="EC216" s="58">
        <f>IFERROR($X217/$X216-1,"")</f>
        <v/>
      </c>
      <c r="ED216" s="58">
        <f>IFERROR($Y217/$Y216-1,"")</f>
        <v/>
      </c>
      <c r="EE216" s="58">
        <f>IFERROR($Z217/$Z216-1,"")</f>
        <v/>
      </c>
      <c r="EF216" s="58">
        <f>IFERROR($AA217/$AA216-1,"")</f>
        <v/>
      </c>
      <c r="EG216" s="58">
        <f>IFERROR($AB217/$AB216-1,"")</f>
        <v/>
      </c>
      <c r="EH216" s="58">
        <f>IFERROR($AC217/$AC216-1,"")</f>
        <v/>
      </c>
      <c r="EI216" s="58">
        <f>IFERROR($AD217/$AD216-1,"")</f>
        <v/>
      </c>
      <c r="EJ216" s="58">
        <f>IFERROR($AE217/$AE216-1,"")</f>
        <v/>
      </c>
      <c r="EK216" s="58">
        <f>IFERROR($AF217/$AF216-1,"")</f>
        <v/>
      </c>
      <c r="EL216" s="58">
        <f>IFERROR($AG217/$AG216-1,"")</f>
        <v/>
      </c>
      <c r="EM216" s="58">
        <f>IFERROR($BB216/$BB217-1,"")</f>
        <v/>
      </c>
      <c r="EN216" s="58">
        <f>IFERROR($BC216/$BC217-1,"")</f>
        <v/>
      </c>
      <c r="EO216" s="58">
        <f>IFERROR($BD216/$BD217-1,"")</f>
        <v/>
      </c>
      <c r="EP216" s="58">
        <f>IFERROR($BE216/$BE217-1,"")</f>
        <v/>
      </c>
      <c r="EQ216" s="58">
        <f>IFERROR($BF216/$BF217-1,"")</f>
        <v/>
      </c>
      <c r="ER216" s="58">
        <f>IFERROR($BG216/$BG217-1,"")</f>
        <v/>
      </c>
      <c r="ES216" s="58">
        <f>IFERROR($BH216/$BH217-1,"")</f>
        <v/>
      </c>
      <c r="ET216" s="58">
        <f>IFERROR($BI216/$BI217-1,"")</f>
        <v/>
      </c>
      <c r="EU216" s="58">
        <f>IFERROR($BJ216/$BJ217-1,"")</f>
        <v/>
      </c>
      <c r="EV216" s="58">
        <f>IFERROR($BK216/$BK217-1,"")</f>
        <v/>
      </c>
      <c r="EW216" s="58">
        <f>IFERROR($BL216/$BL217-1,"")</f>
        <v/>
      </c>
      <c r="EX216" s="58">
        <f>IFERROR($BM216/$BM217-1,"")</f>
        <v/>
      </c>
      <c r="EY216" s="58">
        <f>IFERROR($BN216/$BN217-1,"")</f>
        <v/>
      </c>
      <c r="EZ216" s="58">
        <f>IFERROR($BO216/$BO217-1,"")</f>
        <v/>
      </c>
      <c r="FA216" s="58">
        <f>IFERROR($BP216/$BP217-1,"")</f>
        <v/>
      </c>
      <c r="FB216" s="58">
        <f>IFERROR($BQ216/$BQ217-1,"")</f>
        <v/>
      </c>
      <c r="FC216" s="58">
        <f>IFERROR($BR216/$BR217-1,"")</f>
        <v/>
      </c>
      <c r="FD216" s="58">
        <f>IFERROR($BS216/$BS217-1,"")</f>
        <v/>
      </c>
      <c r="FE216" s="58">
        <f>IFERROR($BT216/$BT217-1,"")</f>
        <v/>
      </c>
      <c r="FF216" s="58">
        <f>IFERROR($BU216/$BU217-1,"")</f>
        <v/>
      </c>
      <c r="FG216" s="58">
        <f>IFERROR($BV216/$BV217-1,"")</f>
        <v/>
      </c>
      <c r="FH216" s="58">
        <f>IFERROR($BW216/$BW217-1,"")</f>
        <v/>
      </c>
      <c r="FI216" s="58">
        <f>IFERROR($BX216/$BX217-1,"")</f>
        <v/>
      </c>
      <c r="FJ216" s="59">
        <f>$BY216-$BY217</f>
        <v/>
      </c>
      <c r="FK216" s="59">
        <f>$BZ216-$BZ217</f>
        <v/>
      </c>
      <c r="FL216" s="59">
        <f>$CA216-$CA217</f>
        <v/>
      </c>
      <c r="FM216" s="59">
        <f>$CB216-$CB217</f>
        <v/>
      </c>
      <c r="FN216" s="59">
        <f>$CC216-$CC217</f>
        <v/>
      </c>
      <c r="FO216" s="59">
        <f>$CD216-$CD217</f>
        <v/>
      </c>
      <c r="FP216" s="59">
        <f>$CE216-$CE217</f>
        <v/>
      </c>
      <c r="FQ216" s="59">
        <f>$CF216-$CF217</f>
        <v/>
      </c>
      <c r="FR216" s="59">
        <f>$CG216-$CG217</f>
        <v/>
      </c>
      <c r="FS216" s="59">
        <f>$CH216-$CH217</f>
        <v/>
      </c>
      <c r="FT216" s="59">
        <f>$CI216-$CI217</f>
        <v/>
      </c>
      <c r="FU216" s="59">
        <f>$CJ216-$CJ217</f>
        <v/>
      </c>
      <c r="FV216" s="59">
        <f>$CK216-$CK217</f>
        <v/>
      </c>
      <c r="FW216" s="59">
        <f>$CL216-$CL217</f>
        <v/>
      </c>
      <c r="FX216" s="59">
        <f>$CM216-$CM217</f>
        <v/>
      </c>
      <c r="FY216" s="59">
        <f>$CN216-$CN217</f>
        <v/>
      </c>
      <c r="FZ216" s="59">
        <f>$CO216-$CO217</f>
        <v/>
      </c>
      <c r="GA216" s="59">
        <f>$CP216-$CP217</f>
        <v/>
      </c>
      <c r="GB216" s="59">
        <f>$CQ216-$CQ217</f>
        <v/>
      </c>
      <c r="GC216" s="59">
        <f>$CR216-$CR217</f>
        <v/>
      </c>
      <c r="GD216" s="59">
        <f>$CS216-$CS217</f>
        <v/>
      </c>
      <c r="GE216" s="59">
        <f>$CT216-$CT217</f>
        <v/>
      </c>
    </row>
    <row r="217">
      <c r="CU217" s="58">
        <f>IFERROR($B217/$B218-1,"")</f>
        <v/>
      </c>
      <c r="CV217" s="59">
        <f>($F217-$F218)*100</f>
        <v/>
      </c>
      <c r="CW217" s="59">
        <f>($E217-$E218)*100</f>
        <v/>
      </c>
      <c r="CX217" s="58">
        <f>IFERROR($K217/$K218-1,"")</f>
        <v/>
      </c>
      <c r="CY217" s="59">
        <f>($AH217-$AH218)*100</f>
        <v/>
      </c>
      <c r="CZ217" s="59">
        <f>($AI217-$AI218)*100</f>
        <v/>
      </c>
      <c r="DA217" s="59">
        <f>($AJ217-$AJ218)*100</f>
        <v/>
      </c>
      <c r="DB217" s="59">
        <f>($AK217-$AK218)*100</f>
        <v/>
      </c>
      <c r="DC217" s="59">
        <f>($AL217-$AL218)*100</f>
        <v/>
      </c>
      <c r="DD217" s="59">
        <f>($AM217-$AM218)*100</f>
        <v/>
      </c>
      <c r="DE217" s="59">
        <f>($AN217-$AN218)*100</f>
        <v/>
      </c>
      <c r="DF217" s="59">
        <f>($AO217-$AO218)*100</f>
        <v/>
      </c>
      <c r="DG217" s="59">
        <f>($AP217-$AP218)*100</f>
        <v/>
      </c>
      <c r="DH217" s="59">
        <f>($AQ217-$AQ218)*100</f>
        <v/>
      </c>
      <c r="DI217" s="59">
        <f>($AR217-$AR218)*100</f>
        <v/>
      </c>
      <c r="DJ217" s="59">
        <f>($AS217-$AS218)*100</f>
        <v/>
      </c>
      <c r="DK217" s="59">
        <f>($AT217-$AT218)*100</f>
        <v/>
      </c>
      <c r="DL217" s="59">
        <f>($AU217-$AU218)*100</f>
        <v/>
      </c>
      <c r="DM217" s="59">
        <f>($AV217-$AV218)*100</f>
        <v/>
      </c>
      <c r="DN217" s="59">
        <f>($AW217-$AW218)*100</f>
        <v/>
      </c>
      <c r="DO217" s="59">
        <f>($AX217-$AX218)*100</f>
        <v/>
      </c>
      <c r="DP217" s="59">
        <f>($AY217-$AY218)*100</f>
        <v/>
      </c>
      <c r="DQ217" s="59">
        <f>($AZ217-$AZ218)*100</f>
        <v/>
      </c>
      <c r="DR217" s="59">
        <f>($BA217-$BA218)*100</f>
        <v/>
      </c>
      <c r="DS217" s="58">
        <f>IFERROR($N218/$N217-1,"")</f>
        <v/>
      </c>
      <c r="DT217" s="58">
        <f>IFERROR($O218/$O217-1,"")</f>
        <v/>
      </c>
      <c r="DU217" s="58">
        <f>IFERROR($P218/$P217-1,"")</f>
        <v/>
      </c>
      <c r="DV217" s="58">
        <f>IFERROR($Q218/$Q217-1,"")</f>
        <v/>
      </c>
      <c r="DW217" s="58">
        <f>IFERROR($R218/$R217-1,"")</f>
        <v/>
      </c>
      <c r="DX217" s="58">
        <f>IFERROR($S218/$S217-1,"")</f>
        <v/>
      </c>
      <c r="DY217" s="58">
        <f>IFERROR($T218/$T217-1,"")</f>
        <v/>
      </c>
      <c r="DZ217" s="58">
        <f>IFERROR($U218/$U217-1,"")</f>
        <v/>
      </c>
      <c r="EA217" s="58">
        <f>IFERROR($V218/$V217-1,"")</f>
        <v/>
      </c>
      <c r="EB217" s="58">
        <f>IFERROR($W218/$W217-1,"")</f>
        <v/>
      </c>
      <c r="EC217" s="58">
        <f>IFERROR($X218/$X217-1,"")</f>
        <v/>
      </c>
      <c r="ED217" s="58">
        <f>IFERROR($Y218/$Y217-1,"")</f>
        <v/>
      </c>
      <c r="EE217" s="58">
        <f>IFERROR($Z218/$Z217-1,"")</f>
        <v/>
      </c>
      <c r="EF217" s="58">
        <f>IFERROR($AA218/$AA217-1,"")</f>
        <v/>
      </c>
      <c r="EG217" s="58">
        <f>IFERROR($AB218/$AB217-1,"")</f>
        <v/>
      </c>
      <c r="EH217" s="58">
        <f>IFERROR($AC218/$AC217-1,"")</f>
        <v/>
      </c>
      <c r="EI217" s="58">
        <f>IFERROR($AD218/$AD217-1,"")</f>
        <v/>
      </c>
      <c r="EJ217" s="58">
        <f>IFERROR($AE218/$AE217-1,"")</f>
        <v/>
      </c>
      <c r="EK217" s="58">
        <f>IFERROR($AF218/$AF217-1,"")</f>
        <v/>
      </c>
      <c r="EL217" s="58">
        <f>IFERROR($AG218/$AG217-1,"")</f>
        <v/>
      </c>
      <c r="EM217" s="58">
        <f>IFERROR($BB217/$BB218-1,"")</f>
        <v/>
      </c>
      <c r="EN217" s="58">
        <f>IFERROR($BC217/$BC218-1,"")</f>
        <v/>
      </c>
      <c r="EO217" s="58">
        <f>IFERROR($BD217/$BD218-1,"")</f>
        <v/>
      </c>
      <c r="EP217" s="58">
        <f>IFERROR($BE217/$BE218-1,"")</f>
        <v/>
      </c>
      <c r="EQ217" s="58">
        <f>IFERROR($BF217/$BF218-1,"")</f>
        <v/>
      </c>
      <c r="ER217" s="58">
        <f>IFERROR($BG217/$BG218-1,"")</f>
        <v/>
      </c>
      <c r="ES217" s="58">
        <f>IFERROR($BH217/$BH218-1,"")</f>
        <v/>
      </c>
      <c r="ET217" s="58">
        <f>IFERROR($BI217/$BI218-1,"")</f>
        <v/>
      </c>
      <c r="EU217" s="58">
        <f>IFERROR($BJ217/$BJ218-1,"")</f>
        <v/>
      </c>
      <c r="EV217" s="58">
        <f>IFERROR($BK217/$BK218-1,"")</f>
        <v/>
      </c>
      <c r="EW217" s="58">
        <f>IFERROR($BL217/$BL218-1,"")</f>
        <v/>
      </c>
      <c r="EX217" s="58">
        <f>IFERROR($BM217/$BM218-1,"")</f>
        <v/>
      </c>
      <c r="EY217" s="58">
        <f>IFERROR($BN217/$BN218-1,"")</f>
        <v/>
      </c>
      <c r="EZ217" s="58">
        <f>IFERROR($BO217/$BO218-1,"")</f>
        <v/>
      </c>
      <c r="FA217" s="58">
        <f>IFERROR($BP217/$BP218-1,"")</f>
        <v/>
      </c>
      <c r="FB217" s="58">
        <f>IFERROR($BQ217/$BQ218-1,"")</f>
        <v/>
      </c>
      <c r="FC217" s="58">
        <f>IFERROR($BR217/$BR218-1,"")</f>
        <v/>
      </c>
      <c r="FD217" s="58">
        <f>IFERROR($BS217/$BS218-1,"")</f>
        <v/>
      </c>
      <c r="FE217" s="58">
        <f>IFERROR($BT217/$BT218-1,"")</f>
        <v/>
      </c>
      <c r="FF217" s="58">
        <f>IFERROR($BU217/$BU218-1,"")</f>
        <v/>
      </c>
      <c r="FG217" s="58">
        <f>IFERROR($BV217/$BV218-1,"")</f>
        <v/>
      </c>
      <c r="FH217" s="58">
        <f>IFERROR($BW217/$BW218-1,"")</f>
        <v/>
      </c>
      <c r="FI217" s="58">
        <f>IFERROR($BX217/$BX218-1,"")</f>
        <v/>
      </c>
      <c r="FJ217" s="59">
        <f>$BY217-$BY218</f>
        <v/>
      </c>
      <c r="FK217" s="59">
        <f>$BZ217-$BZ218</f>
        <v/>
      </c>
      <c r="FL217" s="59">
        <f>$CA217-$CA218</f>
        <v/>
      </c>
      <c r="FM217" s="59">
        <f>$CB217-$CB218</f>
        <v/>
      </c>
      <c r="FN217" s="59">
        <f>$CC217-$CC218</f>
        <v/>
      </c>
      <c r="FO217" s="59">
        <f>$CD217-$CD218</f>
        <v/>
      </c>
      <c r="FP217" s="59">
        <f>$CE217-$CE218</f>
        <v/>
      </c>
      <c r="FQ217" s="59">
        <f>$CF217-$CF218</f>
        <v/>
      </c>
      <c r="FR217" s="59">
        <f>$CG217-$CG218</f>
        <v/>
      </c>
      <c r="FS217" s="59">
        <f>$CH217-$CH218</f>
        <v/>
      </c>
      <c r="FT217" s="59">
        <f>$CI217-$CI218</f>
        <v/>
      </c>
      <c r="FU217" s="59">
        <f>$CJ217-$CJ218</f>
        <v/>
      </c>
      <c r="FV217" s="59">
        <f>$CK217-$CK218</f>
        <v/>
      </c>
      <c r="FW217" s="59">
        <f>$CL217-$CL218</f>
        <v/>
      </c>
      <c r="FX217" s="59">
        <f>$CM217-$CM218</f>
        <v/>
      </c>
      <c r="FY217" s="59">
        <f>$CN217-$CN218</f>
        <v/>
      </c>
      <c r="FZ217" s="59">
        <f>$CO217-$CO218</f>
        <v/>
      </c>
      <c r="GA217" s="59">
        <f>$CP217-$CP218</f>
        <v/>
      </c>
      <c r="GB217" s="59">
        <f>$CQ217-$CQ218</f>
        <v/>
      </c>
      <c r="GC217" s="59">
        <f>$CR217-$CR218</f>
        <v/>
      </c>
      <c r="GD217" s="59">
        <f>$CS217-$CS218</f>
        <v/>
      </c>
      <c r="GE217" s="59">
        <f>$CT217-$CT218</f>
        <v/>
      </c>
    </row>
    <row r="218">
      <c r="CU218" s="58">
        <f>IFERROR($B218/$B219-1,"")</f>
        <v/>
      </c>
      <c r="CV218" s="59">
        <f>($F218-$F219)*100</f>
        <v/>
      </c>
      <c r="CW218" s="59">
        <f>($E218-$E219)*100</f>
        <v/>
      </c>
      <c r="CX218" s="58">
        <f>IFERROR($K218/$K219-1,"")</f>
        <v/>
      </c>
      <c r="CY218" s="59">
        <f>($AH218-$AH219)*100</f>
        <v/>
      </c>
      <c r="CZ218" s="59">
        <f>($AI218-$AI219)*100</f>
        <v/>
      </c>
      <c r="DA218" s="59">
        <f>($AJ218-$AJ219)*100</f>
        <v/>
      </c>
      <c r="DB218" s="59">
        <f>($AK218-$AK219)*100</f>
        <v/>
      </c>
      <c r="DC218" s="59">
        <f>($AL218-$AL219)*100</f>
        <v/>
      </c>
      <c r="DD218" s="59">
        <f>($AM218-$AM219)*100</f>
        <v/>
      </c>
      <c r="DE218" s="59">
        <f>($AN218-$AN219)*100</f>
        <v/>
      </c>
      <c r="DF218" s="59">
        <f>($AO218-$AO219)*100</f>
        <v/>
      </c>
      <c r="DG218" s="59">
        <f>($AP218-$AP219)*100</f>
        <v/>
      </c>
      <c r="DH218" s="59">
        <f>($AQ218-$AQ219)*100</f>
        <v/>
      </c>
      <c r="DI218" s="59">
        <f>($AR218-$AR219)*100</f>
        <v/>
      </c>
      <c r="DJ218" s="59">
        <f>($AS218-$AS219)*100</f>
        <v/>
      </c>
      <c r="DK218" s="59">
        <f>($AT218-$AT219)*100</f>
        <v/>
      </c>
      <c r="DL218" s="59">
        <f>($AU218-$AU219)*100</f>
        <v/>
      </c>
      <c r="DM218" s="59">
        <f>($AV218-$AV219)*100</f>
        <v/>
      </c>
      <c r="DN218" s="59">
        <f>($AW218-$AW219)*100</f>
        <v/>
      </c>
      <c r="DO218" s="59">
        <f>($AX218-$AX219)*100</f>
        <v/>
      </c>
      <c r="DP218" s="59">
        <f>($AY218-$AY219)*100</f>
        <v/>
      </c>
      <c r="DQ218" s="59">
        <f>($AZ218-$AZ219)*100</f>
        <v/>
      </c>
      <c r="DR218" s="59">
        <f>($BA218-$BA219)*100</f>
        <v/>
      </c>
      <c r="DS218" s="58">
        <f>IFERROR($N219/$N218-1,"")</f>
        <v/>
      </c>
      <c r="DT218" s="58">
        <f>IFERROR($O219/$O218-1,"")</f>
        <v/>
      </c>
      <c r="DU218" s="58">
        <f>IFERROR($P219/$P218-1,"")</f>
        <v/>
      </c>
      <c r="DV218" s="58">
        <f>IFERROR($Q219/$Q218-1,"")</f>
        <v/>
      </c>
      <c r="DW218" s="58">
        <f>IFERROR($R219/$R218-1,"")</f>
        <v/>
      </c>
      <c r="DX218" s="58">
        <f>IFERROR($S219/$S218-1,"")</f>
        <v/>
      </c>
      <c r="DY218" s="58">
        <f>IFERROR($T219/$T218-1,"")</f>
        <v/>
      </c>
      <c r="DZ218" s="58">
        <f>IFERROR($U219/$U218-1,"")</f>
        <v/>
      </c>
      <c r="EA218" s="58">
        <f>IFERROR($V219/$V218-1,"")</f>
        <v/>
      </c>
      <c r="EB218" s="58">
        <f>IFERROR($W219/$W218-1,"")</f>
        <v/>
      </c>
      <c r="EC218" s="58">
        <f>IFERROR($X219/$X218-1,"")</f>
        <v/>
      </c>
      <c r="ED218" s="58">
        <f>IFERROR($Y219/$Y218-1,"")</f>
        <v/>
      </c>
      <c r="EE218" s="58">
        <f>IFERROR($Z219/$Z218-1,"")</f>
        <v/>
      </c>
      <c r="EF218" s="58">
        <f>IFERROR($AA219/$AA218-1,"")</f>
        <v/>
      </c>
      <c r="EG218" s="58">
        <f>IFERROR($AB219/$AB218-1,"")</f>
        <v/>
      </c>
      <c r="EH218" s="58">
        <f>IFERROR($AC219/$AC218-1,"")</f>
        <v/>
      </c>
      <c r="EI218" s="58">
        <f>IFERROR($AD219/$AD218-1,"")</f>
        <v/>
      </c>
      <c r="EJ218" s="58">
        <f>IFERROR($AE219/$AE218-1,"")</f>
        <v/>
      </c>
      <c r="EK218" s="58">
        <f>IFERROR($AF219/$AF218-1,"")</f>
        <v/>
      </c>
      <c r="EL218" s="58">
        <f>IFERROR($AG219/$AG218-1,"")</f>
        <v/>
      </c>
      <c r="EM218" s="58">
        <f>IFERROR($BB218/$BB219-1,"")</f>
        <v/>
      </c>
      <c r="EN218" s="58">
        <f>IFERROR($BC218/$BC219-1,"")</f>
        <v/>
      </c>
      <c r="EO218" s="58">
        <f>IFERROR($BD218/$BD219-1,"")</f>
        <v/>
      </c>
      <c r="EP218" s="58">
        <f>IFERROR($BE218/$BE219-1,"")</f>
        <v/>
      </c>
      <c r="EQ218" s="58">
        <f>IFERROR($BF218/$BF219-1,"")</f>
        <v/>
      </c>
      <c r="ER218" s="58">
        <f>IFERROR($BG218/$BG219-1,"")</f>
        <v/>
      </c>
      <c r="ES218" s="58">
        <f>IFERROR($BH218/$BH219-1,"")</f>
        <v/>
      </c>
      <c r="ET218" s="58">
        <f>IFERROR($BI218/$BI219-1,"")</f>
        <v/>
      </c>
      <c r="EU218" s="58">
        <f>IFERROR($BJ218/$BJ219-1,"")</f>
        <v/>
      </c>
      <c r="EV218" s="58">
        <f>IFERROR($BK218/$BK219-1,"")</f>
        <v/>
      </c>
      <c r="EW218" s="58">
        <f>IFERROR($BL218/$BL219-1,"")</f>
        <v/>
      </c>
      <c r="EX218" s="58">
        <f>IFERROR($BM218/$BM219-1,"")</f>
        <v/>
      </c>
      <c r="EY218" s="58">
        <f>IFERROR($BN218/$BN219-1,"")</f>
        <v/>
      </c>
      <c r="EZ218" s="58">
        <f>IFERROR($BO218/$BO219-1,"")</f>
        <v/>
      </c>
      <c r="FA218" s="58">
        <f>IFERROR($BP218/$BP219-1,"")</f>
        <v/>
      </c>
      <c r="FB218" s="58">
        <f>IFERROR($BQ218/$BQ219-1,"")</f>
        <v/>
      </c>
      <c r="FC218" s="58">
        <f>IFERROR($BR218/$BR219-1,"")</f>
        <v/>
      </c>
      <c r="FD218" s="58">
        <f>IFERROR($BS218/$BS219-1,"")</f>
        <v/>
      </c>
      <c r="FE218" s="58">
        <f>IFERROR($BT218/$BT219-1,"")</f>
        <v/>
      </c>
      <c r="FF218" s="58">
        <f>IFERROR($BU218/$BU219-1,"")</f>
        <v/>
      </c>
      <c r="FG218" s="58">
        <f>IFERROR($BV218/$BV219-1,"")</f>
        <v/>
      </c>
      <c r="FH218" s="58">
        <f>IFERROR($BW218/$BW219-1,"")</f>
        <v/>
      </c>
      <c r="FI218" s="58">
        <f>IFERROR($BX218/$BX219-1,"")</f>
        <v/>
      </c>
      <c r="FJ218" s="59">
        <f>$BY218-$BY219</f>
        <v/>
      </c>
      <c r="FK218" s="59">
        <f>$BZ218-$BZ219</f>
        <v/>
      </c>
      <c r="FL218" s="59">
        <f>$CA218-$CA219</f>
        <v/>
      </c>
      <c r="FM218" s="59">
        <f>$CB218-$CB219</f>
        <v/>
      </c>
      <c r="FN218" s="59">
        <f>$CC218-$CC219</f>
        <v/>
      </c>
      <c r="FO218" s="59">
        <f>$CD218-$CD219</f>
        <v/>
      </c>
      <c r="FP218" s="59">
        <f>$CE218-$CE219</f>
        <v/>
      </c>
      <c r="FQ218" s="59">
        <f>$CF218-$CF219</f>
        <v/>
      </c>
      <c r="FR218" s="59">
        <f>$CG218-$CG219</f>
        <v/>
      </c>
      <c r="FS218" s="59">
        <f>$CH218-$CH219</f>
        <v/>
      </c>
      <c r="FT218" s="59">
        <f>$CI218-$CI219</f>
        <v/>
      </c>
      <c r="FU218" s="59">
        <f>$CJ218-$CJ219</f>
        <v/>
      </c>
      <c r="FV218" s="59">
        <f>$CK218-$CK219</f>
        <v/>
      </c>
      <c r="FW218" s="59">
        <f>$CL218-$CL219</f>
        <v/>
      </c>
      <c r="FX218" s="59">
        <f>$CM218-$CM219</f>
        <v/>
      </c>
      <c r="FY218" s="59">
        <f>$CN218-$CN219</f>
        <v/>
      </c>
      <c r="FZ218" s="59">
        <f>$CO218-$CO219</f>
        <v/>
      </c>
      <c r="GA218" s="59">
        <f>$CP218-$CP219</f>
        <v/>
      </c>
      <c r="GB218" s="59">
        <f>$CQ218-$CQ219</f>
        <v/>
      </c>
      <c r="GC218" s="59">
        <f>$CR218-$CR219</f>
        <v/>
      </c>
      <c r="GD218" s="59">
        <f>$CS218-$CS219</f>
        <v/>
      </c>
      <c r="GE218" s="59">
        <f>$CT218-$CT219</f>
        <v/>
      </c>
    </row>
    <row r="219">
      <c r="CU219" s="58">
        <f>IFERROR($B219/$B220-1,"")</f>
        <v/>
      </c>
      <c r="CV219" s="59">
        <f>($F219-$F220)*100</f>
        <v/>
      </c>
      <c r="CW219" s="59">
        <f>($E219-$E220)*100</f>
        <v/>
      </c>
      <c r="CX219" s="58">
        <f>IFERROR($K219/$K220-1,"")</f>
        <v/>
      </c>
      <c r="CY219" s="59">
        <f>($AH219-$AH220)*100</f>
        <v/>
      </c>
      <c r="CZ219" s="59">
        <f>($AI219-$AI220)*100</f>
        <v/>
      </c>
      <c r="DA219" s="59">
        <f>($AJ219-$AJ220)*100</f>
        <v/>
      </c>
      <c r="DB219" s="59">
        <f>($AK219-$AK220)*100</f>
        <v/>
      </c>
      <c r="DC219" s="59">
        <f>($AL219-$AL220)*100</f>
        <v/>
      </c>
      <c r="DD219" s="59">
        <f>($AM219-$AM220)*100</f>
        <v/>
      </c>
      <c r="DE219" s="59">
        <f>($AN219-$AN220)*100</f>
        <v/>
      </c>
      <c r="DF219" s="59">
        <f>($AO219-$AO220)*100</f>
        <v/>
      </c>
      <c r="DG219" s="59">
        <f>($AP219-$AP220)*100</f>
        <v/>
      </c>
      <c r="DH219" s="59">
        <f>($AQ219-$AQ220)*100</f>
        <v/>
      </c>
      <c r="DI219" s="59">
        <f>($AR219-$AR220)*100</f>
        <v/>
      </c>
      <c r="DJ219" s="59">
        <f>($AS219-$AS220)*100</f>
        <v/>
      </c>
      <c r="DK219" s="59">
        <f>($AT219-$AT220)*100</f>
        <v/>
      </c>
      <c r="DL219" s="59">
        <f>($AU219-$AU220)*100</f>
        <v/>
      </c>
      <c r="DM219" s="59">
        <f>($AV219-$AV220)*100</f>
        <v/>
      </c>
      <c r="DN219" s="59">
        <f>($AW219-$AW220)*100</f>
        <v/>
      </c>
      <c r="DO219" s="59">
        <f>($AX219-$AX220)*100</f>
        <v/>
      </c>
      <c r="DP219" s="59">
        <f>($AY219-$AY220)*100</f>
        <v/>
      </c>
      <c r="DQ219" s="59">
        <f>($AZ219-$AZ220)*100</f>
        <v/>
      </c>
      <c r="DR219" s="59">
        <f>($BA219-$BA220)*100</f>
        <v/>
      </c>
      <c r="DS219" s="58">
        <f>IFERROR($N220/$N219-1,"")</f>
        <v/>
      </c>
      <c r="DT219" s="58">
        <f>IFERROR($O220/$O219-1,"")</f>
        <v/>
      </c>
      <c r="DU219" s="58">
        <f>IFERROR($P220/$P219-1,"")</f>
        <v/>
      </c>
      <c r="DV219" s="58">
        <f>IFERROR($Q220/$Q219-1,"")</f>
        <v/>
      </c>
      <c r="DW219" s="58">
        <f>IFERROR($R220/$R219-1,"")</f>
        <v/>
      </c>
      <c r="DX219" s="58">
        <f>IFERROR($S220/$S219-1,"")</f>
        <v/>
      </c>
      <c r="DY219" s="58">
        <f>IFERROR($T220/$T219-1,"")</f>
        <v/>
      </c>
      <c r="DZ219" s="58">
        <f>IFERROR($U220/$U219-1,"")</f>
        <v/>
      </c>
      <c r="EA219" s="58">
        <f>IFERROR($V220/$V219-1,"")</f>
        <v/>
      </c>
      <c r="EB219" s="58">
        <f>IFERROR($W220/$W219-1,"")</f>
        <v/>
      </c>
      <c r="EC219" s="58">
        <f>IFERROR($X220/$X219-1,"")</f>
        <v/>
      </c>
      <c r="ED219" s="58">
        <f>IFERROR($Y220/$Y219-1,"")</f>
        <v/>
      </c>
      <c r="EE219" s="58">
        <f>IFERROR($Z220/$Z219-1,"")</f>
        <v/>
      </c>
      <c r="EF219" s="58">
        <f>IFERROR($AA220/$AA219-1,"")</f>
        <v/>
      </c>
      <c r="EG219" s="58">
        <f>IFERROR($AB220/$AB219-1,"")</f>
        <v/>
      </c>
      <c r="EH219" s="58">
        <f>IFERROR($AC220/$AC219-1,"")</f>
        <v/>
      </c>
      <c r="EI219" s="58">
        <f>IFERROR($AD220/$AD219-1,"")</f>
        <v/>
      </c>
      <c r="EJ219" s="58">
        <f>IFERROR($AE220/$AE219-1,"")</f>
        <v/>
      </c>
      <c r="EK219" s="58">
        <f>IFERROR($AF220/$AF219-1,"")</f>
        <v/>
      </c>
      <c r="EL219" s="58">
        <f>IFERROR($AG220/$AG219-1,"")</f>
        <v/>
      </c>
      <c r="EM219" s="58">
        <f>IFERROR($BB219/$BB220-1,"")</f>
        <v/>
      </c>
      <c r="EN219" s="58">
        <f>IFERROR($BC219/$BC220-1,"")</f>
        <v/>
      </c>
      <c r="EO219" s="58">
        <f>IFERROR($BD219/$BD220-1,"")</f>
        <v/>
      </c>
      <c r="EP219" s="58">
        <f>IFERROR($BE219/$BE220-1,"")</f>
        <v/>
      </c>
      <c r="EQ219" s="58">
        <f>IFERROR($BF219/$BF220-1,"")</f>
        <v/>
      </c>
      <c r="ER219" s="58">
        <f>IFERROR($BG219/$BG220-1,"")</f>
        <v/>
      </c>
      <c r="ES219" s="58">
        <f>IFERROR($BH219/$BH220-1,"")</f>
        <v/>
      </c>
      <c r="ET219" s="58">
        <f>IFERROR($BI219/$BI220-1,"")</f>
        <v/>
      </c>
      <c r="EU219" s="58">
        <f>IFERROR($BJ219/$BJ220-1,"")</f>
        <v/>
      </c>
      <c r="EV219" s="58">
        <f>IFERROR($BK219/$BK220-1,"")</f>
        <v/>
      </c>
      <c r="EW219" s="58">
        <f>IFERROR($BL219/$BL220-1,"")</f>
        <v/>
      </c>
      <c r="EX219" s="58">
        <f>IFERROR($BM219/$BM220-1,"")</f>
        <v/>
      </c>
      <c r="EY219" s="58">
        <f>IFERROR($BN219/$BN220-1,"")</f>
        <v/>
      </c>
      <c r="EZ219" s="58">
        <f>IFERROR($BO219/$BO220-1,"")</f>
        <v/>
      </c>
      <c r="FA219" s="58">
        <f>IFERROR($BP219/$BP220-1,"")</f>
        <v/>
      </c>
      <c r="FB219" s="58">
        <f>IFERROR($BQ219/$BQ220-1,"")</f>
        <v/>
      </c>
      <c r="FC219" s="58">
        <f>IFERROR($BR219/$BR220-1,"")</f>
        <v/>
      </c>
      <c r="FD219" s="58">
        <f>IFERROR($BS219/$BS220-1,"")</f>
        <v/>
      </c>
      <c r="FE219" s="58">
        <f>IFERROR($BT219/$BT220-1,"")</f>
        <v/>
      </c>
      <c r="FF219" s="58">
        <f>IFERROR($BU219/$BU220-1,"")</f>
        <v/>
      </c>
      <c r="FG219" s="58">
        <f>IFERROR($BV219/$BV220-1,"")</f>
        <v/>
      </c>
      <c r="FH219" s="58">
        <f>IFERROR($BW219/$BW220-1,"")</f>
        <v/>
      </c>
      <c r="FI219" s="58">
        <f>IFERROR($BX219/$BX220-1,"")</f>
        <v/>
      </c>
      <c r="FJ219" s="59">
        <f>$BY219-$BY220</f>
        <v/>
      </c>
      <c r="FK219" s="59">
        <f>$BZ219-$BZ220</f>
        <v/>
      </c>
      <c r="FL219" s="59">
        <f>$CA219-$CA220</f>
        <v/>
      </c>
      <c r="FM219" s="59">
        <f>$CB219-$CB220</f>
        <v/>
      </c>
      <c r="FN219" s="59">
        <f>$CC219-$CC220</f>
        <v/>
      </c>
      <c r="FO219" s="59">
        <f>$CD219-$CD220</f>
        <v/>
      </c>
      <c r="FP219" s="59">
        <f>$CE219-$CE220</f>
        <v/>
      </c>
      <c r="FQ219" s="59">
        <f>$CF219-$CF220</f>
        <v/>
      </c>
      <c r="FR219" s="59">
        <f>$CG219-$CG220</f>
        <v/>
      </c>
      <c r="FS219" s="59">
        <f>$CH219-$CH220</f>
        <v/>
      </c>
      <c r="FT219" s="59">
        <f>$CI219-$CI220</f>
        <v/>
      </c>
      <c r="FU219" s="59">
        <f>$CJ219-$CJ220</f>
        <v/>
      </c>
      <c r="FV219" s="59">
        <f>$CK219-$CK220</f>
        <v/>
      </c>
      <c r="FW219" s="59">
        <f>$CL219-$CL220</f>
        <v/>
      </c>
      <c r="FX219" s="59">
        <f>$CM219-$CM220</f>
        <v/>
      </c>
      <c r="FY219" s="59">
        <f>$CN219-$CN220</f>
        <v/>
      </c>
      <c r="FZ219" s="59">
        <f>$CO219-$CO220</f>
        <v/>
      </c>
      <c r="GA219" s="59">
        <f>$CP219-$CP220</f>
        <v/>
      </c>
      <c r="GB219" s="59">
        <f>$CQ219-$CQ220</f>
        <v/>
      </c>
      <c r="GC219" s="59">
        <f>$CR219-$CR220</f>
        <v/>
      </c>
      <c r="GD219" s="59">
        <f>$CS219-$CS220</f>
        <v/>
      </c>
      <c r="GE219" s="59">
        <f>$CT219-$CT220</f>
        <v/>
      </c>
    </row>
    <row r="220">
      <c r="CU220" s="58">
        <f>IFERROR($B220/$B221-1,"")</f>
        <v/>
      </c>
      <c r="CV220" s="59">
        <f>($F220-$F221)*100</f>
        <v/>
      </c>
      <c r="CW220" s="59">
        <f>($E220-$E221)*100</f>
        <v/>
      </c>
      <c r="CX220" s="58">
        <f>IFERROR($K220/$K221-1,"")</f>
        <v/>
      </c>
      <c r="CY220" s="59">
        <f>($AH220-$AH221)*100</f>
        <v/>
      </c>
      <c r="CZ220" s="59">
        <f>($AI220-$AI221)*100</f>
        <v/>
      </c>
      <c r="DA220" s="59">
        <f>($AJ220-$AJ221)*100</f>
        <v/>
      </c>
      <c r="DB220" s="59">
        <f>($AK220-$AK221)*100</f>
        <v/>
      </c>
      <c r="DC220" s="59">
        <f>($AL220-$AL221)*100</f>
        <v/>
      </c>
      <c r="DD220" s="59">
        <f>($AM220-$AM221)*100</f>
        <v/>
      </c>
      <c r="DE220" s="59">
        <f>($AN220-$AN221)*100</f>
        <v/>
      </c>
      <c r="DF220" s="59">
        <f>($AO220-$AO221)*100</f>
        <v/>
      </c>
      <c r="DG220" s="59">
        <f>($AP220-$AP221)*100</f>
        <v/>
      </c>
      <c r="DH220" s="59">
        <f>($AQ220-$AQ221)*100</f>
        <v/>
      </c>
      <c r="DI220" s="59">
        <f>($AR220-$AR221)*100</f>
        <v/>
      </c>
      <c r="DJ220" s="59">
        <f>($AS220-$AS221)*100</f>
        <v/>
      </c>
      <c r="DK220" s="59">
        <f>($AT220-$AT221)*100</f>
        <v/>
      </c>
      <c r="DL220" s="59">
        <f>($AU220-$AU221)*100</f>
        <v/>
      </c>
      <c r="DM220" s="59">
        <f>($AV220-$AV221)*100</f>
        <v/>
      </c>
      <c r="DN220" s="59">
        <f>($AW220-$AW221)*100</f>
        <v/>
      </c>
      <c r="DO220" s="59">
        <f>($AX220-$AX221)*100</f>
        <v/>
      </c>
      <c r="DP220" s="59">
        <f>($AY220-$AY221)*100</f>
        <v/>
      </c>
      <c r="DQ220" s="59">
        <f>($AZ220-$AZ221)*100</f>
        <v/>
      </c>
      <c r="DR220" s="59">
        <f>($BA220-$BA221)*100</f>
        <v/>
      </c>
      <c r="DS220" s="58">
        <f>IFERROR($N221/$N220-1,"")</f>
        <v/>
      </c>
      <c r="DT220" s="58">
        <f>IFERROR($O221/$O220-1,"")</f>
        <v/>
      </c>
      <c r="DU220" s="58">
        <f>IFERROR($P221/$P220-1,"")</f>
        <v/>
      </c>
      <c r="DV220" s="58">
        <f>IFERROR($Q221/$Q220-1,"")</f>
        <v/>
      </c>
      <c r="DW220" s="58">
        <f>IFERROR($R221/$R220-1,"")</f>
        <v/>
      </c>
      <c r="DX220" s="58">
        <f>IFERROR($S221/$S220-1,"")</f>
        <v/>
      </c>
      <c r="DY220" s="58">
        <f>IFERROR($T221/$T220-1,"")</f>
        <v/>
      </c>
      <c r="DZ220" s="58">
        <f>IFERROR($U221/$U220-1,"")</f>
        <v/>
      </c>
      <c r="EA220" s="58">
        <f>IFERROR($V221/$V220-1,"")</f>
        <v/>
      </c>
      <c r="EB220" s="58">
        <f>IFERROR($W221/$W220-1,"")</f>
        <v/>
      </c>
      <c r="EC220" s="58">
        <f>IFERROR($X221/$X220-1,"")</f>
        <v/>
      </c>
      <c r="ED220" s="58">
        <f>IFERROR($Y221/$Y220-1,"")</f>
        <v/>
      </c>
      <c r="EE220" s="58">
        <f>IFERROR($Z221/$Z220-1,"")</f>
        <v/>
      </c>
      <c r="EF220" s="58">
        <f>IFERROR($AA221/$AA220-1,"")</f>
        <v/>
      </c>
      <c r="EG220" s="58">
        <f>IFERROR($AB221/$AB220-1,"")</f>
        <v/>
      </c>
      <c r="EH220" s="58">
        <f>IFERROR($AC221/$AC220-1,"")</f>
        <v/>
      </c>
      <c r="EI220" s="58">
        <f>IFERROR($AD221/$AD220-1,"")</f>
        <v/>
      </c>
      <c r="EJ220" s="58">
        <f>IFERROR($AE221/$AE220-1,"")</f>
        <v/>
      </c>
      <c r="EK220" s="58">
        <f>IFERROR($AF221/$AF220-1,"")</f>
        <v/>
      </c>
      <c r="EL220" s="58">
        <f>IFERROR($AG221/$AG220-1,"")</f>
        <v/>
      </c>
      <c r="EM220" s="58">
        <f>IFERROR($BB220/$BB221-1,"")</f>
        <v/>
      </c>
      <c r="EN220" s="58">
        <f>IFERROR($BC220/$BC221-1,"")</f>
        <v/>
      </c>
      <c r="EO220" s="58">
        <f>IFERROR($BD220/$BD221-1,"")</f>
        <v/>
      </c>
      <c r="EP220" s="58">
        <f>IFERROR($BE220/$BE221-1,"")</f>
        <v/>
      </c>
      <c r="EQ220" s="58">
        <f>IFERROR($BF220/$BF221-1,"")</f>
        <v/>
      </c>
      <c r="ER220" s="58">
        <f>IFERROR($BG220/$BG221-1,"")</f>
        <v/>
      </c>
      <c r="ES220" s="58">
        <f>IFERROR($BH220/$BH221-1,"")</f>
        <v/>
      </c>
      <c r="ET220" s="58">
        <f>IFERROR($BI220/$BI221-1,"")</f>
        <v/>
      </c>
      <c r="EU220" s="58">
        <f>IFERROR($BJ220/$BJ221-1,"")</f>
        <v/>
      </c>
      <c r="EV220" s="58">
        <f>IFERROR($BK220/$BK221-1,"")</f>
        <v/>
      </c>
      <c r="EW220" s="58">
        <f>IFERROR($BL220/$BL221-1,"")</f>
        <v/>
      </c>
      <c r="EX220" s="58">
        <f>IFERROR($BM220/$BM221-1,"")</f>
        <v/>
      </c>
      <c r="EY220" s="58">
        <f>IFERROR($BN220/$BN221-1,"")</f>
        <v/>
      </c>
      <c r="EZ220" s="58">
        <f>IFERROR($BO220/$BO221-1,"")</f>
        <v/>
      </c>
      <c r="FA220" s="58">
        <f>IFERROR($BP220/$BP221-1,"")</f>
        <v/>
      </c>
      <c r="FB220" s="58">
        <f>IFERROR($BQ220/$BQ221-1,"")</f>
        <v/>
      </c>
      <c r="FC220" s="58">
        <f>IFERROR($BR220/$BR221-1,"")</f>
        <v/>
      </c>
      <c r="FD220" s="58">
        <f>IFERROR($BS220/$BS221-1,"")</f>
        <v/>
      </c>
      <c r="FE220" s="58">
        <f>IFERROR($BT220/$BT221-1,"")</f>
        <v/>
      </c>
      <c r="FF220" s="58">
        <f>IFERROR($BU220/$BU221-1,"")</f>
        <v/>
      </c>
      <c r="FG220" s="58">
        <f>IFERROR($BV220/$BV221-1,"")</f>
        <v/>
      </c>
      <c r="FH220" s="58">
        <f>IFERROR($BW220/$BW221-1,"")</f>
        <v/>
      </c>
      <c r="FI220" s="58">
        <f>IFERROR($BX220/$BX221-1,"")</f>
        <v/>
      </c>
      <c r="FJ220" s="59">
        <f>$BY220-$BY221</f>
        <v/>
      </c>
      <c r="FK220" s="59">
        <f>$BZ220-$BZ221</f>
        <v/>
      </c>
      <c r="FL220" s="59">
        <f>$CA220-$CA221</f>
        <v/>
      </c>
      <c r="FM220" s="59">
        <f>$CB220-$CB221</f>
        <v/>
      </c>
      <c r="FN220" s="59">
        <f>$CC220-$CC221</f>
        <v/>
      </c>
      <c r="FO220" s="59">
        <f>$CD220-$CD221</f>
        <v/>
      </c>
      <c r="FP220" s="59">
        <f>$CE220-$CE221</f>
        <v/>
      </c>
      <c r="FQ220" s="59">
        <f>$CF220-$CF221</f>
        <v/>
      </c>
      <c r="FR220" s="59">
        <f>$CG220-$CG221</f>
        <v/>
      </c>
      <c r="FS220" s="59">
        <f>$CH220-$CH221</f>
        <v/>
      </c>
      <c r="FT220" s="59">
        <f>$CI220-$CI221</f>
        <v/>
      </c>
      <c r="FU220" s="59">
        <f>$CJ220-$CJ221</f>
        <v/>
      </c>
      <c r="FV220" s="59">
        <f>$CK220-$CK221</f>
        <v/>
      </c>
      <c r="FW220" s="59">
        <f>$CL220-$CL221</f>
        <v/>
      </c>
      <c r="FX220" s="59">
        <f>$CM220-$CM221</f>
        <v/>
      </c>
      <c r="FY220" s="59">
        <f>$CN220-$CN221</f>
        <v/>
      </c>
      <c r="FZ220" s="59">
        <f>$CO220-$CO221</f>
        <v/>
      </c>
      <c r="GA220" s="59">
        <f>$CP220-$CP221</f>
        <v/>
      </c>
      <c r="GB220" s="59">
        <f>$CQ220-$CQ221</f>
        <v/>
      </c>
      <c r="GC220" s="59">
        <f>$CR220-$CR221</f>
        <v/>
      </c>
      <c r="GD220" s="59">
        <f>$CS220-$CS221</f>
        <v/>
      </c>
      <c r="GE220" s="59">
        <f>$CT220-$CT221</f>
        <v/>
      </c>
    </row>
    <row r="221">
      <c r="CU221" s="58">
        <f>IFERROR($B221/$B222-1,"")</f>
        <v/>
      </c>
      <c r="CV221" s="59">
        <f>($F221-$F222)*100</f>
        <v/>
      </c>
      <c r="CW221" s="59">
        <f>($E221-$E222)*100</f>
        <v/>
      </c>
      <c r="CX221" s="58">
        <f>IFERROR($K221/$K222-1,"")</f>
        <v/>
      </c>
      <c r="CY221" s="59">
        <f>($AH221-$AH222)*100</f>
        <v/>
      </c>
      <c r="CZ221" s="59">
        <f>($AI221-$AI222)*100</f>
        <v/>
      </c>
      <c r="DA221" s="59">
        <f>($AJ221-$AJ222)*100</f>
        <v/>
      </c>
      <c r="DB221" s="59">
        <f>($AK221-$AK222)*100</f>
        <v/>
      </c>
      <c r="DC221" s="59">
        <f>($AL221-$AL222)*100</f>
        <v/>
      </c>
      <c r="DD221" s="59">
        <f>($AM221-$AM222)*100</f>
        <v/>
      </c>
      <c r="DE221" s="59">
        <f>($AN221-$AN222)*100</f>
        <v/>
      </c>
      <c r="DF221" s="59">
        <f>($AO221-$AO222)*100</f>
        <v/>
      </c>
      <c r="DG221" s="59">
        <f>($AP221-$AP222)*100</f>
        <v/>
      </c>
      <c r="DH221" s="59">
        <f>($AQ221-$AQ222)*100</f>
        <v/>
      </c>
      <c r="DI221" s="59">
        <f>($AR221-$AR222)*100</f>
        <v/>
      </c>
      <c r="DJ221" s="59">
        <f>($AS221-$AS222)*100</f>
        <v/>
      </c>
      <c r="DK221" s="59">
        <f>($AT221-$AT222)*100</f>
        <v/>
      </c>
      <c r="DL221" s="59">
        <f>($AU221-$AU222)*100</f>
        <v/>
      </c>
      <c r="DM221" s="59">
        <f>($AV221-$AV222)*100</f>
        <v/>
      </c>
      <c r="DN221" s="59">
        <f>($AW221-$AW222)*100</f>
        <v/>
      </c>
      <c r="DO221" s="59">
        <f>($AX221-$AX222)*100</f>
        <v/>
      </c>
      <c r="DP221" s="59">
        <f>($AY221-$AY222)*100</f>
        <v/>
      </c>
      <c r="DQ221" s="59">
        <f>($AZ221-$AZ222)*100</f>
        <v/>
      </c>
      <c r="DR221" s="59">
        <f>($BA221-$BA222)*100</f>
        <v/>
      </c>
      <c r="DS221" s="58">
        <f>IFERROR($N222/$N221-1,"")</f>
        <v/>
      </c>
      <c r="DT221" s="58">
        <f>IFERROR($O222/$O221-1,"")</f>
        <v/>
      </c>
      <c r="DU221" s="58">
        <f>IFERROR($P222/$P221-1,"")</f>
        <v/>
      </c>
      <c r="DV221" s="58">
        <f>IFERROR($Q222/$Q221-1,"")</f>
        <v/>
      </c>
      <c r="DW221" s="58">
        <f>IFERROR($R222/$R221-1,"")</f>
        <v/>
      </c>
      <c r="DX221" s="58">
        <f>IFERROR($S222/$S221-1,"")</f>
        <v/>
      </c>
      <c r="DY221" s="58">
        <f>IFERROR($T222/$T221-1,"")</f>
        <v/>
      </c>
      <c r="DZ221" s="58">
        <f>IFERROR($U222/$U221-1,"")</f>
        <v/>
      </c>
      <c r="EA221" s="58">
        <f>IFERROR($V222/$V221-1,"")</f>
        <v/>
      </c>
      <c r="EB221" s="58">
        <f>IFERROR($W222/$W221-1,"")</f>
        <v/>
      </c>
      <c r="EC221" s="58">
        <f>IFERROR($X222/$X221-1,"")</f>
        <v/>
      </c>
      <c r="ED221" s="58">
        <f>IFERROR($Y222/$Y221-1,"")</f>
        <v/>
      </c>
      <c r="EE221" s="58">
        <f>IFERROR($Z222/$Z221-1,"")</f>
        <v/>
      </c>
      <c r="EF221" s="58">
        <f>IFERROR($AA222/$AA221-1,"")</f>
        <v/>
      </c>
      <c r="EG221" s="58">
        <f>IFERROR($AB222/$AB221-1,"")</f>
        <v/>
      </c>
      <c r="EH221" s="58">
        <f>IFERROR($AC222/$AC221-1,"")</f>
        <v/>
      </c>
      <c r="EI221" s="58">
        <f>IFERROR($AD222/$AD221-1,"")</f>
        <v/>
      </c>
      <c r="EJ221" s="58">
        <f>IFERROR($AE222/$AE221-1,"")</f>
        <v/>
      </c>
      <c r="EK221" s="58">
        <f>IFERROR($AF222/$AF221-1,"")</f>
        <v/>
      </c>
      <c r="EL221" s="58">
        <f>IFERROR($AG222/$AG221-1,"")</f>
        <v/>
      </c>
      <c r="EM221" s="58">
        <f>IFERROR($BB221/$BB222-1,"")</f>
        <v/>
      </c>
      <c r="EN221" s="58">
        <f>IFERROR($BC221/$BC222-1,"")</f>
        <v/>
      </c>
      <c r="EO221" s="58">
        <f>IFERROR($BD221/$BD222-1,"")</f>
        <v/>
      </c>
      <c r="EP221" s="58">
        <f>IFERROR($BE221/$BE222-1,"")</f>
        <v/>
      </c>
      <c r="EQ221" s="58">
        <f>IFERROR($BF221/$BF222-1,"")</f>
        <v/>
      </c>
      <c r="ER221" s="58">
        <f>IFERROR($BG221/$BG222-1,"")</f>
        <v/>
      </c>
      <c r="ES221" s="58">
        <f>IFERROR($BH221/$BH222-1,"")</f>
        <v/>
      </c>
      <c r="ET221" s="58">
        <f>IFERROR($BI221/$BI222-1,"")</f>
        <v/>
      </c>
      <c r="EU221" s="58">
        <f>IFERROR($BJ221/$BJ222-1,"")</f>
        <v/>
      </c>
      <c r="EV221" s="58">
        <f>IFERROR($BK221/$BK222-1,"")</f>
        <v/>
      </c>
      <c r="EW221" s="58">
        <f>IFERROR($BL221/$BL222-1,"")</f>
        <v/>
      </c>
      <c r="EX221" s="58">
        <f>IFERROR($BM221/$BM222-1,"")</f>
        <v/>
      </c>
      <c r="EY221" s="58">
        <f>IFERROR($BN221/$BN222-1,"")</f>
        <v/>
      </c>
      <c r="EZ221" s="58">
        <f>IFERROR($BO221/$BO222-1,"")</f>
        <v/>
      </c>
      <c r="FA221" s="58">
        <f>IFERROR($BP221/$BP222-1,"")</f>
        <v/>
      </c>
      <c r="FB221" s="58">
        <f>IFERROR($BQ221/$BQ222-1,"")</f>
        <v/>
      </c>
      <c r="FC221" s="58">
        <f>IFERROR($BR221/$BR222-1,"")</f>
        <v/>
      </c>
      <c r="FD221" s="58">
        <f>IFERROR($BS221/$BS222-1,"")</f>
        <v/>
      </c>
      <c r="FE221" s="58">
        <f>IFERROR($BT221/$BT222-1,"")</f>
        <v/>
      </c>
      <c r="FF221" s="58">
        <f>IFERROR($BU221/$BU222-1,"")</f>
        <v/>
      </c>
      <c r="FG221" s="58">
        <f>IFERROR($BV221/$BV222-1,"")</f>
        <v/>
      </c>
      <c r="FH221" s="58">
        <f>IFERROR($BW221/$BW222-1,"")</f>
        <v/>
      </c>
      <c r="FI221" s="58">
        <f>IFERROR($BX221/$BX222-1,"")</f>
        <v/>
      </c>
      <c r="FJ221" s="59">
        <f>$BY221-$BY222</f>
        <v/>
      </c>
      <c r="FK221" s="59">
        <f>$BZ221-$BZ222</f>
        <v/>
      </c>
      <c r="FL221" s="59">
        <f>$CA221-$CA222</f>
        <v/>
      </c>
      <c r="FM221" s="59">
        <f>$CB221-$CB222</f>
        <v/>
      </c>
      <c r="FN221" s="59">
        <f>$CC221-$CC222</f>
        <v/>
      </c>
      <c r="FO221" s="59">
        <f>$CD221-$CD222</f>
        <v/>
      </c>
      <c r="FP221" s="59">
        <f>$CE221-$CE222</f>
        <v/>
      </c>
      <c r="FQ221" s="59">
        <f>$CF221-$CF222</f>
        <v/>
      </c>
      <c r="FR221" s="59">
        <f>$CG221-$CG222</f>
        <v/>
      </c>
      <c r="FS221" s="59">
        <f>$CH221-$CH222</f>
        <v/>
      </c>
      <c r="FT221" s="59">
        <f>$CI221-$CI222</f>
        <v/>
      </c>
      <c r="FU221" s="59">
        <f>$CJ221-$CJ222</f>
        <v/>
      </c>
      <c r="FV221" s="59">
        <f>$CK221-$CK222</f>
        <v/>
      </c>
      <c r="FW221" s="59">
        <f>$CL221-$CL222</f>
        <v/>
      </c>
      <c r="FX221" s="59">
        <f>$CM221-$CM222</f>
        <v/>
      </c>
      <c r="FY221" s="59">
        <f>$CN221-$CN222</f>
        <v/>
      </c>
      <c r="FZ221" s="59">
        <f>$CO221-$CO222</f>
        <v/>
      </c>
      <c r="GA221" s="59">
        <f>$CP221-$CP222</f>
        <v/>
      </c>
      <c r="GB221" s="59">
        <f>$CQ221-$CQ222</f>
        <v/>
      </c>
      <c r="GC221" s="59">
        <f>$CR221-$CR222</f>
        <v/>
      </c>
      <c r="GD221" s="59">
        <f>$CS221-$CS222</f>
        <v/>
      </c>
      <c r="GE221" s="59">
        <f>$CT221-$CT222</f>
        <v/>
      </c>
    </row>
    <row r="222">
      <c r="CU222" s="58">
        <f>IFERROR($B222/$B223-1,"")</f>
        <v/>
      </c>
      <c r="CV222" s="59">
        <f>($F222-$F223)*100</f>
        <v/>
      </c>
      <c r="CW222" s="59">
        <f>($E222-$E223)*100</f>
        <v/>
      </c>
      <c r="CX222" s="58">
        <f>IFERROR($K222/$K223-1,"")</f>
        <v/>
      </c>
      <c r="CY222" s="59">
        <f>($AH222-$AH223)*100</f>
        <v/>
      </c>
      <c r="CZ222" s="59">
        <f>($AI222-$AI223)*100</f>
        <v/>
      </c>
      <c r="DA222" s="59">
        <f>($AJ222-$AJ223)*100</f>
        <v/>
      </c>
      <c r="DB222" s="59">
        <f>($AK222-$AK223)*100</f>
        <v/>
      </c>
      <c r="DC222" s="59">
        <f>($AL222-$AL223)*100</f>
        <v/>
      </c>
      <c r="DD222" s="59">
        <f>($AM222-$AM223)*100</f>
        <v/>
      </c>
      <c r="DE222" s="59">
        <f>($AN222-$AN223)*100</f>
        <v/>
      </c>
      <c r="DF222" s="59">
        <f>($AO222-$AO223)*100</f>
        <v/>
      </c>
      <c r="DG222" s="59">
        <f>($AP222-$AP223)*100</f>
        <v/>
      </c>
      <c r="DH222" s="59">
        <f>($AQ222-$AQ223)*100</f>
        <v/>
      </c>
      <c r="DI222" s="59">
        <f>($AR222-$AR223)*100</f>
        <v/>
      </c>
      <c r="DJ222" s="59">
        <f>($AS222-$AS223)*100</f>
        <v/>
      </c>
      <c r="DK222" s="59">
        <f>($AT222-$AT223)*100</f>
        <v/>
      </c>
      <c r="DL222" s="59">
        <f>($AU222-$AU223)*100</f>
        <v/>
      </c>
      <c r="DM222" s="59">
        <f>($AV222-$AV223)*100</f>
        <v/>
      </c>
      <c r="DN222" s="59">
        <f>($AW222-$AW223)*100</f>
        <v/>
      </c>
      <c r="DO222" s="59">
        <f>($AX222-$AX223)*100</f>
        <v/>
      </c>
      <c r="DP222" s="59">
        <f>($AY222-$AY223)*100</f>
        <v/>
      </c>
      <c r="DQ222" s="59">
        <f>($AZ222-$AZ223)*100</f>
        <v/>
      </c>
      <c r="DR222" s="59">
        <f>($BA222-$BA223)*100</f>
        <v/>
      </c>
      <c r="DS222" s="58">
        <f>IFERROR($N223/$N222-1,"")</f>
        <v/>
      </c>
      <c r="DT222" s="58">
        <f>IFERROR($O223/$O222-1,"")</f>
        <v/>
      </c>
      <c r="DU222" s="58">
        <f>IFERROR($P223/$P222-1,"")</f>
        <v/>
      </c>
      <c r="DV222" s="58">
        <f>IFERROR($Q223/$Q222-1,"")</f>
        <v/>
      </c>
      <c r="DW222" s="58">
        <f>IFERROR($R223/$R222-1,"")</f>
        <v/>
      </c>
      <c r="DX222" s="58">
        <f>IFERROR($S223/$S222-1,"")</f>
        <v/>
      </c>
      <c r="DY222" s="58">
        <f>IFERROR($T223/$T222-1,"")</f>
        <v/>
      </c>
      <c r="DZ222" s="58">
        <f>IFERROR($U223/$U222-1,"")</f>
        <v/>
      </c>
      <c r="EA222" s="58">
        <f>IFERROR($V223/$V222-1,"")</f>
        <v/>
      </c>
      <c r="EB222" s="58">
        <f>IFERROR($W223/$W222-1,"")</f>
        <v/>
      </c>
      <c r="EC222" s="58">
        <f>IFERROR($X223/$X222-1,"")</f>
        <v/>
      </c>
      <c r="ED222" s="58">
        <f>IFERROR($Y223/$Y222-1,"")</f>
        <v/>
      </c>
      <c r="EE222" s="58">
        <f>IFERROR($Z223/$Z222-1,"")</f>
        <v/>
      </c>
      <c r="EF222" s="58">
        <f>IFERROR($AA223/$AA222-1,"")</f>
        <v/>
      </c>
      <c r="EG222" s="58">
        <f>IFERROR($AB223/$AB222-1,"")</f>
        <v/>
      </c>
      <c r="EH222" s="58">
        <f>IFERROR($AC223/$AC222-1,"")</f>
        <v/>
      </c>
      <c r="EI222" s="58">
        <f>IFERROR($AD223/$AD222-1,"")</f>
        <v/>
      </c>
      <c r="EJ222" s="58">
        <f>IFERROR($AE223/$AE222-1,"")</f>
        <v/>
      </c>
      <c r="EK222" s="58">
        <f>IFERROR($AF223/$AF222-1,"")</f>
        <v/>
      </c>
      <c r="EL222" s="58">
        <f>IFERROR($AG223/$AG222-1,"")</f>
        <v/>
      </c>
      <c r="EM222" s="58">
        <f>IFERROR($BB222/$BB223-1,"")</f>
        <v/>
      </c>
      <c r="EN222" s="58">
        <f>IFERROR($BC222/$BC223-1,"")</f>
        <v/>
      </c>
      <c r="EO222" s="58">
        <f>IFERROR($BD222/$BD223-1,"")</f>
        <v/>
      </c>
      <c r="EP222" s="58">
        <f>IFERROR($BE222/$BE223-1,"")</f>
        <v/>
      </c>
      <c r="EQ222" s="58">
        <f>IFERROR($BF222/$BF223-1,"")</f>
        <v/>
      </c>
      <c r="ER222" s="58">
        <f>IFERROR($BG222/$BG223-1,"")</f>
        <v/>
      </c>
      <c r="ES222" s="58">
        <f>IFERROR($BH222/$BH223-1,"")</f>
        <v/>
      </c>
      <c r="ET222" s="58">
        <f>IFERROR($BI222/$BI223-1,"")</f>
        <v/>
      </c>
      <c r="EU222" s="58">
        <f>IFERROR($BJ222/$BJ223-1,"")</f>
        <v/>
      </c>
      <c r="EV222" s="58">
        <f>IFERROR($BK222/$BK223-1,"")</f>
        <v/>
      </c>
      <c r="EW222" s="58">
        <f>IFERROR($BL222/$BL223-1,"")</f>
        <v/>
      </c>
      <c r="EX222" s="58">
        <f>IFERROR($BM222/$BM223-1,"")</f>
        <v/>
      </c>
      <c r="EY222" s="58">
        <f>IFERROR($BN222/$BN223-1,"")</f>
        <v/>
      </c>
      <c r="EZ222" s="58">
        <f>IFERROR($BO222/$BO223-1,"")</f>
        <v/>
      </c>
      <c r="FA222" s="58">
        <f>IFERROR($BP222/$BP223-1,"")</f>
        <v/>
      </c>
      <c r="FB222" s="58">
        <f>IFERROR($BQ222/$BQ223-1,"")</f>
        <v/>
      </c>
      <c r="FC222" s="58">
        <f>IFERROR($BR222/$BR223-1,"")</f>
        <v/>
      </c>
      <c r="FD222" s="58">
        <f>IFERROR($BS222/$BS223-1,"")</f>
        <v/>
      </c>
      <c r="FE222" s="58">
        <f>IFERROR($BT222/$BT223-1,"")</f>
        <v/>
      </c>
      <c r="FF222" s="58">
        <f>IFERROR($BU222/$BU223-1,"")</f>
        <v/>
      </c>
      <c r="FG222" s="58">
        <f>IFERROR($BV222/$BV223-1,"")</f>
        <v/>
      </c>
      <c r="FH222" s="58">
        <f>IFERROR($BW222/$BW223-1,"")</f>
        <v/>
      </c>
      <c r="FI222" s="58">
        <f>IFERROR($BX222/$BX223-1,"")</f>
        <v/>
      </c>
      <c r="FJ222" s="59">
        <f>$BY222-$BY223</f>
        <v/>
      </c>
      <c r="FK222" s="59">
        <f>$BZ222-$BZ223</f>
        <v/>
      </c>
      <c r="FL222" s="59">
        <f>$CA222-$CA223</f>
        <v/>
      </c>
      <c r="FM222" s="59">
        <f>$CB222-$CB223</f>
        <v/>
      </c>
      <c r="FN222" s="59">
        <f>$CC222-$CC223</f>
        <v/>
      </c>
      <c r="FO222" s="59">
        <f>$CD222-$CD223</f>
        <v/>
      </c>
      <c r="FP222" s="59">
        <f>$CE222-$CE223</f>
        <v/>
      </c>
      <c r="FQ222" s="59">
        <f>$CF222-$CF223</f>
        <v/>
      </c>
      <c r="FR222" s="59">
        <f>$CG222-$CG223</f>
        <v/>
      </c>
      <c r="FS222" s="59">
        <f>$CH222-$CH223</f>
        <v/>
      </c>
      <c r="FT222" s="59">
        <f>$CI222-$CI223</f>
        <v/>
      </c>
      <c r="FU222" s="59">
        <f>$CJ222-$CJ223</f>
        <v/>
      </c>
      <c r="FV222" s="59">
        <f>$CK222-$CK223</f>
        <v/>
      </c>
      <c r="FW222" s="59">
        <f>$CL222-$CL223</f>
        <v/>
      </c>
      <c r="FX222" s="59">
        <f>$CM222-$CM223</f>
        <v/>
      </c>
      <c r="FY222" s="59">
        <f>$CN222-$CN223</f>
        <v/>
      </c>
      <c r="FZ222" s="59">
        <f>$CO222-$CO223</f>
        <v/>
      </c>
      <c r="GA222" s="59">
        <f>$CP222-$CP223</f>
        <v/>
      </c>
      <c r="GB222" s="59">
        <f>$CQ222-$CQ223</f>
        <v/>
      </c>
      <c r="GC222" s="59">
        <f>$CR222-$CR223</f>
        <v/>
      </c>
      <c r="GD222" s="59">
        <f>$CS222-$CS223</f>
        <v/>
      </c>
      <c r="GE222" s="59">
        <f>$CT222-$CT223</f>
        <v/>
      </c>
    </row>
    <row r="223">
      <c r="CU223" s="58">
        <f>IFERROR($B223/$B224-1,"")</f>
        <v/>
      </c>
      <c r="CV223" s="59">
        <f>($F223-$F224)*100</f>
        <v/>
      </c>
      <c r="CW223" s="59">
        <f>($E223-$E224)*100</f>
        <v/>
      </c>
      <c r="CX223" s="58">
        <f>IFERROR($K223/$K224-1,"")</f>
        <v/>
      </c>
      <c r="CY223" s="59">
        <f>($AH223-$AH224)*100</f>
        <v/>
      </c>
      <c r="CZ223" s="59">
        <f>($AI223-$AI224)*100</f>
        <v/>
      </c>
      <c r="DA223" s="59">
        <f>($AJ223-$AJ224)*100</f>
        <v/>
      </c>
      <c r="DB223" s="59">
        <f>($AK223-$AK224)*100</f>
        <v/>
      </c>
      <c r="DC223" s="59">
        <f>($AL223-$AL224)*100</f>
        <v/>
      </c>
      <c r="DD223" s="59">
        <f>($AM223-$AM224)*100</f>
        <v/>
      </c>
      <c r="DE223" s="59">
        <f>($AN223-$AN224)*100</f>
        <v/>
      </c>
      <c r="DF223" s="59">
        <f>($AO223-$AO224)*100</f>
        <v/>
      </c>
      <c r="DG223" s="59">
        <f>($AP223-$AP224)*100</f>
        <v/>
      </c>
      <c r="DH223" s="59">
        <f>($AQ223-$AQ224)*100</f>
        <v/>
      </c>
      <c r="DI223" s="59">
        <f>($AR223-$AR224)*100</f>
        <v/>
      </c>
      <c r="DJ223" s="59">
        <f>($AS223-$AS224)*100</f>
        <v/>
      </c>
      <c r="DK223" s="59">
        <f>($AT223-$AT224)*100</f>
        <v/>
      </c>
      <c r="DL223" s="59">
        <f>($AU223-$AU224)*100</f>
        <v/>
      </c>
      <c r="DM223" s="59">
        <f>($AV223-$AV224)*100</f>
        <v/>
      </c>
      <c r="DN223" s="59">
        <f>($AW223-$AW224)*100</f>
        <v/>
      </c>
      <c r="DO223" s="59">
        <f>($AX223-$AX224)*100</f>
        <v/>
      </c>
      <c r="DP223" s="59">
        <f>($AY223-$AY224)*100</f>
        <v/>
      </c>
      <c r="DQ223" s="59">
        <f>($AZ223-$AZ224)*100</f>
        <v/>
      </c>
      <c r="DR223" s="59">
        <f>($BA223-$BA224)*100</f>
        <v/>
      </c>
      <c r="DS223" s="58">
        <f>IFERROR($N224/$N223-1,"")</f>
        <v/>
      </c>
      <c r="DT223" s="58">
        <f>IFERROR($O224/$O223-1,"")</f>
        <v/>
      </c>
      <c r="DU223" s="58">
        <f>IFERROR($P224/$P223-1,"")</f>
        <v/>
      </c>
      <c r="DV223" s="58">
        <f>IFERROR($Q224/$Q223-1,"")</f>
        <v/>
      </c>
      <c r="DW223" s="58">
        <f>IFERROR($R224/$R223-1,"")</f>
        <v/>
      </c>
      <c r="DX223" s="58">
        <f>IFERROR($S224/$S223-1,"")</f>
        <v/>
      </c>
      <c r="DY223" s="58">
        <f>IFERROR($T224/$T223-1,"")</f>
        <v/>
      </c>
      <c r="DZ223" s="58">
        <f>IFERROR($U224/$U223-1,"")</f>
        <v/>
      </c>
      <c r="EA223" s="58">
        <f>IFERROR($V224/$V223-1,"")</f>
        <v/>
      </c>
      <c r="EB223" s="58">
        <f>IFERROR($W224/$W223-1,"")</f>
        <v/>
      </c>
      <c r="EC223" s="58">
        <f>IFERROR($X224/$X223-1,"")</f>
        <v/>
      </c>
      <c r="ED223" s="58">
        <f>IFERROR($Y224/$Y223-1,"")</f>
        <v/>
      </c>
      <c r="EE223" s="58">
        <f>IFERROR($Z224/$Z223-1,"")</f>
        <v/>
      </c>
      <c r="EF223" s="58">
        <f>IFERROR($AA224/$AA223-1,"")</f>
        <v/>
      </c>
      <c r="EG223" s="58">
        <f>IFERROR($AB224/$AB223-1,"")</f>
        <v/>
      </c>
      <c r="EH223" s="58">
        <f>IFERROR($AC224/$AC223-1,"")</f>
        <v/>
      </c>
      <c r="EI223" s="58">
        <f>IFERROR($AD224/$AD223-1,"")</f>
        <v/>
      </c>
      <c r="EJ223" s="58">
        <f>IFERROR($AE224/$AE223-1,"")</f>
        <v/>
      </c>
      <c r="EK223" s="58">
        <f>IFERROR($AF224/$AF223-1,"")</f>
        <v/>
      </c>
      <c r="EL223" s="58">
        <f>IFERROR($AG224/$AG223-1,"")</f>
        <v/>
      </c>
      <c r="EM223" s="58">
        <f>IFERROR($BB223/$BB224-1,"")</f>
        <v/>
      </c>
      <c r="EN223" s="58">
        <f>IFERROR($BC223/$BC224-1,"")</f>
        <v/>
      </c>
      <c r="EO223" s="58">
        <f>IFERROR($BD223/$BD224-1,"")</f>
        <v/>
      </c>
      <c r="EP223" s="58">
        <f>IFERROR($BE223/$BE224-1,"")</f>
        <v/>
      </c>
      <c r="EQ223" s="58">
        <f>IFERROR($BF223/$BF224-1,"")</f>
        <v/>
      </c>
      <c r="ER223" s="58">
        <f>IFERROR($BG223/$BG224-1,"")</f>
        <v/>
      </c>
      <c r="ES223" s="58">
        <f>IFERROR($BH223/$BH224-1,"")</f>
        <v/>
      </c>
      <c r="ET223" s="58">
        <f>IFERROR($BI223/$BI224-1,"")</f>
        <v/>
      </c>
      <c r="EU223" s="58">
        <f>IFERROR($BJ223/$BJ224-1,"")</f>
        <v/>
      </c>
      <c r="EV223" s="58">
        <f>IFERROR($BK223/$BK224-1,"")</f>
        <v/>
      </c>
      <c r="EW223" s="58">
        <f>IFERROR($BL223/$BL224-1,"")</f>
        <v/>
      </c>
      <c r="EX223" s="58">
        <f>IFERROR($BM223/$BM224-1,"")</f>
        <v/>
      </c>
      <c r="EY223" s="58">
        <f>IFERROR($BN223/$BN224-1,"")</f>
        <v/>
      </c>
      <c r="EZ223" s="58">
        <f>IFERROR($BO223/$BO224-1,"")</f>
        <v/>
      </c>
      <c r="FA223" s="58">
        <f>IFERROR($BP223/$BP224-1,"")</f>
        <v/>
      </c>
      <c r="FB223" s="58">
        <f>IFERROR($BQ223/$BQ224-1,"")</f>
        <v/>
      </c>
      <c r="FC223" s="58">
        <f>IFERROR($BR223/$BR224-1,"")</f>
        <v/>
      </c>
      <c r="FD223" s="58">
        <f>IFERROR($BS223/$BS224-1,"")</f>
        <v/>
      </c>
      <c r="FE223" s="58">
        <f>IFERROR($BT223/$BT224-1,"")</f>
        <v/>
      </c>
      <c r="FF223" s="58">
        <f>IFERROR($BU223/$BU224-1,"")</f>
        <v/>
      </c>
      <c r="FG223" s="58">
        <f>IFERROR($BV223/$BV224-1,"")</f>
        <v/>
      </c>
      <c r="FH223" s="58">
        <f>IFERROR($BW223/$BW224-1,"")</f>
        <v/>
      </c>
      <c r="FI223" s="58">
        <f>IFERROR($BX223/$BX224-1,"")</f>
        <v/>
      </c>
      <c r="FJ223" s="59">
        <f>$BY223-$BY224</f>
        <v/>
      </c>
      <c r="FK223" s="59">
        <f>$BZ223-$BZ224</f>
        <v/>
      </c>
      <c r="FL223" s="59">
        <f>$CA223-$CA224</f>
        <v/>
      </c>
      <c r="FM223" s="59">
        <f>$CB223-$CB224</f>
        <v/>
      </c>
      <c r="FN223" s="59">
        <f>$CC223-$CC224</f>
        <v/>
      </c>
      <c r="FO223" s="59">
        <f>$CD223-$CD224</f>
        <v/>
      </c>
      <c r="FP223" s="59">
        <f>$CE223-$CE224</f>
        <v/>
      </c>
      <c r="FQ223" s="59">
        <f>$CF223-$CF224</f>
        <v/>
      </c>
      <c r="FR223" s="59">
        <f>$CG223-$CG224</f>
        <v/>
      </c>
      <c r="FS223" s="59">
        <f>$CH223-$CH224</f>
        <v/>
      </c>
      <c r="FT223" s="59">
        <f>$CI223-$CI224</f>
        <v/>
      </c>
      <c r="FU223" s="59">
        <f>$CJ223-$CJ224</f>
        <v/>
      </c>
      <c r="FV223" s="59">
        <f>$CK223-$CK224</f>
        <v/>
      </c>
      <c r="FW223" s="59">
        <f>$CL223-$CL224</f>
        <v/>
      </c>
      <c r="FX223" s="59">
        <f>$CM223-$CM224</f>
        <v/>
      </c>
      <c r="FY223" s="59">
        <f>$CN223-$CN224</f>
        <v/>
      </c>
      <c r="FZ223" s="59">
        <f>$CO223-$CO224</f>
        <v/>
      </c>
      <c r="GA223" s="59">
        <f>$CP223-$CP224</f>
        <v/>
      </c>
      <c r="GB223" s="59">
        <f>$CQ223-$CQ224</f>
        <v/>
      </c>
      <c r="GC223" s="59">
        <f>$CR223-$CR224</f>
        <v/>
      </c>
      <c r="GD223" s="59">
        <f>$CS223-$CS224</f>
        <v/>
      </c>
      <c r="GE223" s="59">
        <f>$CT223-$CT224</f>
        <v/>
      </c>
    </row>
    <row r="224">
      <c r="CU224" s="58">
        <f>IFERROR($B224/$B225-1,"")</f>
        <v/>
      </c>
      <c r="CV224" s="59">
        <f>($F224-$F225)*100</f>
        <v/>
      </c>
      <c r="CW224" s="59">
        <f>($E224-$E225)*100</f>
        <v/>
      </c>
      <c r="CX224" s="58">
        <f>IFERROR($K224/$K225-1,"")</f>
        <v/>
      </c>
      <c r="CY224" s="59">
        <f>($AH224-$AH225)*100</f>
        <v/>
      </c>
      <c r="CZ224" s="59">
        <f>($AI224-$AI225)*100</f>
        <v/>
      </c>
      <c r="DA224" s="59">
        <f>($AJ224-$AJ225)*100</f>
        <v/>
      </c>
      <c r="DB224" s="59">
        <f>($AK224-$AK225)*100</f>
        <v/>
      </c>
      <c r="DC224" s="59">
        <f>($AL224-$AL225)*100</f>
        <v/>
      </c>
      <c r="DD224" s="59">
        <f>($AM224-$AM225)*100</f>
        <v/>
      </c>
      <c r="DE224" s="59">
        <f>($AN224-$AN225)*100</f>
        <v/>
      </c>
      <c r="DF224" s="59">
        <f>($AO224-$AO225)*100</f>
        <v/>
      </c>
      <c r="DG224" s="59">
        <f>($AP224-$AP225)*100</f>
        <v/>
      </c>
      <c r="DH224" s="59">
        <f>($AQ224-$AQ225)*100</f>
        <v/>
      </c>
      <c r="DI224" s="59">
        <f>($AR224-$AR225)*100</f>
        <v/>
      </c>
      <c r="DJ224" s="59">
        <f>($AS224-$AS225)*100</f>
        <v/>
      </c>
      <c r="DK224" s="59">
        <f>($AT224-$AT225)*100</f>
        <v/>
      </c>
      <c r="DL224" s="59">
        <f>($AU224-$AU225)*100</f>
        <v/>
      </c>
      <c r="DM224" s="59">
        <f>($AV224-$AV225)*100</f>
        <v/>
      </c>
      <c r="DN224" s="59">
        <f>($AW224-$AW225)*100</f>
        <v/>
      </c>
      <c r="DO224" s="59">
        <f>($AX224-$AX225)*100</f>
        <v/>
      </c>
      <c r="DP224" s="59">
        <f>($AY224-$AY225)*100</f>
        <v/>
      </c>
      <c r="DQ224" s="59">
        <f>($AZ224-$AZ225)*100</f>
        <v/>
      </c>
      <c r="DR224" s="59">
        <f>($BA224-$BA225)*100</f>
        <v/>
      </c>
      <c r="DS224" s="58">
        <f>IFERROR($N225/$N224-1,"")</f>
        <v/>
      </c>
      <c r="DT224" s="58">
        <f>IFERROR($O225/$O224-1,"")</f>
        <v/>
      </c>
      <c r="DU224" s="58">
        <f>IFERROR($P225/$P224-1,"")</f>
        <v/>
      </c>
      <c r="DV224" s="58">
        <f>IFERROR($Q225/$Q224-1,"")</f>
        <v/>
      </c>
      <c r="DW224" s="58">
        <f>IFERROR($R225/$R224-1,"")</f>
        <v/>
      </c>
      <c r="DX224" s="58">
        <f>IFERROR($S225/$S224-1,"")</f>
        <v/>
      </c>
      <c r="DY224" s="58">
        <f>IFERROR($T225/$T224-1,"")</f>
        <v/>
      </c>
      <c r="DZ224" s="58">
        <f>IFERROR($U225/$U224-1,"")</f>
        <v/>
      </c>
      <c r="EA224" s="58">
        <f>IFERROR($V225/$V224-1,"")</f>
        <v/>
      </c>
      <c r="EB224" s="58">
        <f>IFERROR($W225/$W224-1,"")</f>
        <v/>
      </c>
      <c r="EC224" s="58">
        <f>IFERROR($X225/$X224-1,"")</f>
        <v/>
      </c>
      <c r="ED224" s="58">
        <f>IFERROR($Y225/$Y224-1,"")</f>
        <v/>
      </c>
      <c r="EE224" s="58">
        <f>IFERROR($Z225/$Z224-1,"")</f>
        <v/>
      </c>
      <c r="EF224" s="58">
        <f>IFERROR($AA225/$AA224-1,"")</f>
        <v/>
      </c>
      <c r="EG224" s="58">
        <f>IFERROR($AB225/$AB224-1,"")</f>
        <v/>
      </c>
      <c r="EH224" s="58">
        <f>IFERROR($AC225/$AC224-1,"")</f>
        <v/>
      </c>
      <c r="EI224" s="58">
        <f>IFERROR($AD225/$AD224-1,"")</f>
        <v/>
      </c>
      <c r="EJ224" s="58">
        <f>IFERROR($AE225/$AE224-1,"")</f>
        <v/>
      </c>
      <c r="EK224" s="58">
        <f>IFERROR($AF225/$AF224-1,"")</f>
        <v/>
      </c>
      <c r="EL224" s="58">
        <f>IFERROR($AG225/$AG224-1,"")</f>
        <v/>
      </c>
      <c r="EM224" s="58">
        <f>IFERROR($BB224/$BB225-1,"")</f>
        <v/>
      </c>
      <c r="EN224" s="58">
        <f>IFERROR($BC224/$BC225-1,"")</f>
        <v/>
      </c>
      <c r="EO224" s="58">
        <f>IFERROR($BD224/$BD225-1,"")</f>
        <v/>
      </c>
      <c r="EP224" s="58">
        <f>IFERROR($BE224/$BE225-1,"")</f>
        <v/>
      </c>
      <c r="EQ224" s="58">
        <f>IFERROR($BF224/$BF225-1,"")</f>
        <v/>
      </c>
      <c r="ER224" s="58">
        <f>IFERROR($BG224/$BG225-1,"")</f>
        <v/>
      </c>
      <c r="ES224" s="58">
        <f>IFERROR($BH224/$BH225-1,"")</f>
        <v/>
      </c>
      <c r="ET224" s="58">
        <f>IFERROR($BI224/$BI225-1,"")</f>
        <v/>
      </c>
      <c r="EU224" s="58">
        <f>IFERROR($BJ224/$BJ225-1,"")</f>
        <v/>
      </c>
      <c r="EV224" s="58">
        <f>IFERROR($BK224/$BK225-1,"")</f>
        <v/>
      </c>
      <c r="EW224" s="58">
        <f>IFERROR($BL224/$BL225-1,"")</f>
        <v/>
      </c>
      <c r="EX224" s="58">
        <f>IFERROR($BM224/$BM225-1,"")</f>
        <v/>
      </c>
      <c r="EY224" s="58">
        <f>IFERROR($BN224/$BN225-1,"")</f>
        <v/>
      </c>
      <c r="EZ224" s="58">
        <f>IFERROR($BO224/$BO225-1,"")</f>
        <v/>
      </c>
      <c r="FA224" s="58">
        <f>IFERROR($BP224/$BP225-1,"")</f>
        <v/>
      </c>
      <c r="FB224" s="58">
        <f>IFERROR($BQ224/$BQ225-1,"")</f>
        <v/>
      </c>
      <c r="FC224" s="58">
        <f>IFERROR($BR224/$BR225-1,"")</f>
        <v/>
      </c>
      <c r="FD224" s="58">
        <f>IFERROR($BS224/$BS225-1,"")</f>
        <v/>
      </c>
      <c r="FE224" s="58">
        <f>IFERROR($BT224/$BT225-1,"")</f>
        <v/>
      </c>
      <c r="FF224" s="58">
        <f>IFERROR($BU224/$BU225-1,"")</f>
        <v/>
      </c>
      <c r="FG224" s="58">
        <f>IFERROR($BV224/$BV225-1,"")</f>
        <v/>
      </c>
      <c r="FH224" s="58">
        <f>IFERROR($BW224/$BW225-1,"")</f>
        <v/>
      </c>
      <c r="FI224" s="58">
        <f>IFERROR($BX224/$BX225-1,"")</f>
        <v/>
      </c>
      <c r="FJ224" s="59">
        <f>$BY224-$BY225</f>
        <v/>
      </c>
      <c r="FK224" s="59">
        <f>$BZ224-$BZ225</f>
        <v/>
      </c>
      <c r="FL224" s="59">
        <f>$CA224-$CA225</f>
        <v/>
      </c>
      <c r="FM224" s="59">
        <f>$CB224-$CB225</f>
        <v/>
      </c>
      <c r="FN224" s="59">
        <f>$CC224-$CC225</f>
        <v/>
      </c>
      <c r="FO224" s="59">
        <f>$CD224-$CD225</f>
        <v/>
      </c>
      <c r="FP224" s="59">
        <f>$CE224-$CE225</f>
        <v/>
      </c>
      <c r="FQ224" s="59">
        <f>$CF224-$CF225</f>
        <v/>
      </c>
      <c r="FR224" s="59">
        <f>$CG224-$CG225</f>
        <v/>
      </c>
      <c r="FS224" s="59">
        <f>$CH224-$CH225</f>
        <v/>
      </c>
      <c r="FT224" s="59">
        <f>$CI224-$CI225</f>
        <v/>
      </c>
      <c r="FU224" s="59">
        <f>$CJ224-$CJ225</f>
        <v/>
      </c>
      <c r="FV224" s="59">
        <f>$CK224-$CK225</f>
        <v/>
      </c>
      <c r="FW224" s="59">
        <f>$CL224-$CL225</f>
        <v/>
      </c>
      <c r="FX224" s="59">
        <f>$CM224-$CM225</f>
        <v/>
      </c>
      <c r="FY224" s="59">
        <f>$CN224-$CN225</f>
        <v/>
      </c>
      <c r="FZ224" s="59">
        <f>$CO224-$CO225</f>
        <v/>
      </c>
      <c r="GA224" s="59">
        <f>$CP224-$CP225</f>
        <v/>
      </c>
      <c r="GB224" s="59">
        <f>$CQ224-$CQ225</f>
        <v/>
      </c>
      <c r="GC224" s="59">
        <f>$CR224-$CR225</f>
        <v/>
      </c>
      <c r="GD224" s="59">
        <f>$CS224-$CS225</f>
        <v/>
      </c>
      <c r="GE224" s="59">
        <f>$CT224-$CT225</f>
        <v/>
      </c>
    </row>
    <row r="225">
      <c r="CU225" s="58">
        <f>IFERROR($B225/$B226-1,"")</f>
        <v/>
      </c>
      <c r="CV225" s="59">
        <f>($F225-$F226)*100</f>
        <v/>
      </c>
      <c r="CW225" s="59">
        <f>($E225-$E226)*100</f>
        <v/>
      </c>
      <c r="CX225" s="58">
        <f>IFERROR($K225/$K226-1,"")</f>
        <v/>
      </c>
      <c r="CY225" s="59">
        <f>($AH225-$AH226)*100</f>
        <v/>
      </c>
      <c r="CZ225" s="59">
        <f>($AI225-$AI226)*100</f>
        <v/>
      </c>
      <c r="DA225" s="59">
        <f>($AJ225-$AJ226)*100</f>
        <v/>
      </c>
      <c r="DB225" s="59">
        <f>($AK225-$AK226)*100</f>
        <v/>
      </c>
      <c r="DC225" s="59">
        <f>($AL225-$AL226)*100</f>
        <v/>
      </c>
      <c r="DD225" s="59">
        <f>($AM225-$AM226)*100</f>
        <v/>
      </c>
      <c r="DE225" s="59">
        <f>($AN225-$AN226)*100</f>
        <v/>
      </c>
      <c r="DF225" s="59">
        <f>($AO225-$AO226)*100</f>
        <v/>
      </c>
      <c r="DG225" s="59">
        <f>($AP225-$AP226)*100</f>
        <v/>
      </c>
      <c r="DH225" s="59">
        <f>($AQ225-$AQ226)*100</f>
        <v/>
      </c>
      <c r="DI225" s="59">
        <f>($AR225-$AR226)*100</f>
        <v/>
      </c>
      <c r="DJ225" s="59">
        <f>($AS225-$AS226)*100</f>
        <v/>
      </c>
      <c r="DK225" s="59">
        <f>($AT225-$AT226)*100</f>
        <v/>
      </c>
      <c r="DL225" s="59">
        <f>($AU225-$AU226)*100</f>
        <v/>
      </c>
      <c r="DM225" s="59">
        <f>($AV225-$AV226)*100</f>
        <v/>
      </c>
      <c r="DN225" s="59">
        <f>($AW225-$AW226)*100</f>
        <v/>
      </c>
      <c r="DO225" s="59">
        <f>($AX225-$AX226)*100</f>
        <v/>
      </c>
      <c r="DP225" s="59">
        <f>($AY225-$AY226)*100</f>
        <v/>
      </c>
      <c r="DQ225" s="59">
        <f>($AZ225-$AZ226)*100</f>
        <v/>
      </c>
      <c r="DR225" s="59">
        <f>($BA225-$BA226)*100</f>
        <v/>
      </c>
      <c r="DS225" s="58">
        <f>IFERROR($N226/$N225-1,"")</f>
        <v/>
      </c>
      <c r="DT225" s="58">
        <f>IFERROR($O226/$O225-1,"")</f>
        <v/>
      </c>
      <c r="DU225" s="58">
        <f>IFERROR($P226/$P225-1,"")</f>
        <v/>
      </c>
      <c r="DV225" s="58">
        <f>IFERROR($Q226/$Q225-1,"")</f>
        <v/>
      </c>
      <c r="DW225" s="58">
        <f>IFERROR($R226/$R225-1,"")</f>
        <v/>
      </c>
      <c r="DX225" s="58">
        <f>IFERROR($S226/$S225-1,"")</f>
        <v/>
      </c>
      <c r="DY225" s="58">
        <f>IFERROR($T226/$T225-1,"")</f>
        <v/>
      </c>
      <c r="DZ225" s="58">
        <f>IFERROR($U226/$U225-1,"")</f>
        <v/>
      </c>
      <c r="EA225" s="58">
        <f>IFERROR($V226/$V225-1,"")</f>
        <v/>
      </c>
      <c r="EB225" s="58">
        <f>IFERROR($W226/$W225-1,"")</f>
        <v/>
      </c>
      <c r="EC225" s="58">
        <f>IFERROR($X226/$X225-1,"")</f>
        <v/>
      </c>
      <c r="ED225" s="58">
        <f>IFERROR($Y226/$Y225-1,"")</f>
        <v/>
      </c>
      <c r="EE225" s="58">
        <f>IFERROR($Z226/$Z225-1,"")</f>
        <v/>
      </c>
      <c r="EF225" s="58">
        <f>IFERROR($AA226/$AA225-1,"")</f>
        <v/>
      </c>
      <c r="EG225" s="58">
        <f>IFERROR($AB226/$AB225-1,"")</f>
        <v/>
      </c>
      <c r="EH225" s="58">
        <f>IFERROR($AC226/$AC225-1,"")</f>
        <v/>
      </c>
      <c r="EI225" s="58">
        <f>IFERROR($AD226/$AD225-1,"")</f>
        <v/>
      </c>
      <c r="EJ225" s="58">
        <f>IFERROR($AE226/$AE225-1,"")</f>
        <v/>
      </c>
      <c r="EK225" s="58">
        <f>IFERROR($AF226/$AF225-1,"")</f>
        <v/>
      </c>
      <c r="EL225" s="58">
        <f>IFERROR($AG226/$AG225-1,"")</f>
        <v/>
      </c>
      <c r="EM225" s="58">
        <f>IFERROR($BB225/$BB226-1,"")</f>
        <v/>
      </c>
      <c r="EN225" s="58">
        <f>IFERROR($BC225/$BC226-1,"")</f>
        <v/>
      </c>
      <c r="EO225" s="58">
        <f>IFERROR($BD225/$BD226-1,"")</f>
        <v/>
      </c>
      <c r="EP225" s="58">
        <f>IFERROR($BE225/$BE226-1,"")</f>
        <v/>
      </c>
      <c r="EQ225" s="58">
        <f>IFERROR($BF225/$BF226-1,"")</f>
        <v/>
      </c>
      <c r="ER225" s="58">
        <f>IFERROR($BG225/$BG226-1,"")</f>
        <v/>
      </c>
      <c r="ES225" s="58">
        <f>IFERROR($BH225/$BH226-1,"")</f>
        <v/>
      </c>
      <c r="ET225" s="58">
        <f>IFERROR($BI225/$BI226-1,"")</f>
        <v/>
      </c>
      <c r="EU225" s="58">
        <f>IFERROR($BJ225/$BJ226-1,"")</f>
        <v/>
      </c>
      <c r="EV225" s="58">
        <f>IFERROR($BK225/$BK226-1,"")</f>
        <v/>
      </c>
      <c r="EW225" s="58">
        <f>IFERROR($BL225/$BL226-1,"")</f>
        <v/>
      </c>
      <c r="EX225" s="58">
        <f>IFERROR($BM225/$BM226-1,"")</f>
        <v/>
      </c>
      <c r="EY225" s="58">
        <f>IFERROR($BN225/$BN226-1,"")</f>
        <v/>
      </c>
      <c r="EZ225" s="58">
        <f>IFERROR($BO225/$BO226-1,"")</f>
        <v/>
      </c>
      <c r="FA225" s="58">
        <f>IFERROR($BP225/$BP226-1,"")</f>
        <v/>
      </c>
      <c r="FB225" s="58">
        <f>IFERROR($BQ225/$BQ226-1,"")</f>
        <v/>
      </c>
      <c r="FC225" s="58">
        <f>IFERROR($BR225/$BR226-1,"")</f>
        <v/>
      </c>
      <c r="FD225" s="58">
        <f>IFERROR($BS225/$BS226-1,"")</f>
        <v/>
      </c>
      <c r="FE225" s="58">
        <f>IFERROR($BT225/$BT226-1,"")</f>
        <v/>
      </c>
      <c r="FF225" s="58">
        <f>IFERROR($BU225/$BU226-1,"")</f>
        <v/>
      </c>
      <c r="FG225" s="58">
        <f>IFERROR($BV225/$BV226-1,"")</f>
        <v/>
      </c>
      <c r="FH225" s="58">
        <f>IFERROR($BW225/$BW226-1,"")</f>
        <v/>
      </c>
      <c r="FI225" s="58">
        <f>IFERROR($BX225/$BX226-1,"")</f>
        <v/>
      </c>
      <c r="FJ225" s="59">
        <f>$BY225-$BY226</f>
        <v/>
      </c>
      <c r="FK225" s="59">
        <f>$BZ225-$BZ226</f>
        <v/>
      </c>
      <c r="FL225" s="59">
        <f>$CA225-$CA226</f>
        <v/>
      </c>
      <c r="FM225" s="59">
        <f>$CB225-$CB226</f>
        <v/>
      </c>
      <c r="FN225" s="59">
        <f>$CC225-$CC226</f>
        <v/>
      </c>
      <c r="FO225" s="59">
        <f>$CD225-$CD226</f>
        <v/>
      </c>
      <c r="FP225" s="59">
        <f>$CE225-$CE226</f>
        <v/>
      </c>
      <c r="FQ225" s="59">
        <f>$CF225-$CF226</f>
        <v/>
      </c>
      <c r="FR225" s="59">
        <f>$CG225-$CG226</f>
        <v/>
      </c>
      <c r="FS225" s="59">
        <f>$CH225-$CH226</f>
        <v/>
      </c>
      <c r="FT225" s="59">
        <f>$CI225-$CI226</f>
        <v/>
      </c>
      <c r="FU225" s="59">
        <f>$CJ225-$CJ226</f>
        <v/>
      </c>
      <c r="FV225" s="59">
        <f>$CK225-$CK226</f>
        <v/>
      </c>
      <c r="FW225" s="59">
        <f>$CL225-$CL226</f>
        <v/>
      </c>
      <c r="FX225" s="59">
        <f>$CM225-$CM226</f>
        <v/>
      </c>
      <c r="FY225" s="59">
        <f>$CN225-$CN226</f>
        <v/>
      </c>
      <c r="FZ225" s="59">
        <f>$CO225-$CO226</f>
        <v/>
      </c>
      <c r="GA225" s="59">
        <f>$CP225-$CP226</f>
        <v/>
      </c>
      <c r="GB225" s="59">
        <f>$CQ225-$CQ226</f>
        <v/>
      </c>
      <c r="GC225" s="59">
        <f>$CR225-$CR226</f>
        <v/>
      </c>
      <c r="GD225" s="59">
        <f>$CS225-$CS226</f>
        <v/>
      </c>
      <c r="GE225" s="59">
        <f>$CT225-$CT226</f>
        <v/>
      </c>
    </row>
    <row r="226">
      <c r="CU226" s="58">
        <f>IFERROR($B226/$B227-1,"")</f>
        <v/>
      </c>
      <c r="CV226" s="59">
        <f>($F226-$F227)*100</f>
        <v/>
      </c>
      <c r="CW226" s="59">
        <f>($E226-$E227)*100</f>
        <v/>
      </c>
      <c r="CX226" s="58">
        <f>IFERROR($K226/$K227-1,"")</f>
        <v/>
      </c>
      <c r="CY226" s="59">
        <f>($AH226-$AH227)*100</f>
        <v/>
      </c>
      <c r="CZ226" s="59">
        <f>($AI226-$AI227)*100</f>
        <v/>
      </c>
      <c r="DA226" s="59">
        <f>($AJ226-$AJ227)*100</f>
        <v/>
      </c>
      <c r="DB226" s="59">
        <f>($AK226-$AK227)*100</f>
        <v/>
      </c>
      <c r="DC226" s="59">
        <f>($AL226-$AL227)*100</f>
        <v/>
      </c>
      <c r="DD226" s="59">
        <f>($AM226-$AM227)*100</f>
        <v/>
      </c>
      <c r="DE226" s="59">
        <f>($AN226-$AN227)*100</f>
        <v/>
      </c>
      <c r="DF226" s="59">
        <f>($AO226-$AO227)*100</f>
        <v/>
      </c>
      <c r="DG226" s="59">
        <f>($AP226-$AP227)*100</f>
        <v/>
      </c>
      <c r="DH226" s="59">
        <f>($AQ226-$AQ227)*100</f>
        <v/>
      </c>
      <c r="DI226" s="59">
        <f>($AR226-$AR227)*100</f>
        <v/>
      </c>
      <c r="DJ226" s="59">
        <f>($AS226-$AS227)*100</f>
        <v/>
      </c>
      <c r="DK226" s="59">
        <f>($AT226-$AT227)*100</f>
        <v/>
      </c>
      <c r="DL226" s="59">
        <f>($AU226-$AU227)*100</f>
        <v/>
      </c>
      <c r="DM226" s="59">
        <f>($AV226-$AV227)*100</f>
        <v/>
      </c>
      <c r="DN226" s="59">
        <f>($AW226-$AW227)*100</f>
        <v/>
      </c>
      <c r="DO226" s="59">
        <f>($AX226-$AX227)*100</f>
        <v/>
      </c>
      <c r="DP226" s="59">
        <f>($AY226-$AY227)*100</f>
        <v/>
      </c>
      <c r="DQ226" s="59">
        <f>($AZ226-$AZ227)*100</f>
        <v/>
      </c>
      <c r="DR226" s="59">
        <f>($BA226-$BA227)*100</f>
        <v/>
      </c>
      <c r="DS226" s="58">
        <f>IFERROR($N227/$N226-1,"")</f>
        <v/>
      </c>
      <c r="DT226" s="58">
        <f>IFERROR($O227/$O226-1,"")</f>
        <v/>
      </c>
      <c r="DU226" s="58">
        <f>IFERROR($P227/$P226-1,"")</f>
        <v/>
      </c>
      <c r="DV226" s="58">
        <f>IFERROR($Q227/$Q226-1,"")</f>
        <v/>
      </c>
      <c r="DW226" s="58">
        <f>IFERROR($R227/$R226-1,"")</f>
        <v/>
      </c>
      <c r="DX226" s="58">
        <f>IFERROR($S227/$S226-1,"")</f>
        <v/>
      </c>
      <c r="DY226" s="58">
        <f>IFERROR($T227/$T226-1,"")</f>
        <v/>
      </c>
      <c r="DZ226" s="58">
        <f>IFERROR($U227/$U226-1,"")</f>
        <v/>
      </c>
      <c r="EA226" s="58">
        <f>IFERROR($V227/$V226-1,"")</f>
        <v/>
      </c>
      <c r="EB226" s="58">
        <f>IFERROR($W227/$W226-1,"")</f>
        <v/>
      </c>
      <c r="EC226" s="58">
        <f>IFERROR($X227/$X226-1,"")</f>
        <v/>
      </c>
      <c r="ED226" s="58">
        <f>IFERROR($Y227/$Y226-1,"")</f>
        <v/>
      </c>
      <c r="EE226" s="58">
        <f>IFERROR($Z227/$Z226-1,"")</f>
        <v/>
      </c>
      <c r="EF226" s="58">
        <f>IFERROR($AA227/$AA226-1,"")</f>
        <v/>
      </c>
      <c r="EG226" s="58">
        <f>IFERROR($AB227/$AB226-1,"")</f>
        <v/>
      </c>
      <c r="EH226" s="58">
        <f>IFERROR($AC227/$AC226-1,"")</f>
        <v/>
      </c>
      <c r="EI226" s="58">
        <f>IFERROR($AD227/$AD226-1,"")</f>
        <v/>
      </c>
      <c r="EJ226" s="58">
        <f>IFERROR($AE227/$AE226-1,"")</f>
        <v/>
      </c>
      <c r="EK226" s="58">
        <f>IFERROR($AF227/$AF226-1,"")</f>
        <v/>
      </c>
      <c r="EL226" s="58">
        <f>IFERROR($AG227/$AG226-1,"")</f>
        <v/>
      </c>
      <c r="EM226" s="58">
        <f>IFERROR($BB226/$BB227-1,"")</f>
        <v/>
      </c>
      <c r="EN226" s="58">
        <f>IFERROR($BC226/$BC227-1,"")</f>
        <v/>
      </c>
      <c r="EO226" s="58">
        <f>IFERROR($BD226/$BD227-1,"")</f>
        <v/>
      </c>
      <c r="EP226" s="58">
        <f>IFERROR($BE226/$BE227-1,"")</f>
        <v/>
      </c>
      <c r="EQ226" s="58">
        <f>IFERROR($BF226/$BF227-1,"")</f>
        <v/>
      </c>
      <c r="ER226" s="58">
        <f>IFERROR($BG226/$BG227-1,"")</f>
        <v/>
      </c>
      <c r="ES226" s="58">
        <f>IFERROR($BH226/$BH227-1,"")</f>
        <v/>
      </c>
      <c r="ET226" s="58">
        <f>IFERROR($BI226/$BI227-1,"")</f>
        <v/>
      </c>
      <c r="EU226" s="58">
        <f>IFERROR($BJ226/$BJ227-1,"")</f>
        <v/>
      </c>
      <c r="EV226" s="58">
        <f>IFERROR($BK226/$BK227-1,"")</f>
        <v/>
      </c>
      <c r="EW226" s="58">
        <f>IFERROR($BL226/$BL227-1,"")</f>
        <v/>
      </c>
      <c r="EX226" s="58">
        <f>IFERROR($BM226/$BM227-1,"")</f>
        <v/>
      </c>
      <c r="EY226" s="58">
        <f>IFERROR($BN226/$BN227-1,"")</f>
        <v/>
      </c>
      <c r="EZ226" s="58">
        <f>IFERROR($BO226/$BO227-1,"")</f>
        <v/>
      </c>
      <c r="FA226" s="58">
        <f>IFERROR($BP226/$BP227-1,"")</f>
        <v/>
      </c>
      <c r="FB226" s="58">
        <f>IFERROR($BQ226/$BQ227-1,"")</f>
        <v/>
      </c>
      <c r="FC226" s="58">
        <f>IFERROR($BR226/$BR227-1,"")</f>
        <v/>
      </c>
      <c r="FD226" s="58">
        <f>IFERROR($BS226/$BS227-1,"")</f>
        <v/>
      </c>
      <c r="FE226" s="58">
        <f>IFERROR($BT226/$BT227-1,"")</f>
        <v/>
      </c>
      <c r="FF226" s="58">
        <f>IFERROR($BU226/$BU227-1,"")</f>
        <v/>
      </c>
      <c r="FG226" s="58">
        <f>IFERROR($BV226/$BV227-1,"")</f>
        <v/>
      </c>
      <c r="FH226" s="58">
        <f>IFERROR($BW226/$BW227-1,"")</f>
        <v/>
      </c>
      <c r="FI226" s="58">
        <f>IFERROR($BX226/$BX227-1,"")</f>
        <v/>
      </c>
      <c r="FJ226" s="59">
        <f>$BY226-$BY227</f>
        <v/>
      </c>
      <c r="FK226" s="59">
        <f>$BZ226-$BZ227</f>
        <v/>
      </c>
      <c r="FL226" s="59">
        <f>$CA226-$CA227</f>
        <v/>
      </c>
      <c r="FM226" s="59">
        <f>$CB226-$CB227</f>
        <v/>
      </c>
      <c r="FN226" s="59">
        <f>$CC226-$CC227</f>
        <v/>
      </c>
      <c r="FO226" s="59">
        <f>$CD226-$CD227</f>
        <v/>
      </c>
      <c r="FP226" s="59">
        <f>$CE226-$CE227</f>
        <v/>
      </c>
      <c r="FQ226" s="59">
        <f>$CF226-$CF227</f>
        <v/>
      </c>
      <c r="FR226" s="59">
        <f>$CG226-$CG227</f>
        <v/>
      </c>
      <c r="FS226" s="59">
        <f>$CH226-$CH227</f>
        <v/>
      </c>
      <c r="FT226" s="59">
        <f>$CI226-$CI227</f>
        <v/>
      </c>
      <c r="FU226" s="59">
        <f>$CJ226-$CJ227</f>
        <v/>
      </c>
      <c r="FV226" s="59">
        <f>$CK226-$CK227</f>
        <v/>
      </c>
      <c r="FW226" s="59">
        <f>$CL226-$CL227</f>
        <v/>
      </c>
      <c r="FX226" s="59">
        <f>$CM226-$CM227</f>
        <v/>
      </c>
      <c r="FY226" s="59">
        <f>$CN226-$CN227</f>
        <v/>
      </c>
      <c r="FZ226" s="59">
        <f>$CO226-$CO227</f>
        <v/>
      </c>
      <c r="GA226" s="59">
        <f>$CP226-$CP227</f>
        <v/>
      </c>
      <c r="GB226" s="59">
        <f>$CQ226-$CQ227</f>
        <v/>
      </c>
      <c r="GC226" s="59">
        <f>$CR226-$CR227</f>
        <v/>
      </c>
      <c r="GD226" s="59">
        <f>$CS226-$CS227</f>
        <v/>
      </c>
      <c r="GE226" s="59">
        <f>$CT226-$CT227</f>
        <v/>
      </c>
    </row>
    <row r="227">
      <c r="CU227" s="58">
        <f>IFERROR($B227/$B228-1,"")</f>
        <v/>
      </c>
      <c r="CV227" s="59">
        <f>($F227-$F228)*100</f>
        <v/>
      </c>
      <c r="CW227" s="59">
        <f>($E227-$E228)*100</f>
        <v/>
      </c>
      <c r="CX227" s="58">
        <f>IFERROR($K227/$K228-1,"")</f>
        <v/>
      </c>
      <c r="CY227" s="59">
        <f>($AH227-$AH228)*100</f>
        <v/>
      </c>
      <c r="CZ227" s="59">
        <f>($AI227-$AI228)*100</f>
        <v/>
      </c>
      <c r="DA227" s="59">
        <f>($AJ227-$AJ228)*100</f>
        <v/>
      </c>
      <c r="DB227" s="59">
        <f>($AK227-$AK228)*100</f>
        <v/>
      </c>
      <c r="DC227" s="59">
        <f>($AL227-$AL228)*100</f>
        <v/>
      </c>
      <c r="DD227" s="59">
        <f>($AM227-$AM228)*100</f>
        <v/>
      </c>
      <c r="DE227" s="59">
        <f>($AN227-$AN228)*100</f>
        <v/>
      </c>
      <c r="DF227" s="59">
        <f>($AO227-$AO228)*100</f>
        <v/>
      </c>
      <c r="DG227" s="59">
        <f>($AP227-$AP228)*100</f>
        <v/>
      </c>
      <c r="DH227" s="59">
        <f>($AQ227-$AQ228)*100</f>
        <v/>
      </c>
      <c r="DI227" s="59">
        <f>($AR227-$AR228)*100</f>
        <v/>
      </c>
      <c r="DJ227" s="59">
        <f>($AS227-$AS228)*100</f>
        <v/>
      </c>
      <c r="DK227" s="59">
        <f>($AT227-$AT228)*100</f>
        <v/>
      </c>
      <c r="DL227" s="59">
        <f>($AU227-$AU228)*100</f>
        <v/>
      </c>
      <c r="DM227" s="59">
        <f>($AV227-$AV228)*100</f>
        <v/>
      </c>
      <c r="DN227" s="59">
        <f>($AW227-$AW228)*100</f>
        <v/>
      </c>
      <c r="DO227" s="59">
        <f>($AX227-$AX228)*100</f>
        <v/>
      </c>
      <c r="DP227" s="59">
        <f>($AY227-$AY228)*100</f>
        <v/>
      </c>
      <c r="DQ227" s="59">
        <f>($AZ227-$AZ228)*100</f>
        <v/>
      </c>
      <c r="DR227" s="59">
        <f>($BA227-$BA228)*100</f>
        <v/>
      </c>
      <c r="DS227" s="58">
        <f>IFERROR($N228/$N227-1,"")</f>
        <v/>
      </c>
      <c r="DT227" s="58">
        <f>IFERROR($O228/$O227-1,"")</f>
        <v/>
      </c>
      <c r="DU227" s="58">
        <f>IFERROR($P228/$P227-1,"")</f>
        <v/>
      </c>
      <c r="DV227" s="58">
        <f>IFERROR($Q228/$Q227-1,"")</f>
        <v/>
      </c>
      <c r="DW227" s="58">
        <f>IFERROR($R228/$R227-1,"")</f>
        <v/>
      </c>
      <c r="DX227" s="58">
        <f>IFERROR($S228/$S227-1,"")</f>
        <v/>
      </c>
      <c r="DY227" s="58">
        <f>IFERROR($T228/$T227-1,"")</f>
        <v/>
      </c>
      <c r="DZ227" s="58">
        <f>IFERROR($U228/$U227-1,"")</f>
        <v/>
      </c>
      <c r="EA227" s="58">
        <f>IFERROR($V228/$V227-1,"")</f>
        <v/>
      </c>
      <c r="EB227" s="58">
        <f>IFERROR($W228/$W227-1,"")</f>
        <v/>
      </c>
      <c r="EC227" s="58">
        <f>IFERROR($X228/$X227-1,"")</f>
        <v/>
      </c>
      <c r="ED227" s="58">
        <f>IFERROR($Y228/$Y227-1,"")</f>
        <v/>
      </c>
      <c r="EE227" s="58">
        <f>IFERROR($Z228/$Z227-1,"")</f>
        <v/>
      </c>
      <c r="EF227" s="58">
        <f>IFERROR($AA228/$AA227-1,"")</f>
        <v/>
      </c>
      <c r="EG227" s="58">
        <f>IFERROR($AB228/$AB227-1,"")</f>
        <v/>
      </c>
      <c r="EH227" s="58">
        <f>IFERROR($AC228/$AC227-1,"")</f>
        <v/>
      </c>
      <c r="EI227" s="58">
        <f>IFERROR($AD228/$AD227-1,"")</f>
        <v/>
      </c>
      <c r="EJ227" s="58">
        <f>IFERROR($AE228/$AE227-1,"")</f>
        <v/>
      </c>
      <c r="EK227" s="58">
        <f>IFERROR($AF228/$AF227-1,"")</f>
        <v/>
      </c>
      <c r="EL227" s="58">
        <f>IFERROR($AG228/$AG227-1,"")</f>
        <v/>
      </c>
      <c r="EM227" s="58">
        <f>IFERROR($BB227/$BB228-1,"")</f>
        <v/>
      </c>
      <c r="EN227" s="58">
        <f>IFERROR($BC227/$BC228-1,"")</f>
        <v/>
      </c>
      <c r="EO227" s="58">
        <f>IFERROR($BD227/$BD228-1,"")</f>
        <v/>
      </c>
      <c r="EP227" s="58">
        <f>IFERROR($BE227/$BE228-1,"")</f>
        <v/>
      </c>
      <c r="EQ227" s="58">
        <f>IFERROR($BF227/$BF228-1,"")</f>
        <v/>
      </c>
      <c r="ER227" s="58">
        <f>IFERROR($BG227/$BG228-1,"")</f>
        <v/>
      </c>
      <c r="ES227" s="58">
        <f>IFERROR($BH227/$BH228-1,"")</f>
        <v/>
      </c>
      <c r="ET227" s="58">
        <f>IFERROR($BI227/$BI228-1,"")</f>
        <v/>
      </c>
      <c r="EU227" s="58">
        <f>IFERROR($BJ227/$BJ228-1,"")</f>
        <v/>
      </c>
      <c r="EV227" s="58">
        <f>IFERROR($BK227/$BK228-1,"")</f>
        <v/>
      </c>
      <c r="EW227" s="58">
        <f>IFERROR($BL227/$BL228-1,"")</f>
        <v/>
      </c>
      <c r="EX227" s="58">
        <f>IFERROR($BM227/$BM228-1,"")</f>
        <v/>
      </c>
      <c r="EY227" s="58">
        <f>IFERROR($BN227/$BN228-1,"")</f>
        <v/>
      </c>
      <c r="EZ227" s="58">
        <f>IFERROR($BO227/$BO228-1,"")</f>
        <v/>
      </c>
      <c r="FA227" s="58">
        <f>IFERROR($BP227/$BP228-1,"")</f>
        <v/>
      </c>
      <c r="FB227" s="58">
        <f>IFERROR($BQ227/$BQ228-1,"")</f>
        <v/>
      </c>
      <c r="FC227" s="58">
        <f>IFERROR($BR227/$BR228-1,"")</f>
        <v/>
      </c>
      <c r="FD227" s="58">
        <f>IFERROR($BS227/$BS228-1,"")</f>
        <v/>
      </c>
      <c r="FE227" s="58">
        <f>IFERROR($BT227/$BT228-1,"")</f>
        <v/>
      </c>
      <c r="FF227" s="58">
        <f>IFERROR($BU227/$BU228-1,"")</f>
        <v/>
      </c>
      <c r="FG227" s="58">
        <f>IFERROR($BV227/$BV228-1,"")</f>
        <v/>
      </c>
      <c r="FH227" s="58">
        <f>IFERROR($BW227/$BW228-1,"")</f>
        <v/>
      </c>
      <c r="FI227" s="58">
        <f>IFERROR($BX227/$BX228-1,"")</f>
        <v/>
      </c>
      <c r="FJ227" s="59">
        <f>$BY227-$BY228</f>
        <v/>
      </c>
      <c r="FK227" s="59">
        <f>$BZ227-$BZ228</f>
        <v/>
      </c>
      <c r="FL227" s="59">
        <f>$CA227-$CA228</f>
        <v/>
      </c>
      <c r="FM227" s="59">
        <f>$CB227-$CB228</f>
        <v/>
      </c>
      <c r="FN227" s="59">
        <f>$CC227-$CC228</f>
        <v/>
      </c>
      <c r="FO227" s="59">
        <f>$CD227-$CD228</f>
        <v/>
      </c>
      <c r="FP227" s="59">
        <f>$CE227-$CE228</f>
        <v/>
      </c>
      <c r="FQ227" s="59">
        <f>$CF227-$CF228</f>
        <v/>
      </c>
      <c r="FR227" s="59">
        <f>$CG227-$CG228</f>
        <v/>
      </c>
      <c r="FS227" s="59">
        <f>$CH227-$CH228</f>
        <v/>
      </c>
      <c r="FT227" s="59">
        <f>$CI227-$CI228</f>
        <v/>
      </c>
      <c r="FU227" s="59">
        <f>$CJ227-$CJ228</f>
        <v/>
      </c>
      <c r="FV227" s="59">
        <f>$CK227-$CK228</f>
        <v/>
      </c>
      <c r="FW227" s="59">
        <f>$CL227-$CL228</f>
        <v/>
      </c>
      <c r="FX227" s="59">
        <f>$CM227-$CM228</f>
        <v/>
      </c>
      <c r="FY227" s="59">
        <f>$CN227-$CN228</f>
        <v/>
      </c>
      <c r="FZ227" s="59">
        <f>$CO227-$CO228</f>
        <v/>
      </c>
      <c r="GA227" s="59">
        <f>$CP227-$CP228</f>
        <v/>
      </c>
      <c r="GB227" s="59">
        <f>$CQ227-$CQ228</f>
        <v/>
      </c>
      <c r="GC227" s="59">
        <f>$CR227-$CR228</f>
        <v/>
      </c>
      <c r="GD227" s="59">
        <f>$CS227-$CS228</f>
        <v/>
      </c>
      <c r="GE227" s="59">
        <f>$CT227-$CT228</f>
        <v/>
      </c>
    </row>
    <row r="228">
      <c r="CU228" s="58">
        <f>IFERROR($B228/$B229-1,"")</f>
        <v/>
      </c>
      <c r="CV228" s="59">
        <f>($F228-$F229)*100</f>
        <v/>
      </c>
      <c r="CW228" s="59">
        <f>($E228-$E229)*100</f>
        <v/>
      </c>
      <c r="CX228" s="58">
        <f>IFERROR($K228/$K229-1,"")</f>
        <v/>
      </c>
      <c r="CY228" s="59">
        <f>($AH228-$AH229)*100</f>
        <v/>
      </c>
      <c r="CZ228" s="59">
        <f>($AI228-$AI229)*100</f>
        <v/>
      </c>
      <c r="DA228" s="59">
        <f>($AJ228-$AJ229)*100</f>
        <v/>
      </c>
      <c r="DB228" s="59">
        <f>($AK228-$AK229)*100</f>
        <v/>
      </c>
      <c r="DC228" s="59">
        <f>($AL228-$AL229)*100</f>
        <v/>
      </c>
      <c r="DD228" s="59">
        <f>($AM228-$AM229)*100</f>
        <v/>
      </c>
      <c r="DE228" s="59">
        <f>($AN228-$AN229)*100</f>
        <v/>
      </c>
      <c r="DF228" s="59">
        <f>($AO228-$AO229)*100</f>
        <v/>
      </c>
      <c r="DG228" s="59">
        <f>($AP228-$AP229)*100</f>
        <v/>
      </c>
      <c r="DH228" s="59">
        <f>($AQ228-$AQ229)*100</f>
        <v/>
      </c>
      <c r="DI228" s="59">
        <f>($AR228-$AR229)*100</f>
        <v/>
      </c>
      <c r="DJ228" s="59">
        <f>($AS228-$AS229)*100</f>
        <v/>
      </c>
      <c r="DK228" s="59">
        <f>($AT228-$AT229)*100</f>
        <v/>
      </c>
      <c r="DL228" s="59">
        <f>($AU228-$AU229)*100</f>
        <v/>
      </c>
      <c r="DM228" s="59">
        <f>($AV228-$AV229)*100</f>
        <v/>
      </c>
      <c r="DN228" s="59">
        <f>($AW228-$AW229)*100</f>
        <v/>
      </c>
      <c r="DO228" s="59">
        <f>($AX228-$AX229)*100</f>
        <v/>
      </c>
      <c r="DP228" s="59">
        <f>($AY228-$AY229)*100</f>
        <v/>
      </c>
      <c r="DQ228" s="59">
        <f>($AZ228-$AZ229)*100</f>
        <v/>
      </c>
      <c r="DR228" s="59">
        <f>($BA228-$BA229)*100</f>
        <v/>
      </c>
      <c r="DS228" s="58">
        <f>IFERROR($N229/$N228-1,"")</f>
        <v/>
      </c>
      <c r="DT228" s="58">
        <f>IFERROR($O229/$O228-1,"")</f>
        <v/>
      </c>
      <c r="DU228" s="58">
        <f>IFERROR($P229/$P228-1,"")</f>
        <v/>
      </c>
      <c r="DV228" s="58">
        <f>IFERROR($Q229/$Q228-1,"")</f>
        <v/>
      </c>
      <c r="DW228" s="58">
        <f>IFERROR($R229/$R228-1,"")</f>
        <v/>
      </c>
      <c r="DX228" s="58">
        <f>IFERROR($S229/$S228-1,"")</f>
        <v/>
      </c>
      <c r="DY228" s="58">
        <f>IFERROR($T229/$T228-1,"")</f>
        <v/>
      </c>
      <c r="DZ228" s="58">
        <f>IFERROR($U229/$U228-1,"")</f>
        <v/>
      </c>
      <c r="EA228" s="58">
        <f>IFERROR($V229/$V228-1,"")</f>
        <v/>
      </c>
      <c r="EB228" s="58">
        <f>IFERROR($W229/$W228-1,"")</f>
        <v/>
      </c>
      <c r="EC228" s="58">
        <f>IFERROR($X229/$X228-1,"")</f>
        <v/>
      </c>
      <c r="ED228" s="58">
        <f>IFERROR($Y229/$Y228-1,"")</f>
        <v/>
      </c>
      <c r="EE228" s="58">
        <f>IFERROR($Z229/$Z228-1,"")</f>
        <v/>
      </c>
      <c r="EF228" s="58">
        <f>IFERROR($AA229/$AA228-1,"")</f>
        <v/>
      </c>
      <c r="EG228" s="58">
        <f>IFERROR($AB229/$AB228-1,"")</f>
        <v/>
      </c>
      <c r="EH228" s="58">
        <f>IFERROR($AC229/$AC228-1,"")</f>
        <v/>
      </c>
      <c r="EI228" s="58">
        <f>IFERROR($AD229/$AD228-1,"")</f>
        <v/>
      </c>
      <c r="EJ228" s="58">
        <f>IFERROR($AE229/$AE228-1,"")</f>
        <v/>
      </c>
      <c r="EK228" s="58">
        <f>IFERROR($AF229/$AF228-1,"")</f>
        <v/>
      </c>
      <c r="EL228" s="58">
        <f>IFERROR($AG229/$AG228-1,"")</f>
        <v/>
      </c>
      <c r="EM228" s="58">
        <f>IFERROR($BB228/$BB229-1,"")</f>
        <v/>
      </c>
      <c r="EN228" s="58">
        <f>IFERROR($BC228/$BC229-1,"")</f>
        <v/>
      </c>
      <c r="EO228" s="58">
        <f>IFERROR($BD228/$BD229-1,"")</f>
        <v/>
      </c>
      <c r="EP228" s="58">
        <f>IFERROR($BE228/$BE229-1,"")</f>
        <v/>
      </c>
      <c r="EQ228" s="58">
        <f>IFERROR($BF228/$BF229-1,"")</f>
        <v/>
      </c>
      <c r="ER228" s="58">
        <f>IFERROR($BG228/$BG229-1,"")</f>
        <v/>
      </c>
      <c r="ES228" s="58">
        <f>IFERROR($BH228/$BH229-1,"")</f>
        <v/>
      </c>
      <c r="ET228" s="58">
        <f>IFERROR($BI228/$BI229-1,"")</f>
        <v/>
      </c>
      <c r="EU228" s="58">
        <f>IFERROR($BJ228/$BJ229-1,"")</f>
        <v/>
      </c>
      <c r="EV228" s="58">
        <f>IFERROR($BK228/$BK229-1,"")</f>
        <v/>
      </c>
      <c r="EW228" s="58">
        <f>IFERROR($BL228/$BL229-1,"")</f>
        <v/>
      </c>
      <c r="EX228" s="58">
        <f>IFERROR($BM228/$BM229-1,"")</f>
        <v/>
      </c>
      <c r="EY228" s="58">
        <f>IFERROR($BN228/$BN229-1,"")</f>
        <v/>
      </c>
      <c r="EZ228" s="58">
        <f>IFERROR($BO228/$BO229-1,"")</f>
        <v/>
      </c>
      <c r="FA228" s="58">
        <f>IFERROR($BP228/$BP229-1,"")</f>
        <v/>
      </c>
      <c r="FB228" s="58">
        <f>IFERROR($BQ228/$BQ229-1,"")</f>
        <v/>
      </c>
      <c r="FC228" s="58">
        <f>IFERROR($BR228/$BR229-1,"")</f>
        <v/>
      </c>
      <c r="FD228" s="58">
        <f>IFERROR($BS228/$BS229-1,"")</f>
        <v/>
      </c>
      <c r="FE228" s="58">
        <f>IFERROR($BT228/$BT229-1,"")</f>
        <v/>
      </c>
      <c r="FF228" s="58">
        <f>IFERROR($BU228/$BU229-1,"")</f>
        <v/>
      </c>
      <c r="FG228" s="58">
        <f>IFERROR($BV228/$BV229-1,"")</f>
        <v/>
      </c>
      <c r="FH228" s="58">
        <f>IFERROR($BW228/$BW229-1,"")</f>
        <v/>
      </c>
      <c r="FI228" s="58">
        <f>IFERROR($BX228/$BX229-1,"")</f>
        <v/>
      </c>
      <c r="FJ228" s="59">
        <f>$BY228-$BY229</f>
        <v/>
      </c>
      <c r="FK228" s="59">
        <f>$BZ228-$BZ229</f>
        <v/>
      </c>
      <c r="FL228" s="59">
        <f>$CA228-$CA229</f>
        <v/>
      </c>
      <c r="FM228" s="59">
        <f>$CB228-$CB229</f>
        <v/>
      </c>
      <c r="FN228" s="59">
        <f>$CC228-$CC229</f>
        <v/>
      </c>
      <c r="FO228" s="59">
        <f>$CD228-$CD229</f>
        <v/>
      </c>
      <c r="FP228" s="59">
        <f>$CE228-$CE229</f>
        <v/>
      </c>
      <c r="FQ228" s="59">
        <f>$CF228-$CF229</f>
        <v/>
      </c>
      <c r="FR228" s="59">
        <f>$CG228-$CG229</f>
        <v/>
      </c>
      <c r="FS228" s="59">
        <f>$CH228-$CH229</f>
        <v/>
      </c>
      <c r="FT228" s="59">
        <f>$CI228-$CI229</f>
        <v/>
      </c>
      <c r="FU228" s="59">
        <f>$CJ228-$CJ229</f>
        <v/>
      </c>
      <c r="FV228" s="59">
        <f>$CK228-$CK229</f>
        <v/>
      </c>
      <c r="FW228" s="59">
        <f>$CL228-$CL229</f>
        <v/>
      </c>
      <c r="FX228" s="59">
        <f>$CM228-$CM229</f>
        <v/>
      </c>
      <c r="FY228" s="59">
        <f>$CN228-$CN229</f>
        <v/>
      </c>
      <c r="FZ228" s="59">
        <f>$CO228-$CO229</f>
        <v/>
      </c>
      <c r="GA228" s="59">
        <f>$CP228-$CP229</f>
        <v/>
      </c>
      <c r="GB228" s="59">
        <f>$CQ228-$CQ229</f>
        <v/>
      </c>
      <c r="GC228" s="59">
        <f>$CR228-$CR229</f>
        <v/>
      </c>
      <c r="GD228" s="59">
        <f>$CS228-$CS229</f>
        <v/>
      </c>
      <c r="GE228" s="59">
        <f>$CT228-$CT229</f>
        <v/>
      </c>
    </row>
    <row r="229">
      <c r="CU229" s="58">
        <f>IFERROR($B229/$B230-1,"")</f>
        <v/>
      </c>
      <c r="CV229" s="59">
        <f>($F229-$F230)*100</f>
        <v/>
      </c>
      <c r="CW229" s="59">
        <f>($E229-$E230)*100</f>
        <v/>
      </c>
      <c r="CX229" s="58">
        <f>IFERROR($K229/$K230-1,"")</f>
        <v/>
      </c>
      <c r="CY229" s="59">
        <f>($AH229-$AH230)*100</f>
        <v/>
      </c>
      <c r="CZ229" s="59">
        <f>($AI229-$AI230)*100</f>
        <v/>
      </c>
      <c r="DA229" s="59">
        <f>($AJ229-$AJ230)*100</f>
        <v/>
      </c>
      <c r="DB229" s="59">
        <f>($AK229-$AK230)*100</f>
        <v/>
      </c>
      <c r="DC229" s="59">
        <f>($AL229-$AL230)*100</f>
        <v/>
      </c>
      <c r="DD229" s="59">
        <f>($AM229-$AM230)*100</f>
        <v/>
      </c>
      <c r="DE229" s="59">
        <f>($AN229-$AN230)*100</f>
        <v/>
      </c>
      <c r="DF229" s="59">
        <f>($AO229-$AO230)*100</f>
        <v/>
      </c>
      <c r="DG229" s="59">
        <f>($AP229-$AP230)*100</f>
        <v/>
      </c>
      <c r="DH229" s="59">
        <f>($AQ229-$AQ230)*100</f>
        <v/>
      </c>
      <c r="DI229" s="59">
        <f>($AR229-$AR230)*100</f>
        <v/>
      </c>
      <c r="DJ229" s="59">
        <f>($AS229-$AS230)*100</f>
        <v/>
      </c>
      <c r="DK229" s="59">
        <f>($AT229-$AT230)*100</f>
        <v/>
      </c>
      <c r="DL229" s="59">
        <f>($AU229-$AU230)*100</f>
        <v/>
      </c>
      <c r="DM229" s="59">
        <f>($AV229-$AV230)*100</f>
        <v/>
      </c>
      <c r="DN229" s="59">
        <f>($AW229-$AW230)*100</f>
        <v/>
      </c>
      <c r="DO229" s="59">
        <f>($AX229-$AX230)*100</f>
        <v/>
      </c>
      <c r="DP229" s="59">
        <f>($AY229-$AY230)*100</f>
        <v/>
      </c>
      <c r="DQ229" s="59">
        <f>($AZ229-$AZ230)*100</f>
        <v/>
      </c>
      <c r="DR229" s="59">
        <f>($BA229-$BA230)*100</f>
        <v/>
      </c>
      <c r="DS229" s="58">
        <f>IFERROR($N230/$N229-1,"")</f>
        <v/>
      </c>
      <c r="DT229" s="58">
        <f>IFERROR($O230/$O229-1,"")</f>
        <v/>
      </c>
      <c r="DU229" s="58">
        <f>IFERROR($P230/$P229-1,"")</f>
        <v/>
      </c>
      <c r="DV229" s="58">
        <f>IFERROR($Q230/$Q229-1,"")</f>
        <v/>
      </c>
      <c r="DW229" s="58">
        <f>IFERROR($R230/$R229-1,"")</f>
        <v/>
      </c>
      <c r="DX229" s="58">
        <f>IFERROR($S230/$S229-1,"")</f>
        <v/>
      </c>
      <c r="DY229" s="58">
        <f>IFERROR($T230/$T229-1,"")</f>
        <v/>
      </c>
      <c r="DZ229" s="58">
        <f>IFERROR($U230/$U229-1,"")</f>
        <v/>
      </c>
      <c r="EA229" s="58">
        <f>IFERROR($V230/$V229-1,"")</f>
        <v/>
      </c>
      <c r="EB229" s="58">
        <f>IFERROR($W230/$W229-1,"")</f>
        <v/>
      </c>
      <c r="EC229" s="58">
        <f>IFERROR($X230/$X229-1,"")</f>
        <v/>
      </c>
      <c r="ED229" s="58">
        <f>IFERROR($Y230/$Y229-1,"")</f>
        <v/>
      </c>
      <c r="EE229" s="58">
        <f>IFERROR($Z230/$Z229-1,"")</f>
        <v/>
      </c>
      <c r="EF229" s="58">
        <f>IFERROR($AA230/$AA229-1,"")</f>
        <v/>
      </c>
      <c r="EG229" s="58">
        <f>IFERROR($AB230/$AB229-1,"")</f>
        <v/>
      </c>
      <c r="EH229" s="58">
        <f>IFERROR($AC230/$AC229-1,"")</f>
        <v/>
      </c>
      <c r="EI229" s="58">
        <f>IFERROR($AD230/$AD229-1,"")</f>
        <v/>
      </c>
      <c r="EJ229" s="58">
        <f>IFERROR($AE230/$AE229-1,"")</f>
        <v/>
      </c>
      <c r="EK229" s="58">
        <f>IFERROR($AF230/$AF229-1,"")</f>
        <v/>
      </c>
      <c r="EL229" s="58">
        <f>IFERROR($AG230/$AG229-1,"")</f>
        <v/>
      </c>
      <c r="EM229" s="58">
        <f>IFERROR($BB229/$BB230-1,"")</f>
        <v/>
      </c>
      <c r="EN229" s="58">
        <f>IFERROR($BC229/$BC230-1,"")</f>
        <v/>
      </c>
      <c r="EO229" s="58">
        <f>IFERROR($BD229/$BD230-1,"")</f>
        <v/>
      </c>
      <c r="EP229" s="58">
        <f>IFERROR($BE229/$BE230-1,"")</f>
        <v/>
      </c>
      <c r="EQ229" s="58">
        <f>IFERROR($BF229/$BF230-1,"")</f>
        <v/>
      </c>
      <c r="ER229" s="58">
        <f>IFERROR($BG229/$BG230-1,"")</f>
        <v/>
      </c>
      <c r="ES229" s="58">
        <f>IFERROR($BH229/$BH230-1,"")</f>
        <v/>
      </c>
      <c r="ET229" s="58">
        <f>IFERROR($BI229/$BI230-1,"")</f>
        <v/>
      </c>
      <c r="EU229" s="58">
        <f>IFERROR($BJ229/$BJ230-1,"")</f>
        <v/>
      </c>
      <c r="EV229" s="58">
        <f>IFERROR($BK229/$BK230-1,"")</f>
        <v/>
      </c>
      <c r="EW229" s="58">
        <f>IFERROR($BL229/$BL230-1,"")</f>
        <v/>
      </c>
      <c r="EX229" s="58">
        <f>IFERROR($BM229/$BM230-1,"")</f>
        <v/>
      </c>
      <c r="EY229" s="58">
        <f>IFERROR($BN229/$BN230-1,"")</f>
        <v/>
      </c>
      <c r="EZ229" s="58">
        <f>IFERROR($BO229/$BO230-1,"")</f>
        <v/>
      </c>
      <c r="FA229" s="58">
        <f>IFERROR($BP229/$BP230-1,"")</f>
        <v/>
      </c>
      <c r="FB229" s="58">
        <f>IFERROR($BQ229/$BQ230-1,"")</f>
        <v/>
      </c>
      <c r="FC229" s="58">
        <f>IFERROR($BR229/$BR230-1,"")</f>
        <v/>
      </c>
      <c r="FD229" s="58">
        <f>IFERROR($BS229/$BS230-1,"")</f>
        <v/>
      </c>
      <c r="FE229" s="58">
        <f>IFERROR($BT229/$BT230-1,"")</f>
        <v/>
      </c>
      <c r="FF229" s="58">
        <f>IFERROR($BU229/$BU230-1,"")</f>
        <v/>
      </c>
      <c r="FG229" s="58">
        <f>IFERROR($BV229/$BV230-1,"")</f>
        <v/>
      </c>
      <c r="FH229" s="58">
        <f>IFERROR($BW229/$BW230-1,"")</f>
        <v/>
      </c>
      <c r="FI229" s="58">
        <f>IFERROR($BX229/$BX230-1,"")</f>
        <v/>
      </c>
      <c r="FJ229" s="59">
        <f>$BY229-$BY230</f>
        <v/>
      </c>
      <c r="FK229" s="59">
        <f>$BZ229-$BZ230</f>
        <v/>
      </c>
      <c r="FL229" s="59">
        <f>$CA229-$CA230</f>
        <v/>
      </c>
      <c r="FM229" s="59">
        <f>$CB229-$CB230</f>
        <v/>
      </c>
      <c r="FN229" s="59">
        <f>$CC229-$CC230</f>
        <v/>
      </c>
      <c r="FO229" s="59">
        <f>$CD229-$CD230</f>
        <v/>
      </c>
      <c r="FP229" s="59">
        <f>$CE229-$CE230</f>
        <v/>
      </c>
      <c r="FQ229" s="59">
        <f>$CF229-$CF230</f>
        <v/>
      </c>
      <c r="FR229" s="59">
        <f>$CG229-$CG230</f>
        <v/>
      </c>
      <c r="FS229" s="59">
        <f>$CH229-$CH230</f>
        <v/>
      </c>
      <c r="FT229" s="59">
        <f>$CI229-$CI230</f>
        <v/>
      </c>
      <c r="FU229" s="59">
        <f>$CJ229-$CJ230</f>
        <v/>
      </c>
      <c r="FV229" s="59">
        <f>$CK229-$CK230</f>
        <v/>
      </c>
      <c r="FW229" s="59">
        <f>$CL229-$CL230</f>
        <v/>
      </c>
      <c r="FX229" s="59">
        <f>$CM229-$CM230</f>
        <v/>
      </c>
      <c r="FY229" s="59">
        <f>$CN229-$CN230</f>
        <v/>
      </c>
      <c r="FZ229" s="59">
        <f>$CO229-$CO230</f>
        <v/>
      </c>
      <c r="GA229" s="59">
        <f>$CP229-$CP230</f>
        <v/>
      </c>
      <c r="GB229" s="59">
        <f>$CQ229-$CQ230</f>
        <v/>
      </c>
      <c r="GC229" s="59">
        <f>$CR229-$CR230</f>
        <v/>
      </c>
      <c r="GD229" s="59">
        <f>$CS229-$CS230</f>
        <v/>
      </c>
      <c r="GE229" s="59">
        <f>$CT229-$CT230</f>
        <v/>
      </c>
    </row>
    <row r="230">
      <c r="CU230" s="58">
        <f>IFERROR($B230/$B231-1,"")</f>
        <v/>
      </c>
      <c r="CV230" s="59">
        <f>($F230-$F231)*100</f>
        <v/>
      </c>
      <c r="CW230" s="59">
        <f>($E230-$E231)*100</f>
        <v/>
      </c>
      <c r="CX230" s="58">
        <f>IFERROR($K230/$K231-1,"")</f>
        <v/>
      </c>
      <c r="CY230" s="59">
        <f>($AH230-$AH231)*100</f>
        <v/>
      </c>
      <c r="CZ230" s="59">
        <f>($AI230-$AI231)*100</f>
        <v/>
      </c>
      <c r="DA230" s="59">
        <f>($AJ230-$AJ231)*100</f>
        <v/>
      </c>
      <c r="DB230" s="59">
        <f>($AK230-$AK231)*100</f>
        <v/>
      </c>
      <c r="DC230" s="59">
        <f>($AL230-$AL231)*100</f>
        <v/>
      </c>
      <c r="DD230" s="59">
        <f>($AM230-$AM231)*100</f>
        <v/>
      </c>
      <c r="DE230" s="59">
        <f>($AN230-$AN231)*100</f>
        <v/>
      </c>
      <c r="DF230" s="59">
        <f>($AO230-$AO231)*100</f>
        <v/>
      </c>
      <c r="DG230" s="59">
        <f>($AP230-$AP231)*100</f>
        <v/>
      </c>
      <c r="DH230" s="59">
        <f>($AQ230-$AQ231)*100</f>
        <v/>
      </c>
      <c r="DI230" s="59">
        <f>($AR230-$AR231)*100</f>
        <v/>
      </c>
      <c r="DJ230" s="59">
        <f>($AS230-$AS231)*100</f>
        <v/>
      </c>
      <c r="DK230" s="59">
        <f>($AT230-$AT231)*100</f>
        <v/>
      </c>
      <c r="DL230" s="59">
        <f>($AU230-$AU231)*100</f>
        <v/>
      </c>
      <c r="DM230" s="59">
        <f>($AV230-$AV231)*100</f>
        <v/>
      </c>
      <c r="DN230" s="59">
        <f>($AW230-$AW231)*100</f>
        <v/>
      </c>
      <c r="DO230" s="59">
        <f>($AX230-$AX231)*100</f>
        <v/>
      </c>
      <c r="DP230" s="59">
        <f>($AY230-$AY231)*100</f>
        <v/>
      </c>
      <c r="DQ230" s="59">
        <f>($AZ230-$AZ231)*100</f>
        <v/>
      </c>
      <c r="DR230" s="59">
        <f>($BA230-$BA231)*100</f>
        <v/>
      </c>
      <c r="DS230" s="58">
        <f>IFERROR($N231/$N230-1,"")</f>
        <v/>
      </c>
      <c r="DT230" s="58">
        <f>IFERROR($O231/$O230-1,"")</f>
        <v/>
      </c>
      <c r="DU230" s="58">
        <f>IFERROR($P231/$P230-1,"")</f>
        <v/>
      </c>
      <c r="DV230" s="58">
        <f>IFERROR($Q231/$Q230-1,"")</f>
        <v/>
      </c>
      <c r="DW230" s="58">
        <f>IFERROR($R231/$R230-1,"")</f>
        <v/>
      </c>
      <c r="DX230" s="58">
        <f>IFERROR($S231/$S230-1,"")</f>
        <v/>
      </c>
      <c r="DY230" s="58">
        <f>IFERROR($T231/$T230-1,"")</f>
        <v/>
      </c>
      <c r="DZ230" s="58">
        <f>IFERROR($U231/$U230-1,"")</f>
        <v/>
      </c>
      <c r="EA230" s="58">
        <f>IFERROR($V231/$V230-1,"")</f>
        <v/>
      </c>
      <c r="EB230" s="58">
        <f>IFERROR($W231/$W230-1,"")</f>
        <v/>
      </c>
      <c r="EC230" s="58">
        <f>IFERROR($X231/$X230-1,"")</f>
        <v/>
      </c>
      <c r="ED230" s="58">
        <f>IFERROR($Y231/$Y230-1,"")</f>
        <v/>
      </c>
      <c r="EE230" s="58">
        <f>IFERROR($Z231/$Z230-1,"")</f>
        <v/>
      </c>
      <c r="EF230" s="58">
        <f>IFERROR($AA231/$AA230-1,"")</f>
        <v/>
      </c>
      <c r="EG230" s="58">
        <f>IFERROR($AB231/$AB230-1,"")</f>
        <v/>
      </c>
      <c r="EH230" s="58">
        <f>IFERROR($AC231/$AC230-1,"")</f>
        <v/>
      </c>
      <c r="EI230" s="58">
        <f>IFERROR($AD231/$AD230-1,"")</f>
        <v/>
      </c>
      <c r="EJ230" s="58">
        <f>IFERROR($AE231/$AE230-1,"")</f>
        <v/>
      </c>
      <c r="EK230" s="58">
        <f>IFERROR($AF231/$AF230-1,"")</f>
        <v/>
      </c>
      <c r="EL230" s="58">
        <f>IFERROR($AG231/$AG230-1,"")</f>
        <v/>
      </c>
      <c r="EM230" s="58">
        <f>IFERROR($BB230/$BB231-1,"")</f>
        <v/>
      </c>
      <c r="EN230" s="58">
        <f>IFERROR($BC230/$BC231-1,"")</f>
        <v/>
      </c>
      <c r="EO230" s="58">
        <f>IFERROR($BD230/$BD231-1,"")</f>
        <v/>
      </c>
      <c r="EP230" s="58">
        <f>IFERROR($BE230/$BE231-1,"")</f>
        <v/>
      </c>
      <c r="EQ230" s="58">
        <f>IFERROR($BF230/$BF231-1,"")</f>
        <v/>
      </c>
      <c r="ER230" s="58">
        <f>IFERROR($BG230/$BG231-1,"")</f>
        <v/>
      </c>
      <c r="ES230" s="58">
        <f>IFERROR($BH230/$BH231-1,"")</f>
        <v/>
      </c>
      <c r="ET230" s="58">
        <f>IFERROR($BI230/$BI231-1,"")</f>
        <v/>
      </c>
      <c r="EU230" s="58">
        <f>IFERROR($BJ230/$BJ231-1,"")</f>
        <v/>
      </c>
      <c r="EV230" s="58">
        <f>IFERROR($BK230/$BK231-1,"")</f>
        <v/>
      </c>
      <c r="EW230" s="58">
        <f>IFERROR($BL230/$BL231-1,"")</f>
        <v/>
      </c>
      <c r="EX230" s="58">
        <f>IFERROR($BM230/$BM231-1,"")</f>
        <v/>
      </c>
      <c r="EY230" s="58">
        <f>IFERROR($BN230/$BN231-1,"")</f>
        <v/>
      </c>
      <c r="EZ230" s="58">
        <f>IFERROR($BO230/$BO231-1,"")</f>
        <v/>
      </c>
      <c r="FA230" s="58">
        <f>IFERROR($BP230/$BP231-1,"")</f>
        <v/>
      </c>
      <c r="FB230" s="58">
        <f>IFERROR($BQ230/$BQ231-1,"")</f>
        <v/>
      </c>
      <c r="FC230" s="58">
        <f>IFERROR($BR230/$BR231-1,"")</f>
        <v/>
      </c>
      <c r="FD230" s="58">
        <f>IFERROR($BS230/$BS231-1,"")</f>
        <v/>
      </c>
      <c r="FE230" s="58">
        <f>IFERROR($BT230/$BT231-1,"")</f>
        <v/>
      </c>
      <c r="FF230" s="58">
        <f>IFERROR($BU230/$BU231-1,"")</f>
        <v/>
      </c>
      <c r="FG230" s="58">
        <f>IFERROR($BV230/$BV231-1,"")</f>
        <v/>
      </c>
      <c r="FH230" s="58">
        <f>IFERROR($BW230/$BW231-1,"")</f>
        <v/>
      </c>
      <c r="FI230" s="58">
        <f>IFERROR($BX230/$BX231-1,"")</f>
        <v/>
      </c>
      <c r="FJ230" s="59">
        <f>$BY230-$BY231</f>
        <v/>
      </c>
      <c r="FK230" s="59">
        <f>$BZ230-$BZ231</f>
        <v/>
      </c>
      <c r="FL230" s="59">
        <f>$CA230-$CA231</f>
        <v/>
      </c>
      <c r="FM230" s="59">
        <f>$CB230-$CB231</f>
        <v/>
      </c>
      <c r="FN230" s="59">
        <f>$CC230-$CC231</f>
        <v/>
      </c>
      <c r="FO230" s="59">
        <f>$CD230-$CD231</f>
        <v/>
      </c>
      <c r="FP230" s="59">
        <f>$CE230-$CE231</f>
        <v/>
      </c>
      <c r="FQ230" s="59">
        <f>$CF230-$CF231</f>
        <v/>
      </c>
      <c r="FR230" s="59">
        <f>$CG230-$CG231</f>
        <v/>
      </c>
      <c r="FS230" s="59">
        <f>$CH230-$CH231</f>
        <v/>
      </c>
      <c r="FT230" s="59">
        <f>$CI230-$CI231</f>
        <v/>
      </c>
      <c r="FU230" s="59">
        <f>$CJ230-$CJ231</f>
        <v/>
      </c>
      <c r="FV230" s="59">
        <f>$CK230-$CK231</f>
        <v/>
      </c>
      <c r="FW230" s="59">
        <f>$CL230-$CL231</f>
        <v/>
      </c>
      <c r="FX230" s="59">
        <f>$CM230-$CM231</f>
        <v/>
      </c>
      <c r="FY230" s="59">
        <f>$CN230-$CN231</f>
        <v/>
      </c>
      <c r="FZ230" s="59">
        <f>$CO230-$CO231</f>
        <v/>
      </c>
      <c r="GA230" s="59">
        <f>$CP230-$CP231</f>
        <v/>
      </c>
      <c r="GB230" s="59">
        <f>$CQ230-$CQ231</f>
        <v/>
      </c>
      <c r="GC230" s="59">
        <f>$CR230-$CR231</f>
        <v/>
      </c>
      <c r="GD230" s="59">
        <f>$CS230-$CS231</f>
        <v/>
      </c>
      <c r="GE230" s="59">
        <f>$CT230-$CT231</f>
        <v/>
      </c>
    </row>
    <row r="231">
      <c r="CU231" s="58">
        <f>IFERROR($B231/$B232-1,"")</f>
        <v/>
      </c>
      <c r="CV231" s="59">
        <f>($F231-$F232)*100</f>
        <v/>
      </c>
      <c r="CW231" s="59">
        <f>($E231-$E232)*100</f>
        <v/>
      </c>
      <c r="CX231" s="58">
        <f>IFERROR($K231/$K232-1,"")</f>
        <v/>
      </c>
      <c r="CY231" s="59">
        <f>($AH231-$AH232)*100</f>
        <v/>
      </c>
      <c r="CZ231" s="59">
        <f>($AI231-$AI232)*100</f>
        <v/>
      </c>
      <c r="DA231" s="59">
        <f>($AJ231-$AJ232)*100</f>
        <v/>
      </c>
      <c r="DB231" s="59">
        <f>($AK231-$AK232)*100</f>
        <v/>
      </c>
      <c r="DC231" s="59">
        <f>($AL231-$AL232)*100</f>
        <v/>
      </c>
      <c r="DD231" s="59">
        <f>($AM231-$AM232)*100</f>
        <v/>
      </c>
      <c r="DE231" s="59">
        <f>($AN231-$AN232)*100</f>
        <v/>
      </c>
      <c r="DF231" s="59">
        <f>($AO231-$AO232)*100</f>
        <v/>
      </c>
      <c r="DG231" s="59">
        <f>($AP231-$AP232)*100</f>
        <v/>
      </c>
      <c r="DH231" s="59">
        <f>($AQ231-$AQ232)*100</f>
        <v/>
      </c>
      <c r="DI231" s="59">
        <f>($AR231-$AR232)*100</f>
        <v/>
      </c>
      <c r="DJ231" s="59">
        <f>($AS231-$AS232)*100</f>
        <v/>
      </c>
      <c r="DK231" s="59">
        <f>($AT231-$AT232)*100</f>
        <v/>
      </c>
      <c r="DL231" s="59">
        <f>($AU231-$AU232)*100</f>
        <v/>
      </c>
      <c r="DM231" s="59">
        <f>($AV231-$AV232)*100</f>
        <v/>
      </c>
      <c r="DN231" s="59">
        <f>($AW231-$AW232)*100</f>
        <v/>
      </c>
      <c r="DO231" s="59">
        <f>($AX231-$AX232)*100</f>
        <v/>
      </c>
      <c r="DP231" s="59">
        <f>($AY231-$AY232)*100</f>
        <v/>
      </c>
      <c r="DQ231" s="59">
        <f>($AZ231-$AZ232)*100</f>
        <v/>
      </c>
      <c r="DR231" s="59">
        <f>($BA231-$BA232)*100</f>
        <v/>
      </c>
      <c r="DS231" s="58">
        <f>IFERROR($N232/$N231-1,"")</f>
        <v/>
      </c>
      <c r="DT231" s="58">
        <f>IFERROR($O232/$O231-1,"")</f>
        <v/>
      </c>
      <c r="DU231" s="58">
        <f>IFERROR($P232/$P231-1,"")</f>
        <v/>
      </c>
      <c r="DV231" s="58">
        <f>IFERROR($Q232/$Q231-1,"")</f>
        <v/>
      </c>
      <c r="DW231" s="58">
        <f>IFERROR($R232/$R231-1,"")</f>
        <v/>
      </c>
      <c r="DX231" s="58">
        <f>IFERROR($S232/$S231-1,"")</f>
        <v/>
      </c>
      <c r="DY231" s="58">
        <f>IFERROR($T232/$T231-1,"")</f>
        <v/>
      </c>
      <c r="DZ231" s="58">
        <f>IFERROR($U232/$U231-1,"")</f>
        <v/>
      </c>
      <c r="EA231" s="58">
        <f>IFERROR($V232/$V231-1,"")</f>
        <v/>
      </c>
      <c r="EB231" s="58">
        <f>IFERROR($W232/$W231-1,"")</f>
        <v/>
      </c>
      <c r="EC231" s="58">
        <f>IFERROR($X232/$X231-1,"")</f>
        <v/>
      </c>
      <c r="ED231" s="58">
        <f>IFERROR($Y232/$Y231-1,"")</f>
        <v/>
      </c>
      <c r="EE231" s="58">
        <f>IFERROR($Z232/$Z231-1,"")</f>
        <v/>
      </c>
      <c r="EF231" s="58">
        <f>IFERROR($AA232/$AA231-1,"")</f>
        <v/>
      </c>
      <c r="EG231" s="58">
        <f>IFERROR($AB232/$AB231-1,"")</f>
        <v/>
      </c>
      <c r="EH231" s="58">
        <f>IFERROR($AC232/$AC231-1,"")</f>
        <v/>
      </c>
      <c r="EI231" s="58">
        <f>IFERROR($AD232/$AD231-1,"")</f>
        <v/>
      </c>
      <c r="EJ231" s="58">
        <f>IFERROR($AE232/$AE231-1,"")</f>
        <v/>
      </c>
      <c r="EK231" s="58">
        <f>IFERROR($AF232/$AF231-1,"")</f>
        <v/>
      </c>
      <c r="EL231" s="58">
        <f>IFERROR($AG232/$AG231-1,"")</f>
        <v/>
      </c>
      <c r="EM231" s="58">
        <f>IFERROR($BB231/$BB232-1,"")</f>
        <v/>
      </c>
      <c r="EN231" s="58">
        <f>IFERROR($BC231/$BC232-1,"")</f>
        <v/>
      </c>
      <c r="EO231" s="58">
        <f>IFERROR($BD231/$BD232-1,"")</f>
        <v/>
      </c>
      <c r="EP231" s="58">
        <f>IFERROR($BE231/$BE232-1,"")</f>
        <v/>
      </c>
      <c r="EQ231" s="58">
        <f>IFERROR($BF231/$BF232-1,"")</f>
        <v/>
      </c>
      <c r="ER231" s="58">
        <f>IFERROR($BG231/$BG232-1,"")</f>
        <v/>
      </c>
      <c r="ES231" s="58">
        <f>IFERROR($BH231/$BH232-1,"")</f>
        <v/>
      </c>
      <c r="ET231" s="58">
        <f>IFERROR($BI231/$BI232-1,"")</f>
        <v/>
      </c>
      <c r="EU231" s="58">
        <f>IFERROR($BJ231/$BJ232-1,"")</f>
        <v/>
      </c>
      <c r="EV231" s="58">
        <f>IFERROR($BK231/$BK232-1,"")</f>
        <v/>
      </c>
      <c r="EW231" s="58">
        <f>IFERROR($BL231/$BL232-1,"")</f>
        <v/>
      </c>
      <c r="EX231" s="58">
        <f>IFERROR($BM231/$BM232-1,"")</f>
        <v/>
      </c>
      <c r="EY231" s="58">
        <f>IFERROR($BN231/$BN232-1,"")</f>
        <v/>
      </c>
      <c r="EZ231" s="58">
        <f>IFERROR($BO231/$BO232-1,"")</f>
        <v/>
      </c>
      <c r="FA231" s="58">
        <f>IFERROR($BP231/$BP232-1,"")</f>
        <v/>
      </c>
      <c r="FB231" s="58">
        <f>IFERROR($BQ231/$BQ232-1,"")</f>
        <v/>
      </c>
      <c r="FC231" s="58">
        <f>IFERROR($BR231/$BR232-1,"")</f>
        <v/>
      </c>
      <c r="FD231" s="58">
        <f>IFERROR($BS231/$BS232-1,"")</f>
        <v/>
      </c>
      <c r="FE231" s="58">
        <f>IFERROR($BT231/$BT232-1,"")</f>
        <v/>
      </c>
      <c r="FF231" s="58">
        <f>IFERROR($BU231/$BU232-1,"")</f>
        <v/>
      </c>
      <c r="FG231" s="58">
        <f>IFERROR($BV231/$BV232-1,"")</f>
        <v/>
      </c>
      <c r="FH231" s="58">
        <f>IFERROR($BW231/$BW232-1,"")</f>
        <v/>
      </c>
      <c r="FI231" s="58">
        <f>IFERROR($BX231/$BX232-1,"")</f>
        <v/>
      </c>
      <c r="FJ231" s="59">
        <f>$BY231-$BY232</f>
        <v/>
      </c>
      <c r="FK231" s="59">
        <f>$BZ231-$BZ232</f>
        <v/>
      </c>
      <c r="FL231" s="59">
        <f>$CA231-$CA232</f>
        <v/>
      </c>
      <c r="FM231" s="59">
        <f>$CB231-$CB232</f>
        <v/>
      </c>
      <c r="FN231" s="59">
        <f>$CC231-$CC232</f>
        <v/>
      </c>
      <c r="FO231" s="59">
        <f>$CD231-$CD232</f>
        <v/>
      </c>
      <c r="FP231" s="59">
        <f>$CE231-$CE232</f>
        <v/>
      </c>
      <c r="FQ231" s="59">
        <f>$CF231-$CF232</f>
        <v/>
      </c>
      <c r="FR231" s="59">
        <f>$CG231-$CG232</f>
        <v/>
      </c>
      <c r="FS231" s="59">
        <f>$CH231-$CH232</f>
        <v/>
      </c>
      <c r="FT231" s="59">
        <f>$CI231-$CI232</f>
        <v/>
      </c>
      <c r="FU231" s="59">
        <f>$CJ231-$CJ232</f>
        <v/>
      </c>
      <c r="FV231" s="59">
        <f>$CK231-$CK232</f>
        <v/>
      </c>
      <c r="FW231" s="59">
        <f>$CL231-$CL232</f>
        <v/>
      </c>
      <c r="FX231" s="59">
        <f>$CM231-$CM232</f>
        <v/>
      </c>
      <c r="FY231" s="59">
        <f>$CN231-$CN232</f>
        <v/>
      </c>
      <c r="FZ231" s="59">
        <f>$CO231-$CO232</f>
        <v/>
      </c>
      <c r="GA231" s="59">
        <f>$CP231-$CP232</f>
        <v/>
      </c>
      <c r="GB231" s="59">
        <f>$CQ231-$CQ232</f>
        <v/>
      </c>
      <c r="GC231" s="59">
        <f>$CR231-$CR232</f>
        <v/>
      </c>
      <c r="GD231" s="59">
        <f>$CS231-$CS232</f>
        <v/>
      </c>
      <c r="GE231" s="59">
        <f>$CT231-$CT232</f>
        <v/>
      </c>
    </row>
    <row r="232">
      <c r="CU232" s="58">
        <f>IFERROR($B232/$B233-1,"")</f>
        <v/>
      </c>
      <c r="CV232" s="59">
        <f>($F232-$F233)*100</f>
        <v/>
      </c>
      <c r="CW232" s="59">
        <f>($E232-$E233)*100</f>
        <v/>
      </c>
      <c r="CX232" s="58">
        <f>IFERROR($K232/$K233-1,"")</f>
        <v/>
      </c>
      <c r="CY232" s="59">
        <f>($AH232-$AH233)*100</f>
        <v/>
      </c>
      <c r="CZ232" s="59">
        <f>($AI232-$AI233)*100</f>
        <v/>
      </c>
      <c r="DA232" s="59">
        <f>($AJ232-$AJ233)*100</f>
        <v/>
      </c>
      <c r="DB232" s="59">
        <f>($AK232-$AK233)*100</f>
        <v/>
      </c>
      <c r="DC232" s="59">
        <f>($AL232-$AL233)*100</f>
        <v/>
      </c>
      <c r="DD232" s="59">
        <f>($AM232-$AM233)*100</f>
        <v/>
      </c>
      <c r="DE232" s="59">
        <f>($AN232-$AN233)*100</f>
        <v/>
      </c>
      <c r="DF232" s="59">
        <f>($AO232-$AO233)*100</f>
        <v/>
      </c>
      <c r="DG232" s="59">
        <f>($AP232-$AP233)*100</f>
        <v/>
      </c>
      <c r="DH232" s="59">
        <f>($AQ232-$AQ233)*100</f>
        <v/>
      </c>
      <c r="DI232" s="59">
        <f>($AR232-$AR233)*100</f>
        <v/>
      </c>
      <c r="DJ232" s="59">
        <f>($AS232-$AS233)*100</f>
        <v/>
      </c>
      <c r="DK232" s="59">
        <f>($AT232-$AT233)*100</f>
        <v/>
      </c>
      <c r="DL232" s="59">
        <f>($AU232-$AU233)*100</f>
        <v/>
      </c>
      <c r="DM232" s="59">
        <f>($AV232-$AV233)*100</f>
        <v/>
      </c>
      <c r="DN232" s="59">
        <f>($AW232-$AW233)*100</f>
        <v/>
      </c>
      <c r="DO232" s="59">
        <f>($AX232-$AX233)*100</f>
        <v/>
      </c>
      <c r="DP232" s="59">
        <f>($AY232-$AY233)*100</f>
        <v/>
      </c>
      <c r="DQ232" s="59">
        <f>($AZ232-$AZ233)*100</f>
        <v/>
      </c>
      <c r="DR232" s="59">
        <f>($BA232-$BA233)*100</f>
        <v/>
      </c>
      <c r="DS232" s="58">
        <f>IFERROR($N233/$N232-1,"")</f>
        <v/>
      </c>
      <c r="DT232" s="58">
        <f>IFERROR($O233/$O232-1,"")</f>
        <v/>
      </c>
      <c r="DU232" s="58">
        <f>IFERROR($P233/$P232-1,"")</f>
        <v/>
      </c>
      <c r="DV232" s="58">
        <f>IFERROR($Q233/$Q232-1,"")</f>
        <v/>
      </c>
      <c r="DW232" s="58">
        <f>IFERROR($R233/$R232-1,"")</f>
        <v/>
      </c>
      <c r="DX232" s="58">
        <f>IFERROR($S233/$S232-1,"")</f>
        <v/>
      </c>
      <c r="DY232" s="58">
        <f>IFERROR($T233/$T232-1,"")</f>
        <v/>
      </c>
      <c r="DZ232" s="58">
        <f>IFERROR($U233/$U232-1,"")</f>
        <v/>
      </c>
      <c r="EA232" s="58">
        <f>IFERROR($V233/$V232-1,"")</f>
        <v/>
      </c>
      <c r="EB232" s="58">
        <f>IFERROR($W233/$W232-1,"")</f>
        <v/>
      </c>
      <c r="EC232" s="58">
        <f>IFERROR($X233/$X232-1,"")</f>
        <v/>
      </c>
      <c r="ED232" s="58">
        <f>IFERROR($Y233/$Y232-1,"")</f>
        <v/>
      </c>
      <c r="EE232" s="58">
        <f>IFERROR($Z233/$Z232-1,"")</f>
        <v/>
      </c>
      <c r="EF232" s="58">
        <f>IFERROR($AA233/$AA232-1,"")</f>
        <v/>
      </c>
      <c r="EG232" s="58">
        <f>IFERROR($AB233/$AB232-1,"")</f>
        <v/>
      </c>
      <c r="EH232" s="58">
        <f>IFERROR($AC233/$AC232-1,"")</f>
        <v/>
      </c>
      <c r="EI232" s="58">
        <f>IFERROR($AD233/$AD232-1,"")</f>
        <v/>
      </c>
      <c r="EJ232" s="58">
        <f>IFERROR($AE233/$AE232-1,"")</f>
        <v/>
      </c>
      <c r="EK232" s="58">
        <f>IFERROR($AF233/$AF232-1,"")</f>
        <v/>
      </c>
      <c r="EL232" s="58">
        <f>IFERROR($AG233/$AG232-1,"")</f>
        <v/>
      </c>
      <c r="EM232" s="58">
        <f>IFERROR($BB232/$BB233-1,"")</f>
        <v/>
      </c>
      <c r="EN232" s="58">
        <f>IFERROR($BC232/$BC233-1,"")</f>
        <v/>
      </c>
      <c r="EO232" s="58">
        <f>IFERROR($BD232/$BD233-1,"")</f>
        <v/>
      </c>
      <c r="EP232" s="58">
        <f>IFERROR($BE232/$BE233-1,"")</f>
        <v/>
      </c>
      <c r="EQ232" s="58">
        <f>IFERROR($BF232/$BF233-1,"")</f>
        <v/>
      </c>
      <c r="ER232" s="58">
        <f>IFERROR($BG232/$BG233-1,"")</f>
        <v/>
      </c>
      <c r="ES232" s="58">
        <f>IFERROR($BH232/$BH233-1,"")</f>
        <v/>
      </c>
      <c r="ET232" s="58">
        <f>IFERROR($BI232/$BI233-1,"")</f>
        <v/>
      </c>
      <c r="EU232" s="58">
        <f>IFERROR($BJ232/$BJ233-1,"")</f>
        <v/>
      </c>
      <c r="EV232" s="58">
        <f>IFERROR($BK232/$BK233-1,"")</f>
        <v/>
      </c>
      <c r="EW232" s="58">
        <f>IFERROR($BL232/$BL233-1,"")</f>
        <v/>
      </c>
      <c r="EX232" s="58">
        <f>IFERROR($BM232/$BM233-1,"")</f>
        <v/>
      </c>
      <c r="EY232" s="58">
        <f>IFERROR($BN232/$BN233-1,"")</f>
        <v/>
      </c>
      <c r="EZ232" s="58">
        <f>IFERROR($BO232/$BO233-1,"")</f>
        <v/>
      </c>
      <c r="FA232" s="58">
        <f>IFERROR($BP232/$BP233-1,"")</f>
        <v/>
      </c>
      <c r="FB232" s="58">
        <f>IFERROR($BQ232/$BQ233-1,"")</f>
        <v/>
      </c>
      <c r="FC232" s="58">
        <f>IFERROR($BR232/$BR233-1,"")</f>
        <v/>
      </c>
      <c r="FD232" s="58">
        <f>IFERROR($BS232/$BS233-1,"")</f>
        <v/>
      </c>
      <c r="FE232" s="58">
        <f>IFERROR($BT232/$BT233-1,"")</f>
        <v/>
      </c>
      <c r="FF232" s="58">
        <f>IFERROR($BU232/$BU233-1,"")</f>
        <v/>
      </c>
      <c r="FG232" s="58">
        <f>IFERROR($BV232/$BV233-1,"")</f>
        <v/>
      </c>
      <c r="FH232" s="58">
        <f>IFERROR($BW232/$BW233-1,"")</f>
        <v/>
      </c>
      <c r="FI232" s="58">
        <f>IFERROR($BX232/$BX233-1,"")</f>
        <v/>
      </c>
      <c r="FJ232" s="59">
        <f>$BY232-$BY233</f>
        <v/>
      </c>
      <c r="FK232" s="59">
        <f>$BZ232-$BZ233</f>
        <v/>
      </c>
      <c r="FL232" s="59">
        <f>$CA232-$CA233</f>
        <v/>
      </c>
      <c r="FM232" s="59">
        <f>$CB232-$CB233</f>
        <v/>
      </c>
      <c r="FN232" s="59">
        <f>$CC232-$CC233</f>
        <v/>
      </c>
      <c r="FO232" s="59">
        <f>$CD232-$CD233</f>
        <v/>
      </c>
      <c r="FP232" s="59">
        <f>$CE232-$CE233</f>
        <v/>
      </c>
      <c r="FQ232" s="59">
        <f>$CF232-$CF233</f>
        <v/>
      </c>
      <c r="FR232" s="59">
        <f>$CG232-$CG233</f>
        <v/>
      </c>
      <c r="FS232" s="59">
        <f>$CH232-$CH233</f>
        <v/>
      </c>
      <c r="FT232" s="59">
        <f>$CI232-$CI233</f>
        <v/>
      </c>
      <c r="FU232" s="59">
        <f>$CJ232-$CJ233</f>
        <v/>
      </c>
      <c r="FV232" s="59">
        <f>$CK232-$CK233</f>
        <v/>
      </c>
      <c r="FW232" s="59">
        <f>$CL232-$CL233</f>
        <v/>
      </c>
      <c r="FX232" s="59">
        <f>$CM232-$CM233</f>
        <v/>
      </c>
      <c r="FY232" s="59">
        <f>$CN232-$CN233</f>
        <v/>
      </c>
      <c r="FZ232" s="59">
        <f>$CO232-$CO233</f>
        <v/>
      </c>
      <c r="GA232" s="59">
        <f>$CP232-$CP233</f>
        <v/>
      </c>
      <c r="GB232" s="59">
        <f>$CQ232-$CQ233</f>
        <v/>
      </c>
      <c r="GC232" s="59">
        <f>$CR232-$CR233</f>
        <v/>
      </c>
      <c r="GD232" s="59">
        <f>$CS232-$CS233</f>
        <v/>
      </c>
      <c r="GE232" s="59">
        <f>$CT232-$CT233</f>
        <v/>
      </c>
    </row>
    <row r="233">
      <c r="CU233" s="58">
        <f>IFERROR($B233/$B234-1,"")</f>
        <v/>
      </c>
      <c r="CV233" s="59">
        <f>($F233-$F234)*100</f>
        <v/>
      </c>
      <c r="CW233" s="59">
        <f>($E233-$E234)*100</f>
        <v/>
      </c>
      <c r="CX233" s="58">
        <f>IFERROR($K233/$K234-1,"")</f>
        <v/>
      </c>
      <c r="CY233" s="59">
        <f>($AH233-$AH234)*100</f>
        <v/>
      </c>
      <c r="CZ233" s="59">
        <f>($AI233-$AI234)*100</f>
        <v/>
      </c>
      <c r="DA233" s="59">
        <f>($AJ233-$AJ234)*100</f>
        <v/>
      </c>
      <c r="DB233" s="59">
        <f>($AK233-$AK234)*100</f>
        <v/>
      </c>
      <c r="DC233" s="59">
        <f>($AL233-$AL234)*100</f>
        <v/>
      </c>
      <c r="DD233" s="59">
        <f>($AM233-$AM234)*100</f>
        <v/>
      </c>
      <c r="DE233" s="59">
        <f>($AN233-$AN234)*100</f>
        <v/>
      </c>
      <c r="DF233" s="59">
        <f>($AO233-$AO234)*100</f>
        <v/>
      </c>
      <c r="DG233" s="59">
        <f>($AP233-$AP234)*100</f>
        <v/>
      </c>
      <c r="DH233" s="59">
        <f>($AQ233-$AQ234)*100</f>
        <v/>
      </c>
      <c r="DI233" s="59">
        <f>($AR233-$AR234)*100</f>
        <v/>
      </c>
      <c r="DJ233" s="59">
        <f>($AS233-$AS234)*100</f>
        <v/>
      </c>
      <c r="DK233" s="59">
        <f>($AT233-$AT234)*100</f>
        <v/>
      </c>
      <c r="DL233" s="59">
        <f>($AU233-$AU234)*100</f>
        <v/>
      </c>
      <c r="DM233" s="59">
        <f>($AV233-$AV234)*100</f>
        <v/>
      </c>
      <c r="DN233" s="59">
        <f>($AW233-$AW234)*100</f>
        <v/>
      </c>
      <c r="DO233" s="59">
        <f>($AX233-$AX234)*100</f>
        <v/>
      </c>
      <c r="DP233" s="59">
        <f>($AY233-$AY234)*100</f>
        <v/>
      </c>
      <c r="DQ233" s="59">
        <f>($AZ233-$AZ234)*100</f>
        <v/>
      </c>
      <c r="DR233" s="59">
        <f>($BA233-$BA234)*100</f>
        <v/>
      </c>
      <c r="DS233" s="58">
        <f>IFERROR($N234/$N233-1,"")</f>
        <v/>
      </c>
      <c r="DT233" s="58">
        <f>IFERROR($O234/$O233-1,"")</f>
        <v/>
      </c>
      <c r="DU233" s="58">
        <f>IFERROR($P234/$P233-1,"")</f>
        <v/>
      </c>
      <c r="DV233" s="58">
        <f>IFERROR($Q234/$Q233-1,"")</f>
        <v/>
      </c>
      <c r="DW233" s="58">
        <f>IFERROR($R234/$R233-1,"")</f>
        <v/>
      </c>
      <c r="DX233" s="58">
        <f>IFERROR($S234/$S233-1,"")</f>
        <v/>
      </c>
      <c r="DY233" s="58">
        <f>IFERROR($T234/$T233-1,"")</f>
        <v/>
      </c>
      <c r="DZ233" s="58">
        <f>IFERROR($U234/$U233-1,"")</f>
        <v/>
      </c>
      <c r="EA233" s="58">
        <f>IFERROR($V234/$V233-1,"")</f>
        <v/>
      </c>
      <c r="EB233" s="58">
        <f>IFERROR($W234/$W233-1,"")</f>
        <v/>
      </c>
      <c r="EC233" s="58">
        <f>IFERROR($X234/$X233-1,"")</f>
        <v/>
      </c>
      <c r="ED233" s="58">
        <f>IFERROR($Y234/$Y233-1,"")</f>
        <v/>
      </c>
      <c r="EE233" s="58">
        <f>IFERROR($Z234/$Z233-1,"")</f>
        <v/>
      </c>
      <c r="EF233" s="58">
        <f>IFERROR($AA234/$AA233-1,"")</f>
        <v/>
      </c>
      <c r="EG233" s="58">
        <f>IFERROR($AB234/$AB233-1,"")</f>
        <v/>
      </c>
      <c r="EH233" s="58">
        <f>IFERROR($AC234/$AC233-1,"")</f>
        <v/>
      </c>
      <c r="EI233" s="58">
        <f>IFERROR($AD234/$AD233-1,"")</f>
        <v/>
      </c>
      <c r="EJ233" s="58">
        <f>IFERROR($AE234/$AE233-1,"")</f>
        <v/>
      </c>
      <c r="EK233" s="58">
        <f>IFERROR($AF234/$AF233-1,"")</f>
        <v/>
      </c>
      <c r="EL233" s="58">
        <f>IFERROR($AG234/$AG233-1,"")</f>
        <v/>
      </c>
      <c r="EM233" s="58">
        <f>IFERROR($BB233/$BB234-1,"")</f>
        <v/>
      </c>
      <c r="EN233" s="58">
        <f>IFERROR($BC233/$BC234-1,"")</f>
        <v/>
      </c>
      <c r="EO233" s="58">
        <f>IFERROR($BD233/$BD234-1,"")</f>
        <v/>
      </c>
      <c r="EP233" s="58">
        <f>IFERROR($BE233/$BE234-1,"")</f>
        <v/>
      </c>
      <c r="EQ233" s="58">
        <f>IFERROR($BF233/$BF234-1,"")</f>
        <v/>
      </c>
      <c r="ER233" s="58">
        <f>IFERROR($BG233/$BG234-1,"")</f>
        <v/>
      </c>
      <c r="ES233" s="58">
        <f>IFERROR($BH233/$BH234-1,"")</f>
        <v/>
      </c>
      <c r="ET233" s="58">
        <f>IFERROR($BI233/$BI234-1,"")</f>
        <v/>
      </c>
      <c r="EU233" s="58">
        <f>IFERROR($BJ233/$BJ234-1,"")</f>
        <v/>
      </c>
      <c r="EV233" s="58">
        <f>IFERROR($BK233/$BK234-1,"")</f>
        <v/>
      </c>
      <c r="EW233" s="58">
        <f>IFERROR($BL233/$BL234-1,"")</f>
        <v/>
      </c>
      <c r="EX233" s="58">
        <f>IFERROR($BM233/$BM234-1,"")</f>
        <v/>
      </c>
      <c r="EY233" s="58">
        <f>IFERROR($BN233/$BN234-1,"")</f>
        <v/>
      </c>
      <c r="EZ233" s="58">
        <f>IFERROR($BO233/$BO234-1,"")</f>
        <v/>
      </c>
      <c r="FA233" s="58">
        <f>IFERROR($BP233/$BP234-1,"")</f>
        <v/>
      </c>
      <c r="FB233" s="58">
        <f>IFERROR($BQ233/$BQ234-1,"")</f>
        <v/>
      </c>
      <c r="FC233" s="58">
        <f>IFERROR($BR233/$BR234-1,"")</f>
        <v/>
      </c>
      <c r="FD233" s="58">
        <f>IFERROR($BS233/$BS234-1,"")</f>
        <v/>
      </c>
      <c r="FE233" s="58">
        <f>IFERROR($BT233/$BT234-1,"")</f>
        <v/>
      </c>
      <c r="FF233" s="58">
        <f>IFERROR($BU233/$BU234-1,"")</f>
        <v/>
      </c>
      <c r="FG233" s="58">
        <f>IFERROR($BV233/$BV234-1,"")</f>
        <v/>
      </c>
      <c r="FH233" s="58">
        <f>IFERROR($BW233/$BW234-1,"")</f>
        <v/>
      </c>
      <c r="FI233" s="58">
        <f>IFERROR($BX233/$BX234-1,"")</f>
        <v/>
      </c>
      <c r="FJ233" s="59">
        <f>$BY233-$BY234</f>
        <v/>
      </c>
      <c r="FK233" s="59">
        <f>$BZ233-$BZ234</f>
        <v/>
      </c>
      <c r="FL233" s="59">
        <f>$CA233-$CA234</f>
        <v/>
      </c>
      <c r="FM233" s="59">
        <f>$CB233-$CB234</f>
        <v/>
      </c>
      <c r="FN233" s="59">
        <f>$CC233-$CC234</f>
        <v/>
      </c>
      <c r="FO233" s="59">
        <f>$CD233-$CD234</f>
        <v/>
      </c>
      <c r="FP233" s="59">
        <f>$CE233-$CE234</f>
        <v/>
      </c>
      <c r="FQ233" s="59">
        <f>$CF233-$CF234</f>
        <v/>
      </c>
      <c r="FR233" s="59">
        <f>$CG233-$CG234</f>
        <v/>
      </c>
      <c r="FS233" s="59">
        <f>$CH233-$CH234</f>
        <v/>
      </c>
      <c r="FT233" s="59">
        <f>$CI233-$CI234</f>
        <v/>
      </c>
      <c r="FU233" s="59">
        <f>$CJ233-$CJ234</f>
        <v/>
      </c>
      <c r="FV233" s="59">
        <f>$CK233-$CK234</f>
        <v/>
      </c>
      <c r="FW233" s="59">
        <f>$CL233-$CL234</f>
        <v/>
      </c>
      <c r="FX233" s="59">
        <f>$CM233-$CM234</f>
        <v/>
      </c>
      <c r="FY233" s="59">
        <f>$CN233-$CN234</f>
        <v/>
      </c>
      <c r="FZ233" s="59">
        <f>$CO233-$CO234</f>
        <v/>
      </c>
      <c r="GA233" s="59">
        <f>$CP233-$CP234</f>
        <v/>
      </c>
      <c r="GB233" s="59">
        <f>$CQ233-$CQ234</f>
        <v/>
      </c>
      <c r="GC233" s="59">
        <f>$CR233-$CR234</f>
        <v/>
      </c>
      <c r="GD233" s="59">
        <f>$CS233-$CS234</f>
        <v/>
      </c>
      <c r="GE233" s="59">
        <f>$CT233-$CT234</f>
        <v/>
      </c>
    </row>
    <row r="234">
      <c r="CU234" s="58">
        <f>IFERROR($B234/$B235-1,"")</f>
        <v/>
      </c>
      <c r="CV234" s="59">
        <f>($F234-$F235)*100</f>
        <v/>
      </c>
      <c r="CW234" s="59">
        <f>($E234-$E235)*100</f>
        <v/>
      </c>
      <c r="CX234" s="58">
        <f>IFERROR($K234/$K235-1,"")</f>
        <v/>
      </c>
      <c r="CY234" s="59">
        <f>($AH234-$AH235)*100</f>
        <v/>
      </c>
      <c r="CZ234" s="59">
        <f>($AI234-$AI235)*100</f>
        <v/>
      </c>
      <c r="DA234" s="59">
        <f>($AJ234-$AJ235)*100</f>
        <v/>
      </c>
      <c r="DB234" s="59">
        <f>($AK234-$AK235)*100</f>
        <v/>
      </c>
      <c r="DC234" s="59">
        <f>($AL234-$AL235)*100</f>
        <v/>
      </c>
      <c r="DD234" s="59">
        <f>($AM234-$AM235)*100</f>
        <v/>
      </c>
      <c r="DE234" s="59">
        <f>($AN234-$AN235)*100</f>
        <v/>
      </c>
      <c r="DF234" s="59">
        <f>($AO234-$AO235)*100</f>
        <v/>
      </c>
      <c r="DG234" s="59">
        <f>($AP234-$AP235)*100</f>
        <v/>
      </c>
      <c r="DH234" s="59">
        <f>($AQ234-$AQ235)*100</f>
        <v/>
      </c>
      <c r="DI234" s="59">
        <f>($AR234-$AR235)*100</f>
        <v/>
      </c>
      <c r="DJ234" s="59">
        <f>($AS234-$AS235)*100</f>
        <v/>
      </c>
      <c r="DK234" s="59">
        <f>($AT234-$AT235)*100</f>
        <v/>
      </c>
      <c r="DL234" s="59">
        <f>($AU234-$AU235)*100</f>
        <v/>
      </c>
      <c r="DM234" s="59">
        <f>($AV234-$AV235)*100</f>
        <v/>
      </c>
      <c r="DN234" s="59">
        <f>($AW234-$AW235)*100</f>
        <v/>
      </c>
      <c r="DO234" s="59">
        <f>($AX234-$AX235)*100</f>
        <v/>
      </c>
      <c r="DP234" s="59">
        <f>($AY234-$AY235)*100</f>
        <v/>
      </c>
      <c r="DQ234" s="59">
        <f>($AZ234-$AZ235)*100</f>
        <v/>
      </c>
      <c r="DR234" s="59">
        <f>($BA234-$BA235)*100</f>
        <v/>
      </c>
      <c r="DS234" s="58">
        <f>IFERROR($N235/$N234-1,"")</f>
        <v/>
      </c>
      <c r="DT234" s="58">
        <f>IFERROR($O235/$O234-1,"")</f>
        <v/>
      </c>
      <c r="DU234" s="58">
        <f>IFERROR($P235/$P234-1,"")</f>
        <v/>
      </c>
      <c r="DV234" s="58">
        <f>IFERROR($Q235/$Q234-1,"")</f>
        <v/>
      </c>
      <c r="DW234" s="58">
        <f>IFERROR($R235/$R234-1,"")</f>
        <v/>
      </c>
      <c r="DX234" s="58">
        <f>IFERROR($S235/$S234-1,"")</f>
        <v/>
      </c>
      <c r="DY234" s="58">
        <f>IFERROR($T235/$T234-1,"")</f>
        <v/>
      </c>
      <c r="DZ234" s="58">
        <f>IFERROR($U235/$U234-1,"")</f>
        <v/>
      </c>
      <c r="EA234" s="58">
        <f>IFERROR($V235/$V234-1,"")</f>
        <v/>
      </c>
      <c r="EB234" s="58">
        <f>IFERROR($W235/$W234-1,"")</f>
        <v/>
      </c>
      <c r="EC234" s="58">
        <f>IFERROR($X235/$X234-1,"")</f>
        <v/>
      </c>
      <c r="ED234" s="58">
        <f>IFERROR($Y235/$Y234-1,"")</f>
        <v/>
      </c>
      <c r="EE234" s="58">
        <f>IFERROR($Z235/$Z234-1,"")</f>
        <v/>
      </c>
      <c r="EF234" s="58">
        <f>IFERROR($AA235/$AA234-1,"")</f>
        <v/>
      </c>
      <c r="EG234" s="58">
        <f>IFERROR($AB235/$AB234-1,"")</f>
        <v/>
      </c>
      <c r="EH234" s="58">
        <f>IFERROR($AC235/$AC234-1,"")</f>
        <v/>
      </c>
      <c r="EI234" s="58">
        <f>IFERROR($AD235/$AD234-1,"")</f>
        <v/>
      </c>
      <c r="EJ234" s="58">
        <f>IFERROR($AE235/$AE234-1,"")</f>
        <v/>
      </c>
      <c r="EK234" s="58">
        <f>IFERROR($AF235/$AF234-1,"")</f>
        <v/>
      </c>
      <c r="EL234" s="58">
        <f>IFERROR($AG235/$AG234-1,"")</f>
        <v/>
      </c>
      <c r="EM234" s="58">
        <f>IFERROR($BB234/$BB235-1,"")</f>
        <v/>
      </c>
      <c r="EN234" s="58">
        <f>IFERROR($BC234/$BC235-1,"")</f>
        <v/>
      </c>
      <c r="EO234" s="58">
        <f>IFERROR($BD234/$BD235-1,"")</f>
        <v/>
      </c>
      <c r="EP234" s="58">
        <f>IFERROR($BE234/$BE235-1,"")</f>
        <v/>
      </c>
      <c r="EQ234" s="58">
        <f>IFERROR($BF234/$BF235-1,"")</f>
        <v/>
      </c>
      <c r="ER234" s="58">
        <f>IFERROR($BG234/$BG235-1,"")</f>
        <v/>
      </c>
      <c r="ES234" s="58">
        <f>IFERROR($BH234/$BH235-1,"")</f>
        <v/>
      </c>
      <c r="ET234" s="58">
        <f>IFERROR($BI234/$BI235-1,"")</f>
        <v/>
      </c>
      <c r="EU234" s="58">
        <f>IFERROR($BJ234/$BJ235-1,"")</f>
        <v/>
      </c>
      <c r="EV234" s="58">
        <f>IFERROR($BK234/$BK235-1,"")</f>
        <v/>
      </c>
      <c r="EW234" s="58">
        <f>IFERROR($BL234/$BL235-1,"")</f>
        <v/>
      </c>
      <c r="EX234" s="58">
        <f>IFERROR($BM234/$BM235-1,"")</f>
        <v/>
      </c>
      <c r="EY234" s="58">
        <f>IFERROR($BN234/$BN235-1,"")</f>
        <v/>
      </c>
      <c r="EZ234" s="58">
        <f>IFERROR($BO234/$BO235-1,"")</f>
        <v/>
      </c>
      <c r="FA234" s="58">
        <f>IFERROR($BP234/$BP235-1,"")</f>
        <v/>
      </c>
      <c r="FB234" s="58">
        <f>IFERROR($BQ234/$BQ235-1,"")</f>
        <v/>
      </c>
      <c r="FC234" s="58">
        <f>IFERROR($BR234/$BR235-1,"")</f>
        <v/>
      </c>
      <c r="FD234" s="58">
        <f>IFERROR($BS234/$BS235-1,"")</f>
        <v/>
      </c>
      <c r="FE234" s="58">
        <f>IFERROR($BT234/$BT235-1,"")</f>
        <v/>
      </c>
      <c r="FF234" s="58">
        <f>IFERROR($BU234/$BU235-1,"")</f>
        <v/>
      </c>
      <c r="FG234" s="58">
        <f>IFERROR($BV234/$BV235-1,"")</f>
        <v/>
      </c>
      <c r="FH234" s="58">
        <f>IFERROR($BW234/$BW235-1,"")</f>
        <v/>
      </c>
      <c r="FI234" s="58">
        <f>IFERROR($BX234/$BX235-1,"")</f>
        <v/>
      </c>
      <c r="FJ234" s="59">
        <f>$BY234-$BY235</f>
        <v/>
      </c>
      <c r="FK234" s="59">
        <f>$BZ234-$BZ235</f>
        <v/>
      </c>
      <c r="FL234" s="59">
        <f>$CA234-$CA235</f>
        <v/>
      </c>
      <c r="FM234" s="59">
        <f>$CB234-$CB235</f>
        <v/>
      </c>
      <c r="FN234" s="59">
        <f>$CC234-$CC235</f>
        <v/>
      </c>
      <c r="FO234" s="59">
        <f>$CD234-$CD235</f>
        <v/>
      </c>
      <c r="FP234" s="59">
        <f>$CE234-$CE235</f>
        <v/>
      </c>
      <c r="FQ234" s="59">
        <f>$CF234-$CF235</f>
        <v/>
      </c>
      <c r="FR234" s="59">
        <f>$CG234-$CG235</f>
        <v/>
      </c>
      <c r="FS234" s="59">
        <f>$CH234-$CH235</f>
        <v/>
      </c>
      <c r="FT234" s="59">
        <f>$CI234-$CI235</f>
        <v/>
      </c>
      <c r="FU234" s="59">
        <f>$CJ234-$CJ235</f>
        <v/>
      </c>
      <c r="FV234" s="59">
        <f>$CK234-$CK235</f>
        <v/>
      </c>
      <c r="FW234" s="59">
        <f>$CL234-$CL235</f>
        <v/>
      </c>
      <c r="FX234" s="59">
        <f>$CM234-$CM235</f>
        <v/>
      </c>
      <c r="FY234" s="59">
        <f>$CN234-$CN235</f>
        <v/>
      </c>
      <c r="FZ234" s="59">
        <f>$CO234-$CO235</f>
        <v/>
      </c>
      <c r="GA234" s="59">
        <f>$CP234-$CP235</f>
        <v/>
      </c>
      <c r="GB234" s="59">
        <f>$CQ234-$CQ235</f>
        <v/>
      </c>
      <c r="GC234" s="59">
        <f>$CR234-$CR235</f>
        <v/>
      </c>
      <c r="GD234" s="59">
        <f>$CS234-$CS235</f>
        <v/>
      </c>
      <c r="GE234" s="59">
        <f>$CT234-$CT235</f>
        <v/>
      </c>
    </row>
    <row r="235">
      <c r="CU235" s="58">
        <f>IFERROR($B235/$B236-1,"")</f>
        <v/>
      </c>
      <c r="CV235" s="59">
        <f>($F235-$F236)*100</f>
        <v/>
      </c>
      <c r="CW235" s="59">
        <f>($E235-$E236)*100</f>
        <v/>
      </c>
      <c r="CX235" s="58">
        <f>IFERROR($K235/$K236-1,"")</f>
        <v/>
      </c>
      <c r="CY235" s="59">
        <f>($AH235-$AH236)*100</f>
        <v/>
      </c>
      <c r="CZ235" s="59">
        <f>($AI235-$AI236)*100</f>
        <v/>
      </c>
      <c r="DA235" s="59">
        <f>($AJ235-$AJ236)*100</f>
        <v/>
      </c>
      <c r="DB235" s="59">
        <f>($AK235-$AK236)*100</f>
        <v/>
      </c>
      <c r="DC235" s="59">
        <f>($AL235-$AL236)*100</f>
        <v/>
      </c>
      <c r="DD235" s="59">
        <f>($AM235-$AM236)*100</f>
        <v/>
      </c>
      <c r="DE235" s="59">
        <f>($AN235-$AN236)*100</f>
        <v/>
      </c>
      <c r="DF235" s="59">
        <f>($AO235-$AO236)*100</f>
        <v/>
      </c>
      <c r="DG235" s="59">
        <f>($AP235-$AP236)*100</f>
        <v/>
      </c>
      <c r="DH235" s="59">
        <f>($AQ235-$AQ236)*100</f>
        <v/>
      </c>
      <c r="DI235" s="59">
        <f>($AR235-$AR236)*100</f>
        <v/>
      </c>
      <c r="DJ235" s="59">
        <f>($AS235-$AS236)*100</f>
        <v/>
      </c>
      <c r="DK235" s="59">
        <f>($AT235-$AT236)*100</f>
        <v/>
      </c>
      <c r="DL235" s="59">
        <f>($AU235-$AU236)*100</f>
        <v/>
      </c>
      <c r="DM235" s="59">
        <f>($AV235-$AV236)*100</f>
        <v/>
      </c>
      <c r="DN235" s="59">
        <f>($AW235-$AW236)*100</f>
        <v/>
      </c>
      <c r="DO235" s="59">
        <f>($AX235-$AX236)*100</f>
        <v/>
      </c>
      <c r="DP235" s="59">
        <f>($AY235-$AY236)*100</f>
        <v/>
      </c>
      <c r="DQ235" s="59">
        <f>($AZ235-$AZ236)*100</f>
        <v/>
      </c>
      <c r="DR235" s="59">
        <f>($BA235-$BA236)*100</f>
        <v/>
      </c>
      <c r="DS235" s="58">
        <f>IFERROR($N236/$N235-1,"")</f>
        <v/>
      </c>
      <c r="DT235" s="58">
        <f>IFERROR($O236/$O235-1,"")</f>
        <v/>
      </c>
      <c r="DU235" s="58">
        <f>IFERROR($P236/$P235-1,"")</f>
        <v/>
      </c>
      <c r="DV235" s="58">
        <f>IFERROR($Q236/$Q235-1,"")</f>
        <v/>
      </c>
      <c r="DW235" s="58">
        <f>IFERROR($R236/$R235-1,"")</f>
        <v/>
      </c>
      <c r="DX235" s="58">
        <f>IFERROR($S236/$S235-1,"")</f>
        <v/>
      </c>
      <c r="DY235" s="58">
        <f>IFERROR($T236/$T235-1,"")</f>
        <v/>
      </c>
      <c r="DZ235" s="58">
        <f>IFERROR($U236/$U235-1,"")</f>
        <v/>
      </c>
      <c r="EA235" s="58">
        <f>IFERROR($V236/$V235-1,"")</f>
        <v/>
      </c>
      <c r="EB235" s="58">
        <f>IFERROR($W236/$W235-1,"")</f>
        <v/>
      </c>
      <c r="EC235" s="58">
        <f>IFERROR($X236/$X235-1,"")</f>
        <v/>
      </c>
      <c r="ED235" s="58">
        <f>IFERROR($Y236/$Y235-1,"")</f>
        <v/>
      </c>
      <c r="EE235" s="58">
        <f>IFERROR($Z236/$Z235-1,"")</f>
        <v/>
      </c>
      <c r="EF235" s="58">
        <f>IFERROR($AA236/$AA235-1,"")</f>
        <v/>
      </c>
      <c r="EG235" s="58">
        <f>IFERROR($AB236/$AB235-1,"")</f>
        <v/>
      </c>
      <c r="EH235" s="58">
        <f>IFERROR($AC236/$AC235-1,"")</f>
        <v/>
      </c>
      <c r="EI235" s="58">
        <f>IFERROR($AD236/$AD235-1,"")</f>
        <v/>
      </c>
      <c r="EJ235" s="58">
        <f>IFERROR($AE236/$AE235-1,"")</f>
        <v/>
      </c>
      <c r="EK235" s="58">
        <f>IFERROR($AF236/$AF235-1,"")</f>
        <v/>
      </c>
      <c r="EL235" s="58">
        <f>IFERROR($AG236/$AG235-1,"")</f>
        <v/>
      </c>
      <c r="EM235" s="58">
        <f>IFERROR($BB235/$BB236-1,"")</f>
        <v/>
      </c>
      <c r="EN235" s="58">
        <f>IFERROR($BC235/$BC236-1,"")</f>
        <v/>
      </c>
      <c r="EO235" s="58">
        <f>IFERROR($BD235/$BD236-1,"")</f>
        <v/>
      </c>
      <c r="EP235" s="58">
        <f>IFERROR($BE235/$BE236-1,"")</f>
        <v/>
      </c>
      <c r="EQ235" s="58">
        <f>IFERROR($BF235/$BF236-1,"")</f>
        <v/>
      </c>
      <c r="ER235" s="58">
        <f>IFERROR($BG235/$BG236-1,"")</f>
        <v/>
      </c>
      <c r="ES235" s="58">
        <f>IFERROR($BH235/$BH236-1,"")</f>
        <v/>
      </c>
      <c r="ET235" s="58">
        <f>IFERROR($BI235/$BI236-1,"")</f>
        <v/>
      </c>
      <c r="EU235" s="58">
        <f>IFERROR($BJ235/$BJ236-1,"")</f>
        <v/>
      </c>
      <c r="EV235" s="58">
        <f>IFERROR($BK235/$BK236-1,"")</f>
        <v/>
      </c>
      <c r="EW235" s="58">
        <f>IFERROR($BL235/$BL236-1,"")</f>
        <v/>
      </c>
      <c r="EX235" s="58">
        <f>IFERROR($BM235/$BM236-1,"")</f>
        <v/>
      </c>
      <c r="EY235" s="58">
        <f>IFERROR($BN235/$BN236-1,"")</f>
        <v/>
      </c>
      <c r="EZ235" s="58">
        <f>IFERROR($BO235/$BO236-1,"")</f>
        <v/>
      </c>
      <c r="FA235" s="58">
        <f>IFERROR($BP235/$BP236-1,"")</f>
        <v/>
      </c>
      <c r="FB235" s="58">
        <f>IFERROR($BQ235/$BQ236-1,"")</f>
        <v/>
      </c>
      <c r="FC235" s="58">
        <f>IFERROR($BR235/$BR236-1,"")</f>
        <v/>
      </c>
      <c r="FD235" s="58">
        <f>IFERROR($BS235/$BS236-1,"")</f>
        <v/>
      </c>
      <c r="FE235" s="58">
        <f>IFERROR($BT235/$BT236-1,"")</f>
        <v/>
      </c>
      <c r="FF235" s="58">
        <f>IFERROR($BU235/$BU236-1,"")</f>
        <v/>
      </c>
      <c r="FG235" s="58">
        <f>IFERROR($BV235/$BV236-1,"")</f>
        <v/>
      </c>
      <c r="FH235" s="58">
        <f>IFERROR($BW235/$BW236-1,"")</f>
        <v/>
      </c>
      <c r="FI235" s="58">
        <f>IFERROR($BX235/$BX236-1,"")</f>
        <v/>
      </c>
      <c r="FJ235" s="59">
        <f>$BY235-$BY236</f>
        <v/>
      </c>
      <c r="FK235" s="59">
        <f>$BZ235-$BZ236</f>
        <v/>
      </c>
      <c r="FL235" s="59">
        <f>$CA235-$CA236</f>
        <v/>
      </c>
      <c r="FM235" s="59">
        <f>$CB235-$CB236</f>
        <v/>
      </c>
      <c r="FN235" s="59">
        <f>$CC235-$CC236</f>
        <v/>
      </c>
      <c r="FO235" s="59">
        <f>$CD235-$CD236</f>
        <v/>
      </c>
      <c r="FP235" s="59">
        <f>$CE235-$CE236</f>
        <v/>
      </c>
      <c r="FQ235" s="59">
        <f>$CF235-$CF236</f>
        <v/>
      </c>
      <c r="FR235" s="59">
        <f>$CG235-$CG236</f>
        <v/>
      </c>
      <c r="FS235" s="59">
        <f>$CH235-$CH236</f>
        <v/>
      </c>
      <c r="FT235" s="59">
        <f>$CI235-$CI236</f>
        <v/>
      </c>
      <c r="FU235" s="59">
        <f>$CJ235-$CJ236</f>
        <v/>
      </c>
      <c r="FV235" s="59">
        <f>$CK235-$CK236</f>
        <v/>
      </c>
      <c r="FW235" s="59">
        <f>$CL235-$CL236</f>
        <v/>
      </c>
      <c r="FX235" s="59">
        <f>$CM235-$CM236</f>
        <v/>
      </c>
      <c r="FY235" s="59">
        <f>$CN235-$CN236</f>
        <v/>
      </c>
      <c r="FZ235" s="59">
        <f>$CO235-$CO236</f>
        <v/>
      </c>
      <c r="GA235" s="59">
        <f>$CP235-$CP236</f>
        <v/>
      </c>
      <c r="GB235" s="59">
        <f>$CQ235-$CQ236</f>
        <v/>
      </c>
      <c r="GC235" s="59">
        <f>$CR235-$CR236</f>
        <v/>
      </c>
      <c r="GD235" s="59">
        <f>$CS235-$CS236</f>
        <v/>
      </c>
      <c r="GE235" s="59">
        <f>$CT235-$CT236</f>
        <v/>
      </c>
    </row>
    <row r="236">
      <c r="CU236" s="58">
        <f>IFERROR($B236/$B237-1,"")</f>
        <v/>
      </c>
      <c r="CV236" s="59">
        <f>($F236-$F237)*100</f>
        <v/>
      </c>
      <c r="CW236" s="59">
        <f>($E236-$E237)*100</f>
        <v/>
      </c>
      <c r="CX236" s="58">
        <f>IFERROR($K236/$K237-1,"")</f>
        <v/>
      </c>
      <c r="CY236" s="59">
        <f>($AH236-$AH237)*100</f>
        <v/>
      </c>
      <c r="CZ236" s="59">
        <f>($AI236-$AI237)*100</f>
        <v/>
      </c>
      <c r="DA236" s="59">
        <f>($AJ236-$AJ237)*100</f>
        <v/>
      </c>
      <c r="DB236" s="59">
        <f>($AK236-$AK237)*100</f>
        <v/>
      </c>
      <c r="DC236" s="59">
        <f>($AL236-$AL237)*100</f>
        <v/>
      </c>
      <c r="DD236" s="59">
        <f>($AM236-$AM237)*100</f>
        <v/>
      </c>
      <c r="DE236" s="59">
        <f>($AN236-$AN237)*100</f>
        <v/>
      </c>
      <c r="DF236" s="59">
        <f>($AO236-$AO237)*100</f>
        <v/>
      </c>
      <c r="DG236" s="59">
        <f>($AP236-$AP237)*100</f>
        <v/>
      </c>
      <c r="DH236" s="59">
        <f>($AQ236-$AQ237)*100</f>
        <v/>
      </c>
      <c r="DI236" s="59">
        <f>($AR236-$AR237)*100</f>
        <v/>
      </c>
      <c r="DJ236" s="59">
        <f>($AS236-$AS237)*100</f>
        <v/>
      </c>
      <c r="DK236" s="59">
        <f>($AT236-$AT237)*100</f>
        <v/>
      </c>
      <c r="DL236" s="59">
        <f>($AU236-$AU237)*100</f>
        <v/>
      </c>
      <c r="DM236" s="59">
        <f>($AV236-$AV237)*100</f>
        <v/>
      </c>
      <c r="DN236" s="59">
        <f>($AW236-$AW237)*100</f>
        <v/>
      </c>
      <c r="DO236" s="59">
        <f>($AX236-$AX237)*100</f>
        <v/>
      </c>
      <c r="DP236" s="59">
        <f>($AY236-$AY237)*100</f>
        <v/>
      </c>
      <c r="DQ236" s="59">
        <f>($AZ236-$AZ237)*100</f>
        <v/>
      </c>
      <c r="DR236" s="59">
        <f>($BA236-$BA237)*100</f>
        <v/>
      </c>
      <c r="DS236" s="58">
        <f>IFERROR($N237/$N236-1,"")</f>
        <v/>
      </c>
      <c r="DT236" s="58">
        <f>IFERROR($O237/$O236-1,"")</f>
        <v/>
      </c>
      <c r="DU236" s="58">
        <f>IFERROR($P237/$P236-1,"")</f>
        <v/>
      </c>
      <c r="DV236" s="58">
        <f>IFERROR($Q237/$Q236-1,"")</f>
        <v/>
      </c>
      <c r="DW236" s="58">
        <f>IFERROR($R237/$R236-1,"")</f>
        <v/>
      </c>
      <c r="DX236" s="58">
        <f>IFERROR($S237/$S236-1,"")</f>
        <v/>
      </c>
      <c r="DY236" s="58">
        <f>IFERROR($T237/$T236-1,"")</f>
        <v/>
      </c>
      <c r="DZ236" s="58">
        <f>IFERROR($U237/$U236-1,"")</f>
        <v/>
      </c>
      <c r="EA236" s="58">
        <f>IFERROR($V237/$V236-1,"")</f>
        <v/>
      </c>
      <c r="EB236" s="58">
        <f>IFERROR($W237/$W236-1,"")</f>
        <v/>
      </c>
      <c r="EC236" s="58">
        <f>IFERROR($X237/$X236-1,"")</f>
        <v/>
      </c>
      <c r="ED236" s="58">
        <f>IFERROR($Y237/$Y236-1,"")</f>
        <v/>
      </c>
      <c r="EE236" s="58">
        <f>IFERROR($Z237/$Z236-1,"")</f>
        <v/>
      </c>
      <c r="EF236" s="58">
        <f>IFERROR($AA237/$AA236-1,"")</f>
        <v/>
      </c>
      <c r="EG236" s="58">
        <f>IFERROR($AB237/$AB236-1,"")</f>
        <v/>
      </c>
      <c r="EH236" s="58">
        <f>IFERROR($AC237/$AC236-1,"")</f>
        <v/>
      </c>
      <c r="EI236" s="58">
        <f>IFERROR($AD237/$AD236-1,"")</f>
        <v/>
      </c>
      <c r="EJ236" s="58">
        <f>IFERROR($AE237/$AE236-1,"")</f>
        <v/>
      </c>
      <c r="EK236" s="58">
        <f>IFERROR($AF237/$AF236-1,"")</f>
        <v/>
      </c>
      <c r="EL236" s="58">
        <f>IFERROR($AG237/$AG236-1,"")</f>
        <v/>
      </c>
      <c r="EM236" s="58">
        <f>IFERROR($BB236/$BB237-1,"")</f>
        <v/>
      </c>
      <c r="EN236" s="58">
        <f>IFERROR($BC236/$BC237-1,"")</f>
        <v/>
      </c>
      <c r="EO236" s="58">
        <f>IFERROR($BD236/$BD237-1,"")</f>
        <v/>
      </c>
      <c r="EP236" s="58">
        <f>IFERROR($BE236/$BE237-1,"")</f>
        <v/>
      </c>
      <c r="EQ236" s="58">
        <f>IFERROR($BF236/$BF237-1,"")</f>
        <v/>
      </c>
      <c r="ER236" s="58">
        <f>IFERROR($BG236/$BG237-1,"")</f>
        <v/>
      </c>
      <c r="ES236" s="58">
        <f>IFERROR($BH236/$BH237-1,"")</f>
        <v/>
      </c>
      <c r="ET236" s="58">
        <f>IFERROR($BI236/$BI237-1,"")</f>
        <v/>
      </c>
      <c r="EU236" s="58">
        <f>IFERROR($BJ236/$BJ237-1,"")</f>
        <v/>
      </c>
      <c r="EV236" s="58">
        <f>IFERROR($BK236/$BK237-1,"")</f>
        <v/>
      </c>
      <c r="EW236" s="58">
        <f>IFERROR($BL236/$BL237-1,"")</f>
        <v/>
      </c>
      <c r="EX236" s="58">
        <f>IFERROR($BM236/$BM237-1,"")</f>
        <v/>
      </c>
      <c r="EY236" s="58">
        <f>IFERROR($BN236/$BN237-1,"")</f>
        <v/>
      </c>
      <c r="EZ236" s="58">
        <f>IFERROR($BO236/$BO237-1,"")</f>
        <v/>
      </c>
      <c r="FA236" s="58">
        <f>IFERROR($BP236/$BP237-1,"")</f>
        <v/>
      </c>
      <c r="FB236" s="58">
        <f>IFERROR($BQ236/$BQ237-1,"")</f>
        <v/>
      </c>
      <c r="FC236" s="58">
        <f>IFERROR($BR236/$BR237-1,"")</f>
        <v/>
      </c>
      <c r="FD236" s="58">
        <f>IFERROR($BS236/$BS237-1,"")</f>
        <v/>
      </c>
      <c r="FE236" s="58">
        <f>IFERROR($BT236/$BT237-1,"")</f>
        <v/>
      </c>
      <c r="FF236" s="58">
        <f>IFERROR($BU236/$BU237-1,"")</f>
        <v/>
      </c>
      <c r="FG236" s="58">
        <f>IFERROR($BV236/$BV237-1,"")</f>
        <v/>
      </c>
      <c r="FH236" s="58">
        <f>IFERROR($BW236/$BW237-1,"")</f>
        <v/>
      </c>
      <c r="FI236" s="58">
        <f>IFERROR($BX236/$BX237-1,"")</f>
        <v/>
      </c>
      <c r="FJ236" s="59">
        <f>$BY236-$BY237</f>
        <v/>
      </c>
      <c r="FK236" s="59">
        <f>$BZ236-$BZ237</f>
        <v/>
      </c>
      <c r="FL236" s="59">
        <f>$CA236-$CA237</f>
        <v/>
      </c>
      <c r="FM236" s="59">
        <f>$CB236-$CB237</f>
        <v/>
      </c>
      <c r="FN236" s="59">
        <f>$CC236-$CC237</f>
        <v/>
      </c>
      <c r="FO236" s="59">
        <f>$CD236-$CD237</f>
        <v/>
      </c>
      <c r="FP236" s="59">
        <f>$CE236-$CE237</f>
        <v/>
      </c>
      <c r="FQ236" s="59">
        <f>$CF236-$CF237</f>
        <v/>
      </c>
      <c r="FR236" s="59">
        <f>$CG236-$CG237</f>
        <v/>
      </c>
      <c r="FS236" s="59">
        <f>$CH236-$CH237</f>
        <v/>
      </c>
      <c r="FT236" s="59">
        <f>$CI236-$CI237</f>
        <v/>
      </c>
      <c r="FU236" s="59">
        <f>$CJ236-$CJ237</f>
        <v/>
      </c>
      <c r="FV236" s="59">
        <f>$CK236-$CK237</f>
        <v/>
      </c>
      <c r="FW236" s="59">
        <f>$CL236-$CL237</f>
        <v/>
      </c>
      <c r="FX236" s="59">
        <f>$CM236-$CM237</f>
        <v/>
      </c>
      <c r="FY236" s="59">
        <f>$CN236-$CN237</f>
        <v/>
      </c>
      <c r="FZ236" s="59">
        <f>$CO236-$CO237</f>
        <v/>
      </c>
      <c r="GA236" s="59">
        <f>$CP236-$CP237</f>
        <v/>
      </c>
      <c r="GB236" s="59">
        <f>$CQ236-$CQ237</f>
        <v/>
      </c>
      <c r="GC236" s="59">
        <f>$CR236-$CR237</f>
        <v/>
      </c>
      <c r="GD236" s="59">
        <f>$CS236-$CS237</f>
        <v/>
      </c>
      <c r="GE236" s="59">
        <f>$CT236-$CT237</f>
        <v/>
      </c>
    </row>
    <row r="237">
      <c r="CU237" s="58">
        <f>IFERROR($B237/$B238-1,"")</f>
        <v/>
      </c>
      <c r="CV237" s="59">
        <f>($F237-$F238)*100</f>
        <v/>
      </c>
      <c r="CW237" s="59">
        <f>($E237-$E238)*100</f>
        <v/>
      </c>
      <c r="CX237" s="58">
        <f>IFERROR($K237/$K238-1,"")</f>
        <v/>
      </c>
      <c r="CY237" s="59">
        <f>($AH237-$AH238)*100</f>
        <v/>
      </c>
      <c r="CZ237" s="59">
        <f>($AI237-$AI238)*100</f>
        <v/>
      </c>
      <c r="DA237" s="59">
        <f>($AJ237-$AJ238)*100</f>
        <v/>
      </c>
      <c r="DB237" s="59">
        <f>($AK237-$AK238)*100</f>
        <v/>
      </c>
      <c r="DC237" s="59">
        <f>($AL237-$AL238)*100</f>
        <v/>
      </c>
      <c r="DD237" s="59">
        <f>($AM237-$AM238)*100</f>
        <v/>
      </c>
      <c r="DE237" s="59">
        <f>($AN237-$AN238)*100</f>
        <v/>
      </c>
      <c r="DF237" s="59">
        <f>($AO237-$AO238)*100</f>
        <v/>
      </c>
      <c r="DG237" s="59">
        <f>($AP237-$AP238)*100</f>
        <v/>
      </c>
      <c r="DH237" s="59">
        <f>($AQ237-$AQ238)*100</f>
        <v/>
      </c>
      <c r="DI237" s="59">
        <f>($AR237-$AR238)*100</f>
        <v/>
      </c>
      <c r="DJ237" s="59">
        <f>($AS237-$AS238)*100</f>
        <v/>
      </c>
      <c r="DK237" s="59">
        <f>($AT237-$AT238)*100</f>
        <v/>
      </c>
      <c r="DL237" s="59">
        <f>($AU237-$AU238)*100</f>
        <v/>
      </c>
      <c r="DM237" s="59">
        <f>($AV237-$AV238)*100</f>
        <v/>
      </c>
      <c r="DN237" s="59">
        <f>($AW237-$AW238)*100</f>
        <v/>
      </c>
      <c r="DO237" s="59">
        <f>($AX237-$AX238)*100</f>
        <v/>
      </c>
      <c r="DP237" s="59">
        <f>($AY237-$AY238)*100</f>
        <v/>
      </c>
      <c r="DQ237" s="59">
        <f>($AZ237-$AZ238)*100</f>
        <v/>
      </c>
      <c r="DR237" s="59">
        <f>($BA237-$BA238)*100</f>
        <v/>
      </c>
      <c r="DS237" s="58">
        <f>IFERROR($N238/$N237-1,"")</f>
        <v/>
      </c>
      <c r="DT237" s="58">
        <f>IFERROR($O238/$O237-1,"")</f>
        <v/>
      </c>
      <c r="DU237" s="58">
        <f>IFERROR($P238/$P237-1,"")</f>
        <v/>
      </c>
      <c r="DV237" s="58">
        <f>IFERROR($Q238/$Q237-1,"")</f>
        <v/>
      </c>
      <c r="DW237" s="58">
        <f>IFERROR($R238/$R237-1,"")</f>
        <v/>
      </c>
      <c r="DX237" s="58">
        <f>IFERROR($S238/$S237-1,"")</f>
        <v/>
      </c>
      <c r="DY237" s="58">
        <f>IFERROR($T238/$T237-1,"")</f>
        <v/>
      </c>
      <c r="DZ237" s="58">
        <f>IFERROR($U238/$U237-1,"")</f>
        <v/>
      </c>
      <c r="EA237" s="58">
        <f>IFERROR($V238/$V237-1,"")</f>
        <v/>
      </c>
      <c r="EB237" s="58">
        <f>IFERROR($W238/$W237-1,"")</f>
        <v/>
      </c>
      <c r="EC237" s="58">
        <f>IFERROR($X238/$X237-1,"")</f>
        <v/>
      </c>
      <c r="ED237" s="58">
        <f>IFERROR($Y238/$Y237-1,"")</f>
        <v/>
      </c>
      <c r="EE237" s="58">
        <f>IFERROR($Z238/$Z237-1,"")</f>
        <v/>
      </c>
      <c r="EF237" s="58">
        <f>IFERROR($AA238/$AA237-1,"")</f>
        <v/>
      </c>
      <c r="EG237" s="58">
        <f>IFERROR($AB238/$AB237-1,"")</f>
        <v/>
      </c>
      <c r="EH237" s="58">
        <f>IFERROR($AC238/$AC237-1,"")</f>
        <v/>
      </c>
      <c r="EI237" s="58">
        <f>IFERROR($AD238/$AD237-1,"")</f>
        <v/>
      </c>
      <c r="EJ237" s="58">
        <f>IFERROR($AE238/$AE237-1,"")</f>
        <v/>
      </c>
      <c r="EK237" s="58">
        <f>IFERROR($AF238/$AF237-1,"")</f>
        <v/>
      </c>
      <c r="EL237" s="58">
        <f>IFERROR($AG238/$AG237-1,"")</f>
        <v/>
      </c>
      <c r="EM237" s="58">
        <f>IFERROR($BB237/$BB238-1,"")</f>
        <v/>
      </c>
      <c r="EN237" s="58">
        <f>IFERROR($BC237/$BC238-1,"")</f>
        <v/>
      </c>
      <c r="EO237" s="58">
        <f>IFERROR($BD237/$BD238-1,"")</f>
        <v/>
      </c>
      <c r="EP237" s="58">
        <f>IFERROR($BE237/$BE238-1,"")</f>
        <v/>
      </c>
      <c r="EQ237" s="58">
        <f>IFERROR($BF237/$BF238-1,"")</f>
        <v/>
      </c>
      <c r="ER237" s="58">
        <f>IFERROR($BG237/$BG238-1,"")</f>
        <v/>
      </c>
      <c r="ES237" s="58">
        <f>IFERROR($BH237/$BH238-1,"")</f>
        <v/>
      </c>
      <c r="ET237" s="58">
        <f>IFERROR($BI237/$BI238-1,"")</f>
        <v/>
      </c>
      <c r="EU237" s="58">
        <f>IFERROR($BJ237/$BJ238-1,"")</f>
        <v/>
      </c>
      <c r="EV237" s="58">
        <f>IFERROR($BK237/$BK238-1,"")</f>
        <v/>
      </c>
      <c r="EW237" s="58">
        <f>IFERROR($BL237/$BL238-1,"")</f>
        <v/>
      </c>
      <c r="EX237" s="58">
        <f>IFERROR($BM237/$BM238-1,"")</f>
        <v/>
      </c>
      <c r="EY237" s="58">
        <f>IFERROR($BN237/$BN238-1,"")</f>
        <v/>
      </c>
      <c r="EZ237" s="58">
        <f>IFERROR($BO237/$BO238-1,"")</f>
        <v/>
      </c>
      <c r="FA237" s="58">
        <f>IFERROR($BP237/$BP238-1,"")</f>
        <v/>
      </c>
      <c r="FB237" s="58">
        <f>IFERROR($BQ237/$BQ238-1,"")</f>
        <v/>
      </c>
      <c r="FC237" s="58">
        <f>IFERROR($BR237/$BR238-1,"")</f>
        <v/>
      </c>
      <c r="FD237" s="58">
        <f>IFERROR($BS237/$BS238-1,"")</f>
        <v/>
      </c>
      <c r="FE237" s="58">
        <f>IFERROR($BT237/$BT238-1,"")</f>
        <v/>
      </c>
      <c r="FF237" s="58">
        <f>IFERROR($BU237/$BU238-1,"")</f>
        <v/>
      </c>
      <c r="FG237" s="58">
        <f>IFERROR($BV237/$BV238-1,"")</f>
        <v/>
      </c>
      <c r="FH237" s="58">
        <f>IFERROR($BW237/$BW238-1,"")</f>
        <v/>
      </c>
      <c r="FI237" s="58">
        <f>IFERROR($BX237/$BX238-1,"")</f>
        <v/>
      </c>
      <c r="FJ237" s="59">
        <f>$BY237-$BY238</f>
        <v/>
      </c>
      <c r="FK237" s="59">
        <f>$BZ237-$BZ238</f>
        <v/>
      </c>
      <c r="FL237" s="59">
        <f>$CA237-$CA238</f>
        <v/>
      </c>
      <c r="FM237" s="59">
        <f>$CB237-$CB238</f>
        <v/>
      </c>
      <c r="FN237" s="59">
        <f>$CC237-$CC238</f>
        <v/>
      </c>
      <c r="FO237" s="59">
        <f>$CD237-$CD238</f>
        <v/>
      </c>
      <c r="FP237" s="59">
        <f>$CE237-$CE238</f>
        <v/>
      </c>
      <c r="FQ237" s="59">
        <f>$CF237-$CF238</f>
        <v/>
      </c>
      <c r="FR237" s="59">
        <f>$CG237-$CG238</f>
        <v/>
      </c>
      <c r="FS237" s="59">
        <f>$CH237-$CH238</f>
        <v/>
      </c>
      <c r="FT237" s="59">
        <f>$CI237-$CI238</f>
        <v/>
      </c>
      <c r="FU237" s="59">
        <f>$CJ237-$CJ238</f>
        <v/>
      </c>
      <c r="FV237" s="59">
        <f>$CK237-$CK238</f>
        <v/>
      </c>
      <c r="FW237" s="59">
        <f>$CL237-$CL238</f>
        <v/>
      </c>
      <c r="FX237" s="59">
        <f>$CM237-$CM238</f>
        <v/>
      </c>
      <c r="FY237" s="59">
        <f>$CN237-$CN238</f>
        <v/>
      </c>
      <c r="FZ237" s="59">
        <f>$CO237-$CO238</f>
        <v/>
      </c>
      <c r="GA237" s="59">
        <f>$CP237-$CP238</f>
        <v/>
      </c>
      <c r="GB237" s="59">
        <f>$CQ237-$CQ238</f>
        <v/>
      </c>
      <c r="GC237" s="59">
        <f>$CR237-$CR238</f>
        <v/>
      </c>
      <c r="GD237" s="59">
        <f>$CS237-$CS238</f>
        <v/>
      </c>
      <c r="GE237" s="59">
        <f>$CT237-$CT238</f>
        <v/>
      </c>
    </row>
    <row r="238">
      <c r="CU238" s="58">
        <f>IFERROR($B238/$B239-1,"")</f>
        <v/>
      </c>
      <c r="CV238" s="59">
        <f>($F238-$F239)*100</f>
        <v/>
      </c>
      <c r="CW238" s="59">
        <f>($E238-$E239)*100</f>
        <v/>
      </c>
      <c r="CX238" s="58">
        <f>IFERROR($K238/$K239-1,"")</f>
        <v/>
      </c>
      <c r="CY238" s="59">
        <f>($AH238-$AH239)*100</f>
        <v/>
      </c>
      <c r="CZ238" s="59">
        <f>($AI238-$AI239)*100</f>
        <v/>
      </c>
      <c r="DA238" s="59">
        <f>($AJ238-$AJ239)*100</f>
        <v/>
      </c>
      <c r="DB238" s="59">
        <f>($AK238-$AK239)*100</f>
        <v/>
      </c>
      <c r="DC238" s="59">
        <f>($AL238-$AL239)*100</f>
        <v/>
      </c>
      <c r="DD238" s="59">
        <f>($AM238-$AM239)*100</f>
        <v/>
      </c>
      <c r="DE238" s="59">
        <f>($AN238-$AN239)*100</f>
        <v/>
      </c>
      <c r="DF238" s="59">
        <f>($AO238-$AO239)*100</f>
        <v/>
      </c>
      <c r="DG238" s="59">
        <f>($AP238-$AP239)*100</f>
        <v/>
      </c>
      <c r="DH238" s="59">
        <f>($AQ238-$AQ239)*100</f>
        <v/>
      </c>
      <c r="DI238" s="59">
        <f>($AR238-$AR239)*100</f>
        <v/>
      </c>
      <c r="DJ238" s="59">
        <f>($AS238-$AS239)*100</f>
        <v/>
      </c>
      <c r="DK238" s="59">
        <f>($AT238-$AT239)*100</f>
        <v/>
      </c>
      <c r="DL238" s="59">
        <f>($AU238-$AU239)*100</f>
        <v/>
      </c>
      <c r="DM238" s="59">
        <f>($AV238-$AV239)*100</f>
        <v/>
      </c>
      <c r="DN238" s="59">
        <f>($AW238-$AW239)*100</f>
        <v/>
      </c>
      <c r="DO238" s="59">
        <f>($AX238-$AX239)*100</f>
        <v/>
      </c>
      <c r="DP238" s="59">
        <f>($AY238-$AY239)*100</f>
        <v/>
      </c>
      <c r="DQ238" s="59">
        <f>($AZ238-$AZ239)*100</f>
        <v/>
      </c>
      <c r="DR238" s="59">
        <f>($BA238-$BA239)*100</f>
        <v/>
      </c>
      <c r="DS238" s="58">
        <f>IFERROR($N239/$N238-1,"")</f>
        <v/>
      </c>
      <c r="DT238" s="58">
        <f>IFERROR($O239/$O238-1,"")</f>
        <v/>
      </c>
      <c r="DU238" s="58">
        <f>IFERROR($P239/$P238-1,"")</f>
        <v/>
      </c>
      <c r="DV238" s="58">
        <f>IFERROR($Q239/$Q238-1,"")</f>
        <v/>
      </c>
      <c r="DW238" s="58">
        <f>IFERROR($R239/$R238-1,"")</f>
        <v/>
      </c>
      <c r="DX238" s="58">
        <f>IFERROR($S239/$S238-1,"")</f>
        <v/>
      </c>
      <c r="DY238" s="58">
        <f>IFERROR($T239/$T238-1,"")</f>
        <v/>
      </c>
      <c r="DZ238" s="58">
        <f>IFERROR($U239/$U238-1,"")</f>
        <v/>
      </c>
      <c r="EA238" s="58">
        <f>IFERROR($V239/$V238-1,"")</f>
        <v/>
      </c>
      <c r="EB238" s="58">
        <f>IFERROR($W239/$W238-1,"")</f>
        <v/>
      </c>
      <c r="EC238" s="58">
        <f>IFERROR($X239/$X238-1,"")</f>
        <v/>
      </c>
      <c r="ED238" s="58">
        <f>IFERROR($Y239/$Y238-1,"")</f>
        <v/>
      </c>
      <c r="EE238" s="58">
        <f>IFERROR($Z239/$Z238-1,"")</f>
        <v/>
      </c>
      <c r="EF238" s="58">
        <f>IFERROR($AA239/$AA238-1,"")</f>
        <v/>
      </c>
      <c r="EG238" s="58">
        <f>IFERROR($AB239/$AB238-1,"")</f>
        <v/>
      </c>
      <c r="EH238" s="58">
        <f>IFERROR($AC239/$AC238-1,"")</f>
        <v/>
      </c>
      <c r="EI238" s="58">
        <f>IFERROR($AD239/$AD238-1,"")</f>
        <v/>
      </c>
      <c r="EJ238" s="58">
        <f>IFERROR($AE239/$AE238-1,"")</f>
        <v/>
      </c>
      <c r="EK238" s="58">
        <f>IFERROR($AF239/$AF238-1,"")</f>
        <v/>
      </c>
      <c r="EL238" s="58">
        <f>IFERROR($AG239/$AG238-1,"")</f>
        <v/>
      </c>
      <c r="EM238" s="58">
        <f>IFERROR($BB238/$BB239-1,"")</f>
        <v/>
      </c>
      <c r="EN238" s="58">
        <f>IFERROR($BC238/$BC239-1,"")</f>
        <v/>
      </c>
      <c r="EO238" s="58">
        <f>IFERROR($BD238/$BD239-1,"")</f>
        <v/>
      </c>
      <c r="EP238" s="58">
        <f>IFERROR($BE238/$BE239-1,"")</f>
        <v/>
      </c>
      <c r="EQ238" s="58">
        <f>IFERROR($BF238/$BF239-1,"")</f>
        <v/>
      </c>
      <c r="ER238" s="58">
        <f>IFERROR($BG238/$BG239-1,"")</f>
        <v/>
      </c>
      <c r="ES238" s="58">
        <f>IFERROR($BH238/$BH239-1,"")</f>
        <v/>
      </c>
      <c r="ET238" s="58">
        <f>IFERROR($BI238/$BI239-1,"")</f>
        <v/>
      </c>
      <c r="EU238" s="58">
        <f>IFERROR($BJ238/$BJ239-1,"")</f>
        <v/>
      </c>
      <c r="EV238" s="58">
        <f>IFERROR($BK238/$BK239-1,"")</f>
        <v/>
      </c>
      <c r="EW238" s="58">
        <f>IFERROR($BL238/$BL239-1,"")</f>
        <v/>
      </c>
      <c r="EX238" s="58">
        <f>IFERROR($BM238/$BM239-1,"")</f>
        <v/>
      </c>
      <c r="EY238" s="58">
        <f>IFERROR($BN238/$BN239-1,"")</f>
        <v/>
      </c>
      <c r="EZ238" s="58">
        <f>IFERROR($BO238/$BO239-1,"")</f>
        <v/>
      </c>
      <c r="FA238" s="58">
        <f>IFERROR($BP238/$BP239-1,"")</f>
        <v/>
      </c>
      <c r="FB238" s="58">
        <f>IFERROR($BQ238/$BQ239-1,"")</f>
        <v/>
      </c>
      <c r="FC238" s="58">
        <f>IFERROR($BR238/$BR239-1,"")</f>
        <v/>
      </c>
      <c r="FD238" s="58">
        <f>IFERROR($BS238/$BS239-1,"")</f>
        <v/>
      </c>
      <c r="FE238" s="58">
        <f>IFERROR($BT238/$BT239-1,"")</f>
        <v/>
      </c>
      <c r="FF238" s="58">
        <f>IFERROR($BU238/$BU239-1,"")</f>
        <v/>
      </c>
      <c r="FG238" s="58">
        <f>IFERROR($BV238/$BV239-1,"")</f>
        <v/>
      </c>
      <c r="FH238" s="58">
        <f>IFERROR($BW238/$BW239-1,"")</f>
        <v/>
      </c>
      <c r="FI238" s="58">
        <f>IFERROR($BX238/$BX239-1,"")</f>
        <v/>
      </c>
      <c r="FJ238" s="59">
        <f>$BY238-$BY239</f>
        <v/>
      </c>
      <c r="FK238" s="59">
        <f>$BZ238-$BZ239</f>
        <v/>
      </c>
      <c r="FL238" s="59">
        <f>$CA238-$CA239</f>
        <v/>
      </c>
      <c r="FM238" s="59">
        <f>$CB238-$CB239</f>
        <v/>
      </c>
      <c r="FN238" s="59">
        <f>$CC238-$CC239</f>
        <v/>
      </c>
      <c r="FO238" s="59">
        <f>$CD238-$CD239</f>
        <v/>
      </c>
      <c r="FP238" s="59">
        <f>$CE238-$CE239</f>
        <v/>
      </c>
      <c r="FQ238" s="59">
        <f>$CF238-$CF239</f>
        <v/>
      </c>
      <c r="FR238" s="59">
        <f>$CG238-$CG239</f>
        <v/>
      </c>
      <c r="FS238" s="59">
        <f>$CH238-$CH239</f>
        <v/>
      </c>
      <c r="FT238" s="59">
        <f>$CI238-$CI239</f>
        <v/>
      </c>
      <c r="FU238" s="59">
        <f>$CJ238-$CJ239</f>
        <v/>
      </c>
      <c r="FV238" s="59">
        <f>$CK238-$CK239</f>
        <v/>
      </c>
      <c r="FW238" s="59">
        <f>$CL238-$CL239</f>
        <v/>
      </c>
      <c r="FX238" s="59">
        <f>$CM238-$CM239</f>
        <v/>
      </c>
      <c r="FY238" s="59">
        <f>$CN238-$CN239</f>
        <v/>
      </c>
      <c r="FZ238" s="59">
        <f>$CO238-$CO239</f>
        <v/>
      </c>
      <c r="GA238" s="59">
        <f>$CP238-$CP239</f>
        <v/>
      </c>
      <c r="GB238" s="59">
        <f>$CQ238-$CQ239</f>
        <v/>
      </c>
      <c r="GC238" s="59">
        <f>$CR238-$CR239</f>
        <v/>
      </c>
      <c r="GD238" s="59">
        <f>$CS238-$CS239</f>
        <v/>
      </c>
      <c r="GE238" s="59">
        <f>$CT238-$CT239</f>
        <v/>
      </c>
    </row>
    <row r="239">
      <c r="CU239" s="58">
        <f>IFERROR($B239/$B240-1,"")</f>
        <v/>
      </c>
      <c r="CV239" s="59">
        <f>($F239-$F240)*100</f>
        <v/>
      </c>
      <c r="CW239" s="59">
        <f>($E239-$E240)*100</f>
        <v/>
      </c>
      <c r="CX239" s="58">
        <f>IFERROR($K239/$K240-1,"")</f>
        <v/>
      </c>
      <c r="CY239" s="59">
        <f>($AH239-$AH240)*100</f>
        <v/>
      </c>
      <c r="CZ239" s="59">
        <f>($AI239-$AI240)*100</f>
        <v/>
      </c>
      <c r="DA239" s="59">
        <f>($AJ239-$AJ240)*100</f>
        <v/>
      </c>
      <c r="DB239" s="59">
        <f>($AK239-$AK240)*100</f>
        <v/>
      </c>
      <c r="DC239" s="59">
        <f>($AL239-$AL240)*100</f>
        <v/>
      </c>
      <c r="DD239" s="59">
        <f>($AM239-$AM240)*100</f>
        <v/>
      </c>
      <c r="DE239" s="59">
        <f>($AN239-$AN240)*100</f>
        <v/>
      </c>
      <c r="DF239" s="59">
        <f>($AO239-$AO240)*100</f>
        <v/>
      </c>
      <c r="DG239" s="59">
        <f>($AP239-$AP240)*100</f>
        <v/>
      </c>
      <c r="DH239" s="59">
        <f>($AQ239-$AQ240)*100</f>
        <v/>
      </c>
      <c r="DI239" s="59">
        <f>($AR239-$AR240)*100</f>
        <v/>
      </c>
      <c r="DJ239" s="59">
        <f>($AS239-$AS240)*100</f>
        <v/>
      </c>
      <c r="DK239" s="59">
        <f>($AT239-$AT240)*100</f>
        <v/>
      </c>
      <c r="DL239" s="59">
        <f>($AU239-$AU240)*100</f>
        <v/>
      </c>
      <c r="DM239" s="59">
        <f>($AV239-$AV240)*100</f>
        <v/>
      </c>
      <c r="DN239" s="59">
        <f>($AW239-$AW240)*100</f>
        <v/>
      </c>
      <c r="DO239" s="59">
        <f>($AX239-$AX240)*100</f>
        <v/>
      </c>
      <c r="DP239" s="59">
        <f>($AY239-$AY240)*100</f>
        <v/>
      </c>
      <c r="DQ239" s="59">
        <f>($AZ239-$AZ240)*100</f>
        <v/>
      </c>
      <c r="DR239" s="59">
        <f>($BA239-$BA240)*100</f>
        <v/>
      </c>
      <c r="DS239" s="58">
        <f>IFERROR($N240/$N239-1,"")</f>
        <v/>
      </c>
      <c r="DT239" s="58">
        <f>IFERROR($O240/$O239-1,"")</f>
        <v/>
      </c>
      <c r="DU239" s="58">
        <f>IFERROR($P240/$P239-1,"")</f>
        <v/>
      </c>
      <c r="DV239" s="58">
        <f>IFERROR($Q240/$Q239-1,"")</f>
        <v/>
      </c>
      <c r="DW239" s="58">
        <f>IFERROR($R240/$R239-1,"")</f>
        <v/>
      </c>
      <c r="DX239" s="58">
        <f>IFERROR($S240/$S239-1,"")</f>
        <v/>
      </c>
      <c r="DY239" s="58">
        <f>IFERROR($T240/$T239-1,"")</f>
        <v/>
      </c>
      <c r="DZ239" s="58">
        <f>IFERROR($U240/$U239-1,"")</f>
        <v/>
      </c>
      <c r="EA239" s="58">
        <f>IFERROR($V240/$V239-1,"")</f>
        <v/>
      </c>
      <c r="EB239" s="58">
        <f>IFERROR($W240/$W239-1,"")</f>
        <v/>
      </c>
      <c r="EC239" s="58">
        <f>IFERROR($X240/$X239-1,"")</f>
        <v/>
      </c>
      <c r="ED239" s="58">
        <f>IFERROR($Y240/$Y239-1,"")</f>
        <v/>
      </c>
      <c r="EE239" s="58">
        <f>IFERROR($Z240/$Z239-1,"")</f>
        <v/>
      </c>
      <c r="EF239" s="58">
        <f>IFERROR($AA240/$AA239-1,"")</f>
        <v/>
      </c>
      <c r="EG239" s="58">
        <f>IFERROR($AB240/$AB239-1,"")</f>
        <v/>
      </c>
      <c r="EH239" s="58">
        <f>IFERROR($AC240/$AC239-1,"")</f>
        <v/>
      </c>
      <c r="EI239" s="58">
        <f>IFERROR($AD240/$AD239-1,"")</f>
        <v/>
      </c>
      <c r="EJ239" s="58">
        <f>IFERROR($AE240/$AE239-1,"")</f>
        <v/>
      </c>
      <c r="EK239" s="58">
        <f>IFERROR($AF240/$AF239-1,"")</f>
        <v/>
      </c>
      <c r="EL239" s="58">
        <f>IFERROR($AG240/$AG239-1,"")</f>
        <v/>
      </c>
      <c r="EM239" s="58">
        <f>IFERROR($BB239/$BB240-1,"")</f>
        <v/>
      </c>
      <c r="EN239" s="58">
        <f>IFERROR($BC239/$BC240-1,"")</f>
        <v/>
      </c>
      <c r="EO239" s="58">
        <f>IFERROR($BD239/$BD240-1,"")</f>
        <v/>
      </c>
      <c r="EP239" s="58">
        <f>IFERROR($BE239/$BE240-1,"")</f>
        <v/>
      </c>
      <c r="EQ239" s="58">
        <f>IFERROR($BF239/$BF240-1,"")</f>
        <v/>
      </c>
      <c r="ER239" s="58">
        <f>IFERROR($BG239/$BG240-1,"")</f>
        <v/>
      </c>
      <c r="ES239" s="58">
        <f>IFERROR($BH239/$BH240-1,"")</f>
        <v/>
      </c>
      <c r="ET239" s="58">
        <f>IFERROR($BI239/$BI240-1,"")</f>
        <v/>
      </c>
      <c r="EU239" s="58">
        <f>IFERROR($BJ239/$BJ240-1,"")</f>
        <v/>
      </c>
      <c r="EV239" s="58">
        <f>IFERROR($BK239/$BK240-1,"")</f>
        <v/>
      </c>
      <c r="EW239" s="58">
        <f>IFERROR($BL239/$BL240-1,"")</f>
        <v/>
      </c>
      <c r="EX239" s="58">
        <f>IFERROR($BM239/$BM240-1,"")</f>
        <v/>
      </c>
      <c r="EY239" s="58">
        <f>IFERROR($BN239/$BN240-1,"")</f>
        <v/>
      </c>
      <c r="EZ239" s="58">
        <f>IFERROR($BO239/$BO240-1,"")</f>
        <v/>
      </c>
      <c r="FA239" s="58">
        <f>IFERROR($BP239/$BP240-1,"")</f>
        <v/>
      </c>
      <c r="FB239" s="58">
        <f>IFERROR($BQ239/$BQ240-1,"")</f>
        <v/>
      </c>
      <c r="FC239" s="58">
        <f>IFERROR($BR239/$BR240-1,"")</f>
        <v/>
      </c>
      <c r="FD239" s="58">
        <f>IFERROR($BS239/$BS240-1,"")</f>
        <v/>
      </c>
      <c r="FE239" s="58">
        <f>IFERROR($BT239/$BT240-1,"")</f>
        <v/>
      </c>
      <c r="FF239" s="58">
        <f>IFERROR($BU239/$BU240-1,"")</f>
        <v/>
      </c>
      <c r="FG239" s="58">
        <f>IFERROR($BV239/$BV240-1,"")</f>
        <v/>
      </c>
      <c r="FH239" s="58">
        <f>IFERROR($BW239/$BW240-1,"")</f>
        <v/>
      </c>
      <c r="FI239" s="58">
        <f>IFERROR($BX239/$BX240-1,"")</f>
        <v/>
      </c>
      <c r="FJ239" s="59">
        <f>$BY239-$BY240</f>
        <v/>
      </c>
      <c r="FK239" s="59">
        <f>$BZ239-$BZ240</f>
        <v/>
      </c>
      <c r="FL239" s="59">
        <f>$CA239-$CA240</f>
        <v/>
      </c>
      <c r="FM239" s="59">
        <f>$CB239-$CB240</f>
        <v/>
      </c>
      <c r="FN239" s="59">
        <f>$CC239-$CC240</f>
        <v/>
      </c>
      <c r="FO239" s="59">
        <f>$CD239-$CD240</f>
        <v/>
      </c>
      <c r="FP239" s="59">
        <f>$CE239-$CE240</f>
        <v/>
      </c>
      <c r="FQ239" s="59">
        <f>$CF239-$CF240</f>
        <v/>
      </c>
      <c r="FR239" s="59">
        <f>$CG239-$CG240</f>
        <v/>
      </c>
      <c r="FS239" s="59">
        <f>$CH239-$CH240</f>
        <v/>
      </c>
      <c r="FT239" s="59">
        <f>$CI239-$CI240</f>
        <v/>
      </c>
      <c r="FU239" s="59">
        <f>$CJ239-$CJ240</f>
        <v/>
      </c>
      <c r="FV239" s="59">
        <f>$CK239-$CK240</f>
        <v/>
      </c>
      <c r="FW239" s="59">
        <f>$CL239-$CL240</f>
        <v/>
      </c>
      <c r="FX239" s="59">
        <f>$CM239-$CM240</f>
        <v/>
      </c>
      <c r="FY239" s="59">
        <f>$CN239-$CN240</f>
        <v/>
      </c>
      <c r="FZ239" s="59">
        <f>$CO239-$CO240</f>
        <v/>
      </c>
      <c r="GA239" s="59">
        <f>$CP239-$CP240</f>
        <v/>
      </c>
      <c r="GB239" s="59">
        <f>$CQ239-$CQ240</f>
        <v/>
      </c>
      <c r="GC239" s="59">
        <f>$CR239-$CR240</f>
        <v/>
      </c>
      <c r="GD239" s="59">
        <f>$CS239-$CS240</f>
        <v/>
      </c>
      <c r="GE239" s="59">
        <f>$CT239-$CT240</f>
        <v/>
      </c>
    </row>
    <row r="240">
      <c r="CU240" s="58">
        <f>IFERROR($B240/$B241-1,"")</f>
        <v/>
      </c>
      <c r="CV240" s="59">
        <f>($F240-$F241)*100</f>
        <v/>
      </c>
      <c r="CW240" s="59">
        <f>($E240-$E241)*100</f>
        <v/>
      </c>
      <c r="CX240" s="58">
        <f>IFERROR($K240/$K241-1,"")</f>
        <v/>
      </c>
      <c r="CY240" s="59">
        <f>($AH240-$AH241)*100</f>
        <v/>
      </c>
      <c r="CZ240" s="59">
        <f>($AI240-$AI241)*100</f>
        <v/>
      </c>
      <c r="DA240" s="59">
        <f>($AJ240-$AJ241)*100</f>
        <v/>
      </c>
      <c r="DB240" s="59">
        <f>($AK240-$AK241)*100</f>
        <v/>
      </c>
      <c r="DC240" s="59">
        <f>($AL240-$AL241)*100</f>
        <v/>
      </c>
      <c r="DD240" s="59">
        <f>($AM240-$AM241)*100</f>
        <v/>
      </c>
      <c r="DE240" s="59">
        <f>($AN240-$AN241)*100</f>
        <v/>
      </c>
      <c r="DF240" s="59">
        <f>($AO240-$AO241)*100</f>
        <v/>
      </c>
      <c r="DG240" s="59">
        <f>($AP240-$AP241)*100</f>
        <v/>
      </c>
      <c r="DH240" s="59">
        <f>($AQ240-$AQ241)*100</f>
        <v/>
      </c>
      <c r="DI240" s="59">
        <f>($AR240-$AR241)*100</f>
        <v/>
      </c>
      <c r="DJ240" s="59">
        <f>($AS240-$AS241)*100</f>
        <v/>
      </c>
      <c r="DK240" s="59">
        <f>($AT240-$AT241)*100</f>
        <v/>
      </c>
      <c r="DL240" s="59">
        <f>($AU240-$AU241)*100</f>
        <v/>
      </c>
      <c r="DM240" s="59">
        <f>($AV240-$AV241)*100</f>
        <v/>
      </c>
      <c r="DN240" s="59">
        <f>($AW240-$AW241)*100</f>
        <v/>
      </c>
      <c r="DO240" s="59">
        <f>($AX240-$AX241)*100</f>
        <v/>
      </c>
      <c r="DP240" s="59">
        <f>($AY240-$AY241)*100</f>
        <v/>
      </c>
      <c r="DQ240" s="59">
        <f>($AZ240-$AZ241)*100</f>
        <v/>
      </c>
      <c r="DR240" s="59">
        <f>($BA240-$BA241)*100</f>
        <v/>
      </c>
      <c r="DS240" s="58">
        <f>IFERROR($N241/$N240-1,"")</f>
        <v/>
      </c>
      <c r="DT240" s="58">
        <f>IFERROR($O241/$O240-1,"")</f>
        <v/>
      </c>
      <c r="DU240" s="58">
        <f>IFERROR($P241/$P240-1,"")</f>
        <v/>
      </c>
      <c r="DV240" s="58">
        <f>IFERROR($Q241/$Q240-1,"")</f>
        <v/>
      </c>
      <c r="DW240" s="58">
        <f>IFERROR($R241/$R240-1,"")</f>
        <v/>
      </c>
      <c r="DX240" s="58">
        <f>IFERROR($S241/$S240-1,"")</f>
        <v/>
      </c>
      <c r="DY240" s="58">
        <f>IFERROR($T241/$T240-1,"")</f>
        <v/>
      </c>
      <c r="DZ240" s="58">
        <f>IFERROR($U241/$U240-1,"")</f>
        <v/>
      </c>
      <c r="EA240" s="58">
        <f>IFERROR($V241/$V240-1,"")</f>
        <v/>
      </c>
      <c r="EB240" s="58">
        <f>IFERROR($W241/$W240-1,"")</f>
        <v/>
      </c>
      <c r="EC240" s="58">
        <f>IFERROR($X241/$X240-1,"")</f>
        <v/>
      </c>
      <c r="ED240" s="58">
        <f>IFERROR($Y241/$Y240-1,"")</f>
        <v/>
      </c>
      <c r="EE240" s="58">
        <f>IFERROR($Z241/$Z240-1,"")</f>
        <v/>
      </c>
      <c r="EF240" s="58">
        <f>IFERROR($AA241/$AA240-1,"")</f>
        <v/>
      </c>
      <c r="EG240" s="58">
        <f>IFERROR($AB241/$AB240-1,"")</f>
        <v/>
      </c>
      <c r="EH240" s="58">
        <f>IFERROR($AC241/$AC240-1,"")</f>
        <v/>
      </c>
      <c r="EI240" s="58">
        <f>IFERROR($AD241/$AD240-1,"")</f>
        <v/>
      </c>
      <c r="EJ240" s="58">
        <f>IFERROR($AE241/$AE240-1,"")</f>
        <v/>
      </c>
      <c r="EK240" s="58">
        <f>IFERROR($AF241/$AF240-1,"")</f>
        <v/>
      </c>
      <c r="EL240" s="58">
        <f>IFERROR($AG241/$AG240-1,"")</f>
        <v/>
      </c>
      <c r="EM240" s="58">
        <f>IFERROR($BB240/$BB241-1,"")</f>
        <v/>
      </c>
      <c r="EN240" s="58">
        <f>IFERROR($BC240/$BC241-1,"")</f>
        <v/>
      </c>
      <c r="EO240" s="58">
        <f>IFERROR($BD240/$BD241-1,"")</f>
        <v/>
      </c>
      <c r="EP240" s="58">
        <f>IFERROR($BE240/$BE241-1,"")</f>
        <v/>
      </c>
      <c r="EQ240" s="58">
        <f>IFERROR($BF240/$BF241-1,"")</f>
        <v/>
      </c>
      <c r="ER240" s="58">
        <f>IFERROR($BG240/$BG241-1,"")</f>
        <v/>
      </c>
      <c r="ES240" s="58">
        <f>IFERROR($BH240/$BH241-1,"")</f>
        <v/>
      </c>
      <c r="ET240" s="58">
        <f>IFERROR($BI240/$BI241-1,"")</f>
        <v/>
      </c>
      <c r="EU240" s="58">
        <f>IFERROR($BJ240/$BJ241-1,"")</f>
        <v/>
      </c>
      <c r="EV240" s="58">
        <f>IFERROR($BK240/$BK241-1,"")</f>
        <v/>
      </c>
      <c r="EW240" s="58">
        <f>IFERROR($BL240/$BL241-1,"")</f>
        <v/>
      </c>
      <c r="EX240" s="58">
        <f>IFERROR($BM240/$BM241-1,"")</f>
        <v/>
      </c>
      <c r="EY240" s="58">
        <f>IFERROR($BN240/$BN241-1,"")</f>
        <v/>
      </c>
      <c r="EZ240" s="58">
        <f>IFERROR($BO240/$BO241-1,"")</f>
        <v/>
      </c>
      <c r="FA240" s="58">
        <f>IFERROR($BP240/$BP241-1,"")</f>
        <v/>
      </c>
      <c r="FB240" s="58">
        <f>IFERROR($BQ240/$BQ241-1,"")</f>
        <v/>
      </c>
      <c r="FC240" s="58">
        <f>IFERROR($BR240/$BR241-1,"")</f>
        <v/>
      </c>
      <c r="FD240" s="58">
        <f>IFERROR($BS240/$BS241-1,"")</f>
        <v/>
      </c>
      <c r="FE240" s="58">
        <f>IFERROR($BT240/$BT241-1,"")</f>
        <v/>
      </c>
      <c r="FF240" s="58">
        <f>IFERROR($BU240/$BU241-1,"")</f>
        <v/>
      </c>
      <c r="FG240" s="58">
        <f>IFERROR($BV240/$BV241-1,"")</f>
        <v/>
      </c>
      <c r="FH240" s="58">
        <f>IFERROR($BW240/$BW241-1,"")</f>
        <v/>
      </c>
      <c r="FI240" s="58">
        <f>IFERROR($BX240/$BX241-1,"")</f>
        <v/>
      </c>
      <c r="FJ240" s="59">
        <f>$BY240-$BY241</f>
        <v/>
      </c>
      <c r="FK240" s="59">
        <f>$BZ240-$BZ241</f>
        <v/>
      </c>
      <c r="FL240" s="59">
        <f>$CA240-$CA241</f>
        <v/>
      </c>
      <c r="FM240" s="59">
        <f>$CB240-$CB241</f>
        <v/>
      </c>
      <c r="FN240" s="59">
        <f>$CC240-$CC241</f>
        <v/>
      </c>
      <c r="FO240" s="59">
        <f>$CD240-$CD241</f>
        <v/>
      </c>
      <c r="FP240" s="59">
        <f>$CE240-$CE241</f>
        <v/>
      </c>
      <c r="FQ240" s="59">
        <f>$CF240-$CF241</f>
        <v/>
      </c>
      <c r="FR240" s="59">
        <f>$CG240-$CG241</f>
        <v/>
      </c>
      <c r="FS240" s="59">
        <f>$CH240-$CH241</f>
        <v/>
      </c>
      <c r="FT240" s="59">
        <f>$CI240-$CI241</f>
        <v/>
      </c>
      <c r="FU240" s="59">
        <f>$CJ240-$CJ241</f>
        <v/>
      </c>
      <c r="FV240" s="59">
        <f>$CK240-$CK241</f>
        <v/>
      </c>
      <c r="FW240" s="59">
        <f>$CL240-$CL241</f>
        <v/>
      </c>
      <c r="FX240" s="59">
        <f>$CM240-$CM241</f>
        <v/>
      </c>
      <c r="FY240" s="59">
        <f>$CN240-$CN241</f>
        <v/>
      </c>
      <c r="FZ240" s="59">
        <f>$CO240-$CO241</f>
        <v/>
      </c>
      <c r="GA240" s="59">
        <f>$CP240-$CP241</f>
        <v/>
      </c>
      <c r="GB240" s="59">
        <f>$CQ240-$CQ241</f>
        <v/>
      </c>
      <c r="GC240" s="59">
        <f>$CR240-$CR241</f>
        <v/>
      </c>
      <c r="GD240" s="59">
        <f>$CS240-$CS241</f>
        <v/>
      </c>
      <c r="GE240" s="59">
        <f>$CT240-$CT241</f>
        <v/>
      </c>
    </row>
    <row r="241">
      <c r="CU241" s="58">
        <f>IFERROR($B241/$B242-1,"")</f>
        <v/>
      </c>
      <c r="CV241" s="59">
        <f>($F241-$F242)*100</f>
        <v/>
      </c>
      <c r="CW241" s="59">
        <f>($E241-$E242)*100</f>
        <v/>
      </c>
      <c r="CX241" s="58">
        <f>IFERROR($K241/$K242-1,"")</f>
        <v/>
      </c>
      <c r="CY241" s="59">
        <f>($AH241-$AH242)*100</f>
        <v/>
      </c>
      <c r="CZ241" s="59">
        <f>($AI241-$AI242)*100</f>
        <v/>
      </c>
      <c r="DA241" s="59">
        <f>($AJ241-$AJ242)*100</f>
        <v/>
      </c>
      <c r="DB241" s="59">
        <f>($AK241-$AK242)*100</f>
        <v/>
      </c>
      <c r="DC241" s="59">
        <f>($AL241-$AL242)*100</f>
        <v/>
      </c>
      <c r="DD241" s="59">
        <f>($AM241-$AM242)*100</f>
        <v/>
      </c>
      <c r="DE241" s="59">
        <f>($AN241-$AN242)*100</f>
        <v/>
      </c>
      <c r="DF241" s="59">
        <f>($AO241-$AO242)*100</f>
        <v/>
      </c>
      <c r="DG241" s="59">
        <f>($AP241-$AP242)*100</f>
        <v/>
      </c>
      <c r="DH241" s="59">
        <f>($AQ241-$AQ242)*100</f>
        <v/>
      </c>
      <c r="DI241" s="59">
        <f>($AR241-$AR242)*100</f>
        <v/>
      </c>
      <c r="DJ241" s="59">
        <f>($AS241-$AS242)*100</f>
        <v/>
      </c>
      <c r="DK241" s="59">
        <f>($AT241-$AT242)*100</f>
        <v/>
      </c>
      <c r="DL241" s="59">
        <f>($AU241-$AU242)*100</f>
        <v/>
      </c>
      <c r="DM241" s="59">
        <f>($AV241-$AV242)*100</f>
        <v/>
      </c>
      <c r="DN241" s="59">
        <f>($AW241-$AW242)*100</f>
        <v/>
      </c>
      <c r="DO241" s="59">
        <f>($AX241-$AX242)*100</f>
        <v/>
      </c>
      <c r="DP241" s="59">
        <f>($AY241-$AY242)*100</f>
        <v/>
      </c>
      <c r="DQ241" s="59">
        <f>($AZ241-$AZ242)*100</f>
        <v/>
      </c>
      <c r="DR241" s="59">
        <f>($BA241-$BA242)*100</f>
        <v/>
      </c>
      <c r="DS241" s="58">
        <f>IFERROR($N242/$N241-1,"")</f>
        <v/>
      </c>
      <c r="DT241" s="58">
        <f>IFERROR($O242/$O241-1,"")</f>
        <v/>
      </c>
      <c r="DU241" s="58">
        <f>IFERROR($P242/$P241-1,"")</f>
        <v/>
      </c>
      <c r="DV241" s="58">
        <f>IFERROR($Q242/$Q241-1,"")</f>
        <v/>
      </c>
      <c r="DW241" s="58">
        <f>IFERROR($R242/$R241-1,"")</f>
        <v/>
      </c>
      <c r="DX241" s="58">
        <f>IFERROR($S242/$S241-1,"")</f>
        <v/>
      </c>
      <c r="DY241" s="58">
        <f>IFERROR($T242/$T241-1,"")</f>
        <v/>
      </c>
      <c r="DZ241" s="58">
        <f>IFERROR($U242/$U241-1,"")</f>
        <v/>
      </c>
      <c r="EA241" s="58">
        <f>IFERROR($V242/$V241-1,"")</f>
        <v/>
      </c>
      <c r="EB241" s="58">
        <f>IFERROR($W242/$W241-1,"")</f>
        <v/>
      </c>
      <c r="EC241" s="58">
        <f>IFERROR($X242/$X241-1,"")</f>
        <v/>
      </c>
      <c r="ED241" s="58">
        <f>IFERROR($Y242/$Y241-1,"")</f>
        <v/>
      </c>
      <c r="EE241" s="58">
        <f>IFERROR($Z242/$Z241-1,"")</f>
        <v/>
      </c>
      <c r="EF241" s="58">
        <f>IFERROR($AA242/$AA241-1,"")</f>
        <v/>
      </c>
      <c r="EG241" s="58">
        <f>IFERROR($AB242/$AB241-1,"")</f>
        <v/>
      </c>
      <c r="EH241" s="58">
        <f>IFERROR($AC242/$AC241-1,"")</f>
        <v/>
      </c>
      <c r="EI241" s="58">
        <f>IFERROR($AD242/$AD241-1,"")</f>
        <v/>
      </c>
      <c r="EJ241" s="58">
        <f>IFERROR($AE242/$AE241-1,"")</f>
        <v/>
      </c>
      <c r="EK241" s="58">
        <f>IFERROR($AF242/$AF241-1,"")</f>
        <v/>
      </c>
      <c r="EL241" s="58">
        <f>IFERROR($AG242/$AG241-1,"")</f>
        <v/>
      </c>
      <c r="EM241" s="58">
        <f>IFERROR($BB241/$BB242-1,"")</f>
        <v/>
      </c>
      <c r="EN241" s="58">
        <f>IFERROR($BC241/$BC242-1,"")</f>
        <v/>
      </c>
      <c r="EO241" s="58">
        <f>IFERROR($BD241/$BD242-1,"")</f>
        <v/>
      </c>
      <c r="EP241" s="58">
        <f>IFERROR($BE241/$BE242-1,"")</f>
        <v/>
      </c>
      <c r="EQ241" s="58">
        <f>IFERROR($BF241/$BF242-1,"")</f>
        <v/>
      </c>
      <c r="ER241" s="58">
        <f>IFERROR($BG241/$BG242-1,"")</f>
        <v/>
      </c>
      <c r="ES241" s="58">
        <f>IFERROR($BH241/$BH242-1,"")</f>
        <v/>
      </c>
      <c r="ET241" s="58">
        <f>IFERROR($BI241/$BI242-1,"")</f>
        <v/>
      </c>
      <c r="EU241" s="58">
        <f>IFERROR($BJ241/$BJ242-1,"")</f>
        <v/>
      </c>
      <c r="EV241" s="58">
        <f>IFERROR($BK241/$BK242-1,"")</f>
        <v/>
      </c>
      <c r="EW241" s="58">
        <f>IFERROR($BL241/$BL242-1,"")</f>
        <v/>
      </c>
      <c r="EX241" s="58">
        <f>IFERROR($BM241/$BM242-1,"")</f>
        <v/>
      </c>
      <c r="EY241" s="58">
        <f>IFERROR($BN241/$BN242-1,"")</f>
        <v/>
      </c>
      <c r="EZ241" s="58">
        <f>IFERROR($BO241/$BO242-1,"")</f>
        <v/>
      </c>
      <c r="FA241" s="58">
        <f>IFERROR($BP241/$BP242-1,"")</f>
        <v/>
      </c>
      <c r="FB241" s="58">
        <f>IFERROR($BQ241/$BQ242-1,"")</f>
        <v/>
      </c>
      <c r="FC241" s="58">
        <f>IFERROR($BR241/$BR242-1,"")</f>
        <v/>
      </c>
      <c r="FD241" s="58">
        <f>IFERROR($BS241/$BS242-1,"")</f>
        <v/>
      </c>
      <c r="FE241" s="58">
        <f>IFERROR($BT241/$BT242-1,"")</f>
        <v/>
      </c>
      <c r="FF241" s="58">
        <f>IFERROR($BU241/$BU242-1,"")</f>
        <v/>
      </c>
      <c r="FG241" s="58">
        <f>IFERROR($BV241/$BV242-1,"")</f>
        <v/>
      </c>
      <c r="FH241" s="58">
        <f>IFERROR($BW241/$BW242-1,"")</f>
        <v/>
      </c>
      <c r="FI241" s="58">
        <f>IFERROR($BX241/$BX242-1,"")</f>
        <v/>
      </c>
      <c r="FJ241" s="59">
        <f>$BY241-$BY242</f>
        <v/>
      </c>
      <c r="FK241" s="59">
        <f>$BZ241-$BZ242</f>
        <v/>
      </c>
      <c r="FL241" s="59">
        <f>$CA241-$CA242</f>
        <v/>
      </c>
      <c r="FM241" s="59">
        <f>$CB241-$CB242</f>
        <v/>
      </c>
      <c r="FN241" s="59">
        <f>$CC241-$CC242</f>
        <v/>
      </c>
      <c r="FO241" s="59">
        <f>$CD241-$CD242</f>
        <v/>
      </c>
      <c r="FP241" s="59">
        <f>$CE241-$CE242</f>
        <v/>
      </c>
      <c r="FQ241" s="59">
        <f>$CF241-$CF242</f>
        <v/>
      </c>
      <c r="FR241" s="59">
        <f>$CG241-$CG242</f>
        <v/>
      </c>
      <c r="FS241" s="59">
        <f>$CH241-$CH242</f>
        <v/>
      </c>
      <c r="FT241" s="59">
        <f>$CI241-$CI242</f>
        <v/>
      </c>
      <c r="FU241" s="59">
        <f>$CJ241-$CJ242</f>
        <v/>
      </c>
      <c r="FV241" s="59">
        <f>$CK241-$CK242</f>
        <v/>
      </c>
      <c r="FW241" s="59">
        <f>$CL241-$CL242</f>
        <v/>
      </c>
      <c r="FX241" s="59">
        <f>$CM241-$CM242</f>
        <v/>
      </c>
      <c r="FY241" s="59">
        <f>$CN241-$CN242</f>
        <v/>
      </c>
      <c r="FZ241" s="59">
        <f>$CO241-$CO242</f>
        <v/>
      </c>
      <c r="GA241" s="59">
        <f>$CP241-$CP242</f>
        <v/>
      </c>
      <c r="GB241" s="59">
        <f>$CQ241-$CQ242</f>
        <v/>
      </c>
      <c r="GC241" s="59">
        <f>$CR241-$CR242</f>
        <v/>
      </c>
      <c r="GD241" s="59">
        <f>$CS241-$CS242</f>
        <v/>
      </c>
      <c r="GE241" s="59">
        <f>$CT241-$CT242</f>
        <v/>
      </c>
    </row>
    <row r="242">
      <c r="CU242" s="58">
        <f>IFERROR($B242/$B243-1,"")</f>
        <v/>
      </c>
      <c r="CV242" s="59">
        <f>($F242-$F243)*100</f>
        <v/>
      </c>
      <c r="CW242" s="59">
        <f>($E242-$E243)*100</f>
        <v/>
      </c>
      <c r="CX242" s="58">
        <f>IFERROR($K242/$K243-1,"")</f>
        <v/>
      </c>
      <c r="CY242" s="59">
        <f>($AH242-$AH243)*100</f>
        <v/>
      </c>
      <c r="CZ242" s="59">
        <f>($AI242-$AI243)*100</f>
        <v/>
      </c>
      <c r="DA242" s="59">
        <f>($AJ242-$AJ243)*100</f>
        <v/>
      </c>
      <c r="DB242" s="59">
        <f>($AK242-$AK243)*100</f>
        <v/>
      </c>
      <c r="DC242" s="59">
        <f>($AL242-$AL243)*100</f>
        <v/>
      </c>
      <c r="DD242" s="59">
        <f>($AM242-$AM243)*100</f>
        <v/>
      </c>
      <c r="DE242" s="59">
        <f>($AN242-$AN243)*100</f>
        <v/>
      </c>
      <c r="DF242" s="59">
        <f>($AO242-$AO243)*100</f>
        <v/>
      </c>
      <c r="DG242" s="59">
        <f>($AP242-$AP243)*100</f>
        <v/>
      </c>
      <c r="DH242" s="59">
        <f>($AQ242-$AQ243)*100</f>
        <v/>
      </c>
      <c r="DI242" s="59">
        <f>($AR242-$AR243)*100</f>
        <v/>
      </c>
      <c r="DJ242" s="59">
        <f>($AS242-$AS243)*100</f>
        <v/>
      </c>
      <c r="DK242" s="59">
        <f>($AT242-$AT243)*100</f>
        <v/>
      </c>
      <c r="DL242" s="59">
        <f>($AU242-$AU243)*100</f>
        <v/>
      </c>
      <c r="DM242" s="59">
        <f>($AV242-$AV243)*100</f>
        <v/>
      </c>
      <c r="DN242" s="59">
        <f>($AW242-$AW243)*100</f>
        <v/>
      </c>
      <c r="DO242" s="59">
        <f>($AX242-$AX243)*100</f>
        <v/>
      </c>
      <c r="DP242" s="59">
        <f>($AY242-$AY243)*100</f>
        <v/>
      </c>
      <c r="DQ242" s="59">
        <f>($AZ242-$AZ243)*100</f>
        <v/>
      </c>
      <c r="DR242" s="59">
        <f>($BA242-$BA243)*100</f>
        <v/>
      </c>
      <c r="DS242" s="58">
        <f>IFERROR($N243/$N242-1,"")</f>
        <v/>
      </c>
      <c r="DT242" s="58">
        <f>IFERROR($O243/$O242-1,"")</f>
        <v/>
      </c>
      <c r="DU242" s="58">
        <f>IFERROR($P243/$P242-1,"")</f>
        <v/>
      </c>
      <c r="DV242" s="58">
        <f>IFERROR($Q243/$Q242-1,"")</f>
        <v/>
      </c>
      <c r="DW242" s="58">
        <f>IFERROR($R243/$R242-1,"")</f>
        <v/>
      </c>
      <c r="DX242" s="58">
        <f>IFERROR($S243/$S242-1,"")</f>
        <v/>
      </c>
      <c r="DY242" s="58">
        <f>IFERROR($T243/$T242-1,"")</f>
        <v/>
      </c>
      <c r="DZ242" s="58">
        <f>IFERROR($U243/$U242-1,"")</f>
        <v/>
      </c>
      <c r="EA242" s="58">
        <f>IFERROR($V243/$V242-1,"")</f>
        <v/>
      </c>
      <c r="EB242" s="58">
        <f>IFERROR($W243/$W242-1,"")</f>
        <v/>
      </c>
      <c r="EC242" s="58">
        <f>IFERROR($X243/$X242-1,"")</f>
        <v/>
      </c>
      <c r="ED242" s="58">
        <f>IFERROR($Y243/$Y242-1,"")</f>
        <v/>
      </c>
      <c r="EE242" s="58">
        <f>IFERROR($Z243/$Z242-1,"")</f>
        <v/>
      </c>
      <c r="EF242" s="58">
        <f>IFERROR($AA243/$AA242-1,"")</f>
        <v/>
      </c>
      <c r="EG242" s="58">
        <f>IFERROR($AB243/$AB242-1,"")</f>
        <v/>
      </c>
      <c r="EH242" s="58">
        <f>IFERROR($AC243/$AC242-1,"")</f>
        <v/>
      </c>
      <c r="EI242" s="58">
        <f>IFERROR($AD243/$AD242-1,"")</f>
        <v/>
      </c>
      <c r="EJ242" s="58">
        <f>IFERROR($AE243/$AE242-1,"")</f>
        <v/>
      </c>
      <c r="EK242" s="58">
        <f>IFERROR($AF243/$AF242-1,"")</f>
        <v/>
      </c>
      <c r="EL242" s="58">
        <f>IFERROR($AG243/$AG242-1,"")</f>
        <v/>
      </c>
      <c r="EM242" s="58">
        <f>IFERROR($BB242/$BB243-1,"")</f>
        <v/>
      </c>
      <c r="EN242" s="58">
        <f>IFERROR($BC242/$BC243-1,"")</f>
        <v/>
      </c>
      <c r="EO242" s="58">
        <f>IFERROR($BD242/$BD243-1,"")</f>
        <v/>
      </c>
      <c r="EP242" s="58">
        <f>IFERROR($BE242/$BE243-1,"")</f>
        <v/>
      </c>
      <c r="EQ242" s="58">
        <f>IFERROR($BF242/$BF243-1,"")</f>
        <v/>
      </c>
      <c r="ER242" s="58">
        <f>IFERROR($BG242/$BG243-1,"")</f>
        <v/>
      </c>
      <c r="ES242" s="58">
        <f>IFERROR($BH242/$BH243-1,"")</f>
        <v/>
      </c>
      <c r="ET242" s="58">
        <f>IFERROR($BI242/$BI243-1,"")</f>
        <v/>
      </c>
      <c r="EU242" s="58">
        <f>IFERROR($BJ242/$BJ243-1,"")</f>
        <v/>
      </c>
      <c r="EV242" s="58">
        <f>IFERROR($BK242/$BK243-1,"")</f>
        <v/>
      </c>
      <c r="EW242" s="58">
        <f>IFERROR($BL242/$BL243-1,"")</f>
        <v/>
      </c>
      <c r="EX242" s="58">
        <f>IFERROR($BM242/$BM243-1,"")</f>
        <v/>
      </c>
      <c r="EY242" s="58">
        <f>IFERROR($BN242/$BN243-1,"")</f>
        <v/>
      </c>
      <c r="EZ242" s="58">
        <f>IFERROR($BO242/$BO243-1,"")</f>
        <v/>
      </c>
      <c r="FA242" s="58">
        <f>IFERROR($BP242/$BP243-1,"")</f>
        <v/>
      </c>
      <c r="FB242" s="58">
        <f>IFERROR($BQ242/$BQ243-1,"")</f>
        <v/>
      </c>
      <c r="FC242" s="58">
        <f>IFERROR($BR242/$BR243-1,"")</f>
        <v/>
      </c>
      <c r="FD242" s="58">
        <f>IFERROR($BS242/$BS243-1,"")</f>
        <v/>
      </c>
      <c r="FE242" s="58">
        <f>IFERROR($BT242/$BT243-1,"")</f>
        <v/>
      </c>
      <c r="FF242" s="58">
        <f>IFERROR($BU242/$BU243-1,"")</f>
        <v/>
      </c>
      <c r="FG242" s="58">
        <f>IFERROR($BV242/$BV243-1,"")</f>
        <v/>
      </c>
      <c r="FH242" s="58">
        <f>IFERROR($BW242/$BW243-1,"")</f>
        <v/>
      </c>
      <c r="FI242" s="58">
        <f>IFERROR($BX242/$BX243-1,"")</f>
        <v/>
      </c>
      <c r="FJ242" s="59">
        <f>$BY242-$BY243</f>
        <v/>
      </c>
      <c r="FK242" s="59">
        <f>$BZ242-$BZ243</f>
        <v/>
      </c>
      <c r="FL242" s="59">
        <f>$CA242-$CA243</f>
        <v/>
      </c>
      <c r="FM242" s="59">
        <f>$CB242-$CB243</f>
        <v/>
      </c>
      <c r="FN242" s="59">
        <f>$CC242-$CC243</f>
        <v/>
      </c>
      <c r="FO242" s="59">
        <f>$CD242-$CD243</f>
        <v/>
      </c>
      <c r="FP242" s="59">
        <f>$CE242-$CE243</f>
        <v/>
      </c>
      <c r="FQ242" s="59">
        <f>$CF242-$CF243</f>
        <v/>
      </c>
      <c r="FR242" s="59">
        <f>$CG242-$CG243</f>
        <v/>
      </c>
      <c r="FS242" s="59">
        <f>$CH242-$CH243</f>
        <v/>
      </c>
      <c r="FT242" s="59">
        <f>$CI242-$CI243</f>
        <v/>
      </c>
      <c r="FU242" s="59">
        <f>$CJ242-$CJ243</f>
        <v/>
      </c>
      <c r="FV242" s="59">
        <f>$CK242-$CK243</f>
        <v/>
      </c>
      <c r="FW242" s="59">
        <f>$CL242-$CL243</f>
        <v/>
      </c>
      <c r="FX242" s="59">
        <f>$CM242-$CM243</f>
        <v/>
      </c>
      <c r="FY242" s="59">
        <f>$CN242-$CN243</f>
        <v/>
      </c>
      <c r="FZ242" s="59">
        <f>$CO242-$CO243</f>
        <v/>
      </c>
      <c r="GA242" s="59">
        <f>$CP242-$CP243</f>
        <v/>
      </c>
      <c r="GB242" s="59">
        <f>$CQ242-$CQ243</f>
        <v/>
      </c>
      <c r="GC242" s="59">
        <f>$CR242-$CR243</f>
        <v/>
      </c>
      <c r="GD242" s="59">
        <f>$CS242-$CS243</f>
        <v/>
      </c>
      <c r="GE242" s="59">
        <f>$CT242-$CT243</f>
        <v/>
      </c>
    </row>
    <row r="243">
      <c r="CU243" s="58">
        <f>IFERROR($B243/$B244-1,"")</f>
        <v/>
      </c>
      <c r="CV243" s="59">
        <f>($F243-$F244)*100</f>
        <v/>
      </c>
      <c r="CW243" s="59">
        <f>($E243-$E244)*100</f>
        <v/>
      </c>
      <c r="CX243" s="58">
        <f>IFERROR($K243/$K244-1,"")</f>
        <v/>
      </c>
      <c r="CY243" s="59">
        <f>($AH243-$AH244)*100</f>
        <v/>
      </c>
      <c r="CZ243" s="59">
        <f>($AI243-$AI244)*100</f>
        <v/>
      </c>
      <c r="DA243" s="59">
        <f>($AJ243-$AJ244)*100</f>
        <v/>
      </c>
      <c r="DB243" s="59">
        <f>($AK243-$AK244)*100</f>
        <v/>
      </c>
      <c r="DC243" s="59">
        <f>($AL243-$AL244)*100</f>
        <v/>
      </c>
      <c r="DD243" s="59">
        <f>($AM243-$AM244)*100</f>
        <v/>
      </c>
      <c r="DE243" s="59">
        <f>($AN243-$AN244)*100</f>
        <v/>
      </c>
      <c r="DF243" s="59">
        <f>($AO243-$AO244)*100</f>
        <v/>
      </c>
      <c r="DG243" s="59">
        <f>($AP243-$AP244)*100</f>
        <v/>
      </c>
      <c r="DH243" s="59">
        <f>($AQ243-$AQ244)*100</f>
        <v/>
      </c>
      <c r="DI243" s="59">
        <f>($AR243-$AR244)*100</f>
        <v/>
      </c>
      <c r="DJ243" s="59">
        <f>($AS243-$AS244)*100</f>
        <v/>
      </c>
      <c r="DK243" s="59">
        <f>($AT243-$AT244)*100</f>
        <v/>
      </c>
      <c r="DL243" s="59">
        <f>($AU243-$AU244)*100</f>
        <v/>
      </c>
      <c r="DM243" s="59">
        <f>($AV243-$AV244)*100</f>
        <v/>
      </c>
      <c r="DN243" s="59">
        <f>($AW243-$AW244)*100</f>
        <v/>
      </c>
      <c r="DO243" s="59">
        <f>($AX243-$AX244)*100</f>
        <v/>
      </c>
      <c r="DP243" s="59">
        <f>($AY243-$AY244)*100</f>
        <v/>
      </c>
      <c r="DQ243" s="59">
        <f>($AZ243-$AZ244)*100</f>
        <v/>
      </c>
      <c r="DR243" s="59">
        <f>($BA243-$BA244)*100</f>
        <v/>
      </c>
      <c r="DS243" s="58">
        <f>IFERROR($N244/$N243-1,"")</f>
        <v/>
      </c>
      <c r="DT243" s="58">
        <f>IFERROR($O244/$O243-1,"")</f>
        <v/>
      </c>
      <c r="DU243" s="58">
        <f>IFERROR($P244/$P243-1,"")</f>
        <v/>
      </c>
      <c r="DV243" s="58">
        <f>IFERROR($Q244/$Q243-1,"")</f>
        <v/>
      </c>
      <c r="DW243" s="58">
        <f>IFERROR($R244/$R243-1,"")</f>
        <v/>
      </c>
      <c r="DX243" s="58">
        <f>IFERROR($S244/$S243-1,"")</f>
        <v/>
      </c>
      <c r="DY243" s="58">
        <f>IFERROR($T244/$T243-1,"")</f>
        <v/>
      </c>
      <c r="DZ243" s="58">
        <f>IFERROR($U244/$U243-1,"")</f>
        <v/>
      </c>
      <c r="EA243" s="58">
        <f>IFERROR($V244/$V243-1,"")</f>
        <v/>
      </c>
      <c r="EB243" s="58">
        <f>IFERROR($W244/$W243-1,"")</f>
        <v/>
      </c>
      <c r="EC243" s="58">
        <f>IFERROR($X244/$X243-1,"")</f>
        <v/>
      </c>
      <c r="ED243" s="58">
        <f>IFERROR($Y244/$Y243-1,"")</f>
        <v/>
      </c>
      <c r="EE243" s="58">
        <f>IFERROR($Z244/$Z243-1,"")</f>
        <v/>
      </c>
      <c r="EF243" s="58">
        <f>IFERROR($AA244/$AA243-1,"")</f>
        <v/>
      </c>
      <c r="EG243" s="58">
        <f>IFERROR($AB244/$AB243-1,"")</f>
        <v/>
      </c>
      <c r="EH243" s="58">
        <f>IFERROR($AC244/$AC243-1,"")</f>
        <v/>
      </c>
      <c r="EI243" s="58">
        <f>IFERROR($AD244/$AD243-1,"")</f>
        <v/>
      </c>
      <c r="EJ243" s="58">
        <f>IFERROR($AE244/$AE243-1,"")</f>
        <v/>
      </c>
      <c r="EK243" s="58">
        <f>IFERROR($AF244/$AF243-1,"")</f>
        <v/>
      </c>
      <c r="EL243" s="58">
        <f>IFERROR($AG244/$AG243-1,"")</f>
        <v/>
      </c>
      <c r="EM243" s="58">
        <f>IFERROR($BB243/$BB244-1,"")</f>
        <v/>
      </c>
      <c r="EN243" s="58">
        <f>IFERROR($BC243/$BC244-1,"")</f>
        <v/>
      </c>
      <c r="EO243" s="58">
        <f>IFERROR($BD243/$BD244-1,"")</f>
        <v/>
      </c>
      <c r="EP243" s="58">
        <f>IFERROR($BE243/$BE244-1,"")</f>
        <v/>
      </c>
      <c r="EQ243" s="58">
        <f>IFERROR($BF243/$BF244-1,"")</f>
        <v/>
      </c>
      <c r="ER243" s="58">
        <f>IFERROR($BG243/$BG244-1,"")</f>
        <v/>
      </c>
      <c r="ES243" s="58">
        <f>IFERROR($BH243/$BH244-1,"")</f>
        <v/>
      </c>
      <c r="ET243" s="58">
        <f>IFERROR($BI243/$BI244-1,"")</f>
        <v/>
      </c>
      <c r="EU243" s="58">
        <f>IFERROR($BJ243/$BJ244-1,"")</f>
        <v/>
      </c>
      <c r="EV243" s="58">
        <f>IFERROR($BK243/$BK244-1,"")</f>
        <v/>
      </c>
      <c r="EW243" s="58">
        <f>IFERROR($BL243/$BL244-1,"")</f>
        <v/>
      </c>
      <c r="EX243" s="58">
        <f>IFERROR($BM243/$BM244-1,"")</f>
        <v/>
      </c>
      <c r="EY243" s="58">
        <f>IFERROR($BN243/$BN244-1,"")</f>
        <v/>
      </c>
      <c r="EZ243" s="58">
        <f>IFERROR($BO243/$BO244-1,"")</f>
        <v/>
      </c>
      <c r="FA243" s="58">
        <f>IFERROR($BP243/$BP244-1,"")</f>
        <v/>
      </c>
      <c r="FB243" s="58">
        <f>IFERROR($BQ243/$BQ244-1,"")</f>
        <v/>
      </c>
      <c r="FC243" s="58">
        <f>IFERROR($BR243/$BR244-1,"")</f>
        <v/>
      </c>
      <c r="FD243" s="58">
        <f>IFERROR($BS243/$BS244-1,"")</f>
        <v/>
      </c>
      <c r="FE243" s="58">
        <f>IFERROR($BT243/$BT244-1,"")</f>
        <v/>
      </c>
      <c r="FF243" s="58">
        <f>IFERROR($BU243/$BU244-1,"")</f>
        <v/>
      </c>
      <c r="FG243" s="58">
        <f>IFERROR($BV243/$BV244-1,"")</f>
        <v/>
      </c>
      <c r="FH243" s="58">
        <f>IFERROR($BW243/$BW244-1,"")</f>
        <v/>
      </c>
      <c r="FI243" s="58">
        <f>IFERROR($BX243/$BX244-1,"")</f>
        <v/>
      </c>
      <c r="FJ243" s="59">
        <f>$BY243-$BY244</f>
        <v/>
      </c>
      <c r="FK243" s="59">
        <f>$BZ243-$BZ244</f>
        <v/>
      </c>
      <c r="FL243" s="59">
        <f>$CA243-$CA244</f>
        <v/>
      </c>
      <c r="FM243" s="59">
        <f>$CB243-$CB244</f>
        <v/>
      </c>
      <c r="FN243" s="59">
        <f>$CC243-$CC244</f>
        <v/>
      </c>
      <c r="FO243" s="59">
        <f>$CD243-$CD244</f>
        <v/>
      </c>
      <c r="FP243" s="59">
        <f>$CE243-$CE244</f>
        <v/>
      </c>
      <c r="FQ243" s="59">
        <f>$CF243-$CF244</f>
        <v/>
      </c>
      <c r="FR243" s="59">
        <f>$CG243-$CG244</f>
        <v/>
      </c>
      <c r="FS243" s="59">
        <f>$CH243-$CH244</f>
        <v/>
      </c>
      <c r="FT243" s="59">
        <f>$CI243-$CI244</f>
        <v/>
      </c>
      <c r="FU243" s="59">
        <f>$CJ243-$CJ244</f>
        <v/>
      </c>
      <c r="FV243" s="59">
        <f>$CK243-$CK244</f>
        <v/>
      </c>
      <c r="FW243" s="59">
        <f>$CL243-$CL244</f>
        <v/>
      </c>
      <c r="FX243" s="59">
        <f>$CM243-$CM244</f>
        <v/>
      </c>
      <c r="FY243" s="59">
        <f>$CN243-$CN244</f>
        <v/>
      </c>
      <c r="FZ243" s="59">
        <f>$CO243-$CO244</f>
        <v/>
      </c>
      <c r="GA243" s="59">
        <f>$CP243-$CP244</f>
        <v/>
      </c>
      <c r="GB243" s="59">
        <f>$CQ243-$CQ244</f>
        <v/>
      </c>
      <c r="GC243" s="59">
        <f>$CR243-$CR244</f>
        <v/>
      </c>
      <c r="GD243" s="59">
        <f>$CS243-$CS244</f>
        <v/>
      </c>
      <c r="GE243" s="59">
        <f>$CT243-$CT244</f>
        <v/>
      </c>
    </row>
    <row r="244">
      <c r="CU244" s="58">
        <f>IFERROR($B244/$B245-1,"")</f>
        <v/>
      </c>
      <c r="CV244" s="59">
        <f>($F244-$F245)*100</f>
        <v/>
      </c>
      <c r="CW244" s="59">
        <f>($E244-$E245)*100</f>
        <v/>
      </c>
      <c r="CX244" s="58">
        <f>IFERROR($K244/$K245-1,"")</f>
        <v/>
      </c>
      <c r="CY244" s="59">
        <f>($AH244-$AH245)*100</f>
        <v/>
      </c>
      <c r="CZ244" s="59">
        <f>($AI244-$AI245)*100</f>
        <v/>
      </c>
      <c r="DA244" s="59">
        <f>($AJ244-$AJ245)*100</f>
        <v/>
      </c>
      <c r="DB244" s="59">
        <f>($AK244-$AK245)*100</f>
        <v/>
      </c>
      <c r="DC244" s="59">
        <f>($AL244-$AL245)*100</f>
        <v/>
      </c>
      <c r="DD244" s="59">
        <f>($AM244-$AM245)*100</f>
        <v/>
      </c>
      <c r="DE244" s="59">
        <f>($AN244-$AN245)*100</f>
        <v/>
      </c>
      <c r="DF244" s="59">
        <f>($AO244-$AO245)*100</f>
        <v/>
      </c>
      <c r="DG244" s="59">
        <f>($AP244-$AP245)*100</f>
        <v/>
      </c>
      <c r="DH244" s="59">
        <f>($AQ244-$AQ245)*100</f>
        <v/>
      </c>
      <c r="DI244" s="59">
        <f>($AR244-$AR245)*100</f>
        <v/>
      </c>
      <c r="DJ244" s="59">
        <f>($AS244-$AS245)*100</f>
        <v/>
      </c>
      <c r="DK244" s="59">
        <f>($AT244-$AT245)*100</f>
        <v/>
      </c>
      <c r="DL244" s="59">
        <f>($AU244-$AU245)*100</f>
        <v/>
      </c>
      <c r="DM244" s="59">
        <f>($AV244-$AV245)*100</f>
        <v/>
      </c>
      <c r="DN244" s="59">
        <f>($AW244-$AW245)*100</f>
        <v/>
      </c>
      <c r="DO244" s="59">
        <f>($AX244-$AX245)*100</f>
        <v/>
      </c>
      <c r="DP244" s="59">
        <f>($AY244-$AY245)*100</f>
        <v/>
      </c>
      <c r="DQ244" s="59">
        <f>($AZ244-$AZ245)*100</f>
        <v/>
      </c>
      <c r="DR244" s="59">
        <f>($BA244-$BA245)*100</f>
        <v/>
      </c>
      <c r="DS244" s="58">
        <f>IFERROR($N245/$N244-1,"")</f>
        <v/>
      </c>
      <c r="DT244" s="58">
        <f>IFERROR($O245/$O244-1,"")</f>
        <v/>
      </c>
      <c r="DU244" s="58">
        <f>IFERROR($P245/$P244-1,"")</f>
        <v/>
      </c>
      <c r="DV244" s="58">
        <f>IFERROR($Q245/$Q244-1,"")</f>
        <v/>
      </c>
      <c r="DW244" s="58">
        <f>IFERROR($R245/$R244-1,"")</f>
        <v/>
      </c>
      <c r="DX244" s="58">
        <f>IFERROR($S245/$S244-1,"")</f>
        <v/>
      </c>
      <c r="DY244" s="58">
        <f>IFERROR($T245/$T244-1,"")</f>
        <v/>
      </c>
      <c r="DZ244" s="58">
        <f>IFERROR($U245/$U244-1,"")</f>
        <v/>
      </c>
      <c r="EA244" s="58">
        <f>IFERROR($V245/$V244-1,"")</f>
        <v/>
      </c>
      <c r="EB244" s="58">
        <f>IFERROR($W245/$W244-1,"")</f>
        <v/>
      </c>
      <c r="EC244" s="58">
        <f>IFERROR($X245/$X244-1,"")</f>
        <v/>
      </c>
      <c r="ED244" s="58">
        <f>IFERROR($Y245/$Y244-1,"")</f>
        <v/>
      </c>
      <c r="EE244" s="58">
        <f>IFERROR($Z245/$Z244-1,"")</f>
        <v/>
      </c>
      <c r="EF244" s="58">
        <f>IFERROR($AA245/$AA244-1,"")</f>
        <v/>
      </c>
      <c r="EG244" s="58">
        <f>IFERROR($AB245/$AB244-1,"")</f>
        <v/>
      </c>
      <c r="EH244" s="58">
        <f>IFERROR($AC245/$AC244-1,"")</f>
        <v/>
      </c>
      <c r="EI244" s="58">
        <f>IFERROR($AD245/$AD244-1,"")</f>
        <v/>
      </c>
      <c r="EJ244" s="58">
        <f>IFERROR($AE245/$AE244-1,"")</f>
        <v/>
      </c>
      <c r="EK244" s="58">
        <f>IFERROR($AF245/$AF244-1,"")</f>
        <v/>
      </c>
      <c r="EL244" s="58">
        <f>IFERROR($AG245/$AG244-1,"")</f>
        <v/>
      </c>
      <c r="EM244" s="58">
        <f>IFERROR($BB244/$BB245-1,"")</f>
        <v/>
      </c>
      <c r="EN244" s="58">
        <f>IFERROR($BC244/$BC245-1,"")</f>
        <v/>
      </c>
      <c r="EO244" s="58">
        <f>IFERROR($BD244/$BD245-1,"")</f>
        <v/>
      </c>
      <c r="EP244" s="58">
        <f>IFERROR($BE244/$BE245-1,"")</f>
        <v/>
      </c>
      <c r="EQ244" s="58">
        <f>IFERROR($BF244/$BF245-1,"")</f>
        <v/>
      </c>
      <c r="ER244" s="58">
        <f>IFERROR($BG244/$BG245-1,"")</f>
        <v/>
      </c>
      <c r="ES244" s="58">
        <f>IFERROR($BH244/$BH245-1,"")</f>
        <v/>
      </c>
      <c r="ET244" s="58">
        <f>IFERROR($BI244/$BI245-1,"")</f>
        <v/>
      </c>
      <c r="EU244" s="58">
        <f>IFERROR($BJ244/$BJ245-1,"")</f>
        <v/>
      </c>
      <c r="EV244" s="58">
        <f>IFERROR($BK244/$BK245-1,"")</f>
        <v/>
      </c>
      <c r="EW244" s="58">
        <f>IFERROR($BL244/$BL245-1,"")</f>
        <v/>
      </c>
      <c r="EX244" s="58">
        <f>IFERROR($BM244/$BM245-1,"")</f>
        <v/>
      </c>
      <c r="EY244" s="58">
        <f>IFERROR($BN244/$BN245-1,"")</f>
        <v/>
      </c>
      <c r="EZ244" s="58">
        <f>IFERROR($BO244/$BO245-1,"")</f>
        <v/>
      </c>
      <c r="FA244" s="58">
        <f>IFERROR($BP244/$BP245-1,"")</f>
        <v/>
      </c>
      <c r="FB244" s="58">
        <f>IFERROR($BQ244/$BQ245-1,"")</f>
        <v/>
      </c>
      <c r="FC244" s="58">
        <f>IFERROR($BR244/$BR245-1,"")</f>
        <v/>
      </c>
      <c r="FD244" s="58">
        <f>IFERROR($BS244/$BS245-1,"")</f>
        <v/>
      </c>
      <c r="FE244" s="58">
        <f>IFERROR($BT244/$BT245-1,"")</f>
        <v/>
      </c>
      <c r="FF244" s="58">
        <f>IFERROR($BU244/$BU245-1,"")</f>
        <v/>
      </c>
      <c r="FG244" s="58">
        <f>IFERROR($BV244/$BV245-1,"")</f>
        <v/>
      </c>
      <c r="FH244" s="58">
        <f>IFERROR($BW244/$BW245-1,"")</f>
        <v/>
      </c>
      <c r="FI244" s="58">
        <f>IFERROR($BX244/$BX245-1,"")</f>
        <v/>
      </c>
      <c r="FJ244" s="59">
        <f>$BY244-$BY245</f>
        <v/>
      </c>
      <c r="FK244" s="59">
        <f>$BZ244-$BZ245</f>
        <v/>
      </c>
      <c r="FL244" s="59">
        <f>$CA244-$CA245</f>
        <v/>
      </c>
      <c r="FM244" s="59">
        <f>$CB244-$CB245</f>
        <v/>
      </c>
      <c r="FN244" s="59">
        <f>$CC244-$CC245</f>
        <v/>
      </c>
      <c r="FO244" s="59">
        <f>$CD244-$CD245</f>
        <v/>
      </c>
      <c r="FP244" s="59">
        <f>$CE244-$CE245</f>
        <v/>
      </c>
      <c r="FQ244" s="59">
        <f>$CF244-$CF245</f>
        <v/>
      </c>
      <c r="FR244" s="59">
        <f>$CG244-$CG245</f>
        <v/>
      </c>
      <c r="FS244" s="59">
        <f>$CH244-$CH245</f>
        <v/>
      </c>
      <c r="FT244" s="59">
        <f>$CI244-$CI245</f>
        <v/>
      </c>
      <c r="FU244" s="59">
        <f>$CJ244-$CJ245</f>
        <v/>
      </c>
      <c r="FV244" s="59">
        <f>$CK244-$CK245</f>
        <v/>
      </c>
      <c r="FW244" s="59">
        <f>$CL244-$CL245</f>
        <v/>
      </c>
      <c r="FX244" s="59">
        <f>$CM244-$CM245</f>
        <v/>
      </c>
      <c r="FY244" s="59">
        <f>$CN244-$CN245</f>
        <v/>
      </c>
      <c r="FZ244" s="59">
        <f>$CO244-$CO245</f>
        <v/>
      </c>
      <c r="GA244" s="59">
        <f>$CP244-$CP245</f>
        <v/>
      </c>
      <c r="GB244" s="59">
        <f>$CQ244-$CQ245</f>
        <v/>
      </c>
      <c r="GC244" s="59">
        <f>$CR244-$CR245</f>
        <v/>
      </c>
      <c r="GD244" s="59">
        <f>$CS244-$CS245</f>
        <v/>
      </c>
      <c r="GE244" s="59">
        <f>$CT244-$CT245</f>
        <v/>
      </c>
    </row>
    <row r="245">
      <c r="CU245" s="58">
        <f>IFERROR($B245/$B246-1,"")</f>
        <v/>
      </c>
      <c r="CV245" s="59">
        <f>($F245-$F246)*100</f>
        <v/>
      </c>
      <c r="CW245" s="59">
        <f>($E245-$E246)*100</f>
        <v/>
      </c>
      <c r="CX245" s="58">
        <f>IFERROR($K245/$K246-1,"")</f>
        <v/>
      </c>
      <c r="CY245" s="59">
        <f>($AH245-$AH246)*100</f>
        <v/>
      </c>
      <c r="CZ245" s="59">
        <f>($AI245-$AI246)*100</f>
        <v/>
      </c>
      <c r="DA245" s="59">
        <f>($AJ245-$AJ246)*100</f>
        <v/>
      </c>
      <c r="DB245" s="59">
        <f>($AK245-$AK246)*100</f>
        <v/>
      </c>
      <c r="DC245" s="59">
        <f>($AL245-$AL246)*100</f>
        <v/>
      </c>
      <c r="DD245" s="59">
        <f>($AM245-$AM246)*100</f>
        <v/>
      </c>
      <c r="DE245" s="59">
        <f>($AN245-$AN246)*100</f>
        <v/>
      </c>
      <c r="DF245" s="59">
        <f>($AO245-$AO246)*100</f>
        <v/>
      </c>
      <c r="DG245" s="59">
        <f>($AP245-$AP246)*100</f>
        <v/>
      </c>
      <c r="DH245" s="59">
        <f>($AQ245-$AQ246)*100</f>
        <v/>
      </c>
      <c r="DI245" s="59">
        <f>($AR245-$AR246)*100</f>
        <v/>
      </c>
      <c r="DJ245" s="59">
        <f>($AS245-$AS246)*100</f>
        <v/>
      </c>
      <c r="DK245" s="59">
        <f>($AT245-$AT246)*100</f>
        <v/>
      </c>
      <c r="DL245" s="59">
        <f>($AU245-$AU246)*100</f>
        <v/>
      </c>
      <c r="DM245" s="59">
        <f>($AV245-$AV246)*100</f>
        <v/>
      </c>
      <c r="DN245" s="59">
        <f>($AW245-$AW246)*100</f>
        <v/>
      </c>
      <c r="DO245" s="59">
        <f>($AX245-$AX246)*100</f>
        <v/>
      </c>
      <c r="DP245" s="59">
        <f>($AY245-$AY246)*100</f>
        <v/>
      </c>
      <c r="DQ245" s="59">
        <f>($AZ245-$AZ246)*100</f>
        <v/>
      </c>
      <c r="DR245" s="59">
        <f>($BA245-$BA246)*100</f>
        <v/>
      </c>
      <c r="DS245" s="58">
        <f>IFERROR($N246/$N245-1,"")</f>
        <v/>
      </c>
      <c r="DT245" s="58">
        <f>IFERROR($O246/$O245-1,"")</f>
        <v/>
      </c>
      <c r="DU245" s="58">
        <f>IFERROR($P246/$P245-1,"")</f>
        <v/>
      </c>
      <c r="DV245" s="58">
        <f>IFERROR($Q246/$Q245-1,"")</f>
        <v/>
      </c>
      <c r="DW245" s="58">
        <f>IFERROR($R246/$R245-1,"")</f>
        <v/>
      </c>
      <c r="DX245" s="58">
        <f>IFERROR($S246/$S245-1,"")</f>
        <v/>
      </c>
      <c r="DY245" s="58">
        <f>IFERROR($T246/$T245-1,"")</f>
        <v/>
      </c>
      <c r="DZ245" s="58">
        <f>IFERROR($U246/$U245-1,"")</f>
        <v/>
      </c>
      <c r="EA245" s="58">
        <f>IFERROR($V246/$V245-1,"")</f>
        <v/>
      </c>
      <c r="EB245" s="58">
        <f>IFERROR($W246/$W245-1,"")</f>
        <v/>
      </c>
      <c r="EC245" s="58">
        <f>IFERROR($X246/$X245-1,"")</f>
        <v/>
      </c>
      <c r="ED245" s="58">
        <f>IFERROR($Y246/$Y245-1,"")</f>
        <v/>
      </c>
      <c r="EE245" s="58">
        <f>IFERROR($Z246/$Z245-1,"")</f>
        <v/>
      </c>
      <c r="EF245" s="58">
        <f>IFERROR($AA246/$AA245-1,"")</f>
        <v/>
      </c>
      <c r="EG245" s="58">
        <f>IFERROR($AB246/$AB245-1,"")</f>
        <v/>
      </c>
      <c r="EH245" s="58">
        <f>IFERROR($AC246/$AC245-1,"")</f>
        <v/>
      </c>
      <c r="EI245" s="58">
        <f>IFERROR($AD246/$AD245-1,"")</f>
        <v/>
      </c>
      <c r="EJ245" s="58">
        <f>IFERROR($AE246/$AE245-1,"")</f>
        <v/>
      </c>
      <c r="EK245" s="58">
        <f>IFERROR($AF246/$AF245-1,"")</f>
        <v/>
      </c>
      <c r="EL245" s="58">
        <f>IFERROR($AG246/$AG245-1,"")</f>
        <v/>
      </c>
      <c r="EM245" s="58">
        <f>IFERROR($BB245/$BB246-1,"")</f>
        <v/>
      </c>
      <c r="EN245" s="58">
        <f>IFERROR($BC245/$BC246-1,"")</f>
        <v/>
      </c>
      <c r="EO245" s="58">
        <f>IFERROR($BD245/$BD246-1,"")</f>
        <v/>
      </c>
      <c r="EP245" s="58">
        <f>IFERROR($BE245/$BE246-1,"")</f>
        <v/>
      </c>
      <c r="EQ245" s="58">
        <f>IFERROR($BF245/$BF246-1,"")</f>
        <v/>
      </c>
      <c r="ER245" s="58">
        <f>IFERROR($BG245/$BG246-1,"")</f>
        <v/>
      </c>
      <c r="ES245" s="58">
        <f>IFERROR($BH245/$BH246-1,"")</f>
        <v/>
      </c>
      <c r="ET245" s="58">
        <f>IFERROR($BI245/$BI246-1,"")</f>
        <v/>
      </c>
      <c r="EU245" s="58">
        <f>IFERROR($BJ245/$BJ246-1,"")</f>
        <v/>
      </c>
      <c r="EV245" s="58">
        <f>IFERROR($BK245/$BK246-1,"")</f>
        <v/>
      </c>
      <c r="EW245" s="58">
        <f>IFERROR($BL245/$BL246-1,"")</f>
        <v/>
      </c>
      <c r="EX245" s="58">
        <f>IFERROR($BM245/$BM246-1,"")</f>
        <v/>
      </c>
      <c r="EY245" s="58">
        <f>IFERROR($BN245/$BN246-1,"")</f>
        <v/>
      </c>
      <c r="EZ245" s="58">
        <f>IFERROR($BO245/$BO246-1,"")</f>
        <v/>
      </c>
      <c r="FA245" s="58">
        <f>IFERROR($BP245/$BP246-1,"")</f>
        <v/>
      </c>
      <c r="FB245" s="58">
        <f>IFERROR($BQ245/$BQ246-1,"")</f>
        <v/>
      </c>
      <c r="FC245" s="58">
        <f>IFERROR($BR245/$BR246-1,"")</f>
        <v/>
      </c>
      <c r="FD245" s="58">
        <f>IFERROR($BS245/$BS246-1,"")</f>
        <v/>
      </c>
      <c r="FE245" s="58">
        <f>IFERROR($BT245/$BT246-1,"")</f>
        <v/>
      </c>
      <c r="FF245" s="58">
        <f>IFERROR($BU245/$BU246-1,"")</f>
        <v/>
      </c>
      <c r="FG245" s="58">
        <f>IFERROR($BV245/$BV246-1,"")</f>
        <v/>
      </c>
      <c r="FH245" s="58">
        <f>IFERROR($BW245/$BW246-1,"")</f>
        <v/>
      </c>
      <c r="FI245" s="58">
        <f>IFERROR($BX245/$BX246-1,"")</f>
        <v/>
      </c>
      <c r="FJ245" s="59">
        <f>$BY245-$BY246</f>
        <v/>
      </c>
      <c r="FK245" s="59">
        <f>$BZ245-$BZ246</f>
        <v/>
      </c>
      <c r="FL245" s="59">
        <f>$CA245-$CA246</f>
        <v/>
      </c>
      <c r="FM245" s="59">
        <f>$CB245-$CB246</f>
        <v/>
      </c>
      <c r="FN245" s="59">
        <f>$CC245-$CC246</f>
        <v/>
      </c>
      <c r="FO245" s="59">
        <f>$CD245-$CD246</f>
        <v/>
      </c>
      <c r="FP245" s="59">
        <f>$CE245-$CE246</f>
        <v/>
      </c>
      <c r="FQ245" s="59">
        <f>$CF245-$CF246</f>
        <v/>
      </c>
      <c r="FR245" s="59">
        <f>$CG245-$CG246</f>
        <v/>
      </c>
      <c r="FS245" s="59">
        <f>$CH245-$CH246</f>
        <v/>
      </c>
      <c r="FT245" s="59">
        <f>$CI245-$CI246</f>
        <v/>
      </c>
      <c r="FU245" s="59">
        <f>$CJ245-$CJ246</f>
        <v/>
      </c>
      <c r="FV245" s="59">
        <f>$CK245-$CK246</f>
        <v/>
      </c>
      <c r="FW245" s="59">
        <f>$CL245-$CL246</f>
        <v/>
      </c>
      <c r="FX245" s="59">
        <f>$CM245-$CM246</f>
        <v/>
      </c>
      <c r="FY245" s="59">
        <f>$CN245-$CN246</f>
        <v/>
      </c>
      <c r="FZ245" s="59">
        <f>$CO245-$CO246</f>
        <v/>
      </c>
      <c r="GA245" s="59">
        <f>$CP245-$CP246</f>
        <v/>
      </c>
      <c r="GB245" s="59">
        <f>$CQ245-$CQ246</f>
        <v/>
      </c>
      <c r="GC245" s="59">
        <f>$CR245-$CR246</f>
        <v/>
      </c>
      <c r="GD245" s="59">
        <f>$CS245-$CS246</f>
        <v/>
      </c>
      <c r="GE245" s="59">
        <f>$CT245-$CT246</f>
        <v/>
      </c>
    </row>
    <row r="246">
      <c r="CU246" s="58">
        <f>IFERROR($B246/$B247-1,"")</f>
        <v/>
      </c>
      <c r="CV246" s="59">
        <f>($F246-$F247)*100</f>
        <v/>
      </c>
      <c r="CW246" s="59">
        <f>($E246-$E247)*100</f>
        <v/>
      </c>
      <c r="CX246" s="58">
        <f>IFERROR($K246/$K247-1,"")</f>
        <v/>
      </c>
      <c r="CY246" s="59">
        <f>($AH246-$AH247)*100</f>
        <v/>
      </c>
      <c r="CZ246" s="59">
        <f>($AI246-$AI247)*100</f>
        <v/>
      </c>
      <c r="DA246" s="59">
        <f>($AJ246-$AJ247)*100</f>
        <v/>
      </c>
      <c r="DB246" s="59">
        <f>($AK246-$AK247)*100</f>
        <v/>
      </c>
      <c r="DC246" s="59">
        <f>($AL246-$AL247)*100</f>
        <v/>
      </c>
      <c r="DD246" s="59">
        <f>($AM246-$AM247)*100</f>
        <v/>
      </c>
      <c r="DE246" s="59">
        <f>($AN246-$AN247)*100</f>
        <v/>
      </c>
      <c r="DF246" s="59">
        <f>($AO246-$AO247)*100</f>
        <v/>
      </c>
      <c r="DG246" s="59">
        <f>($AP246-$AP247)*100</f>
        <v/>
      </c>
      <c r="DH246" s="59">
        <f>($AQ246-$AQ247)*100</f>
        <v/>
      </c>
      <c r="DI246" s="59">
        <f>($AR246-$AR247)*100</f>
        <v/>
      </c>
      <c r="DJ246" s="59">
        <f>($AS246-$AS247)*100</f>
        <v/>
      </c>
      <c r="DK246" s="59">
        <f>($AT246-$AT247)*100</f>
        <v/>
      </c>
      <c r="DL246" s="59">
        <f>($AU246-$AU247)*100</f>
        <v/>
      </c>
      <c r="DM246" s="59">
        <f>($AV246-$AV247)*100</f>
        <v/>
      </c>
      <c r="DN246" s="59">
        <f>($AW246-$AW247)*100</f>
        <v/>
      </c>
      <c r="DO246" s="59">
        <f>($AX246-$AX247)*100</f>
        <v/>
      </c>
      <c r="DP246" s="59">
        <f>($AY246-$AY247)*100</f>
        <v/>
      </c>
      <c r="DQ246" s="59">
        <f>($AZ246-$AZ247)*100</f>
        <v/>
      </c>
      <c r="DR246" s="59">
        <f>($BA246-$BA247)*100</f>
        <v/>
      </c>
      <c r="DS246" s="58">
        <f>IFERROR($N247/$N246-1,"")</f>
        <v/>
      </c>
      <c r="DT246" s="58">
        <f>IFERROR($O247/$O246-1,"")</f>
        <v/>
      </c>
      <c r="DU246" s="58">
        <f>IFERROR($P247/$P246-1,"")</f>
        <v/>
      </c>
      <c r="DV246" s="58">
        <f>IFERROR($Q247/$Q246-1,"")</f>
        <v/>
      </c>
      <c r="DW246" s="58">
        <f>IFERROR($R247/$R246-1,"")</f>
        <v/>
      </c>
      <c r="DX246" s="58">
        <f>IFERROR($S247/$S246-1,"")</f>
        <v/>
      </c>
      <c r="DY246" s="58">
        <f>IFERROR($T247/$T246-1,"")</f>
        <v/>
      </c>
      <c r="DZ246" s="58">
        <f>IFERROR($U247/$U246-1,"")</f>
        <v/>
      </c>
      <c r="EA246" s="58">
        <f>IFERROR($V247/$V246-1,"")</f>
        <v/>
      </c>
      <c r="EB246" s="58">
        <f>IFERROR($W247/$W246-1,"")</f>
        <v/>
      </c>
      <c r="EC246" s="58">
        <f>IFERROR($X247/$X246-1,"")</f>
        <v/>
      </c>
      <c r="ED246" s="58">
        <f>IFERROR($Y247/$Y246-1,"")</f>
        <v/>
      </c>
      <c r="EE246" s="58">
        <f>IFERROR($Z247/$Z246-1,"")</f>
        <v/>
      </c>
      <c r="EF246" s="58">
        <f>IFERROR($AA247/$AA246-1,"")</f>
        <v/>
      </c>
      <c r="EG246" s="58">
        <f>IFERROR($AB247/$AB246-1,"")</f>
        <v/>
      </c>
      <c r="EH246" s="58">
        <f>IFERROR($AC247/$AC246-1,"")</f>
        <v/>
      </c>
      <c r="EI246" s="58">
        <f>IFERROR($AD247/$AD246-1,"")</f>
        <v/>
      </c>
      <c r="EJ246" s="58">
        <f>IFERROR($AE247/$AE246-1,"")</f>
        <v/>
      </c>
      <c r="EK246" s="58">
        <f>IFERROR($AF247/$AF246-1,"")</f>
        <v/>
      </c>
      <c r="EL246" s="58">
        <f>IFERROR($AG247/$AG246-1,"")</f>
        <v/>
      </c>
      <c r="EM246" s="58">
        <f>IFERROR($BB246/$BB247-1,"")</f>
        <v/>
      </c>
      <c r="EN246" s="58">
        <f>IFERROR($BC246/$BC247-1,"")</f>
        <v/>
      </c>
      <c r="EO246" s="58">
        <f>IFERROR($BD246/$BD247-1,"")</f>
        <v/>
      </c>
      <c r="EP246" s="58">
        <f>IFERROR($BE246/$BE247-1,"")</f>
        <v/>
      </c>
      <c r="EQ246" s="58">
        <f>IFERROR($BF246/$BF247-1,"")</f>
        <v/>
      </c>
      <c r="ER246" s="58">
        <f>IFERROR($BG246/$BG247-1,"")</f>
        <v/>
      </c>
      <c r="ES246" s="58">
        <f>IFERROR($BH246/$BH247-1,"")</f>
        <v/>
      </c>
      <c r="ET246" s="58">
        <f>IFERROR($BI246/$BI247-1,"")</f>
        <v/>
      </c>
      <c r="EU246" s="58">
        <f>IFERROR($BJ246/$BJ247-1,"")</f>
        <v/>
      </c>
      <c r="EV246" s="58">
        <f>IFERROR($BK246/$BK247-1,"")</f>
        <v/>
      </c>
      <c r="EW246" s="58">
        <f>IFERROR($BL246/$BL247-1,"")</f>
        <v/>
      </c>
      <c r="EX246" s="58">
        <f>IFERROR($BM246/$BM247-1,"")</f>
        <v/>
      </c>
      <c r="EY246" s="58">
        <f>IFERROR($BN246/$BN247-1,"")</f>
        <v/>
      </c>
      <c r="EZ246" s="58">
        <f>IFERROR($BO246/$BO247-1,"")</f>
        <v/>
      </c>
      <c r="FA246" s="58">
        <f>IFERROR($BP246/$BP247-1,"")</f>
        <v/>
      </c>
      <c r="FB246" s="58">
        <f>IFERROR($BQ246/$BQ247-1,"")</f>
        <v/>
      </c>
      <c r="FC246" s="58">
        <f>IFERROR($BR246/$BR247-1,"")</f>
        <v/>
      </c>
      <c r="FD246" s="58">
        <f>IFERROR($BS246/$BS247-1,"")</f>
        <v/>
      </c>
      <c r="FE246" s="58">
        <f>IFERROR($BT246/$BT247-1,"")</f>
        <v/>
      </c>
      <c r="FF246" s="58">
        <f>IFERROR($BU246/$BU247-1,"")</f>
        <v/>
      </c>
      <c r="FG246" s="58">
        <f>IFERROR($BV246/$BV247-1,"")</f>
        <v/>
      </c>
      <c r="FH246" s="58">
        <f>IFERROR($BW246/$BW247-1,"")</f>
        <v/>
      </c>
      <c r="FI246" s="58">
        <f>IFERROR($BX246/$BX247-1,"")</f>
        <v/>
      </c>
      <c r="FJ246" s="59">
        <f>$BY246-$BY247</f>
        <v/>
      </c>
      <c r="FK246" s="59">
        <f>$BZ246-$BZ247</f>
        <v/>
      </c>
      <c r="FL246" s="59">
        <f>$CA246-$CA247</f>
        <v/>
      </c>
      <c r="FM246" s="59">
        <f>$CB246-$CB247</f>
        <v/>
      </c>
      <c r="FN246" s="59">
        <f>$CC246-$CC247</f>
        <v/>
      </c>
      <c r="FO246" s="59">
        <f>$CD246-$CD247</f>
        <v/>
      </c>
      <c r="FP246" s="59">
        <f>$CE246-$CE247</f>
        <v/>
      </c>
      <c r="FQ246" s="59">
        <f>$CF246-$CF247</f>
        <v/>
      </c>
      <c r="FR246" s="59">
        <f>$CG246-$CG247</f>
        <v/>
      </c>
      <c r="FS246" s="59">
        <f>$CH246-$CH247</f>
        <v/>
      </c>
      <c r="FT246" s="59">
        <f>$CI246-$CI247</f>
        <v/>
      </c>
      <c r="FU246" s="59">
        <f>$CJ246-$CJ247</f>
        <v/>
      </c>
      <c r="FV246" s="59">
        <f>$CK246-$CK247</f>
        <v/>
      </c>
      <c r="FW246" s="59">
        <f>$CL246-$CL247</f>
        <v/>
      </c>
      <c r="FX246" s="59">
        <f>$CM246-$CM247</f>
        <v/>
      </c>
      <c r="FY246" s="59">
        <f>$CN246-$CN247</f>
        <v/>
      </c>
      <c r="FZ246" s="59">
        <f>$CO246-$CO247</f>
        <v/>
      </c>
      <c r="GA246" s="59">
        <f>$CP246-$CP247</f>
        <v/>
      </c>
      <c r="GB246" s="59">
        <f>$CQ246-$CQ247</f>
        <v/>
      </c>
      <c r="GC246" s="59">
        <f>$CR246-$CR247</f>
        <v/>
      </c>
      <c r="GD246" s="59">
        <f>$CS246-$CS247</f>
        <v/>
      </c>
      <c r="GE246" s="59">
        <f>$CT246-$CT247</f>
        <v/>
      </c>
    </row>
    <row r="247">
      <c r="CU247" s="58">
        <f>IFERROR($B247/$B248-1,"")</f>
        <v/>
      </c>
      <c r="CV247" s="59">
        <f>($F247-$F248)*100</f>
        <v/>
      </c>
      <c r="CW247" s="59">
        <f>($E247-$E248)*100</f>
        <v/>
      </c>
      <c r="CX247" s="58">
        <f>IFERROR($K247/$K248-1,"")</f>
        <v/>
      </c>
      <c r="CY247" s="59">
        <f>($AH247-$AH248)*100</f>
        <v/>
      </c>
      <c r="CZ247" s="59">
        <f>($AI247-$AI248)*100</f>
        <v/>
      </c>
      <c r="DA247" s="59">
        <f>($AJ247-$AJ248)*100</f>
        <v/>
      </c>
      <c r="DB247" s="59">
        <f>($AK247-$AK248)*100</f>
        <v/>
      </c>
      <c r="DC247" s="59">
        <f>($AL247-$AL248)*100</f>
        <v/>
      </c>
      <c r="DD247" s="59">
        <f>($AM247-$AM248)*100</f>
        <v/>
      </c>
      <c r="DE247" s="59">
        <f>($AN247-$AN248)*100</f>
        <v/>
      </c>
      <c r="DF247" s="59">
        <f>($AO247-$AO248)*100</f>
        <v/>
      </c>
      <c r="DG247" s="59">
        <f>($AP247-$AP248)*100</f>
        <v/>
      </c>
      <c r="DH247" s="59">
        <f>($AQ247-$AQ248)*100</f>
        <v/>
      </c>
      <c r="DI247" s="59">
        <f>($AR247-$AR248)*100</f>
        <v/>
      </c>
      <c r="DJ247" s="59">
        <f>($AS247-$AS248)*100</f>
        <v/>
      </c>
      <c r="DK247" s="59">
        <f>($AT247-$AT248)*100</f>
        <v/>
      </c>
      <c r="DL247" s="59">
        <f>($AU247-$AU248)*100</f>
        <v/>
      </c>
      <c r="DM247" s="59">
        <f>($AV247-$AV248)*100</f>
        <v/>
      </c>
      <c r="DN247" s="59">
        <f>($AW247-$AW248)*100</f>
        <v/>
      </c>
      <c r="DO247" s="59">
        <f>($AX247-$AX248)*100</f>
        <v/>
      </c>
      <c r="DP247" s="59">
        <f>($AY247-$AY248)*100</f>
        <v/>
      </c>
      <c r="DQ247" s="59">
        <f>($AZ247-$AZ248)*100</f>
        <v/>
      </c>
      <c r="DR247" s="59">
        <f>($BA247-$BA248)*100</f>
        <v/>
      </c>
      <c r="DS247" s="58">
        <f>IFERROR($N248/$N247-1,"")</f>
        <v/>
      </c>
      <c r="DT247" s="58">
        <f>IFERROR($O248/$O247-1,"")</f>
        <v/>
      </c>
      <c r="DU247" s="58">
        <f>IFERROR($P248/$P247-1,"")</f>
        <v/>
      </c>
      <c r="DV247" s="58">
        <f>IFERROR($Q248/$Q247-1,"")</f>
        <v/>
      </c>
      <c r="DW247" s="58">
        <f>IFERROR($R248/$R247-1,"")</f>
        <v/>
      </c>
      <c r="DX247" s="58">
        <f>IFERROR($S248/$S247-1,"")</f>
        <v/>
      </c>
      <c r="DY247" s="58">
        <f>IFERROR($T248/$T247-1,"")</f>
        <v/>
      </c>
      <c r="DZ247" s="58">
        <f>IFERROR($U248/$U247-1,"")</f>
        <v/>
      </c>
      <c r="EA247" s="58">
        <f>IFERROR($V248/$V247-1,"")</f>
        <v/>
      </c>
      <c r="EB247" s="58">
        <f>IFERROR($W248/$W247-1,"")</f>
        <v/>
      </c>
      <c r="EC247" s="58">
        <f>IFERROR($X248/$X247-1,"")</f>
        <v/>
      </c>
      <c r="ED247" s="58">
        <f>IFERROR($Y248/$Y247-1,"")</f>
        <v/>
      </c>
      <c r="EE247" s="58">
        <f>IFERROR($Z248/$Z247-1,"")</f>
        <v/>
      </c>
      <c r="EF247" s="58">
        <f>IFERROR($AA248/$AA247-1,"")</f>
        <v/>
      </c>
      <c r="EG247" s="58">
        <f>IFERROR($AB248/$AB247-1,"")</f>
        <v/>
      </c>
      <c r="EH247" s="58">
        <f>IFERROR($AC248/$AC247-1,"")</f>
        <v/>
      </c>
      <c r="EI247" s="58">
        <f>IFERROR($AD248/$AD247-1,"")</f>
        <v/>
      </c>
      <c r="EJ247" s="58">
        <f>IFERROR($AE248/$AE247-1,"")</f>
        <v/>
      </c>
      <c r="EK247" s="58">
        <f>IFERROR($AF248/$AF247-1,"")</f>
        <v/>
      </c>
      <c r="EL247" s="58">
        <f>IFERROR($AG248/$AG247-1,"")</f>
        <v/>
      </c>
      <c r="EM247" s="58">
        <f>IFERROR($BB247/$BB248-1,"")</f>
        <v/>
      </c>
      <c r="EN247" s="58">
        <f>IFERROR($BC247/$BC248-1,"")</f>
        <v/>
      </c>
      <c r="EO247" s="58">
        <f>IFERROR($BD247/$BD248-1,"")</f>
        <v/>
      </c>
      <c r="EP247" s="58">
        <f>IFERROR($BE247/$BE248-1,"")</f>
        <v/>
      </c>
      <c r="EQ247" s="58">
        <f>IFERROR($BF247/$BF248-1,"")</f>
        <v/>
      </c>
      <c r="ER247" s="58">
        <f>IFERROR($BG247/$BG248-1,"")</f>
        <v/>
      </c>
      <c r="ES247" s="58">
        <f>IFERROR($BH247/$BH248-1,"")</f>
        <v/>
      </c>
      <c r="ET247" s="58">
        <f>IFERROR($BI247/$BI248-1,"")</f>
        <v/>
      </c>
      <c r="EU247" s="58">
        <f>IFERROR($BJ247/$BJ248-1,"")</f>
        <v/>
      </c>
      <c r="EV247" s="58">
        <f>IFERROR($BK247/$BK248-1,"")</f>
        <v/>
      </c>
      <c r="EW247" s="58">
        <f>IFERROR($BL247/$BL248-1,"")</f>
        <v/>
      </c>
      <c r="EX247" s="58">
        <f>IFERROR($BM247/$BM248-1,"")</f>
        <v/>
      </c>
      <c r="EY247" s="58">
        <f>IFERROR($BN247/$BN248-1,"")</f>
        <v/>
      </c>
      <c r="EZ247" s="58">
        <f>IFERROR($BO247/$BO248-1,"")</f>
        <v/>
      </c>
      <c r="FA247" s="58">
        <f>IFERROR($BP247/$BP248-1,"")</f>
        <v/>
      </c>
      <c r="FB247" s="58">
        <f>IFERROR($BQ247/$BQ248-1,"")</f>
        <v/>
      </c>
      <c r="FC247" s="58">
        <f>IFERROR($BR247/$BR248-1,"")</f>
        <v/>
      </c>
      <c r="FD247" s="58">
        <f>IFERROR($BS247/$BS248-1,"")</f>
        <v/>
      </c>
      <c r="FE247" s="58">
        <f>IFERROR($BT247/$BT248-1,"")</f>
        <v/>
      </c>
      <c r="FF247" s="58">
        <f>IFERROR($BU247/$BU248-1,"")</f>
        <v/>
      </c>
      <c r="FG247" s="58">
        <f>IFERROR($BV247/$BV248-1,"")</f>
        <v/>
      </c>
      <c r="FH247" s="58">
        <f>IFERROR($BW247/$BW248-1,"")</f>
        <v/>
      </c>
      <c r="FI247" s="58">
        <f>IFERROR($BX247/$BX248-1,"")</f>
        <v/>
      </c>
      <c r="FJ247" s="59">
        <f>$BY247-$BY248</f>
        <v/>
      </c>
      <c r="FK247" s="59">
        <f>$BZ247-$BZ248</f>
        <v/>
      </c>
      <c r="FL247" s="59">
        <f>$CA247-$CA248</f>
        <v/>
      </c>
      <c r="FM247" s="59">
        <f>$CB247-$CB248</f>
        <v/>
      </c>
      <c r="FN247" s="59">
        <f>$CC247-$CC248</f>
        <v/>
      </c>
      <c r="FO247" s="59">
        <f>$CD247-$CD248</f>
        <v/>
      </c>
      <c r="FP247" s="59">
        <f>$CE247-$CE248</f>
        <v/>
      </c>
      <c r="FQ247" s="59">
        <f>$CF247-$CF248</f>
        <v/>
      </c>
      <c r="FR247" s="59">
        <f>$CG247-$CG248</f>
        <v/>
      </c>
      <c r="FS247" s="59">
        <f>$CH247-$CH248</f>
        <v/>
      </c>
      <c r="FT247" s="59">
        <f>$CI247-$CI248</f>
        <v/>
      </c>
      <c r="FU247" s="59">
        <f>$CJ247-$CJ248</f>
        <v/>
      </c>
      <c r="FV247" s="59">
        <f>$CK247-$CK248</f>
        <v/>
      </c>
      <c r="FW247" s="59">
        <f>$CL247-$CL248</f>
        <v/>
      </c>
      <c r="FX247" s="59">
        <f>$CM247-$CM248</f>
        <v/>
      </c>
      <c r="FY247" s="59">
        <f>$CN247-$CN248</f>
        <v/>
      </c>
      <c r="FZ247" s="59">
        <f>$CO247-$CO248</f>
        <v/>
      </c>
      <c r="GA247" s="59">
        <f>$CP247-$CP248</f>
        <v/>
      </c>
      <c r="GB247" s="59">
        <f>$CQ247-$CQ248</f>
        <v/>
      </c>
      <c r="GC247" s="59">
        <f>$CR247-$CR248</f>
        <v/>
      </c>
      <c r="GD247" s="59">
        <f>$CS247-$CS248</f>
        <v/>
      </c>
      <c r="GE247" s="59">
        <f>$CT247-$CT248</f>
        <v/>
      </c>
    </row>
    <row r="248">
      <c r="CU248" s="58">
        <f>IFERROR($B248/$B249-1,"")</f>
        <v/>
      </c>
      <c r="CV248" s="59">
        <f>($F248-$F249)*100</f>
        <v/>
      </c>
      <c r="CW248" s="59">
        <f>($E248-$E249)*100</f>
        <v/>
      </c>
      <c r="CX248" s="58">
        <f>IFERROR($K248/$K249-1,"")</f>
        <v/>
      </c>
      <c r="CY248" s="59">
        <f>($AH248-$AH249)*100</f>
        <v/>
      </c>
      <c r="CZ248" s="59">
        <f>($AI248-$AI249)*100</f>
        <v/>
      </c>
      <c r="DA248" s="59">
        <f>($AJ248-$AJ249)*100</f>
        <v/>
      </c>
      <c r="DB248" s="59">
        <f>($AK248-$AK249)*100</f>
        <v/>
      </c>
      <c r="DC248" s="59">
        <f>($AL248-$AL249)*100</f>
        <v/>
      </c>
      <c r="DD248" s="59">
        <f>($AM248-$AM249)*100</f>
        <v/>
      </c>
      <c r="DE248" s="59">
        <f>($AN248-$AN249)*100</f>
        <v/>
      </c>
      <c r="DF248" s="59">
        <f>($AO248-$AO249)*100</f>
        <v/>
      </c>
      <c r="DG248" s="59">
        <f>($AP248-$AP249)*100</f>
        <v/>
      </c>
      <c r="DH248" s="59">
        <f>($AQ248-$AQ249)*100</f>
        <v/>
      </c>
      <c r="DI248" s="59">
        <f>($AR248-$AR249)*100</f>
        <v/>
      </c>
      <c r="DJ248" s="59">
        <f>($AS248-$AS249)*100</f>
        <v/>
      </c>
      <c r="DK248" s="59">
        <f>($AT248-$AT249)*100</f>
        <v/>
      </c>
      <c r="DL248" s="59">
        <f>($AU248-$AU249)*100</f>
        <v/>
      </c>
      <c r="DM248" s="59">
        <f>($AV248-$AV249)*100</f>
        <v/>
      </c>
      <c r="DN248" s="59">
        <f>($AW248-$AW249)*100</f>
        <v/>
      </c>
      <c r="DO248" s="59">
        <f>($AX248-$AX249)*100</f>
        <v/>
      </c>
      <c r="DP248" s="59">
        <f>($AY248-$AY249)*100</f>
        <v/>
      </c>
      <c r="DQ248" s="59">
        <f>($AZ248-$AZ249)*100</f>
        <v/>
      </c>
      <c r="DR248" s="59">
        <f>($BA248-$BA249)*100</f>
        <v/>
      </c>
      <c r="DS248" s="58">
        <f>IFERROR($N249/$N248-1,"")</f>
        <v/>
      </c>
      <c r="DT248" s="58">
        <f>IFERROR($O249/$O248-1,"")</f>
        <v/>
      </c>
      <c r="DU248" s="58">
        <f>IFERROR($P249/$P248-1,"")</f>
        <v/>
      </c>
      <c r="DV248" s="58">
        <f>IFERROR($Q249/$Q248-1,"")</f>
        <v/>
      </c>
      <c r="DW248" s="58">
        <f>IFERROR($R249/$R248-1,"")</f>
        <v/>
      </c>
      <c r="DX248" s="58">
        <f>IFERROR($S249/$S248-1,"")</f>
        <v/>
      </c>
      <c r="DY248" s="58">
        <f>IFERROR($T249/$T248-1,"")</f>
        <v/>
      </c>
      <c r="DZ248" s="58">
        <f>IFERROR($U249/$U248-1,"")</f>
        <v/>
      </c>
      <c r="EA248" s="58">
        <f>IFERROR($V249/$V248-1,"")</f>
        <v/>
      </c>
      <c r="EB248" s="58">
        <f>IFERROR($W249/$W248-1,"")</f>
        <v/>
      </c>
      <c r="EC248" s="58">
        <f>IFERROR($X249/$X248-1,"")</f>
        <v/>
      </c>
      <c r="ED248" s="58">
        <f>IFERROR($Y249/$Y248-1,"")</f>
        <v/>
      </c>
      <c r="EE248" s="58">
        <f>IFERROR($Z249/$Z248-1,"")</f>
        <v/>
      </c>
      <c r="EF248" s="58">
        <f>IFERROR($AA249/$AA248-1,"")</f>
        <v/>
      </c>
      <c r="EG248" s="58">
        <f>IFERROR($AB249/$AB248-1,"")</f>
        <v/>
      </c>
      <c r="EH248" s="58">
        <f>IFERROR($AC249/$AC248-1,"")</f>
        <v/>
      </c>
      <c r="EI248" s="58">
        <f>IFERROR($AD249/$AD248-1,"")</f>
        <v/>
      </c>
      <c r="EJ248" s="58">
        <f>IFERROR($AE249/$AE248-1,"")</f>
        <v/>
      </c>
      <c r="EK248" s="58">
        <f>IFERROR($AF249/$AF248-1,"")</f>
        <v/>
      </c>
      <c r="EL248" s="58">
        <f>IFERROR($AG249/$AG248-1,"")</f>
        <v/>
      </c>
      <c r="EM248" s="58">
        <f>IFERROR($BB248/$BB249-1,"")</f>
        <v/>
      </c>
      <c r="EN248" s="58">
        <f>IFERROR($BC248/$BC249-1,"")</f>
        <v/>
      </c>
      <c r="EO248" s="58">
        <f>IFERROR($BD248/$BD249-1,"")</f>
        <v/>
      </c>
      <c r="EP248" s="58">
        <f>IFERROR($BE248/$BE249-1,"")</f>
        <v/>
      </c>
      <c r="EQ248" s="58">
        <f>IFERROR($BF248/$BF249-1,"")</f>
        <v/>
      </c>
      <c r="ER248" s="58">
        <f>IFERROR($BG248/$BG249-1,"")</f>
        <v/>
      </c>
      <c r="ES248" s="58">
        <f>IFERROR($BH248/$BH249-1,"")</f>
        <v/>
      </c>
      <c r="ET248" s="58">
        <f>IFERROR($BI248/$BI249-1,"")</f>
        <v/>
      </c>
      <c r="EU248" s="58">
        <f>IFERROR($BJ248/$BJ249-1,"")</f>
        <v/>
      </c>
      <c r="EV248" s="58">
        <f>IFERROR($BK248/$BK249-1,"")</f>
        <v/>
      </c>
      <c r="EW248" s="58">
        <f>IFERROR($BL248/$BL249-1,"")</f>
        <v/>
      </c>
      <c r="EX248" s="58">
        <f>IFERROR($BM248/$BM249-1,"")</f>
        <v/>
      </c>
      <c r="EY248" s="58">
        <f>IFERROR($BN248/$BN249-1,"")</f>
        <v/>
      </c>
      <c r="EZ248" s="58">
        <f>IFERROR($BO248/$BO249-1,"")</f>
        <v/>
      </c>
      <c r="FA248" s="58">
        <f>IFERROR($BP248/$BP249-1,"")</f>
        <v/>
      </c>
      <c r="FB248" s="58">
        <f>IFERROR($BQ248/$BQ249-1,"")</f>
        <v/>
      </c>
      <c r="FC248" s="58">
        <f>IFERROR($BR248/$BR249-1,"")</f>
        <v/>
      </c>
      <c r="FD248" s="58">
        <f>IFERROR($BS248/$BS249-1,"")</f>
        <v/>
      </c>
      <c r="FE248" s="58">
        <f>IFERROR($BT248/$BT249-1,"")</f>
        <v/>
      </c>
      <c r="FF248" s="58">
        <f>IFERROR($BU248/$BU249-1,"")</f>
        <v/>
      </c>
      <c r="FG248" s="58">
        <f>IFERROR($BV248/$BV249-1,"")</f>
        <v/>
      </c>
      <c r="FH248" s="58">
        <f>IFERROR($BW248/$BW249-1,"")</f>
        <v/>
      </c>
      <c r="FI248" s="58">
        <f>IFERROR($BX248/$BX249-1,"")</f>
        <v/>
      </c>
      <c r="FJ248" s="59">
        <f>$BY248-$BY249</f>
        <v/>
      </c>
      <c r="FK248" s="59">
        <f>$BZ248-$BZ249</f>
        <v/>
      </c>
      <c r="FL248" s="59">
        <f>$CA248-$CA249</f>
        <v/>
      </c>
      <c r="FM248" s="59">
        <f>$CB248-$CB249</f>
        <v/>
      </c>
      <c r="FN248" s="59">
        <f>$CC248-$CC249</f>
        <v/>
      </c>
      <c r="FO248" s="59">
        <f>$CD248-$CD249</f>
        <v/>
      </c>
      <c r="FP248" s="59">
        <f>$CE248-$CE249</f>
        <v/>
      </c>
      <c r="FQ248" s="59">
        <f>$CF248-$CF249</f>
        <v/>
      </c>
      <c r="FR248" s="59">
        <f>$CG248-$CG249</f>
        <v/>
      </c>
      <c r="FS248" s="59">
        <f>$CH248-$CH249</f>
        <v/>
      </c>
      <c r="FT248" s="59">
        <f>$CI248-$CI249</f>
        <v/>
      </c>
      <c r="FU248" s="59">
        <f>$CJ248-$CJ249</f>
        <v/>
      </c>
      <c r="FV248" s="59">
        <f>$CK248-$CK249</f>
        <v/>
      </c>
      <c r="FW248" s="59">
        <f>$CL248-$CL249</f>
        <v/>
      </c>
      <c r="FX248" s="59">
        <f>$CM248-$CM249</f>
        <v/>
      </c>
      <c r="FY248" s="59">
        <f>$CN248-$CN249</f>
        <v/>
      </c>
      <c r="FZ248" s="59">
        <f>$CO248-$CO249</f>
        <v/>
      </c>
      <c r="GA248" s="59">
        <f>$CP248-$CP249</f>
        <v/>
      </c>
      <c r="GB248" s="59">
        <f>$CQ248-$CQ249</f>
        <v/>
      </c>
      <c r="GC248" s="59">
        <f>$CR248-$CR249</f>
        <v/>
      </c>
      <c r="GD248" s="59">
        <f>$CS248-$CS249</f>
        <v/>
      </c>
      <c r="GE248" s="59">
        <f>$CT248-$CT249</f>
        <v/>
      </c>
    </row>
    <row r="249">
      <c r="CU249" s="58">
        <f>IFERROR($B249/$B250-1,"")</f>
        <v/>
      </c>
      <c r="CV249" s="59">
        <f>($F249-$F250)*100</f>
        <v/>
      </c>
      <c r="CW249" s="59">
        <f>($E249-$E250)*100</f>
        <v/>
      </c>
      <c r="CX249" s="58">
        <f>IFERROR($K249/$K250-1,"")</f>
        <v/>
      </c>
      <c r="CY249" s="59">
        <f>($AH249-$AH250)*100</f>
        <v/>
      </c>
      <c r="CZ249" s="59">
        <f>($AI249-$AI250)*100</f>
        <v/>
      </c>
      <c r="DA249" s="59">
        <f>($AJ249-$AJ250)*100</f>
        <v/>
      </c>
      <c r="DB249" s="59">
        <f>($AK249-$AK250)*100</f>
        <v/>
      </c>
      <c r="DC249" s="59">
        <f>($AL249-$AL250)*100</f>
        <v/>
      </c>
      <c r="DD249" s="59">
        <f>($AM249-$AM250)*100</f>
        <v/>
      </c>
      <c r="DE249" s="59">
        <f>($AN249-$AN250)*100</f>
        <v/>
      </c>
      <c r="DF249" s="59">
        <f>($AO249-$AO250)*100</f>
        <v/>
      </c>
      <c r="DG249" s="59">
        <f>($AP249-$AP250)*100</f>
        <v/>
      </c>
      <c r="DH249" s="59">
        <f>($AQ249-$AQ250)*100</f>
        <v/>
      </c>
      <c r="DI249" s="59">
        <f>($AR249-$AR250)*100</f>
        <v/>
      </c>
      <c r="DJ249" s="59">
        <f>($AS249-$AS250)*100</f>
        <v/>
      </c>
      <c r="DK249" s="59">
        <f>($AT249-$AT250)*100</f>
        <v/>
      </c>
      <c r="DL249" s="59">
        <f>($AU249-$AU250)*100</f>
        <v/>
      </c>
      <c r="DM249" s="59">
        <f>($AV249-$AV250)*100</f>
        <v/>
      </c>
      <c r="DN249" s="59">
        <f>($AW249-$AW250)*100</f>
        <v/>
      </c>
      <c r="DO249" s="59">
        <f>($AX249-$AX250)*100</f>
        <v/>
      </c>
      <c r="DP249" s="59">
        <f>($AY249-$AY250)*100</f>
        <v/>
      </c>
      <c r="DQ249" s="59">
        <f>($AZ249-$AZ250)*100</f>
        <v/>
      </c>
      <c r="DR249" s="59">
        <f>($BA249-$BA250)*100</f>
        <v/>
      </c>
      <c r="DS249" s="58">
        <f>IFERROR($N250/$N249-1,"")</f>
        <v/>
      </c>
      <c r="DT249" s="58">
        <f>IFERROR($O250/$O249-1,"")</f>
        <v/>
      </c>
      <c r="DU249" s="58">
        <f>IFERROR($P250/$P249-1,"")</f>
        <v/>
      </c>
      <c r="DV249" s="58">
        <f>IFERROR($Q250/$Q249-1,"")</f>
        <v/>
      </c>
      <c r="DW249" s="58">
        <f>IFERROR($R250/$R249-1,"")</f>
        <v/>
      </c>
      <c r="DX249" s="58">
        <f>IFERROR($S250/$S249-1,"")</f>
        <v/>
      </c>
      <c r="DY249" s="58">
        <f>IFERROR($T250/$T249-1,"")</f>
        <v/>
      </c>
      <c r="DZ249" s="58">
        <f>IFERROR($U250/$U249-1,"")</f>
        <v/>
      </c>
      <c r="EA249" s="58">
        <f>IFERROR($V250/$V249-1,"")</f>
        <v/>
      </c>
      <c r="EB249" s="58">
        <f>IFERROR($W250/$W249-1,"")</f>
        <v/>
      </c>
      <c r="EC249" s="58">
        <f>IFERROR($X250/$X249-1,"")</f>
        <v/>
      </c>
      <c r="ED249" s="58">
        <f>IFERROR($Y250/$Y249-1,"")</f>
        <v/>
      </c>
      <c r="EE249" s="58">
        <f>IFERROR($Z250/$Z249-1,"")</f>
        <v/>
      </c>
      <c r="EF249" s="58">
        <f>IFERROR($AA250/$AA249-1,"")</f>
        <v/>
      </c>
      <c r="EG249" s="58">
        <f>IFERROR($AB250/$AB249-1,"")</f>
        <v/>
      </c>
      <c r="EH249" s="58">
        <f>IFERROR($AC250/$AC249-1,"")</f>
        <v/>
      </c>
      <c r="EI249" s="58">
        <f>IFERROR($AD250/$AD249-1,"")</f>
        <v/>
      </c>
      <c r="EJ249" s="58">
        <f>IFERROR($AE250/$AE249-1,"")</f>
        <v/>
      </c>
      <c r="EK249" s="58">
        <f>IFERROR($AF250/$AF249-1,"")</f>
        <v/>
      </c>
      <c r="EL249" s="58">
        <f>IFERROR($AG250/$AG249-1,"")</f>
        <v/>
      </c>
      <c r="EM249" s="58">
        <f>IFERROR($BB249/$BB250-1,"")</f>
        <v/>
      </c>
      <c r="EN249" s="58">
        <f>IFERROR($BC249/$BC250-1,"")</f>
        <v/>
      </c>
      <c r="EO249" s="58">
        <f>IFERROR($BD249/$BD250-1,"")</f>
        <v/>
      </c>
      <c r="EP249" s="58">
        <f>IFERROR($BE249/$BE250-1,"")</f>
        <v/>
      </c>
      <c r="EQ249" s="58">
        <f>IFERROR($BF249/$BF250-1,"")</f>
        <v/>
      </c>
      <c r="ER249" s="58">
        <f>IFERROR($BG249/$BG250-1,"")</f>
        <v/>
      </c>
      <c r="ES249" s="58">
        <f>IFERROR($BH249/$BH250-1,"")</f>
        <v/>
      </c>
      <c r="ET249" s="58">
        <f>IFERROR($BI249/$BI250-1,"")</f>
        <v/>
      </c>
      <c r="EU249" s="58">
        <f>IFERROR($BJ249/$BJ250-1,"")</f>
        <v/>
      </c>
      <c r="EV249" s="58">
        <f>IFERROR($BK249/$BK250-1,"")</f>
        <v/>
      </c>
      <c r="EW249" s="58">
        <f>IFERROR($BL249/$BL250-1,"")</f>
        <v/>
      </c>
      <c r="EX249" s="58">
        <f>IFERROR($BM249/$BM250-1,"")</f>
        <v/>
      </c>
      <c r="EY249" s="58">
        <f>IFERROR($BN249/$BN250-1,"")</f>
        <v/>
      </c>
      <c r="EZ249" s="58">
        <f>IFERROR($BO249/$BO250-1,"")</f>
        <v/>
      </c>
      <c r="FA249" s="58">
        <f>IFERROR($BP249/$BP250-1,"")</f>
        <v/>
      </c>
      <c r="FB249" s="58">
        <f>IFERROR($BQ249/$BQ250-1,"")</f>
        <v/>
      </c>
      <c r="FC249" s="58">
        <f>IFERROR($BR249/$BR250-1,"")</f>
        <v/>
      </c>
      <c r="FD249" s="58">
        <f>IFERROR($BS249/$BS250-1,"")</f>
        <v/>
      </c>
      <c r="FE249" s="58">
        <f>IFERROR($BT249/$BT250-1,"")</f>
        <v/>
      </c>
      <c r="FF249" s="58">
        <f>IFERROR($BU249/$BU250-1,"")</f>
        <v/>
      </c>
      <c r="FG249" s="58">
        <f>IFERROR($BV249/$BV250-1,"")</f>
        <v/>
      </c>
      <c r="FH249" s="58">
        <f>IFERROR($BW249/$BW250-1,"")</f>
        <v/>
      </c>
      <c r="FI249" s="58">
        <f>IFERROR($BX249/$BX250-1,"")</f>
        <v/>
      </c>
      <c r="FJ249" s="59">
        <f>$BY249-$BY250</f>
        <v/>
      </c>
      <c r="FK249" s="59">
        <f>$BZ249-$BZ250</f>
        <v/>
      </c>
      <c r="FL249" s="59">
        <f>$CA249-$CA250</f>
        <v/>
      </c>
      <c r="FM249" s="59">
        <f>$CB249-$CB250</f>
        <v/>
      </c>
      <c r="FN249" s="59">
        <f>$CC249-$CC250</f>
        <v/>
      </c>
      <c r="FO249" s="59">
        <f>$CD249-$CD250</f>
        <v/>
      </c>
      <c r="FP249" s="59">
        <f>$CE249-$CE250</f>
        <v/>
      </c>
      <c r="FQ249" s="59">
        <f>$CF249-$CF250</f>
        <v/>
      </c>
      <c r="FR249" s="59">
        <f>$CG249-$CG250</f>
        <v/>
      </c>
      <c r="FS249" s="59">
        <f>$CH249-$CH250</f>
        <v/>
      </c>
      <c r="FT249" s="59">
        <f>$CI249-$CI250</f>
        <v/>
      </c>
      <c r="FU249" s="59">
        <f>$CJ249-$CJ250</f>
        <v/>
      </c>
      <c r="FV249" s="59">
        <f>$CK249-$CK250</f>
        <v/>
      </c>
      <c r="FW249" s="59">
        <f>$CL249-$CL250</f>
        <v/>
      </c>
      <c r="FX249" s="59">
        <f>$CM249-$CM250</f>
        <v/>
      </c>
      <c r="FY249" s="59">
        <f>$CN249-$CN250</f>
        <v/>
      </c>
      <c r="FZ249" s="59">
        <f>$CO249-$CO250</f>
        <v/>
      </c>
      <c r="GA249" s="59">
        <f>$CP249-$CP250</f>
        <v/>
      </c>
      <c r="GB249" s="59">
        <f>$CQ249-$CQ250</f>
        <v/>
      </c>
      <c r="GC249" s="59">
        <f>$CR249-$CR250</f>
        <v/>
      </c>
      <c r="GD249" s="59">
        <f>$CS249-$CS250</f>
        <v/>
      </c>
      <c r="GE249" s="59">
        <f>$CT249-$CT250</f>
        <v/>
      </c>
    </row>
    <row r="250">
      <c r="CU250" s="58">
        <f>IFERROR($B250/$B251-1,"")</f>
        <v/>
      </c>
      <c r="CV250" s="59">
        <f>($F250-$F251)*100</f>
        <v/>
      </c>
      <c r="CW250" s="59">
        <f>($E250-$E251)*100</f>
        <v/>
      </c>
      <c r="CX250" s="58">
        <f>IFERROR($K250/$K251-1,"")</f>
        <v/>
      </c>
      <c r="CY250" s="59">
        <f>($AH250-$AH251)*100</f>
        <v/>
      </c>
      <c r="CZ250" s="59">
        <f>($AI250-$AI251)*100</f>
        <v/>
      </c>
      <c r="DA250" s="59">
        <f>($AJ250-$AJ251)*100</f>
        <v/>
      </c>
      <c r="DB250" s="59">
        <f>($AK250-$AK251)*100</f>
        <v/>
      </c>
      <c r="DC250" s="59">
        <f>($AL250-$AL251)*100</f>
        <v/>
      </c>
      <c r="DD250" s="59">
        <f>($AM250-$AM251)*100</f>
        <v/>
      </c>
      <c r="DE250" s="59">
        <f>($AN250-$AN251)*100</f>
        <v/>
      </c>
      <c r="DF250" s="59">
        <f>($AO250-$AO251)*100</f>
        <v/>
      </c>
      <c r="DG250" s="59">
        <f>($AP250-$AP251)*100</f>
        <v/>
      </c>
      <c r="DH250" s="59">
        <f>($AQ250-$AQ251)*100</f>
        <v/>
      </c>
      <c r="DI250" s="59">
        <f>($AR250-$AR251)*100</f>
        <v/>
      </c>
      <c r="DJ250" s="59">
        <f>($AS250-$AS251)*100</f>
        <v/>
      </c>
      <c r="DK250" s="59">
        <f>($AT250-$AT251)*100</f>
        <v/>
      </c>
      <c r="DL250" s="59">
        <f>($AU250-$AU251)*100</f>
        <v/>
      </c>
      <c r="DM250" s="59">
        <f>($AV250-$AV251)*100</f>
        <v/>
      </c>
      <c r="DN250" s="59">
        <f>($AW250-$AW251)*100</f>
        <v/>
      </c>
      <c r="DO250" s="59">
        <f>($AX250-$AX251)*100</f>
        <v/>
      </c>
      <c r="DP250" s="59">
        <f>($AY250-$AY251)*100</f>
        <v/>
      </c>
      <c r="DQ250" s="59">
        <f>($AZ250-$AZ251)*100</f>
        <v/>
      </c>
      <c r="DR250" s="59">
        <f>($BA250-$BA251)*100</f>
        <v/>
      </c>
      <c r="DS250" s="58">
        <f>IFERROR($N251/$N250-1,"")</f>
        <v/>
      </c>
      <c r="DT250" s="58">
        <f>IFERROR($O251/$O250-1,"")</f>
        <v/>
      </c>
      <c r="DU250" s="58">
        <f>IFERROR($P251/$P250-1,"")</f>
        <v/>
      </c>
      <c r="DV250" s="58">
        <f>IFERROR($Q251/$Q250-1,"")</f>
        <v/>
      </c>
      <c r="DW250" s="58">
        <f>IFERROR($R251/$R250-1,"")</f>
        <v/>
      </c>
      <c r="DX250" s="58">
        <f>IFERROR($S251/$S250-1,"")</f>
        <v/>
      </c>
      <c r="DY250" s="58">
        <f>IFERROR($T251/$T250-1,"")</f>
        <v/>
      </c>
      <c r="DZ250" s="58">
        <f>IFERROR($U251/$U250-1,"")</f>
        <v/>
      </c>
      <c r="EA250" s="58">
        <f>IFERROR($V251/$V250-1,"")</f>
        <v/>
      </c>
      <c r="EB250" s="58">
        <f>IFERROR($W251/$W250-1,"")</f>
        <v/>
      </c>
      <c r="EC250" s="58">
        <f>IFERROR($X251/$X250-1,"")</f>
        <v/>
      </c>
      <c r="ED250" s="58">
        <f>IFERROR($Y251/$Y250-1,"")</f>
        <v/>
      </c>
      <c r="EE250" s="58">
        <f>IFERROR($Z251/$Z250-1,"")</f>
        <v/>
      </c>
      <c r="EF250" s="58">
        <f>IFERROR($AA251/$AA250-1,"")</f>
        <v/>
      </c>
      <c r="EG250" s="58">
        <f>IFERROR($AB251/$AB250-1,"")</f>
        <v/>
      </c>
      <c r="EH250" s="58">
        <f>IFERROR($AC251/$AC250-1,"")</f>
        <v/>
      </c>
      <c r="EI250" s="58">
        <f>IFERROR($AD251/$AD250-1,"")</f>
        <v/>
      </c>
      <c r="EJ250" s="58">
        <f>IFERROR($AE251/$AE250-1,"")</f>
        <v/>
      </c>
      <c r="EK250" s="58">
        <f>IFERROR($AF251/$AF250-1,"")</f>
        <v/>
      </c>
      <c r="EL250" s="58">
        <f>IFERROR($AG251/$AG250-1,"")</f>
        <v/>
      </c>
      <c r="EM250" s="58">
        <f>IFERROR($BB250/$BB251-1,"")</f>
        <v/>
      </c>
      <c r="EN250" s="58">
        <f>IFERROR($BC250/$BC251-1,"")</f>
        <v/>
      </c>
      <c r="EO250" s="58">
        <f>IFERROR($BD250/$BD251-1,"")</f>
        <v/>
      </c>
      <c r="EP250" s="58">
        <f>IFERROR($BE250/$BE251-1,"")</f>
        <v/>
      </c>
      <c r="EQ250" s="58">
        <f>IFERROR($BF250/$BF251-1,"")</f>
        <v/>
      </c>
      <c r="ER250" s="58">
        <f>IFERROR($BG250/$BG251-1,"")</f>
        <v/>
      </c>
      <c r="ES250" s="58">
        <f>IFERROR($BH250/$BH251-1,"")</f>
        <v/>
      </c>
      <c r="ET250" s="58">
        <f>IFERROR($BI250/$BI251-1,"")</f>
        <v/>
      </c>
      <c r="EU250" s="58">
        <f>IFERROR($BJ250/$BJ251-1,"")</f>
        <v/>
      </c>
      <c r="EV250" s="58">
        <f>IFERROR($BK250/$BK251-1,"")</f>
        <v/>
      </c>
      <c r="EW250" s="58">
        <f>IFERROR($BL250/$BL251-1,"")</f>
        <v/>
      </c>
      <c r="EX250" s="58">
        <f>IFERROR($BM250/$BM251-1,"")</f>
        <v/>
      </c>
      <c r="EY250" s="58">
        <f>IFERROR($BN250/$BN251-1,"")</f>
        <v/>
      </c>
      <c r="EZ250" s="58">
        <f>IFERROR($BO250/$BO251-1,"")</f>
        <v/>
      </c>
      <c r="FA250" s="58">
        <f>IFERROR($BP250/$BP251-1,"")</f>
        <v/>
      </c>
      <c r="FB250" s="58">
        <f>IFERROR($BQ250/$BQ251-1,"")</f>
        <v/>
      </c>
      <c r="FC250" s="58">
        <f>IFERROR($BR250/$BR251-1,"")</f>
        <v/>
      </c>
      <c r="FD250" s="58">
        <f>IFERROR($BS250/$BS251-1,"")</f>
        <v/>
      </c>
      <c r="FE250" s="58">
        <f>IFERROR($BT250/$BT251-1,"")</f>
        <v/>
      </c>
      <c r="FF250" s="58">
        <f>IFERROR($BU250/$BU251-1,"")</f>
        <v/>
      </c>
      <c r="FG250" s="58">
        <f>IFERROR($BV250/$BV251-1,"")</f>
        <v/>
      </c>
      <c r="FH250" s="58">
        <f>IFERROR($BW250/$BW251-1,"")</f>
        <v/>
      </c>
      <c r="FI250" s="58">
        <f>IFERROR($BX250/$BX251-1,"")</f>
        <v/>
      </c>
      <c r="FJ250" s="59">
        <f>$BY250-$BY251</f>
        <v/>
      </c>
      <c r="FK250" s="59">
        <f>$BZ250-$BZ251</f>
        <v/>
      </c>
      <c r="FL250" s="59">
        <f>$CA250-$CA251</f>
        <v/>
      </c>
      <c r="FM250" s="59">
        <f>$CB250-$CB251</f>
        <v/>
      </c>
      <c r="FN250" s="59">
        <f>$CC250-$CC251</f>
        <v/>
      </c>
      <c r="FO250" s="59">
        <f>$CD250-$CD251</f>
        <v/>
      </c>
      <c r="FP250" s="59">
        <f>$CE250-$CE251</f>
        <v/>
      </c>
      <c r="FQ250" s="59">
        <f>$CF250-$CF251</f>
        <v/>
      </c>
      <c r="FR250" s="59">
        <f>$CG250-$CG251</f>
        <v/>
      </c>
      <c r="FS250" s="59">
        <f>$CH250-$CH251</f>
        <v/>
      </c>
      <c r="FT250" s="59">
        <f>$CI250-$CI251</f>
        <v/>
      </c>
      <c r="FU250" s="59">
        <f>$CJ250-$CJ251</f>
        <v/>
      </c>
      <c r="FV250" s="59">
        <f>$CK250-$CK251</f>
        <v/>
      </c>
      <c r="FW250" s="59">
        <f>$CL250-$CL251</f>
        <v/>
      </c>
      <c r="FX250" s="59">
        <f>$CM250-$CM251</f>
        <v/>
      </c>
      <c r="FY250" s="59">
        <f>$CN250-$CN251</f>
        <v/>
      </c>
      <c r="FZ250" s="59">
        <f>$CO250-$CO251</f>
        <v/>
      </c>
      <c r="GA250" s="59">
        <f>$CP250-$CP251</f>
        <v/>
      </c>
      <c r="GB250" s="59">
        <f>$CQ250-$CQ251</f>
        <v/>
      </c>
      <c r="GC250" s="59">
        <f>$CR250-$CR251</f>
        <v/>
      </c>
      <c r="GD250" s="59">
        <f>$CS250-$CS251</f>
        <v/>
      </c>
      <c r="GE250" s="59">
        <f>$CT250-$CT251</f>
        <v/>
      </c>
    </row>
    <row r="251">
      <c r="CU251" s="58">
        <f>IFERROR($B251/$B252-1,"")</f>
        <v/>
      </c>
      <c r="CV251" s="59">
        <f>($F251-$F252)*100</f>
        <v/>
      </c>
      <c r="CW251" s="59">
        <f>($E251-$E252)*100</f>
        <v/>
      </c>
      <c r="CX251" s="58">
        <f>IFERROR($K251/$K252-1,"")</f>
        <v/>
      </c>
      <c r="CY251" s="59">
        <f>($AH251-$AH252)*100</f>
        <v/>
      </c>
      <c r="CZ251" s="59">
        <f>($AI251-$AI252)*100</f>
        <v/>
      </c>
      <c r="DA251" s="59">
        <f>($AJ251-$AJ252)*100</f>
        <v/>
      </c>
      <c r="DB251" s="59">
        <f>($AK251-$AK252)*100</f>
        <v/>
      </c>
      <c r="DC251" s="59">
        <f>($AL251-$AL252)*100</f>
        <v/>
      </c>
      <c r="DD251" s="59">
        <f>($AM251-$AM252)*100</f>
        <v/>
      </c>
      <c r="DE251" s="59">
        <f>($AN251-$AN252)*100</f>
        <v/>
      </c>
      <c r="DF251" s="59">
        <f>($AO251-$AO252)*100</f>
        <v/>
      </c>
      <c r="DG251" s="59">
        <f>($AP251-$AP252)*100</f>
        <v/>
      </c>
      <c r="DH251" s="59">
        <f>($AQ251-$AQ252)*100</f>
        <v/>
      </c>
      <c r="DI251" s="59">
        <f>($AR251-$AR252)*100</f>
        <v/>
      </c>
      <c r="DJ251" s="59">
        <f>($AS251-$AS252)*100</f>
        <v/>
      </c>
      <c r="DK251" s="59">
        <f>($AT251-$AT252)*100</f>
        <v/>
      </c>
      <c r="DL251" s="59">
        <f>($AU251-$AU252)*100</f>
        <v/>
      </c>
      <c r="DM251" s="59">
        <f>($AV251-$AV252)*100</f>
        <v/>
      </c>
      <c r="DN251" s="59">
        <f>($AW251-$AW252)*100</f>
        <v/>
      </c>
      <c r="DO251" s="59">
        <f>($AX251-$AX252)*100</f>
        <v/>
      </c>
      <c r="DP251" s="59">
        <f>($AY251-$AY252)*100</f>
        <v/>
      </c>
      <c r="DQ251" s="59">
        <f>($AZ251-$AZ252)*100</f>
        <v/>
      </c>
      <c r="DR251" s="59">
        <f>($BA251-$BA252)*100</f>
        <v/>
      </c>
      <c r="DS251" s="58">
        <f>IFERROR($N252/$N251-1,"")</f>
        <v/>
      </c>
      <c r="DT251" s="58">
        <f>IFERROR($O252/$O251-1,"")</f>
        <v/>
      </c>
      <c r="DU251" s="58">
        <f>IFERROR($P252/$P251-1,"")</f>
        <v/>
      </c>
      <c r="DV251" s="58">
        <f>IFERROR($Q252/$Q251-1,"")</f>
        <v/>
      </c>
      <c r="DW251" s="58">
        <f>IFERROR($R252/$R251-1,"")</f>
        <v/>
      </c>
      <c r="DX251" s="58">
        <f>IFERROR($S252/$S251-1,"")</f>
        <v/>
      </c>
      <c r="DY251" s="58">
        <f>IFERROR($T252/$T251-1,"")</f>
        <v/>
      </c>
      <c r="DZ251" s="58">
        <f>IFERROR($U252/$U251-1,"")</f>
        <v/>
      </c>
      <c r="EA251" s="58">
        <f>IFERROR($V252/$V251-1,"")</f>
        <v/>
      </c>
      <c r="EB251" s="58">
        <f>IFERROR($W252/$W251-1,"")</f>
        <v/>
      </c>
      <c r="EC251" s="58">
        <f>IFERROR($X252/$X251-1,"")</f>
        <v/>
      </c>
      <c r="ED251" s="58">
        <f>IFERROR($Y252/$Y251-1,"")</f>
        <v/>
      </c>
      <c r="EE251" s="58">
        <f>IFERROR($Z252/$Z251-1,"")</f>
        <v/>
      </c>
      <c r="EF251" s="58">
        <f>IFERROR($AA252/$AA251-1,"")</f>
        <v/>
      </c>
      <c r="EG251" s="58">
        <f>IFERROR($AB252/$AB251-1,"")</f>
        <v/>
      </c>
      <c r="EH251" s="58">
        <f>IFERROR($AC252/$AC251-1,"")</f>
        <v/>
      </c>
      <c r="EI251" s="58">
        <f>IFERROR($AD252/$AD251-1,"")</f>
        <v/>
      </c>
      <c r="EJ251" s="58">
        <f>IFERROR($AE252/$AE251-1,"")</f>
        <v/>
      </c>
      <c r="EK251" s="58">
        <f>IFERROR($AF252/$AF251-1,"")</f>
        <v/>
      </c>
      <c r="EL251" s="58">
        <f>IFERROR($AG252/$AG251-1,"")</f>
        <v/>
      </c>
      <c r="EM251" s="58">
        <f>IFERROR($BB251/$BB252-1,"")</f>
        <v/>
      </c>
      <c r="EN251" s="58">
        <f>IFERROR($BC251/$BC252-1,"")</f>
        <v/>
      </c>
      <c r="EO251" s="58">
        <f>IFERROR($BD251/$BD252-1,"")</f>
        <v/>
      </c>
      <c r="EP251" s="58">
        <f>IFERROR($BE251/$BE252-1,"")</f>
        <v/>
      </c>
      <c r="EQ251" s="58">
        <f>IFERROR($BF251/$BF252-1,"")</f>
        <v/>
      </c>
      <c r="ER251" s="58">
        <f>IFERROR($BG251/$BG252-1,"")</f>
        <v/>
      </c>
      <c r="ES251" s="58">
        <f>IFERROR($BH251/$BH252-1,"")</f>
        <v/>
      </c>
      <c r="ET251" s="58">
        <f>IFERROR($BI251/$BI252-1,"")</f>
        <v/>
      </c>
      <c r="EU251" s="58">
        <f>IFERROR($BJ251/$BJ252-1,"")</f>
        <v/>
      </c>
      <c r="EV251" s="58">
        <f>IFERROR($BK251/$BK252-1,"")</f>
        <v/>
      </c>
      <c r="EW251" s="58">
        <f>IFERROR($BL251/$BL252-1,"")</f>
        <v/>
      </c>
      <c r="EX251" s="58">
        <f>IFERROR($BM251/$BM252-1,"")</f>
        <v/>
      </c>
      <c r="EY251" s="58">
        <f>IFERROR($BN251/$BN252-1,"")</f>
        <v/>
      </c>
      <c r="EZ251" s="58">
        <f>IFERROR($BO251/$BO252-1,"")</f>
        <v/>
      </c>
      <c r="FA251" s="58">
        <f>IFERROR($BP251/$BP252-1,"")</f>
        <v/>
      </c>
      <c r="FB251" s="58">
        <f>IFERROR($BQ251/$BQ252-1,"")</f>
        <v/>
      </c>
      <c r="FC251" s="58">
        <f>IFERROR($BR251/$BR252-1,"")</f>
        <v/>
      </c>
      <c r="FD251" s="58">
        <f>IFERROR($BS251/$BS252-1,"")</f>
        <v/>
      </c>
      <c r="FE251" s="58">
        <f>IFERROR($BT251/$BT252-1,"")</f>
        <v/>
      </c>
      <c r="FF251" s="58">
        <f>IFERROR($BU251/$BU252-1,"")</f>
        <v/>
      </c>
      <c r="FG251" s="58">
        <f>IFERROR($BV251/$BV252-1,"")</f>
        <v/>
      </c>
      <c r="FH251" s="58">
        <f>IFERROR($BW251/$BW252-1,"")</f>
        <v/>
      </c>
      <c r="FI251" s="58">
        <f>IFERROR($BX251/$BX252-1,"")</f>
        <v/>
      </c>
      <c r="FJ251" s="59">
        <f>$BY251-$BY252</f>
        <v/>
      </c>
      <c r="FK251" s="59">
        <f>$BZ251-$BZ252</f>
        <v/>
      </c>
      <c r="FL251" s="59">
        <f>$CA251-$CA252</f>
        <v/>
      </c>
      <c r="FM251" s="59">
        <f>$CB251-$CB252</f>
        <v/>
      </c>
      <c r="FN251" s="59">
        <f>$CC251-$CC252</f>
        <v/>
      </c>
      <c r="FO251" s="59">
        <f>$CD251-$CD252</f>
        <v/>
      </c>
      <c r="FP251" s="59">
        <f>$CE251-$CE252</f>
        <v/>
      </c>
      <c r="FQ251" s="59">
        <f>$CF251-$CF252</f>
        <v/>
      </c>
      <c r="FR251" s="59">
        <f>$CG251-$CG252</f>
        <v/>
      </c>
      <c r="FS251" s="59">
        <f>$CH251-$CH252</f>
        <v/>
      </c>
      <c r="FT251" s="59">
        <f>$CI251-$CI252</f>
        <v/>
      </c>
      <c r="FU251" s="59">
        <f>$CJ251-$CJ252</f>
        <v/>
      </c>
      <c r="FV251" s="59">
        <f>$CK251-$CK252</f>
        <v/>
      </c>
      <c r="FW251" s="59">
        <f>$CL251-$CL252</f>
        <v/>
      </c>
      <c r="FX251" s="59">
        <f>$CM251-$CM252</f>
        <v/>
      </c>
      <c r="FY251" s="59">
        <f>$CN251-$CN252</f>
        <v/>
      </c>
      <c r="FZ251" s="59">
        <f>$CO251-$CO252</f>
        <v/>
      </c>
      <c r="GA251" s="59">
        <f>$CP251-$CP252</f>
        <v/>
      </c>
      <c r="GB251" s="59">
        <f>$CQ251-$CQ252</f>
        <v/>
      </c>
      <c r="GC251" s="59">
        <f>$CR251-$CR252</f>
        <v/>
      </c>
      <c r="GD251" s="59">
        <f>$CS251-$CS252</f>
        <v/>
      </c>
      <c r="GE251" s="59">
        <f>$CT251-$CT252</f>
        <v/>
      </c>
    </row>
    <row r="252">
      <c r="CU252" s="58">
        <f>IFERROR($B252/$B253-1,"")</f>
        <v/>
      </c>
      <c r="CV252" s="59">
        <f>($F252-$F253)*100</f>
        <v/>
      </c>
      <c r="CW252" s="59">
        <f>($E252-$E253)*100</f>
        <v/>
      </c>
      <c r="CX252" s="58">
        <f>IFERROR($K252/$K253-1,"")</f>
        <v/>
      </c>
      <c r="CY252" s="59">
        <f>($AH252-$AH253)*100</f>
        <v/>
      </c>
      <c r="CZ252" s="59">
        <f>($AI252-$AI253)*100</f>
        <v/>
      </c>
      <c r="DA252" s="59">
        <f>($AJ252-$AJ253)*100</f>
        <v/>
      </c>
      <c r="DB252" s="59">
        <f>($AK252-$AK253)*100</f>
        <v/>
      </c>
      <c r="DC252" s="59">
        <f>($AL252-$AL253)*100</f>
        <v/>
      </c>
      <c r="DD252" s="59">
        <f>($AM252-$AM253)*100</f>
        <v/>
      </c>
      <c r="DE252" s="59">
        <f>($AN252-$AN253)*100</f>
        <v/>
      </c>
      <c r="DF252" s="59">
        <f>($AO252-$AO253)*100</f>
        <v/>
      </c>
      <c r="DG252" s="59">
        <f>($AP252-$AP253)*100</f>
        <v/>
      </c>
      <c r="DH252" s="59">
        <f>($AQ252-$AQ253)*100</f>
        <v/>
      </c>
      <c r="DI252" s="59">
        <f>($AR252-$AR253)*100</f>
        <v/>
      </c>
      <c r="DJ252" s="59">
        <f>($AS252-$AS253)*100</f>
        <v/>
      </c>
      <c r="DK252" s="59">
        <f>($AT252-$AT253)*100</f>
        <v/>
      </c>
      <c r="DL252" s="59">
        <f>($AU252-$AU253)*100</f>
        <v/>
      </c>
      <c r="DM252" s="59">
        <f>($AV252-$AV253)*100</f>
        <v/>
      </c>
      <c r="DN252" s="59">
        <f>($AW252-$AW253)*100</f>
        <v/>
      </c>
      <c r="DO252" s="59">
        <f>($AX252-$AX253)*100</f>
        <v/>
      </c>
      <c r="DP252" s="59">
        <f>($AY252-$AY253)*100</f>
        <v/>
      </c>
      <c r="DQ252" s="59">
        <f>($AZ252-$AZ253)*100</f>
        <v/>
      </c>
      <c r="DR252" s="59">
        <f>($BA252-$BA253)*100</f>
        <v/>
      </c>
      <c r="DS252" s="58">
        <f>IFERROR($N253/$N252-1,"")</f>
        <v/>
      </c>
      <c r="DT252" s="58">
        <f>IFERROR($O253/$O252-1,"")</f>
        <v/>
      </c>
      <c r="DU252" s="58">
        <f>IFERROR($P253/$P252-1,"")</f>
        <v/>
      </c>
      <c r="DV252" s="58">
        <f>IFERROR($Q253/$Q252-1,"")</f>
        <v/>
      </c>
      <c r="DW252" s="58">
        <f>IFERROR($R253/$R252-1,"")</f>
        <v/>
      </c>
      <c r="DX252" s="58">
        <f>IFERROR($S253/$S252-1,"")</f>
        <v/>
      </c>
      <c r="DY252" s="58">
        <f>IFERROR($T253/$T252-1,"")</f>
        <v/>
      </c>
      <c r="DZ252" s="58">
        <f>IFERROR($U253/$U252-1,"")</f>
        <v/>
      </c>
      <c r="EA252" s="58">
        <f>IFERROR($V253/$V252-1,"")</f>
        <v/>
      </c>
      <c r="EB252" s="58">
        <f>IFERROR($W253/$W252-1,"")</f>
        <v/>
      </c>
      <c r="EC252" s="58">
        <f>IFERROR($X253/$X252-1,"")</f>
        <v/>
      </c>
      <c r="ED252" s="58">
        <f>IFERROR($Y253/$Y252-1,"")</f>
        <v/>
      </c>
      <c r="EE252" s="58">
        <f>IFERROR($Z253/$Z252-1,"")</f>
        <v/>
      </c>
      <c r="EF252" s="58">
        <f>IFERROR($AA253/$AA252-1,"")</f>
        <v/>
      </c>
      <c r="EG252" s="58">
        <f>IFERROR($AB253/$AB252-1,"")</f>
        <v/>
      </c>
      <c r="EH252" s="58">
        <f>IFERROR($AC253/$AC252-1,"")</f>
        <v/>
      </c>
      <c r="EI252" s="58">
        <f>IFERROR($AD253/$AD252-1,"")</f>
        <v/>
      </c>
      <c r="EJ252" s="58">
        <f>IFERROR($AE253/$AE252-1,"")</f>
        <v/>
      </c>
      <c r="EK252" s="58">
        <f>IFERROR($AF253/$AF252-1,"")</f>
        <v/>
      </c>
      <c r="EL252" s="58">
        <f>IFERROR($AG253/$AG252-1,"")</f>
        <v/>
      </c>
      <c r="EM252" s="58">
        <f>IFERROR($BB252/$BB253-1,"")</f>
        <v/>
      </c>
      <c r="EN252" s="58">
        <f>IFERROR($BC252/$BC253-1,"")</f>
        <v/>
      </c>
      <c r="EO252" s="58">
        <f>IFERROR($BD252/$BD253-1,"")</f>
        <v/>
      </c>
      <c r="EP252" s="58">
        <f>IFERROR($BE252/$BE253-1,"")</f>
        <v/>
      </c>
      <c r="EQ252" s="58">
        <f>IFERROR($BF252/$BF253-1,"")</f>
        <v/>
      </c>
      <c r="ER252" s="58">
        <f>IFERROR($BG252/$BG253-1,"")</f>
        <v/>
      </c>
      <c r="ES252" s="58">
        <f>IFERROR($BH252/$BH253-1,"")</f>
        <v/>
      </c>
      <c r="ET252" s="58">
        <f>IFERROR($BI252/$BI253-1,"")</f>
        <v/>
      </c>
      <c r="EU252" s="58">
        <f>IFERROR($BJ252/$BJ253-1,"")</f>
        <v/>
      </c>
      <c r="EV252" s="58">
        <f>IFERROR($BK252/$BK253-1,"")</f>
        <v/>
      </c>
      <c r="EW252" s="58">
        <f>IFERROR($BL252/$BL253-1,"")</f>
        <v/>
      </c>
      <c r="EX252" s="58">
        <f>IFERROR($BM252/$BM253-1,"")</f>
        <v/>
      </c>
      <c r="EY252" s="58">
        <f>IFERROR($BN252/$BN253-1,"")</f>
        <v/>
      </c>
      <c r="EZ252" s="58">
        <f>IFERROR($BO252/$BO253-1,"")</f>
        <v/>
      </c>
      <c r="FA252" s="58">
        <f>IFERROR($BP252/$BP253-1,"")</f>
        <v/>
      </c>
      <c r="FB252" s="58">
        <f>IFERROR($BQ252/$BQ253-1,"")</f>
        <v/>
      </c>
      <c r="FC252" s="58">
        <f>IFERROR($BR252/$BR253-1,"")</f>
        <v/>
      </c>
      <c r="FD252" s="58">
        <f>IFERROR($BS252/$BS253-1,"")</f>
        <v/>
      </c>
      <c r="FE252" s="58">
        <f>IFERROR($BT252/$BT253-1,"")</f>
        <v/>
      </c>
      <c r="FF252" s="58">
        <f>IFERROR($BU252/$BU253-1,"")</f>
        <v/>
      </c>
      <c r="FG252" s="58">
        <f>IFERROR($BV252/$BV253-1,"")</f>
        <v/>
      </c>
      <c r="FH252" s="58">
        <f>IFERROR($BW252/$BW253-1,"")</f>
        <v/>
      </c>
      <c r="FI252" s="58">
        <f>IFERROR($BX252/$BX253-1,"")</f>
        <v/>
      </c>
      <c r="FJ252" s="59">
        <f>$BY252-$BY253</f>
        <v/>
      </c>
      <c r="FK252" s="59">
        <f>$BZ252-$BZ253</f>
        <v/>
      </c>
      <c r="FL252" s="59">
        <f>$CA252-$CA253</f>
        <v/>
      </c>
      <c r="FM252" s="59">
        <f>$CB252-$CB253</f>
        <v/>
      </c>
      <c r="FN252" s="59">
        <f>$CC252-$CC253</f>
        <v/>
      </c>
      <c r="FO252" s="59">
        <f>$CD252-$CD253</f>
        <v/>
      </c>
      <c r="FP252" s="59">
        <f>$CE252-$CE253</f>
        <v/>
      </c>
      <c r="FQ252" s="59">
        <f>$CF252-$CF253</f>
        <v/>
      </c>
      <c r="FR252" s="59">
        <f>$CG252-$CG253</f>
        <v/>
      </c>
      <c r="FS252" s="59">
        <f>$CH252-$CH253</f>
        <v/>
      </c>
      <c r="FT252" s="59">
        <f>$CI252-$CI253</f>
        <v/>
      </c>
      <c r="FU252" s="59">
        <f>$CJ252-$CJ253</f>
        <v/>
      </c>
      <c r="FV252" s="59">
        <f>$CK252-$CK253</f>
        <v/>
      </c>
      <c r="FW252" s="59">
        <f>$CL252-$CL253</f>
        <v/>
      </c>
      <c r="FX252" s="59">
        <f>$CM252-$CM253</f>
        <v/>
      </c>
      <c r="FY252" s="59">
        <f>$CN252-$CN253</f>
        <v/>
      </c>
      <c r="FZ252" s="59">
        <f>$CO252-$CO253</f>
        <v/>
      </c>
      <c r="GA252" s="59">
        <f>$CP252-$CP253</f>
        <v/>
      </c>
      <c r="GB252" s="59">
        <f>$CQ252-$CQ253</f>
        <v/>
      </c>
      <c r="GC252" s="59">
        <f>$CR252-$CR253</f>
        <v/>
      </c>
      <c r="GD252" s="59">
        <f>$CS252-$CS253</f>
        <v/>
      </c>
      <c r="GE252" s="59">
        <f>$CT252-$CT253</f>
        <v/>
      </c>
    </row>
    <row r="253">
      <c r="CU253" s="58">
        <f>IFERROR($B253/$B254-1,"")</f>
        <v/>
      </c>
      <c r="CV253" s="59">
        <f>($F253-$F254)*100</f>
        <v/>
      </c>
      <c r="CW253" s="59">
        <f>($E253-$E254)*100</f>
        <v/>
      </c>
      <c r="CX253" s="58">
        <f>IFERROR($K253/$K254-1,"")</f>
        <v/>
      </c>
      <c r="CY253" s="59">
        <f>($AH253-$AH254)*100</f>
        <v/>
      </c>
      <c r="CZ253" s="59">
        <f>($AI253-$AI254)*100</f>
        <v/>
      </c>
      <c r="DA253" s="59">
        <f>($AJ253-$AJ254)*100</f>
        <v/>
      </c>
      <c r="DB253" s="59">
        <f>($AK253-$AK254)*100</f>
        <v/>
      </c>
      <c r="DC253" s="59">
        <f>($AL253-$AL254)*100</f>
        <v/>
      </c>
      <c r="DD253" s="59">
        <f>($AM253-$AM254)*100</f>
        <v/>
      </c>
      <c r="DE253" s="59">
        <f>($AN253-$AN254)*100</f>
        <v/>
      </c>
      <c r="DF253" s="59">
        <f>($AO253-$AO254)*100</f>
        <v/>
      </c>
      <c r="DG253" s="59">
        <f>($AP253-$AP254)*100</f>
        <v/>
      </c>
      <c r="DH253" s="59">
        <f>($AQ253-$AQ254)*100</f>
        <v/>
      </c>
      <c r="DI253" s="59">
        <f>($AR253-$AR254)*100</f>
        <v/>
      </c>
      <c r="DJ253" s="59">
        <f>($AS253-$AS254)*100</f>
        <v/>
      </c>
      <c r="DK253" s="59">
        <f>($AT253-$AT254)*100</f>
        <v/>
      </c>
      <c r="DL253" s="59">
        <f>($AU253-$AU254)*100</f>
        <v/>
      </c>
      <c r="DM253" s="59">
        <f>($AV253-$AV254)*100</f>
        <v/>
      </c>
      <c r="DN253" s="59">
        <f>($AW253-$AW254)*100</f>
        <v/>
      </c>
      <c r="DO253" s="59">
        <f>($AX253-$AX254)*100</f>
        <v/>
      </c>
      <c r="DP253" s="59">
        <f>($AY253-$AY254)*100</f>
        <v/>
      </c>
      <c r="DQ253" s="59">
        <f>($AZ253-$AZ254)*100</f>
        <v/>
      </c>
      <c r="DR253" s="59">
        <f>($BA253-$BA254)*100</f>
        <v/>
      </c>
      <c r="DS253" s="58">
        <f>IFERROR($N254/$N253-1,"")</f>
        <v/>
      </c>
      <c r="DT253" s="58">
        <f>IFERROR($O254/$O253-1,"")</f>
        <v/>
      </c>
      <c r="DU253" s="58">
        <f>IFERROR($P254/$P253-1,"")</f>
        <v/>
      </c>
      <c r="DV253" s="58">
        <f>IFERROR($Q254/$Q253-1,"")</f>
        <v/>
      </c>
      <c r="DW253" s="58">
        <f>IFERROR($R254/$R253-1,"")</f>
        <v/>
      </c>
      <c r="DX253" s="58">
        <f>IFERROR($S254/$S253-1,"")</f>
        <v/>
      </c>
      <c r="DY253" s="58">
        <f>IFERROR($T254/$T253-1,"")</f>
        <v/>
      </c>
      <c r="DZ253" s="58">
        <f>IFERROR($U254/$U253-1,"")</f>
        <v/>
      </c>
      <c r="EA253" s="58">
        <f>IFERROR($V254/$V253-1,"")</f>
        <v/>
      </c>
      <c r="EB253" s="58">
        <f>IFERROR($W254/$W253-1,"")</f>
        <v/>
      </c>
      <c r="EC253" s="58">
        <f>IFERROR($X254/$X253-1,"")</f>
        <v/>
      </c>
      <c r="ED253" s="58">
        <f>IFERROR($Y254/$Y253-1,"")</f>
        <v/>
      </c>
      <c r="EE253" s="58">
        <f>IFERROR($Z254/$Z253-1,"")</f>
        <v/>
      </c>
      <c r="EF253" s="58">
        <f>IFERROR($AA254/$AA253-1,"")</f>
        <v/>
      </c>
      <c r="EG253" s="58">
        <f>IFERROR($AB254/$AB253-1,"")</f>
        <v/>
      </c>
      <c r="EH253" s="58">
        <f>IFERROR($AC254/$AC253-1,"")</f>
        <v/>
      </c>
      <c r="EI253" s="58">
        <f>IFERROR($AD254/$AD253-1,"")</f>
        <v/>
      </c>
      <c r="EJ253" s="58">
        <f>IFERROR($AE254/$AE253-1,"")</f>
        <v/>
      </c>
      <c r="EK253" s="58">
        <f>IFERROR($AF254/$AF253-1,"")</f>
        <v/>
      </c>
      <c r="EL253" s="58">
        <f>IFERROR($AG254/$AG253-1,"")</f>
        <v/>
      </c>
      <c r="EM253" s="58">
        <f>IFERROR($BB253/$BB254-1,"")</f>
        <v/>
      </c>
      <c r="EN253" s="58">
        <f>IFERROR($BC253/$BC254-1,"")</f>
        <v/>
      </c>
      <c r="EO253" s="58">
        <f>IFERROR($BD253/$BD254-1,"")</f>
        <v/>
      </c>
      <c r="EP253" s="58">
        <f>IFERROR($BE253/$BE254-1,"")</f>
        <v/>
      </c>
      <c r="EQ253" s="58">
        <f>IFERROR($BF253/$BF254-1,"")</f>
        <v/>
      </c>
      <c r="ER253" s="58">
        <f>IFERROR($BG253/$BG254-1,"")</f>
        <v/>
      </c>
      <c r="ES253" s="58">
        <f>IFERROR($BH253/$BH254-1,"")</f>
        <v/>
      </c>
      <c r="ET253" s="58">
        <f>IFERROR($BI253/$BI254-1,"")</f>
        <v/>
      </c>
      <c r="EU253" s="58">
        <f>IFERROR($BJ253/$BJ254-1,"")</f>
        <v/>
      </c>
      <c r="EV253" s="58">
        <f>IFERROR($BK253/$BK254-1,"")</f>
        <v/>
      </c>
      <c r="EW253" s="58">
        <f>IFERROR($BL253/$BL254-1,"")</f>
        <v/>
      </c>
      <c r="EX253" s="58">
        <f>IFERROR($BM253/$BM254-1,"")</f>
        <v/>
      </c>
      <c r="EY253" s="58">
        <f>IFERROR($BN253/$BN254-1,"")</f>
        <v/>
      </c>
      <c r="EZ253" s="58">
        <f>IFERROR($BO253/$BO254-1,"")</f>
        <v/>
      </c>
      <c r="FA253" s="58">
        <f>IFERROR($BP253/$BP254-1,"")</f>
        <v/>
      </c>
      <c r="FB253" s="58">
        <f>IFERROR($BQ253/$BQ254-1,"")</f>
        <v/>
      </c>
      <c r="FC253" s="58">
        <f>IFERROR($BR253/$BR254-1,"")</f>
        <v/>
      </c>
      <c r="FD253" s="58">
        <f>IFERROR($BS253/$BS254-1,"")</f>
        <v/>
      </c>
      <c r="FE253" s="58">
        <f>IFERROR($BT253/$BT254-1,"")</f>
        <v/>
      </c>
      <c r="FF253" s="58">
        <f>IFERROR($BU253/$BU254-1,"")</f>
        <v/>
      </c>
      <c r="FG253" s="58">
        <f>IFERROR($BV253/$BV254-1,"")</f>
        <v/>
      </c>
      <c r="FH253" s="58">
        <f>IFERROR($BW253/$BW254-1,"")</f>
        <v/>
      </c>
      <c r="FI253" s="58">
        <f>IFERROR($BX253/$BX254-1,"")</f>
        <v/>
      </c>
      <c r="FJ253" s="59">
        <f>$BY253-$BY254</f>
        <v/>
      </c>
      <c r="FK253" s="59">
        <f>$BZ253-$BZ254</f>
        <v/>
      </c>
      <c r="FL253" s="59">
        <f>$CA253-$CA254</f>
        <v/>
      </c>
      <c r="FM253" s="59">
        <f>$CB253-$CB254</f>
        <v/>
      </c>
      <c r="FN253" s="59">
        <f>$CC253-$CC254</f>
        <v/>
      </c>
      <c r="FO253" s="59">
        <f>$CD253-$CD254</f>
        <v/>
      </c>
      <c r="FP253" s="59">
        <f>$CE253-$CE254</f>
        <v/>
      </c>
      <c r="FQ253" s="59">
        <f>$CF253-$CF254</f>
        <v/>
      </c>
      <c r="FR253" s="59">
        <f>$CG253-$CG254</f>
        <v/>
      </c>
      <c r="FS253" s="59">
        <f>$CH253-$CH254</f>
        <v/>
      </c>
      <c r="FT253" s="59">
        <f>$CI253-$CI254</f>
        <v/>
      </c>
      <c r="FU253" s="59">
        <f>$CJ253-$CJ254</f>
        <v/>
      </c>
      <c r="FV253" s="59">
        <f>$CK253-$CK254</f>
        <v/>
      </c>
      <c r="FW253" s="59">
        <f>$CL253-$CL254</f>
        <v/>
      </c>
      <c r="FX253" s="59">
        <f>$CM253-$CM254</f>
        <v/>
      </c>
      <c r="FY253" s="59">
        <f>$CN253-$CN254</f>
        <v/>
      </c>
      <c r="FZ253" s="59">
        <f>$CO253-$CO254</f>
        <v/>
      </c>
      <c r="GA253" s="59">
        <f>$CP253-$CP254</f>
        <v/>
      </c>
      <c r="GB253" s="59">
        <f>$CQ253-$CQ254</f>
        <v/>
      </c>
      <c r="GC253" s="59">
        <f>$CR253-$CR254</f>
        <v/>
      </c>
      <c r="GD253" s="59">
        <f>$CS253-$CS254</f>
        <v/>
      </c>
      <c r="GE253" s="59">
        <f>$CT253-$CT254</f>
        <v/>
      </c>
    </row>
    <row r="254">
      <c r="CU254" s="58">
        <f>IFERROR($B254/$B255-1,"")</f>
        <v/>
      </c>
      <c r="CV254" s="59">
        <f>($F254-$F255)*100</f>
        <v/>
      </c>
      <c r="CW254" s="59">
        <f>($E254-$E255)*100</f>
        <v/>
      </c>
      <c r="CX254" s="58">
        <f>IFERROR($K254/$K255-1,"")</f>
        <v/>
      </c>
      <c r="CY254" s="59">
        <f>($AH254-$AH255)*100</f>
        <v/>
      </c>
      <c r="CZ254" s="59">
        <f>($AI254-$AI255)*100</f>
        <v/>
      </c>
      <c r="DA254" s="59">
        <f>($AJ254-$AJ255)*100</f>
        <v/>
      </c>
      <c r="DB254" s="59">
        <f>($AK254-$AK255)*100</f>
        <v/>
      </c>
      <c r="DC254" s="59">
        <f>($AL254-$AL255)*100</f>
        <v/>
      </c>
      <c r="DD254" s="59">
        <f>($AM254-$AM255)*100</f>
        <v/>
      </c>
      <c r="DE254" s="59">
        <f>($AN254-$AN255)*100</f>
        <v/>
      </c>
      <c r="DF254" s="59">
        <f>($AO254-$AO255)*100</f>
        <v/>
      </c>
      <c r="DG254" s="59">
        <f>($AP254-$AP255)*100</f>
        <v/>
      </c>
      <c r="DH254" s="59">
        <f>($AQ254-$AQ255)*100</f>
        <v/>
      </c>
      <c r="DI254" s="59">
        <f>($AR254-$AR255)*100</f>
        <v/>
      </c>
      <c r="DJ254" s="59">
        <f>($AS254-$AS255)*100</f>
        <v/>
      </c>
      <c r="DK254" s="59">
        <f>($AT254-$AT255)*100</f>
        <v/>
      </c>
      <c r="DL254" s="59">
        <f>($AU254-$AU255)*100</f>
        <v/>
      </c>
      <c r="DM254" s="59">
        <f>($AV254-$AV255)*100</f>
        <v/>
      </c>
      <c r="DN254" s="59">
        <f>($AW254-$AW255)*100</f>
        <v/>
      </c>
      <c r="DO254" s="59">
        <f>($AX254-$AX255)*100</f>
        <v/>
      </c>
      <c r="DP254" s="59">
        <f>($AY254-$AY255)*100</f>
        <v/>
      </c>
      <c r="DQ254" s="59">
        <f>($AZ254-$AZ255)*100</f>
        <v/>
      </c>
      <c r="DR254" s="59">
        <f>($BA254-$BA255)*100</f>
        <v/>
      </c>
      <c r="DS254" s="58">
        <f>IFERROR($N255/$N254-1,"")</f>
        <v/>
      </c>
      <c r="DT254" s="58">
        <f>IFERROR($O255/$O254-1,"")</f>
        <v/>
      </c>
      <c r="DU254" s="58">
        <f>IFERROR($P255/$P254-1,"")</f>
        <v/>
      </c>
      <c r="DV254" s="58">
        <f>IFERROR($Q255/$Q254-1,"")</f>
        <v/>
      </c>
      <c r="DW254" s="58">
        <f>IFERROR($R255/$R254-1,"")</f>
        <v/>
      </c>
      <c r="DX254" s="58">
        <f>IFERROR($S255/$S254-1,"")</f>
        <v/>
      </c>
      <c r="DY254" s="58">
        <f>IFERROR($T255/$T254-1,"")</f>
        <v/>
      </c>
      <c r="DZ254" s="58">
        <f>IFERROR($U255/$U254-1,"")</f>
        <v/>
      </c>
      <c r="EA254" s="58">
        <f>IFERROR($V255/$V254-1,"")</f>
        <v/>
      </c>
      <c r="EB254" s="58">
        <f>IFERROR($W255/$W254-1,"")</f>
        <v/>
      </c>
      <c r="EC254" s="58">
        <f>IFERROR($X255/$X254-1,"")</f>
        <v/>
      </c>
      <c r="ED254" s="58">
        <f>IFERROR($Y255/$Y254-1,"")</f>
        <v/>
      </c>
      <c r="EE254" s="58">
        <f>IFERROR($Z255/$Z254-1,"")</f>
        <v/>
      </c>
      <c r="EF254" s="58">
        <f>IFERROR($AA255/$AA254-1,"")</f>
        <v/>
      </c>
      <c r="EG254" s="58">
        <f>IFERROR($AB255/$AB254-1,"")</f>
        <v/>
      </c>
      <c r="EH254" s="58">
        <f>IFERROR($AC255/$AC254-1,"")</f>
        <v/>
      </c>
      <c r="EI254" s="58">
        <f>IFERROR($AD255/$AD254-1,"")</f>
        <v/>
      </c>
      <c r="EJ254" s="58">
        <f>IFERROR($AE255/$AE254-1,"")</f>
        <v/>
      </c>
      <c r="EK254" s="58">
        <f>IFERROR($AF255/$AF254-1,"")</f>
        <v/>
      </c>
      <c r="EL254" s="58">
        <f>IFERROR($AG255/$AG254-1,"")</f>
        <v/>
      </c>
      <c r="EM254" s="58">
        <f>IFERROR($BB254/$BB255-1,"")</f>
        <v/>
      </c>
      <c r="EN254" s="58">
        <f>IFERROR($BC254/$BC255-1,"")</f>
        <v/>
      </c>
      <c r="EO254" s="58">
        <f>IFERROR($BD254/$BD255-1,"")</f>
        <v/>
      </c>
      <c r="EP254" s="58">
        <f>IFERROR($BE254/$BE255-1,"")</f>
        <v/>
      </c>
      <c r="EQ254" s="58">
        <f>IFERROR($BF254/$BF255-1,"")</f>
        <v/>
      </c>
      <c r="ER254" s="58">
        <f>IFERROR($BG254/$BG255-1,"")</f>
        <v/>
      </c>
      <c r="ES254" s="58">
        <f>IFERROR($BH254/$BH255-1,"")</f>
        <v/>
      </c>
      <c r="ET254" s="58">
        <f>IFERROR($BI254/$BI255-1,"")</f>
        <v/>
      </c>
      <c r="EU254" s="58">
        <f>IFERROR($BJ254/$BJ255-1,"")</f>
        <v/>
      </c>
      <c r="EV254" s="58">
        <f>IFERROR($BK254/$BK255-1,"")</f>
        <v/>
      </c>
      <c r="EW254" s="58">
        <f>IFERROR($BL254/$BL255-1,"")</f>
        <v/>
      </c>
      <c r="EX254" s="58">
        <f>IFERROR($BM254/$BM255-1,"")</f>
        <v/>
      </c>
      <c r="EY254" s="58">
        <f>IFERROR($BN254/$BN255-1,"")</f>
        <v/>
      </c>
      <c r="EZ254" s="58">
        <f>IFERROR($BO254/$BO255-1,"")</f>
        <v/>
      </c>
      <c r="FA254" s="58">
        <f>IFERROR($BP254/$BP255-1,"")</f>
        <v/>
      </c>
      <c r="FB254" s="58">
        <f>IFERROR($BQ254/$BQ255-1,"")</f>
        <v/>
      </c>
      <c r="FC254" s="58">
        <f>IFERROR($BR254/$BR255-1,"")</f>
        <v/>
      </c>
      <c r="FD254" s="58">
        <f>IFERROR($BS254/$BS255-1,"")</f>
        <v/>
      </c>
      <c r="FE254" s="58">
        <f>IFERROR($BT254/$BT255-1,"")</f>
        <v/>
      </c>
      <c r="FF254" s="58">
        <f>IFERROR($BU254/$BU255-1,"")</f>
        <v/>
      </c>
      <c r="FG254" s="58">
        <f>IFERROR($BV254/$BV255-1,"")</f>
        <v/>
      </c>
      <c r="FH254" s="58">
        <f>IFERROR($BW254/$BW255-1,"")</f>
        <v/>
      </c>
      <c r="FI254" s="58">
        <f>IFERROR($BX254/$BX255-1,"")</f>
        <v/>
      </c>
      <c r="FJ254" s="59">
        <f>$BY254-$BY255</f>
        <v/>
      </c>
      <c r="FK254" s="59">
        <f>$BZ254-$BZ255</f>
        <v/>
      </c>
      <c r="FL254" s="59">
        <f>$CA254-$CA255</f>
        <v/>
      </c>
      <c r="FM254" s="59">
        <f>$CB254-$CB255</f>
        <v/>
      </c>
      <c r="FN254" s="59">
        <f>$CC254-$CC255</f>
        <v/>
      </c>
      <c r="FO254" s="59">
        <f>$CD254-$CD255</f>
        <v/>
      </c>
      <c r="FP254" s="59">
        <f>$CE254-$CE255</f>
        <v/>
      </c>
      <c r="FQ254" s="59">
        <f>$CF254-$CF255</f>
        <v/>
      </c>
      <c r="FR254" s="59">
        <f>$CG254-$CG255</f>
        <v/>
      </c>
      <c r="FS254" s="59">
        <f>$CH254-$CH255</f>
        <v/>
      </c>
      <c r="FT254" s="59">
        <f>$CI254-$CI255</f>
        <v/>
      </c>
      <c r="FU254" s="59">
        <f>$CJ254-$CJ255</f>
        <v/>
      </c>
      <c r="FV254" s="59">
        <f>$CK254-$CK255</f>
        <v/>
      </c>
      <c r="FW254" s="59">
        <f>$CL254-$CL255</f>
        <v/>
      </c>
      <c r="FX254" s="59">
        <f>$CM254-$CM255</f>
        <v/>
      </c>
      <c r="FY254" s="59">
        <f>$CN254-$CN255</f>
        <v/>
      </c>
      <c r="FZ254" s="59">
        <f>$CO254-$CO255</f>
        <v/>
      </c>
      <c r="GA254" s="59">
        <f>$CP254-$CP255</f>
        <v/>
      </c>
      <c r="GB254" s="59">
        <f>$CQ254-$CQ255</f>
        <v/>
      </c>
      <c r="GC254" s="59">
        <f>$CR254-$CR255</f>
        <v/>
      </c>
      <c r="GD254" s="59">
        <f>$CS254-$CS255</f>
        <v/>
      </c>
      <c r="GE254" s="59">
        <f>$CT254-$CT255</f>
        <v/>
      </c>
    </row>
    <row r="255">
      <c r="CU255" s="58">
        <f>IFERROR($B255/$B256-1,"")</f>
        <v/>
      </c>
      <c r="CV255" s="59">
        <f>($F255-$F256)*100</f>
        <v/>
      </c>
      <c r="CW255" s="59">
        <f>($E255-$E256)*100</f>
        <v/>
      </c>
      <c r="CX255" s="58">
        <f>IFERROR($K255/$K256-1,"")</f>
        <v/>
      </c>
      <c r="CY255" s="59">
        <f>($AH255-$AH256)*100</f>
        <v/>
      </c>
      <c r="CZ255" s="59">
        <f>($AI255-$AI256)*100</f>
        <v/>
      </c>
      <c r="DA255" s="59">
        <f>($AJ255-$AJ256)*100</f>
        <v/>
      </c>
      <c r="DB255" s="59">
        <f>($AK255-$AK256)*100</f>
        <v/>
      </c>
      <c r="DC255" s="59">
        <f>($AL255-$AL256)*100</f>
        <v/>
      </c>
      <c r="DD255" s="59">
        <f>($AM255-$AM256)*100</f>
        <v/>
      </c>
      <c r="DE255" s="59">
        <f>($AN255-$AN256)*100</f>
        <v/>
      </c>
      <c r="DF255" s="59">
        <f>($AO255-$AO256)*100</f>
        <v/>
      </c>
      <c r="DG255" s="59">
        <f>($AP255-$AP256)*100</f>
        <v/>
      </c>
      <c r="DH255" s="59">
        <f>($AQ255-$AQ256)*100</f>
        <v/>
      </c>
      <c r="DI255" s="59">
        <f>($AR255-$AR256)*100</f>
        <v/>
      </c>
      <c r="DJ255" s="59">
        <f>($AS255-$AS256)*100</f>
        <v/>
      </c>
      <c r="DK255" s="59">
        <f>($AT255-$AT256)*100</f>
        <v/>
      </c>
      <c r="DL255" s="59">
        <f>($AU255-$AU256)*100</f>
        <v/>
      </c>
      <c r="DM255" s="59">
        <f>($AV255-$AV256)*100</f>
        <v/>
      </c>
      <c r="DN255" s="59">
        <f>($AW255-$AW256)*100</f>
        <v/>
      </c>
      <c r="DO255" s="59">
        <f>($AX255-$AX256)*100</f>
        <v/>
      </c>
      <c r="DP255" s="59">
        <f>($AY255-$AY256)*100</f>
        <v/>
      </c>
      <c r="DQ255" s="59">
        <f>($AZ255-$AZ256)*100</f>
        <v/>
      </c>
      <c r="DR255" s="59">
        <f>($BA255-$BA256)*100</f>
        <v/>
      </c>
      <c r="DS255" s="58">
        <f>IFERROR($N256/$N255-1,"")</f>
        <v/>
      </c>
      <c r="DT255" s="58">
        <f>IFERROR($O256/$O255-1,"")</f>
        <v/>
      </c>
      <c r="DU255" s="58">
        <f>IFERROR($P256/$P255-1,"")</f>
        <v/>
      </c>
      <c r="DV255" s="58">
        <f>IFERROR($Q256/$Q255-1,"")</f>
        <v/>
      </c>
      <c r="DW255" s="58">
        <f>IFERROR($R256/$R255-1,"")</f>
        <v/>
      </c>
      <c r="DX255" s="58">
        <f>IFERROR($S256/$S255-1,"")</f>
        <v/>
      </c>
      <c r="DY255" s="58">
        <f>IFERROR($T256/$T255-1,"")</f>
        <v/>
      </c>
      <c r="DZ255" s="58">
        <f>IFERROR($U256/$U255-1,"")</f>
        <v/>
      </c>
      <c r="EA255" s="58">
        <f>IFERROR($V256/$V255-1,"")</f>
        <v/>
      </c>
      <c r="EB255" s="58">
        <f>IFERROR($W256/$W255-1,"")</f>
        <v/>
      </c>
      <c r="EC255" s="58">
        <f>IFERROR($X256/$X255-1,"")</f>
        <v/>
      </c>
      <c r="ED255" s="58">
        <f>IFERROR($Y256/$Y255-1,"")</f>
        <v/>
      </c>
      <c r="EE255" s="58">
        <f>IFERROR($Z256/$Z255-1,"")</f>
        <v/>
      </c>
      <c r="EF255" s="58">
        <f>IFERROR($AA256/$AA255-1,"")</f>
        <v/>
      </c>
      <c r="EG255" s="58">
        <f>IFERROR($AB256/$AB255-1,"")</f>
        <v/>
      </c>
      <c r="EH255" s="58">
        <f>IFERROR($AC256/$AC255-1,"")</f>
        <v/>
      </c>
      <c r="EI255" s="58">
        <f>IFERROR($AD256/$AD255-1,"")</f>
        <v/>
      </c>
      <c r="EJ255" s="58">
        <f>IFERROR($AE256/$AE255-1,"")</f>
        <v/>
      </c>
      <c r="EK255" s="58">
        <f>IFERROR($AF256/$AF255-1,"")</f>
        <v/>
      </c>
      <c r="EL255" s="58">
        <f>IFERROR($AG256/$AG255-1,"")</f>
        <v/>
      </c>
      <c r="EM255" s="58">
        <f>IFERROR($BB255/$BB256-1,"")</f>
        <v/>
      </c>
      <c r="EN255" s="58">
        <f>IFERROR($BC255/$BC256-1,"")</f>
        <v/>
      </c>
      <c r="EO255" s="58">
        <f>IFERROR($BD255/$BD256-1,"")</f>
        <v/>
      </c>
      <c r="EP255" s="58">
        <f>IFERROR($BE255/$BE256-1,"")</f>
        <v/>
      </c>
      <c r="EQ255" s="58">
        <f>IFERROR($BF255/$BF256-1,"")</f>
        <v/>
      </c>
      <c r="ER255" s="58">
        <f>IFERROR($BG255/$BG256-1,"")</f>
        <v/>
      </c>
      <c r="ES255" s="58">
        <f>IFERROR($BH255/$BH256-1,"")</f>
        <v/>
      </c>
      <c r="ET255" s="58">
        <f>IFERROR($BI255/$BI256-1,"")</f>
        <v/>
      </c>
      <c r="EU255" s="58">
        <f>IFERROR($BJ255/$BJ256-1,"")</f>
        <v/>
      </c>
      <c r="EV255" s="58">
        <f>IFERROR($BK255/$BK256-1,"")</f>
        <v/>
      </c>
      <c r="EW255" s="58">
        <f>IFERROR($BL255/$BL256-1,"")</f>
        <v/>
      </c>
      <c r="EX255" s="58">
        <f>IFERROR($BM255/$BM256-1,"")</f>
        <v/>
      </c>
      <c r="EY255" s="58">
        <f>IFERROR($BN255/$BN256-1,"")</f>
        <v/>
      </c>
      <c r="EZ255" s="58">
        <f>IFERROR($BO255/$BO256-1,"")</f>
        <v/>
      </c>
      <c r="FA255" s="58">
        <f>IFERROR($BP255/$BP256-1,"")</f>
        <v/>
      </c>
      <c r="FB255" s="58">
        <f>IFERROR($BQ255/$BQ256-1,"")</f>
        <v/>
      </c>
      <c r="FC255" s="58">
        <f>IFERROR($BR255/$BR256-1,"")</f>
        <v/>
      </c>
      <c r="FD255" s="58">
        <f>IFERROR($BS255/$BS256-1,"")</f>
        <v/>
      </c>
      <c r="FE255" s="58">
        <f>IFERROR($BT255/$BT256-1,"")</f>
        <v/>
      </c>
      <c r="FF255" s="58">
        <f>IFERROR($BU255/$BU256-1,"")</f>
        <v/>
      </c>
      <c r="FG255" s="58">
        <f>IFERROR($BV255/$BV256-1,"")</f>
        <v/>
      </c>
      <c r="FH255" s="58">
        <f>IFERROR($BW255/$BW256-1,"")</f>
        <v/>
      </c>
      <c r="FI255" s="58">
        <f>IFERROR($BX255/$BX256-1,"")</f>
        <v/>
      </c>
      <c r="FJ255" s="59">
        <f>$BY255-$BY256</f>
        <v/>
      </c>
      <c r="FK255" s="59">
        <f>$BZ255-$BZ256</f>
        <v/>
      </c>
      <c r="FL255" s="59">
        <f>$CA255-$CA256</f>
        <v/>
      </c>
      <c r="FM255" s="59">
        <f>$CB255-$CB256</f>
        <v/>
      </c>
      <c r="FN255" s="59">
        <f>$CC255-$CC256</f>
        <v/>
      </c>
      <c r="FO255" s="59">
        <f>$CD255-$CD256</f>
        <v/>
      </c>
      <c r="FP255" s="59">
        <f>$CE255-$CE256</f>
        <v/>
      </c>
      <c r="FQ255" s="59">
        <f>$CF255-$CF256</f>
        <v/>
      </c>
      <c r="FR255" s="59">
        <f>$CG255-$CG256</f>
        <v/>
      </c>
      <c r="FS255" s="59">
        <f>$CH255-$CH256</f>
        <v/>
      </c>
      <c r="FT255" s="59">
        <f>$CI255-$CI256</f>
        <v/>
      </c>
      <c r="FU255" s="59">
        <f>$CJ255-$CJ256</f>
        <v/>
      </c>
      <c r="FV255" s="59">
        <f>$CK255-$CK256</f>
        <v/>
      </c>
      <c r="FW255" s="59">
        <f>$CL255-$CL256</f>
        <v/>
      </c>
      <c r="FX255" s="59">
        <f>$CM255-$CM256</f>
        <v/>
      </c>
      <c r="FY255" s="59">
        <f>$CN255-$CN256</f>
        <v/>
      </c>
      <c r="FZ255" s="59">
        <f>$CO255-$CO256</f>
        <v/>
      </c>
      <c r="GA255" s="59">
        <f>$CP255-$CP256</f>
        <v/>
      </c>
      <c r="GB255" s="59">
        <f>$CQ255-$CQ256</f>
        <v/>
      </c>
      <c r="GC255" s="59">
        <f>$CR255-$CR256</f>
        <v/>
      </c>
      <c r="GD255" s="59">
        <f>$CS255-$CS256</f>
        <v/>
      </c>
      <c r="GE255" s="59">
        <f>$CT255-$CT256</f>
        <v/>
      </c>
    </row>
    <row r="256">
      <c r="CU256" s="58">
        <f>IFERROR($B256/$B257-1,"")</f>
        <v/>
      </c>
      <c r="CV256" s="59">
        <f>($F256-$F257)*100</f>
        <v/>
      </c>
      <c r="CW256" s="59">
        <f>($E256-$E257)*100</f>
        <v/>
      </c>
      <c r="CX256" s="58">
        <f>IFERROR($K256/$K257-1,"")</f>
        <v/>
      </c>
      <c r="CY256" s="59">
        <f>($AH256-$AH257)*100</f>
        <v/>
      </c>
      <c r="CZ256" s="59">
        <f>($AI256-$AI257)*100</f>
        <v/>
      </c>
      <c r="DA256" s="59">
        <f>($AJ256-$AJ257)*100</f>
        <v/>
      </c>
      <c r="DB256" s="59">
        <f>($AK256-$AK257)*100</f>
        <v/>
      </c>
      <c r="DC256" s="59">
        <f>($AL256-$AL257)*100</f>
        <v/>
      </c>
      <c r="DD256" s="59">
        <f>($AM256-$AM257)*100</f>
        <v/>
      </c>
      <c r="DE256" s="59">
        <f>($AN256-$AN257)*100</f>
        <v/>
      </c>
      <c r="DF256" s="59">
        <f>($AO256-$AO257)*100</f>
        <v/>
      </c>
      <c r="DG256" s="59">
        <f>($AP256-$AP257)*100</f>
        <v/>
      </c>
      <c r="DH256" s="59">
        <f>($AQ256-$AQ257)*100</f>
        <v/>
      </c>
      <c r="DI256" s="59">
        <f>($AR256-$AR257)*100</f>
        <v/>
      </c>
      <c r="DJ256" s="59">
        <f>($AS256-$AS257)*100</f>
        <v/>
      </c>
      <c r="DK256" s="59">
        <f>($AT256-$AT257)*100</f>
        <v/>
      </c>
      <c r="DL256" s="59">
        <f>($AU256-$AU257)*100</f>
        <v/>
      </c>
      <c r="DM256" s="59">
        <f>($AV256-$AV257)*100</f>
        <v/>
      </c>
      <c r="DN256" s="59">
        <f>($AW256-$AW257)*100</f>
        <v/>
      </c>
      <c r="DO256" s="59">
        <f>($AX256-$AX257)*100</f>
        <v/>
      </c>
      <c r="DP256" s="59">
        <f>($AY256-$AY257)*100</f>
        <v/>
      </c>
      <c r="DQ256" s="59">
        <f>($AZ256-$AZ257)*100</f>
        <v/>
      </c>
      <c r="DR256" s="59">
        <f>($BA256-$BA257)*100</f>
        <v/>
      </c>
      <c r="DS256" s="58">
        <f>IFERROR($N257/$N256-1,"")</f>
        <v/>
      </c>
      <c r="DT256" s="58">
        <f>IFERROR($O257/$O256-1,"")</f>
        <v/>
      </c>
      <c r="DU256" s="58">
        <f>IFERROR($P257/$P256-1,"")</f>
        <v/>
      </c>
      <c r="DV256" s="58">
        <f>IFERROR($Q257/$Q256-1,"")</f>
        <v/>
      </c>
      <c r="DW256" s="58">
        <f>IFERROR($R257/$R256-1,"")</f>
        <v/>
      </c>
      <c r="DX256" s="58">
        <f>IFERROR($S257/$S256-1,"")</f>
        <v/>
      </c>
      <c r="DY256" s="58">
        <f>IFERROR($T257/$T256-1,"")</f>
        <v/>
      </c>
      <c r="DZ256" s="58">
        <f>IFERROR($U257/$U256-1,"")</f>
        <v/>
      </c>
      <c r="EA256" s="58">
        <f>IFERROR($V257/$V256-1,"")</f>
        <v/>
      </c>
      <c r="EB256" s="58">
        <f>IFERROR($W257/$W256-1,"")</f>
        <v/>
      </c>
      <c r="EC256" s="58">
        <f>IFERROR($X257/$X256-1,"")</f>
        <v/>
      </c>
      <c r="ED256" s="58">
        <f>IFERROR($Y257/$Y256-1,"")</f>
        <v/>
      </c>
      <c r="EE256" s="58">
        <f>IFERROR($Z257/$Z256-1,"")</f>
        <v/>
      </c>
      <c r="EF256" s="58">
        <f>IFERROR($AA257/$AA256-1,"")</f>
        <v/>
      </c>
      <c r="EG256" s="58">
        <f>IFERROR($AB257/$AB256-1,"")</f>
        <v/>
      </c>
      <c r="EH256" s="58">
        <f>IFERROR($AC257/$AC256-1,"")</f>
        <v/>
      </c>
      <c r="EI256" s="58">
        <f>IFERROR($AD257/$AD256-1,"")</f>
        <v/>
      </c>
      <c r="EJ256" s="58">
        <f>IFERROR($AE257/$AE256-1,"")</f>
        <v/>
      </c>
      <c r="EK256" s="58">
        <f>IFERROR($AF257/$AF256-1,"")</f>
        <v/>
      </c>
      <c r="EL256" s="58">
        <f>IFERROR($AG257/$AG256-1,"")</f>
        <v/>
      </c>
      <c r="EM256" s="58">
        <f>IFERROR($BB256/$BB257-1,"")</f>
        <v/>
      </c>
      <c r="EN256" s="58">
        <f>IFERROR($BC256/$BC257-1,"")</f>
        <v/>
      </c>
      <c r="EO256" s="58">
        <f>IFERROR($BD256/$BD257-1,"")</f>
        <v/>
      </c>
      <c r="EP256" s="58">
        <f>IFERROR($BE256/$BE257-1,"")</f>
        <v/>
      </c>
      <c r="EQ256" s="58">
        <f>IFERROR($BF256/$BF257-1,"")</f>
        <v/>
      </c>
      <c r="ER256" s="58">
        <f>IFERROR($BG256/$BG257-1,"")</f>
        <v/>
      </c>
      <c r="ES256" s="58">
        <f>IFERROR($BH256/$BH257-1,"")</f>
        <v/>
      </c>
      <c r="ET256" s="58">
        <f>IFERROR($BI256/$BI257-1,"")</f>
        <v/>
      </c>
      <c r="EU256" s="58">
        <f>IFERROR($BJ256/$BJ257-1,"")</f>
        <v/>
      </c>
      <c r="EV256" s="58">
        <f>IFERROR($BK256/$BK257-1,"")</f>
        <v/>
      </c>
      <c r="EW256" s="58">
        <f>IFERROR($BL256/$BL257-1,"")</f>
        <v/>
      </c>
      <c r="EX256" s="58">
        <f>IFERROR($BM256/$BM257-1,"")</f>
        <v/>
      </c>
      <c r="EY256" s="58">
        <f>IFERROR($BN256/$BN257-1,"")</f>
        <v/>
      </c>
      <c r="EZ256" s="58">
        <f>IFERROR($BO256/$BO257-1,"")</f>
        <v/>
      </c>
      <c r="FA256" s="58">
        <f>IFERROR($BP256/$BP257-1,"")</f>
        <v/>
      </c>
      <c r="FB256" s="58">
        <f>IFERROR($BQ256/$BQ257-1,"")</f>
        <v/>
      </c>
      <c r="FC256" s="58">
        <f>IFERROR($BR256/$BR257-1,"")</f>
        <v/>
      </c>
      <c r="FD256" s="58">
        <f>IFERROR($BS256/$BS257-1,"")</f>
        <v/>
      </c>
      <c r="FE256" s="58">
        <f>IFERROR($BT256/$BT257-1,"")</f>
        <v/>
      </c>
      <c r="FF256" s="58">
        <f>IFERROR($BU256/$BU257-1,"")</f>
        <v/>
      </c>
      <c r="FG256" s="58">
        <f>IFERROR($BV256/$BV257-1,"")</f>
        <v/>
      </c>
      <c r="FH256" s="58">
        <f>IFERROR($BW256/$BW257-1,"")</f>
        <v/>
      </c>
      <c r="FI256" s="58">
        <f>IFERROR($BX256/$BX257-1,"")</f>
        <v/>
      </c>
      <c r="FJ256" s="59">
        <f>$BY256-$BY257</f>
        <v/>
      </c>
      <c r="FK256" s="59">
        <f>$BZ256-$BZ257</f>
        <v/>
      </c>
      <c r="FL256" s="59">
        <f>$CA256-$CA257</f>
        <v/>
      </c>
      <c r="FM256" s="59">
        <f>$CB256-$CB257</f>
        <v/>
      </c>
      <c r="FN256" s="59">
        <f>$CC256-$CC257</f>
        <v/>
      </c>
      <c r="FO256" s="59">
        <f>$CD256-$CD257</f>
        <v/>
      </c>
      <c r="FP256" s="59">
        <f>$CE256-$CE257</f>
        <v/>
      </c>
      <c r="FQ256" s="59">
        <f>$CF256-$CF257</f>
        <v/>
      </c>
      <c r="FR256" s="59">
        <f>$CG256-$CG257</f>
        <v/>
      </c>
      <c r="FS256" s="59">
        <f>$CH256-$CH257</f>
        <v/>
      </c>
      <c r="FT256" s="59">
        <f>$CI256-$CI257</f>
        <v/>
      </c>
      <c r="FU256" s="59">
        <f>$CJ256-$CJ257</f>
        <v/>
      </c>
      <c r="FV256" s="59">
        <f>$CK256-$CK257</f>
        <v/>
      </c>
      <c r="FW256" s="59">
        <f>$CL256-$CL257</f>
        <v/>
      </c>
      <c r="FX256" s="59">
        <f>$CM256-$CM257</f>
        <v/>
      </c>
      <c r="FY256" s="59">
        <f>$CN256-$CN257</f>
        <v/>
      </c>
      <c r="FZ256" s="59">
        <f>$CO256-$CO257</f>
        <v/>
      </c>
      <c r="GA256" s="59">
        <f>$CP256-$CP257</f>
        <v/>
      </c>
      <c r="GB256" s="59">
        <f>$CQ256-$CQ257</f>
        <v/>
      </c>
      <c r="GC256" s="59">
        <f>$CR256-$CR257</f>
        <v/>
      </c>
      <c r="GD256" s="59">
        <f>$CS256-$CS257</f>
        <v/>
      </c>
      <c r="GE256" s="59">
        <f>$CT256-$CT257</f>
        <v/>
      </c>
    </row>
    <row r="257">
      <c r="CU257" s="58">
        <f>IFERROR($B257/$B258-1,"")</f>
        <v/>
      </c>
      <c r="CV257" s="59">
        <f>($F257-$F258)*100</f>
        <v/>
      </c>
      <c r="CW257" s="59">
        <f>($E257-$E258)*100</f>
        <v/>
      </c>
      <c r="CX257" s="58">
        <f>IFERROR($K257/$K258-1,"")</f>
        <v/>
      </c>
      <c r="CY257" s="59">
        <f>($AH257-$AH258)*100</f>
        <v/>
      </c>
      <c r="CZ257" s="59">
        <f>($AI257-$AI258)*100</f>
        <v/>
      </c>
      <c r="DA257" s="59">
        <f>($AJ257-$AJ258)*100</f>
        <v/>
      </c>
      <c r="DB257" s="59">
        <f>($AK257-$AK258)*100</f>
        <v/>
      </c>
      <c r="DC257" s="59">
        <f>($AL257-$AL258)*100</f>
        <v/>
      </c>
      <c r="DD257" s="59">
        <f>($AM257-$AM258)*100</f>
        <v/>
      </c>
      <c r="DE257" s="59">
        <f>($AN257-$AN258)*100</f>
        <v/>
      </c>
      <c r="DF257" s="59">
        <f>($AO257-$AO258)*100</f>
        <v/>
      </c>
      <c r="DG257" s="59">
        <f>($AP257-$AP258)*100</f>
        <v/>
      </c>
      <c r="DH257" s="59">
        <f>($AQ257-$AQ258)*100</f>
        <v/>
      </c>
      <c r="DI257" s="59">
        <f>($AR257-$AR258)*100</f>
        <v/>
      </c>
      <c r="DJ257" s="59">
        <f>($AS257-$AS258)*100</f>
        <v/>
      </c>
      <c r="DK257" s="59">
        <f>($AT257-$AT258)*100</f>
        <v/>
      </c>
      <c r="DL257" s="59">
        <f>($AU257-$AU258)*100</f>
        <v/>
      </c>
      <c r="DM257" s="59">
        <f>($AV257-$AV258)*100</f>
        <v/>
      </c>
      <c r="DN257" s="59">
        <f>($AW257-$AW258)*100</f>
        <v/>
      </c>
      <c r="DO257" s="59">
        <f>($AX257-$AX258)*100</f>
        <v/>
      </c>
      <c r="DP257" s="59">
        <f>($AY257-$AY258)*100</f>
        <v/>
      </c>
      <c r="DQ257" s="59">
        <f>($AZ257-$AZ258)*100</f>
        <v/>
      </c>
      <c r="DR257" s="59">
        <f>($BA257-$BA258)*100</f>
        <v/>
      </c>
      <c r="DS257" s="58">
        <f>IFERROR($N258/$N257-1,"")</f>
        <v/>
      </c>
      <c r="DT257" s="58">
        <f>IFERROR($O258/$O257-1,"")</f>
        <v/>
      </c>
      <c r="DU257" s="58">
        <f>IFERROR($P258/$P257-1,"")</f>
        <v/>
      </c>
      <c r="DV257" s="58">
        <f>IFERROR($Q258/$Q257-1,"")</f>
        <v/>
      </c>
      <c r="DW257" s="58">
        <f>IFERROR($R258/$R257-1,"")</f>
        <v/>
      </c>
      <c r="DX257" s="58">
        <f>IFERROR($S258/$S257-1,"")</f>
        <v/>
      </c>
      <c r="DY257" s="58">
        <f>IFERROR($T258/$T257-1,"")</f>
        <v/>
      </c>
      <c r="DZ257" s="58">
        <f>IFERROR($U258/$U257-1,"")</f>
        <v/>
      </c>
      <c r="EA257" s="58">
        <f>IFERROR($V258/$V257-1,"")</f>
        <v/>
      </c>
      <c r="EB257" s="58">
        <f>IFERROR($W258/$W257-1,"")</f>
        <v/>
      </c>
      <c r="EC257" s="58">
        <f>IFERROR($X258/$X257-1,"")</f>
        <v/>
      </c>
      <c r="ED257" s="58">
        <f>IFERROR($Y258/$Y257-1,"")</f>
        <v/>
      </c>
      <c r="EE257" s="58">
        <f>IFERROR($Z258/$Z257-1,"")</f>
        <v/>
      </c>
      <c r="EF257" s="58">
        <f>IFERROR($AA258/$AA257-1,"")</f>
        <v/>
      </c>
      <c r="EG257" s="58">
        <f>IFERROR($AB258/$AB257-1,"")</f>
        <v/>
      </c>
      <c r="EH257" s="58">
        <f>IFERROR($AC258/$AC257-1,"")</f>
        <v/>
      </c>
      <c r="EI257" s="58">
        <f>IFERROR($AD258/$AD257-1,"")</f>
        <v/>
      </c>
      <c r="EJ257" s="58">
        <f>IFERROR($AE258/$AE257-1,"")</f>
        <v/>
      </c>
      <c r="EK257" s="58">
        <f>IFERROR($AF258/$AF257-1,"")</f>
        <v/>
      </c>
      <c r="EL257" s="58">
        <f>IFERROR($AG258/$AG257-1,"")</f>
        <v/>
      </c>
      <c r="EM257" s="58">
        <f>IFERROR($BB257/$BB258-1,"")</f>
        <v/>
      </c>
      <c r="EN257" s="58">
        <f>IFERROR($BC257/$BC258-1,"")</f>
        <v/>
      </c>
      <c r="EO257" s="58">
        <f>IFERROR($BD257/$BD258-1,"")</f>
        <v/>
      </c>
      <c r="EP257" s="58">
        <f>IFERROR($BE257/$BE258-1,"")</f>
        <v/>
      </c>
      <c r="EQ257" s="58">
        <f>IFERROR($BF257/$BF258-1,"")</f>
        <v/>
      </c>
      <c r="ER257" s="58">
        <f>IFERROR($BG257/$BG258-1,"")</f>
        <v/>
      </c>
      <c r="ES257" s="58">
        <f>IFERROR($BH257/$BH258-1,"")</f>
        <v/>
      </c>
      <c r="ET257" s="58">
        <f>IFERROR($BI257/$BI258-1,"")</f>
        <v/>
      </c>
      <c r="EU257" s="58">
        <f>IFERROR($BJ257/$BJ258-1,"")</f>
        <v/>
      </c>
      <c r="EV257" s="58">
        <f>IFERROR($BK257/$BK258-1,"")</f>
        <v/>
      </c>
      <c r="EW257" s="58">
        <f>IFERROR($BL257/$BL258-1,"")</f>
        <v/>
      </c>
      <c r="EX257" s="58">
        <f>IFERROR($BM257/$BM258-1,"")</f>
        <v/>
      </c>
      <c r="EY257" s="58">
        <f>IFERROR($BN257/$BN258-1,"")</f>
        <v/>
      </c>
      <c r="EZ257" s="58">
        <f>IFERROR($BO257/$BO258-1,"")</f>
        <v/>
      </c>
      <c r="FA257" s="58">
        <f>IFERROR($BP257/$BP258-1,"")</f>
        <v/>
      </c>
      <c r="FB257" s="58">
        <f>IFERROR($BQ257/$BQ258-1,"")</f>
        <v/>
      </c>
      <c r="FC257" s="58">
        <f>IFERROR($BR257/$BR258-1,"")</f>
        <v/>
      </c>
      <c r="FD257" s="58">
        <f>IFERROR($BS257/$BS258-1,"")</f>
        <v/>
      </c>
      <c r="FE257" s="58">
        <f>IFERROR($BT257/$BT258-1,"")</f>
        <v/>
      </c>
      <c r="FF257" s="58">
        <f>IFERROR($BU257/$BU258-1,"")</f>
        <v/>
      </c>
      <c r="FG257" s="58">
        <f>IFERROR($BV257/$BV258-1,"")</f>
        <v/>
      </c>
      <c r="FH257" s="58">
        <f>IFERROR($BW257/$BW258-1,"")</f>
        <v/>
      </c>
      <c r="FI257" s="58">
        <f>IFERROR($BX257/$BX258-1,"")</f>
        <v/>
      </c>
      <c r="FJ257" s="59">
        <f>$BY257-$BY258</f>
        <v/>
      </c>
      <c r="FK257" s="59">
        <f>$BZ257-$BZ258</f>
        <v/>
      </c>
      <c r="FL257" s="59">
        <f>$CA257-$CA258</f>
        <v/>
      </c>
      <c r="FM257" s="59">
        <f>$CB257-$CB258</f>
        <v/>
      </c>
      <c r="FN257" s="59">
        <f>$CC257-$CC258</f>
        <v/>
      </c>
      <c r="FO257" s="59">
        <f>$CD257-$CD258</f>
        <v/>
      </c>
      <c r="FP257" s="59">
        <f>$CE257-$CE258</f>
        <v/>
      </c>
      <c r="FQ257" s="59">
        <f>$CF257-$CF258</f>
        <v/>
      </c>
      <c r="FR257" s="59">
        <f>$CG257-$CG258</f>
        <v/>
      </c>
      <c r="FS257" s="59">
        <f>$CH257-$CH258</f>
        <v/>
      </c>
      <c r="FT257" s="59">
        <f>$CI257-$CI258</f>
        <v/>
      </c>
      <c r="FU257" s="59">
        <f>$CJ257-$CJ258</f>
        <v/>
      </c>
      <c r="FV257" s="59">
        <f>$CK257-$CK258</f>
        <v/>
      </c>
      <c r="FW257" s="59">
        <f>$CL257-$CL258</f>
        <v/>
      </c>
      <c r="FX257" s="59">
        <f>$CM257-$CM258</f>
        <v/>
      </c>
      <c r="FY257" s="59">
        <f>$CN257-$CN258</f>
        <v/>
      </c>
      <c r="FZ257" s="59">
        <f>$CO257-$CO258</f>
        <v/>
      </c>
      <c r="GA257" s="59">
        <f>$CP257-$CP258</f>
        <v/>
      </c>
      <c r="GB257" s="59">
        <f>$CQ257-$CQ258</f>
        <v/>
      </c>
      <c r="GC257" s="59">
        <f>$CR257-$CR258</f>
        <v/>
      </c>
      <c r="GD257" s="59">
        <f>$CS257-$CS258</f>
        <v/>
      </c>
      <c r="GE257" s="59">
        <f>$CT257-$CT258</f>
        <v/>
      </c>
    </row>
    <row r="258">
      <c r="CU258" s="58">
        <f>IFERROR($B258/$B259-1,"")</f>
        <v/>
      </c>
      <c r="CV258" s="59">
        <f>($F258-$F259)*100</f>
        <v/>
      </c>
      <c r="CW258" s="59">
        <f>($E258-$E259)*100</f>
        <v/>
      </c>
      <c r="CX258" s="58">
        <f>IFERROR($K258/$K259-1,"")</f>
        <v/>
      </c>
      <c r="CY258" s="59">
        <f>($AH258-$AH259)*100</f>
        <v/>
      </c>
      <c r="CZ258" s="59">
        <f>($AI258-$AI259)*100</f>
        <v/>
      </c>
      <c r="DA258" s="59">
        <f>($AJ258-$AJ259)*100</f>
        <v/>
      </c>
      <c r="DB258" s="59">
        <f>($AK258-$AK259)*100</f>
        <v/>
      </c>
      <c r="DC258" s="59">
        <f>($AL258-$AL259)*100</f>
        <v/>
      </c>
      <c r="DD258" s="59">
        <f>($AM258-$AM259)*100</f>
        <v/>
      </c>
      <c r="DE258" s="59">
        <f>($AN258-$AN259)*100</f>
        <v/>
      </c>
      <c r="DF258" s="59">
        <f>($AO258-$AO259)*100</f>
        <v/>
      </c>
      <c r="DG258" s="59">
        <f>($AP258-$AP259)*100</f>
        <v/>
      </c>
      <c r="DH258" s="59">
        <f>($AQ258-$AQ259)*100</f>
        <v/>
      </c>
      <c r="DI258" s="59">
        <f>($AR258-$AR259)*100</f>
        <v/>
      </c>
      <c r="DJ258" s="59">
        <f>($AS258-$AS259)*100</f>
        <v/>
      </c>
      <c r="DK258" s="59">
        <f>($AT258-$AT259)*100</f>
        <v/>
      </c>
      <c r="DL258" s="59">
        <f>($AU258-$AU259)*100</f>
        <v/>
      </c>
      <c r="DM258" s="59">
        <f>($AV258-$AV259)*100</f>
        <v/>
      </c>
      <c r="DN258" s="59">
        <f>($AW258-$AW259)*100</f>
        <v/>
      </c>
      <c r="DO258" s="59">
        <f>($AX258-$AX259)*100</f>
        <v/>
      </c>
      <c r="DP258" s="59">
        <f>($AY258-$AY259)*100</f>
        <v/>
      </c>
      <c r="DQ258" s="59">
        <f>($AZ258-$AZ259)*100</f>
        <v/>
      </c>
      <c r="DR258" s="59">
        <f>($BA258-$BA259)*100</f>
        <v/>
      </c>
      <c r="DS258" s="58">
        <f>IFERROR($N259/$N258-1,"")</f>
        <v/>
      </c>
      <c r="DT258" s="58">
        <f>IFERROR($O259/$O258-1,"")</f>
        <v/>
      </c>
      <c r="DU258" s="58">
        <f>IFERROR($P259/$P258-1,"")</f>
        <v/>
      </c>
      <c r="DV258" s="58">
        <f>IFERROR($Q259/$Q258-1,"")</f>
        <v/>
      </c>
      <c r="DW258" s="58">
        <f>IFERROR($R259/$R258-1,"")</f>
        <v/>
      </c>
      <c r="DX258" s="58">
        <f>IFERROR($S259/$S258-1,"")</f>
        <v/>
      </c>
      <c r="DY258" s="58">
        <f>IFERROR($T259/$T258-1,"")</f>
        <v/>
      </c>
      <c r="DZ258" s="58">
        <f>IFERROR($U259/$U258-1,"")</f>
        <v/>
      </c>
      <c r="EA258" s="58">
        <f>IFERROR($V259/$V258-1,"")</f>
        <v/>
      </c>
      <c r="EB258" s="58">
        <f>IFERROR($W259/$W258-1,"")</f>
        <v/>
      </c>
      <c r="EC258" s="58">
        <f>IFERROR($X259/$X258-1,"")</f>
        <v/>
      </c>
      <c r="ED258" s="58">
        <f>IFERROR($Y259/$Y258-1,"")</f>
        <v/>
      </c>
      <c r="EE258" s="58">
        <f>IFERROR($Z259/$Z258-1,"")</f>
        <v/>
      </c>
      <c r="EF258" s="58">
        <f>IFERROR($AA259/$AA258-1,"")</f>
        <v/>
      </c>
      <c r="EG258" s="58">
        <f>IFERROR($AB259/$AB258-1,"")</f>
        <v/>
      </c>
      <c r="EH258" s="58">
        <f>IFERROR($AC259/$AC258-1,"")</f>
        <v/>
      </c>
      <c r="EI258" s="58">
        <f>IFERROR($AD259/$AD258-1,"")</f>
        <v/>
      </c>
      <c r="EJ258" s="58">
        <f>IFERROR($AE259/$AE258-1,"")</f>
        <v/>
      </c>
      <c r="EK258" s="58">
        <f>IFERROR($AF259/$AF258-1,"")</f>
        <v/>
      </c>
      <c r="EL258" s="58">
        <f>IFERROR($AG259/$AG258-1,"")</f>
        <v/>
      </c>
      <c r="EM258" s="58">
        <f>IFERROR($BB258/$BB259-1,"")</f>
        <v/>
      </c>
      <c r="EN258" s="58">
        <f>IFERROR($BC258/$BC259-1,"")</f>
        <v/>
      </c>
      <c r="EO258" s="58">
        <f>IFERROR($BD258/$BD259-1,"")</f>
        <v/>
      </c>
      <c r="EP258" s="58">
        <f>IFERROR($BE258/$BE259-1,"")</f>
        <v/>
      </c>
      <c r="EQ258" s="58">
        <f>IFERROR($BF258/$BF259-1,"")</f>
        <v/>
      </c>
      <c r="ER258" s="58">
        <f>IFERROR($BG258/$BG259-1,"")</f>
        <v/>
      </c>
      <c r="ES258" s="58">
        <f>IFERROR($BH258/$BH259-1,"")</f>
        <v/>
      </c>
      <c r="ET258" s="58">
        <f>IFERROR($BI258/$BI259-1,"")</f>
        <v/>
      </c>
      <c r="EU258" s="58">
        <f>IFERROR($BJ258/$BJ259-1,"")</f>
        <v/>
      </c>
      <c r="EV258" s="58">
        <f>IFERROR($BK258/$BK259-1,"")</f>
        <v/>
      </c>
      <c r="EW258" s="58">
        <f>IFERROR($BL258/$BL259-1,"")</f>
        <v/>
      </c>
      <c r="EX258" s="58">
        <f>IFERROR($BM258/$BM259-1,"")</f>
        <v/>
      </c>
      <c r="EY258" s="58">
        <f>IFERROR($BN258/$BN259-1,"")</f>
        <v/>
      </c>
      <c r="EZ258" s="58">
        <f>IFERROR($BO258/$BO259-1,"")</f>
        <v/>
      </c>
      <c r="FA258" s="58">
        <f>IFERROR($BP258/$BP259-1,"")</f>
        <v/>
      </c>
      <c r="FB258" s="58">
        <f>IFERROR($BQ258/$BQ259-1,"")</f>
        <v/>
      </c>
      <c r="FC258" s="58">
        <f>IFERROR($BR258/$BR259-1,"")</f>
        <v/>
      </c>
      <c r="FD258" s="58">
        <f>IFERROR($BS258/$BS259-1,"")</f>
        <v/>
      </c>
      <c r="FE258" s="58">
        <f>IFERROR($BT258/$BT259-1,"")</f>
        <v/>
      </c>
      <c r="FF258" s="58">
        <f>IFERROR($BU258/$BU259-1,"")</f>
        <v/>
      </c>
      <c r="FG258" s="58">
        <f>IFERROR($BV258/$BV259-1,"")</f>
        <v/>
      </c>
      <c r="FH258" s="58">
        <f>IFERROR($BW258/$BW259-1,"")</f>
        <v/>
      </c>
      <c r="FI258" s="58">
        <f>IFERROR($BX258/$BX259-1,"")</f>
        <v/>
      </c>
      <c r="FJ258" s="59">
        <f>$BY258-$BY259</f>
        <v/>
      </c>
      <c r="FK258" s="59">
        <f>$BZ258-$BZ259</f>
        <v/>
      </c>
      <c r="FL258" s="59">
        <f>$CA258-$CA259</f>
        <v/>
      </c>
      <c r="FM258" s="59">
        <f>$CB258-$CB259</f>
        <v/>
      </c>
      <c r="FN258" s="59">
        <f>$CC258-$CC259</f>
        <v/>
      </c>
      <c r="FO258" s="59">
        <f>$CD258-$CD259</f>
        <v/>
      </c>
      <c r="FP258" s="59">
        <f>$CE258-$CE259</f>
        <v/>
      </c>
      <c r="FQ258" s="59">
        <f>$CF258-$CF259</f>
        <v/>
      </c>
      <c r="FR258" s="59">
        <f>$CG258-$CG259</f>
        <v/>
      </c>
      <c r="FS258" s="59">
        <f>$CH258-$CH259</f>
        <v/>
      </c>
      <c r="FT258" s="59">
        <f>$CI258-$CI259</f>
        <v/>
      </c>
      <c r="FU258" s="59">
        <f>$CJ258-$CJ259</f>
        <v/>
      </c>
      <c r="FV258" s="59">
        <f>$CK258-$CK259</f>
        <v/>
      </c>
      <c r="FW258" s="59">
        <f>$CL258-$CL259</f>
        <v/>
      </c>
      <c r="FX258" s="59">
        <f>$CM258-$CM259</f>
        <v/>
      </c>
      <c r="FY258" s="59">
        <f>$CN258-$CN259</f>
        <v/>
      </c>
      <c r="FZ258" s="59">
        <f>$CO258-$CO259</f>
        <v/>
      </c>
      <c r="GA258" s="59">
        <f>$CP258-$CP259</f>
        <v/>
      </c>
      <c r="GB258" s="59">
        <f>$CQ258-$CQ259</f>
        <v/>
      </c>
      <c r="GC258" s="59">
        <f>$CR258-$CR259</f>
        <v/>
      </c>
      <c r="GD258" s="59">
        <f>$CS258-$CS259</f>
        <v/>
      </c>
      <c r="GE258" s="59">
        <f>$CT258-$CT259</f>
        <v/>
      </c>
    </row>
    <row r="259">
      <c r="CU259" s="58">
        <f>IFERROR($B259/$B260-1,"")</f>
        <v/>
      </c>
      <c r="CV259" s="59">
        <f>($F259-$F260)*100</f>
        <v/>
      </c>
      <c r="CW259" s="59">
        <f>($E259-$E260)*100</f>
        <v/>
      </c>
      <c r="CX259" s="58">
        <f>IFERROR($K259/$K260-1,"")</f>
        <v/>
      </c>
      <c r="CY259" s="59">
        <f>($AH259-$AH260)*100</f>
        <v/>
      </c>
      <c r="CZ259" s="59">
        <f>($AI259-$AI260)*100</f>
        <v/>
      </c>
      <c r="DA259" s="59">
        <f>($AJ259-$AJ260)*100</f>
        <v/>
      </c>
      <c r="DB259" s="59">
        <f>($AK259-$AK260)*100</f>
        <v/>
      </c>
      <c r="DC259" s="59">
        <f>($AL259-$AL260)*100</f>
        <v/>
      </c>
      <c r="DD259" s="59">
        <f>($AM259-$AM260)*100</f>
        <v/>
      </c>
      <c r="DE259" s="59">
        <f>($AN259-$AN260)*100</f>
        <v/>
      </c>
      <c r="DF259" s="59">
        <f>($AO259-$AO260)*100</f>
        <v/>
      </c>
      <c r="DG259" s="59">
        <f>($AP259-$AP260)*100</f>
        <v/>
      </c>
      <c r="DH259" s="59">
        <f>($AQ259-$AQ260)*100</f>
        <v/>
      </c>
      <c r="DI259" s="59">
        <f>($AR259-$AR260)*100</f>
        <v/>
      </c>
      <c r="DJ259" s="59">
        <f>($AS259-$AS260)*100</f>
        <v/>
      </c>
      <c r="DK259" s="59">
        <f>($AT259-$AT260)*100</f>
        <v/>
      </c>
      <c r="DL259" s="59">
        <f>($AU259-$AU260)*100</f>
        <v/>
      </c>
      <c r="DM259" s="59">
        <f>($AV259-$AV260)*100</f>
        <v/>
      </c>
      <c r="DN259" s="59">
        <f>($AW259-$AW260)*100</f>
        <v/>
      </c>
      <c r="DO259" s="59">
        <f>($AX259-$AX260)*100</f>
        <v/>
      </c>
      <c r="DP259" s="59">
        <f>($AY259-$AY260)*100</f>
        <v/>
      </c>
      <c r="DQ259" s="59">
        <f>($AZ259-$AZ260)*100</f>
        <v/>
      </c>
      <c r="DR259" s="59">
        <f>($BA259-$BA260)*100</f>
        <v/>
      </c>
      <c r="DS259" s="58">
        <f>IFERROR($N260/$N259-1,"")</f>
        <v/>
      </c>
      <c r="DT259" s="58">
        <f>IFERROR($O260/$O259-1,"")</f>
        <v/>
      </c>
      <c r="DU259" s="58">
        <f>IFERROR($P260/$P259-1,"")</f>
        <v/>
      </c>
      <c r="DV259" s="58">
        <f>IFERROR($Q260/$Q259-1,"")</f>
        <v/>
      </c>
      <c r="DW259" s="58">
        <f>IFERROR($R260/$R259-1,"")</f>
        <v/>
      </c>
      <c r="DX259" s="58">
        <f>IFERROR($S260/$S259-1,"")</f>
        <v/>
      </c>
      <c r="DY259" s="58">
        <f>IFERROR($T260/$T259-1,"")</f>
        <v/>
      </c>
      <c r="DZ259" s="58">
        <f>IFERROR($U260/$U259-1,"")</f>
        <v/>
      </c>
      <c r="EA259" s="58">
        <f>IFERROR($V260/$V259-1,"")</f>
        <v/>
      </c>
      <c r="EB259" s="58">
        <f>IFERROR($W260/$W259-1,"")</f>
        <v/>
      </c>
      <c r="EC259" s="58">
        <f>IFERROR($X260/$X259-1,"")</f>
        <v/>
      </c>
      <c r="ED259" s="58">
        <f>IFERROR($Y260/$Y259-1,"")</f>
        <v/>
      </c>
      <c r="EE259" s="58">
        <f>IFERROR($Z260/$Z259-1,"")</f>
        <v/>
      </c>
      <c r="EF259" s="58">
        <f>IFERROR($AA260/$AA259-1,"")</f>
        <v/>
      </c>
      <c r="EG259" s="58">
        <f>IFERROR($AB260/$AB259-1,"")</f>
        <v/>
      </c>
      <c r="EH259" s="58">
        <f>IFERROR($AC260/$AC259-1,"")</f>
        <v/>
      </c>
      <c r="EI259" s="58">
        <f>IFERROR($AD260/$AD259-1,"")</f>
        <v/>
      </c>
      <c r="EJ259" s="58">
        <f>IFERROR($AE260/$AE259-1,"")</f>
        <v/>
      </c>
      <c r="EK259" s="58">
        <f>IFERROR($AF260/$AF259-1,"")</f>
        <v/>
      </c>
      <c r="EL259" s="58">
        <f>IFERROR($AG260/$AG259-1,"")</f>
        <v/>
      </c>
      <c r="EM259" s="58">
        <f>IFERROR($BB259/$BB260-1,"")</f>
        <v/>
      </c>
      <c r="EN259" s="58">
        <f>IFERROR($BC259/$BC260-1,"")</f>
        <v/>
      </c>
      <c r="EO259" s="58">
        <f>IFERROR($BD259/$BD260-1,"")</f>
        <v/>
      </c>
      <c r="EP259" s="58">
        <f>IFERROR($BE259/$BE260-1,"")</f>
        <v/>
      </c>
      <c r="EQ259" s="58">
        <f>IFERROR($BF259/$BF260-1,"")</f>
        <v/>
      </c>
      <c r="ER259" s="58">
        <f>IFERROR($BG259/$BG260-1,"")</f>
        <v/>
      </c>
      <c r="ES259" s="58">
        <f>IFERROR($BH259/$BH260-1,"")</f>
        <v/>
      </c>
      <c r="ET259" s="58">
        <f>IFERROR($BI259/$BI260-1,"")</f>
        <v/>
      </c>
      <c r="EU259" s="58">
        <f>IFERROR($BJ259/$BJ260-1,"")</f>
        <v/>
      </c>
      <c r="EV259" s="58">
        <f>IFERROR($BK259/$BK260-1,"")</f>
        <v/>
      </c>
      <c r="EW259" s="58">
        <f>IFERROR($BL259/$BL260-1,"")</f>
        <v/>
      </c>
      <c r="EX259" s="58">
        <f>IFERROR($BM259/$BM260-1,"")</f>
        <v/>
      </c>
      <c r="EY259" s="58">
        <f>IFERROR($BN259/$BN260-1,"")</f>
        <v/>
      </c>
      <c r="EZ259" s="58">
        <f>IFERROR($BO259/$BO260-1,"")</f>
        <v/>
      </c>
      <c r="FA259" s="58">
        <f>IFERROR($BP259/$BP260-1,"")</f>
        <v/>
      </c>
      <c r="FB259" s="58">
        <f>IFERROR($BQ259/$BQ260-1,"")</f>
        <v/>
      </c>
      <c r="FC259" s="58">
        <f>IFERROR($BR259/$BR260-1,"")</f>
        <v/>
      </c>
      <c r="FD259" s="58">
        <f>IFERROR($BS259/$BS260-1,"")</f>
        <v/>
      </c>
      <c r="FE259" s="58">
        <f>IFERROR($BT259/$BT260-1,"")</f>
        <v/>
      </c>
      <c r="FF259" s="58">
        <f>IFERROR($BU259/$BU260-1,"")</f>
        <v/>
      </c>
      <c r="FG259" s="58">
        <f>IFERROR($BV259/$BV260-1,"")</f>
        <v/>
      </c>
      <c r="FH259" s="58">
        <f>IFERROR($BW259/$BW260-1,"")</f>
        <v/>
      </c>
      <c r="FI259" s="58">
        <f>IFERROR($BX259/$BX260-1,"")</f>
        <v/>
      </c>
      <c r="FJ259" s="59">
        <f>$BY259-$BY260</f>
        <v/>
      </c>
      <c r="FK259" s="59">
        <f>$BZ259-$BZ260</f>
        <v/>
      </c>
      <c r="FL259" s="59">
        <f>$CA259-$CA260</f>
        <v/>
      </c>
      <c r="FM259" s="59">
        <f>$CB259-$CB260</f>
        <v/>
      </c>
      <c r="FN259" s="59">
        <f>$CC259-$CC260</f>
        <v/>
      </c>
      <c r="FO259" s="59">
        <f>$CD259-$CD260</f>
        <v/>
      </c>
      <c r="FP259" s="59">
        <f>$CE259-$CE260</f>
        <v/>
      </c>
      <c r="FQ259" s="59">
        <f>$CF259-$CF260</f>
        <v/>
      </c>
      <c r="FR259" s="59">
        <f>$CG259-$CG260</f>
        <v/>
      </c>
      <c r="FS259" s="59">
        <f>$CH259-$CH260</f>
        <v/>
      </c>
      <c r="FT259" s="59">
        <f>$CI259-$CI260</f>
        <v/>
      </c>
      <c r="FU259" s="59">
        <f>$CJ259-$CJ260</f>
        <v/>
      </c>
      <c r="FV259" s="59">
        <f>$CK259-$CK260</f>
        <v/>
      </c>
      <c r="FW259" s="59">
        <f>$CL259-$CL260</f>
        <v/>
      </c>
      <c r="FX259" s="59">
        <f>$CM259-$CM260</f>
        <v/>
      </c>
      <c r="FY259" s="59">
        <f>$CN259-$CN260</f>
        <v/>
      </c>
      <c r="FZ259" s="59">
        <f>$CO259-$CO260</f>
        <v/>
      </c>
      <c r="GA259" s="59">
        <f>$CP259-$CP260</f>
        <v/>
      </c>
      <c r="GB259" s="59">
        <f>$CQ259-$CQ260</f>
        <v/>
      </c>
      <c r="GC259" s="59">
        <f>$CR259-$CR260</f>
        <v/>
      </c>
      <c r="GD259" s="59">
        <f>$CS259-$CS260</f>
        <v/>
      </c>
      <c r="GE259" s="59">
        <f>$CT259-$CT260</f>
        <v/>
      </c>
    </row>
    <row r="260">
      <c r="CU260" s="58">
        <f>IFERROR($B260/$B261-1,"")</f>
        <v/>
      </c>
      <c r="CV260" s="59">
        <f>($F260-$F261)*100</f>
        <v/>
      </c>
      <c r="CW260" s="59">
        <f>($E260-$E261)*100</f>
        <v/>
      </c>
      <c r="CX260" s="58">
        <f>IFERROR($K260/$K261-1,"")</f>
        <v/>
      </c>
      <c r="CY260" s="59">
        <f>($AH260-$AH261)*100</f>
        <v/>
      </c>
      <c r="CZ260" s="59">
        <f>($AI260-$AI261)*100</f>
        <v/>
      </c>
      <c r="DA260" s="59">
        <f>($AJ260-$AJ261)*100</f>
        <v/>
      </c>
      <c r="DB260" s="59">
        <f>($AK260-$AK261)*100</f>
        <v/>
      </c>
      <c r="DC260" s="59">
        <f>($AL260-$AL261)*100</f>
        <v/>
      </c>
      <c r="DD260" s="59">
        <f>($AM260-$AM261)*100</f>
        <v/>
      </c>
      <c r="DE260" s="59">
        <f>($AN260-$AN261)*100</f>
        <v/>
      </c>
      <c r="DF260" s="59">
        <f>($AO260-$AO261)*100</f>
        <v/>
      </c>
      <c r="DG260" s="59">
        <f>($AP260-$AP261)*100</f>
        <v/>
      </c>
      <c r="DH260" s="59">
        <f>($AQ260-$AQ261)*100</f>
        <v/>
      </c>
      <c r="DI260" s="59">
        <f>($AR260-$AR261)*100</f>
        <v/>
      </c>
      <c r="DJ260" s="59">
        <f>($AS260-$AS261)*100</f>
        <v/>
      </c>
      <c r="DK260" s="59">
        <f>($AT260-$AT261)*100</f>
        <v/>
      </c>
      <c r="DL260" s="59">
        <f>($AU260-$AU261)*100</f>
        <v/>
      </c>
      <c r="DM260" s="59">
        <f>($AV260-$AV261)*100</f>
        <v/>
      </c>
      <c r="DN260" s="59">
        <f>($AW260-$AW261)*100</f>
        <v/>
      </c>
      <c r="DO260" s="59">
        <f>($AX260-$AX261)*100</f>
        <v/>
      </c>
      <c r="DP260" s="59">
        <f>($AY260-$AY261)*100</f>
        <v/>
      </c>
      <c r="DQ260" s="59">
        <f>($AZ260-$AZ261)*100</f>
        <v/>
      </c>
      <c r="DR260" s="59">
        <f>($BA260-$BA261)*100</f>
        <v/>
      </c>
      <c r="DS260" s="58">
        <f>IFERROR($N261/$N260-1,"")</f>
        <v/>
      </c>
      <c r="DT260" s="58">
        <f>IFERROR($O261/$O260-1,"")</f>
        <v/>
      </c>
      <c r="DU260" s="58">
        <f>IFERROR($P261/$P260-1,"")</f>
        <v/>
      </c>
      <c r="DV260" s="58">
        <f>IFERROR($Q261/$Q260-1,"")</f>
        <v/>
      </c>
      <c r="DW260" s="58">
        <f>IFERROR($R261/$R260-1,"")</f>
        <v/>
      </c>
      <c r="DX260" s="58">
        <f>IFERROR($S261/$S260-1,"")</f>
        <v/>
      </c>
      <c r="DY260" s="58">
        <f>IFERROR($T261/$T260-1,"")</f>
        <v/>
      </c>
      <c r="DZ260" s="58">
        <f>IFERROR($U261/$U260-1,"")</f>
        <v/>
      </c>
      <c r="EA260" s="58">
        <f>IFERROR($V261/$V260-1,"")</f>
        <v/>
      </c>
      <c r="EB260" s="58">
        <f>IFERROR($W261/$W260-1,"")</f>
        <v/>
      </c>
      <c r="EC260" s="58">
        <f>IFERROR($X261/$X260-1,"")</f>
        <v/>
      </c>
      <c r="ED260" s="58">
        <f>IFERROR($Y261/$Y260-1,"")</f>
        <v/>
      </c>
      <c r="EE260" s="58">
        <f>IFERROR($Z261/$Z260-1,"")</f>
        <v/>
      </c>
      <c r="EF260" s="58">
        <f>IFERROR($AA261/$AA260-1,"")</f>
        <v/>
      </c>
      <c r="EG260" s="58">
        <f>IFERROR($AB261/$AB260-1,"")</f>
        <v/>
      </c>
      <c r="EH260" s="58">
        <f>IFERROR($AC261/$AC260-1,"")</f>
        <v/>
      </c>
      <c r="EI260" s="58">
        <f>IFERROR($AD261/$AD260-1,"")</f>
        <v/>
      </c>
      <c r="EJ260" s="58">
        <f>IFERROR($AE261/$AE260-1,"")</f>
        <v/>
      </c>
      <c r="EK260" s="58">
        <f>IFERROR($AF261/$AF260-1,"")</f>
        <v/>
      </c>
      <c r="EL260" s="58">
        <f>IFERROR($AG261/$AG260-1,"")</f>
        <v/>
      </c>
      <c r="EM260" s="58">
        <f>IFERROR($BB260/$BB261-1,"")</f>
        <v/>
      </c>
      <c r="EN260" s="58">
        <f>IFERROR($BC260/$BC261-1,"")</f>
        <v/>
      </c>
      <c r="EO260" s="58">
        <f>IFERROR($BD260/$BD261-1,"")</f>
        <v/>
      </c>
      <c r="EP260" s="58">
        <f>IFERROR($BE260/$BE261-1,"")</f>
        <v/>
      </c>
      <c r="EQ260" s="58">
        <f>IFERROR($BF260/$BF261-1,"")</f>
        <v/>
      </c>
      <c r="ER260" s="58">
        <f>IFERROR($BG260/$BG261-1,"")</f>
        <v/>
      </c>
      <c r="ES260" s="58">
        <f>IFERROR($BH260/$BH261-1,"")</f>
        <v/>
      </c>
      <c r="ET260" s="58">
        <f>IFERROR($BI260/$BI261-1,"")</f>
        <v/>
      </c>
      <c r="EU260" s="58">
        <f>IFERROR($BJ260/$BJ261-1,"")</f>
        <v/>
      </c>
      <c r="EV260" s="58">
        <f>IFERROR($BK260/$BK261-1,"")</f>
        <v/>
      </c>
      <c r="EW260" s="58">
        <f>IFERROR($BL260/$BL261-1,"")</f>
        <v/>
      </c>
      <c r="EX260" s="58">
        <f>IFERROR($BM260/$BM261-1,"")</f>
        <v/>
      </c>
      <c r="EY260" s="58">
        <f>IFERROR($BN260/$BN261-1,"")</f>
        <v/>
      </c>
      <c r="EZ260" s="58">
        <f>IFERROR($BO260/$BO261-1,"")</f>
        <v/>
      </c>
      <c r="FA260" s="58">
        <f>IFERROR($BP260/$BP261-1,"")</f>
        <v/>
      </c>
      <c r="FB260" s="58">
        <f>IFERROR($BQ260/$BQ261-1,"")</f>
        <v/>
      </c>
      <c r="FC260" s="58">
        <f>IFERROR($BR260/$BR261-1,"")</f>
        <v/>
      </c>
      <c r="FD260" s="58">
        <f>IFERROR($BS260/$BS261-1,"")</f>
        <v/>
      </c>
      <c r="FE260" s="58">
        <f>IFERROR($BT260/$BT261-1,"")</f>
        <v/>
      </c>
      <c r="FF260" s="58">
        <f>IFERROR($BU260/$BU261-1,"")</f>
        <v/>
      </c>
      <c r="FG260" s="58">
        <f>IFERROR($BV260/$BV261-1,"")</f>
        <v/>
      </c>
      <c r="FH260" s="58">
        <f>IFERROR($BW260/$BW261-1,"")</f>
        <v/>
      </c>
      <c r="FI260" s="58">
        <f>IFERROR($BX260/$BX261-1,"")</f>
        <v/>
      </c>
      <c r="FJ260" s="59">
        <f>$BY260-$BY261</f>
        <v/>
      </c>
      <c r="FK260" s="59">
        <f>$BZ260-$BZ261</f>
        <v/>
      </c>
      <c r="FL260" s="59">
        <f>$CA260-$CA261</f>
        <v/>
      </c>
      <c r="FM260" s="59">
        <f>$CB260-$CB261</f>
        <v/>
      </c>
      <c r="FN260" s="59">
        <f>$CC260-$CC261</f>
        <v/>
      </c>
      <c r="FO260" s="59">
        <f>$CD260-$CD261</f>
        <v/>
      </c>
      <c r="FP260" s="59">
        <f>$CE260-$CE261</f>
        <v/>
      </c>
      <c r="FQ260" s="59">
        <f>$CF260-$CF261</f>
        <v/>
      </c>
      <c r="FR260" s="59">
        <f>$CG260-$CG261</f>
        <v/>
      </c>
      <c r="FS260" s="59">
        <f>$CH260-$CH261</f>
        <v/>
      </c>
      <c r="FT260" s="59">
        <f>$CI260-$CI261</f>
        <v/>
      </c>
      <c r="FU260" s="59">
        <f>$CJ260-$CJ261</f>
        <v/>
      </c>
      <c r="FV260" s="59">
        <f>$CK260-$CK261</f>
        <v/>
      </c>
      <c r="FW260" s="59">
        <f>$CL260-$CL261</f>
        <v/>
      </c>
      <c r="FX260" s="59">
        <f>$CM260-$CM261</f>
        <v/>
      </c>
      <c r="FY260" s="59">
        <f>$CN260-$CN261</f>
        <v/>
      </c>
      <c r="FZ260" s="59">
        <f>$CO260-$CO261</f>
        <v/>
      </c>
      <c r="GA260" s="59">
        <f>$CP260-$CP261</f>
        <v/>
      </c>
      <c r="GB260" s="59">
        <f>$CQ260-$CQ261</f>
        <v/>
      </c>
      <c r="GC260" s="59">
        <f>$CR260-$CR261</f>
        <v/>
      </c>
      <c r="GD260" s="59">
        <f>$CS260-$CS261</f>
        <v/>
      </c>
      <c r="GE260" s="59">
        <f>$CT260-$CT261</f>
        <v/>
      </c>
    </row>
    <row r="261">
      <c r="CU261" s="58">
        <f>IFERROR($B261/$B262-1,"")</f>
        <v/>
      </c>
      <c r="CV261" s="59">
        <f>($F261-$F262)*100</f>
        <v/>
      </c>
      <c r="CW261" s="59">
        <f>($E261-$E262)*100</f>
        <v/>
      </c>
      <c r="CX261" s="58">
        <f>IFERROR($K261/$K262-1,"")</f>
        <v/>
      </c>
      <c r="CY261" s="59">
        <f>($AH261-$AH262)*100</f>
        <v/>
      </c>
      <c r="CZ261" s="59">
        <f>($AI261-$AI262)*100</f>
        <v/>
      </c>
      <c r="DA261" s="59">
        <f>($AJ261-$AJ262)*100</f>
        <v/>
      </c>
      <c r="DB261" s="59">
        <f>($AK261-$AK262)*100</f>
        <v/>
      </c>
      <c r="DC261" s="59">
        <f>($AL261-$AL262)*100</f>
        <v/>
      </c>
      <c r="DD261" s="59">
        <f>($AM261-$AM262)*100</f>
        <v/>
      </c>
      <c r="DE261" s="59">
        <f>($AN261-$AN262)*100</f>
        <v/>
      </c>
      <c r="DF261" s="59">
        <f>($AO261-$AO262)*100</f>
        <v/>
      </c>
      <c r="DG261" s="59">
        <f>($AP261-$AP262)*100</f>
        <v/>
      </c>
      <c r="DH261" s="59">
        <f>($AQ261-$AQ262)*100</f>
        <v/>
      </c>
      <c r="DI261" s="59">
        <f>($AR261-$AR262)*100</f>
        <v/>
      </c>
      <c r="DJ261" s="59">
        <f>($AS261-$AS262)*100</f>
        <v/>
      </c>
      <c r="DK261" s="59">
        <f>($AT261-$AT262)*100</f>
        <v/>
      </c>
      <c r="DL261" s="59">
        <f>($AU261-$AU262)*100</f>
        <v/>
      </c>
      <c r="DM261" s="59">
        <f>($AV261-$AV262)*100</f>
        <v/>
      </c>
      <c r="DN261" s="59">
        <f>($AW261-$AW262)*100</f>
        <v/>
      </c>
      <c r="DO261" s="59">
        <f>($AX261-$AX262)*100</f>
        <v/>
      </c>
      <c r="DP261" s="59">
        <f>($AY261-$AY262)*100</f>
        <v/>
      </c>
      <c r="DQ261" s="59">
        <f>($AZ261-$AZ262)*100</f>
        <v/>
      </c>
      <c r="DR261" s="59">
        <f>($BA261-$BA262)*100</f>
        <v/>
      </c>
      <c r="DS261" s="58">
        <f>IFERROR($N262/$N261-1,"")</f>
        <v/>
      </c>
      <c r="DT261" s="58">
        <f>IFERROR($O262/$O261-1,"")</f>
        <v/>
      </c>
      <c r="DU261" s="58">
        <f>IFERROR($P262/$P261-1,"")</f>
        <v/>
      </c>
      <c r="DV261" s="58">
        <f>IFERROR($Q262/$Q261-1,"")</f>
        <v/>
      </c>
      <c r="DW261" s="58">
        <f>IFERROR($R262/$R261-1,"")</f>
        <v/>
      </c>
      <c r="DX261" s="58">
        <f>IFERROR($S262/$S261-1,"")</f>
        <v/>
      </c>
      <c r="DY261" s="58">
        <f>IFERROR($T262/$T261-1,"")</f>
        <v/>
      </c>
      <c r="DZ261" s="58">
        <f>IFERROR($U262/$U261-1,"")</f>
        <v/>
      </c>
      <c r="EA261" s="58">
        <f>IFERROR($V262/$V261-1,"")</f>
        <v/>
      </c>
      <c r="EB261" s="58">
        <f>IFERROR($W262/$W261-1,"")</f>
        <v/>
      </c>
      <c r="EC261" s="58">
        <f>IFERROR($X262/$X261-1,"")</f>
        <v/>
      </c>
      <c r="ED261" s="58">
        <f>IFERROR($Y262/$Y261-1,"")</f>
        <v/>
      </c>
      <c r="EE261" s="58">
        <f>IFERROR($Z262/$Z261-1,"")</f>
        <v/>
      </c>
      <c r="EF261" s="58">
        <f>IFERROR($AA262/$AA261-1,"")</f>
        <v/>
      </c>
      <c r="EG261" s="58">
        <f>IFERROR($AB262/$AB261-1,"")</f>
        <v/>
      </c>
      <c r="EH261" s="58">
        <f>IFERROR($AC262/$AC261-1,"")</f>
        <v/>
      </c>
      <c r="EI261" s="58">
        <f>IFERROR($AD262/$AD261-1,"")</f>
        <v/>
      </c>
      <c r="EJ261" s="58">
        <f>IFERROR($AE262/$AE261-1,"")</f>
        <v/>
      </c>
      <c r="EK261" s="58">
        <f>IFERROR($AF262/$AF261-1,"")</f>
        <v/>
      </c>
      <c r="EL261" s="58">
        <f>IFERROR($AG262/$AG261-1,"")</f>
        <v/>
      </c>
      <c r="EM261" s="58">
        <f>IFERROR($BB261/$BB262-1,"")</f>
        <v/>
      </c>
      <c r="EN261" s="58">
        <f>IFERROR($BC261/$BC262-1,"")</f>
        <v/>
      </c>
      <c r="EO261" s="58">
        <f>IFERROR($BD261/$BD262-1,"")</f>
        <v/>
      </c>
      <c r="EP261" s="58">
        <f>IFERROR($BE261/$BE262-1,"")</f>
        <v/>
      </c>
      <c r="EQ261" s="58">
        <f>IFERROR($BF261/$BF262-1,"")</f>
        <v/>
      </c>
      <c r="ER261" s="58">
        <f>IFERROR($BG261/$BG262-1,"")</f>
        <v/>
      </c>
      <c r="ES261" s="58">
        <f>IFERROR($BH261/$BH262-1,"")</f>
        <v/>
      </c>
      <c r="ET261" s="58">
        <f>IFERROR($BI261/$BI262-1,"")</f>
        <v/>
      </c>
      <c r="EU261" s="58">
        <f>IFERROR($BJ261/$BJ262-1,"")</f>
        <v/>
      </c>
      <c r="EV261" s="58">
        <f>IFERROR($BK261/$BK262-1,"")</f>
        <v/>
      </c>
      <c r="EW261" s="58">
        <f>IFERROR($BL261/$BL262-1,"")</f>
        <v/>
      </c>
      <c r="EX261" s="58">
        <f>IFERROR($BM261/$BM262-1,"")</f>
        <v/>
      </c>
      <c r="EY261" s="58">
        <f>IFERROR($BN261/$BN262-1,"")</f>
        <v/>
      </c>
      <c r="EZ261" s="58">
        <f>IFERROR($BO261/$BO262-1,"")</f>
        <v/>
      </c>
      <c r="FA261" s="58">
        <f>IFERROR($BP261/$BP262-1,"")</f>
        <v/>
      </c>
      <c r="FB261" s="58">
        <f>IFERROR($BQ261/$BQ262-1,"")</f>
        <v/>
      </c>
      <c r="FC261" s="58">
        <f>IFERROR($BR261/$BR262-1,"")</f>
        <v/>
      </c>
      <c r="FD261" s="58">
        <f>IFERROR($BS261/$BS262-1,"")</f>
        <v/>
      </c>
      <c r="FE261" s="58">
        <f>IFERROR($BT261/$BT262-1,"")</f>
        <v/>
      </c>
      <c r="FF261" s="58">
        <f>IFERROR($BU261/$BU262-1,"")</f>
        <v/>
      </c>
      <c r="FG261" s="58">
        <f>IFERROR($BV261/$BV262-1,"")</f>
        <v/>
      </c>
      <c r="FH261" s="58">
        <f>IFERROR($BW261/$BW262-1,"")</f>
        <v/>
      </c>
      <c r="FI261" s="58">
        <f>IFERROR($BX261/$BX262-1,"")</f>
        <v/>
      </c>
      <c r="FJ261" s="59">
        <f>$BY261-$BY262</f>
        <v/>
      </c>
      <c r="FK261" s="59">
        <f>$BZ261-$BZ262</f>
        <v/>
      </c>
      <c r="FL261" s="59">
        <f>$CA261-$CA262</f>
        <v/>
      </c>
      <c r="FM261" s="59">
        <f>$CB261-$CB262</f>
        <v/>
      </c>
      <c r="FN261" s="59">
        <f>$CC261-$CC262</f>
        <v/>
      </c>
      <c r="FO261" s="59">
        <f>$CD261-$CD262</f>
        <v/>
      </c>
      <c r="FP261" s="59">
        <f>$CE261-$CE262</f>
        <v/>
      </c>
      <c r="FQ261" s="59">
        <f>$CF261-$CF262</f>
        <v/>
      </c>
      <c r="FR261" s="59">
        <f>$CG261-$CG262</f>
        <v/>
      </c>
      <c r="FS261" s="59">
        <f>$CH261-$CH262</f>
        <v/>
      </c>
      <c r="FT261" s="59">
        <f>$CI261-$CI262</f>
        <v/>
      </c>
      <c r="FU261" s="59">
        <f>$CJ261-$CJ262</f>
        <v/>
      </c>
      <c r="FV261" s="59">
        <f>$CK261-$CK262</f>
        <v/>
      </c>
      <c r="FW261" s="59">
        <f>$CL261-$CL262</f>
        <v/>
      </c>
      <c r="FX261" s="59">
        <f>$CM261-$CM262</f>
        <v/>
      </c>
      <c r="FY261" s="59">
        <f>$CN261-$CN262</f>
        <v/>
      </c>
      <c r="FZ261" s="59">
        <f>$CO261-$CO262</f>
        <v/>
      </c>
      <c r="GA261" s="59">
        <f>$CP261-$CP262</f>
        <v/>
      </c>
      <c r="GB261" s="59">
        <f>$CQ261-$CQ262</f>
        <v/>
      </c>
      <c r="GC261" s="59">
        <f>$CR261-$CR262</f>
        <v/>
      </c>
      <c r="GD261" s="59">
        <f>$CS261-$CS262</f>
        <v/>
      </c>
      <c r="GE261" s="59">
        <f>$CT261-$CT262</f>
        <v/>
      </c>
    </row>
    <row r="262">
      <c r="CU262" s="58">
        <f>IFERROR($B262/$B263-1,"")</f>
        <v/>
      </c>
      <c r="CV262" s="59">
        <f>($F262-$F263)*100</f>
        <v/>
      </c>
      <c r="CW262" s="59">
        <f>($E262-$E263)*100</f>
        <v/>
      </c>
      <c r="CX262" s="58">
        <f>IFERROR($K262/$K263-1,"")</f>
        <v/>
      </c>
      <c r="CY262" s="59">
        <f>($AH262-$AH263)*100</f>
        <v/>
      </c>
      <c r="CZ262" s="59">
        <f>($AI262-$AI263)*100</f>
        <v/>
      </c>
      <c r="DA262" s="59">
        <f>($AJ262-$AJ263)*100</f>
        <v/>
      </c>
      <c r="DB262" s="59">
        <f>($AK262-$AK263)*100</f>
        <v/>
      </c>
      <c r="DC262" s="59">
        <f>($AL262-$AL263)*100</f>
        <v/>
      </c>
      <c r="DD262" s="59">
        <f>($AM262-$AM263)*100</f>
        <v/>
      </c>
      <c r="DE262" s="59">
        <f>($AN262-$AN263)*100</f>
        <v/>
      </c>
      <c r="DF262" s="59">
        <f>($AO262-$AO263)*100</f>
        <v/>
      </c>
      <c r="DG262" s="59">
        <f>($AP262-$AP263)*100</f>
        <v/>
      </c>
      <c r="DH262" s="59">
        <f>($AQ262-$AQ263)*100</f>
        <v/>
      </c>
      <c r="DI262" s="59">
        <f>($AR262-$AR263)*100</f>
        <v/>
      </c>
      <c r="DJ262" s="59">
        <f>($AS262-$AS263)*100</f>
        <v/>
      </c>
      <c r="DK262" s="59">
        <f>($AT262-$AT263)*100</f>
        <v/>
      </c>
      <c r="DL262" s="59">
        <f>($AU262-$AU263)*100</f>
        <v/>
      </c>
      <c r="DM262" s="59">
        <f>($AV262-$AV263)*100</f>
        <v/>
      </c>
      <c r="DN262" s="59">
        <f>($AW262-$AW263)*100</f>
        <v/>
      </c>
      <c r="DO262" s="59">
        <f>($AX262-$AX263)*100</f>
        <v/>
      </c>
      <c r="DP262" s="59">
        <f>($AY262-$AY263)*100</f>
        <v/>
      </c>
      <c r="DQ262" s="59">
        <f>($AZ262-$AZ263)*100</f>
        <v/>
      </c>
      <c r="DR262" s="59">
        <f>($BA262-$BA263)*100</f>
        <v/>
      </c>
      <c r="DS262" s="58">
        <f>IFERROR($N263/$N262-1,"")</f>
        <v/>
      </c>
      <c r="DT262" s="58">
        <f>IFERROR($O263/$O262-1,"")</f>
        <v/>
      </c>
      <c r="DU262" s="58">
        <f>IFERROR($P263/$P262-1,"")</f>
        <v/>
      </c>
      <c r="DV262" s="58">
        <f>IFERROR($Q263/$Q262-1,"")</f>
        <v/>
      </c>
      <c r="DW262" s="58">
        <f>IFERROR($R263/$R262-1,"")</f>
        <v/>
      </c>
      <c r="DX262" s="58">
        <f>IFERROR($S263/$S262-1,"")</f>
        <v/>
      </c>
      <c r="DY262" s="58">
        <f>IFERROR($T263/$T262-1,"")</f>
        <v/>
      </c>
      <c r="DZ262" s="58">
        <f>IFERROR($U263/$U262-1,"")</f>
        <v/>
      </c>
      <c r="EA262" s="58">
        <f>IFERROR($V263/$V262-1,"")</f>
        <v/>
      </c>
      <c r="EB262" s="58">
        <f>IFERROR($W263/$W262-1,"")</f>
        <v/>
      </c>
      <c r="EC262" s="58">
        <f>IFERROR($X263/$X262-1,"")</f>
        <v/>
      </c>
      <c r="ED262" s="58">
        <f>IFERROR($Y263/$Y262-1,"")</f>
        <v/>
      </c>
      <c r="EE262" s="58">
        <f>IFERROR($Z263/$Z262-1,"")</f>
        <v/>
      </c>
      <c r="EF262" s="58">
        <f>IFERROR($AA263/$AA262-1,"")</f>
        <v/>
      </c>
      <c r="EG262" s="58">
        <f>IFERROR($AB263/$AB262-1,"")</f>
        <v/>
      </c>
      <c r="EH262" s="58">
        <f>IFERROR($AC263/$AC262-1,"")</f>
        <v/>
      </c>
      <c r="EI262" s="58">
        <f>IFERROR($AD263/$AD262-1,"")</f>
        <v/>
      </c>
      <c r="EJ262" s="58">
        <f>IFERROR($AE263/$AE262-1,"")</f>
        <v/>
      </c>
      <c r="EK262" s="58">
        <f>IFERROR($AF263/$AF262-1,"")</f>
        <v/>
      </c>
      <c r="EL262" s="58">
        <f>IFERROR($AG263/$AG262-1,"")</f>
        <v/>
      </c>
      <c r="EM262" s="58">
        <f>IFERROR($BB262/$BB263-1,"")</f>
        <v/>
      </c>
      <c r="EN262" s="58">
        <f>IFERROR($BC262/$BC263-1,"")</f>
        <v/>
      </c>
      <c r="EO262" s="58">
        <f>IFERROR($BD262/$BD263-1,"")</f>
        <v/>
      </c>
      <c r="EP262" s="58">
        <f>IFERROR($BE262/$BE263-1,"")</f>
        <v/>
      </c>
      <c r="EQ262" s="58">
        <f>IFERROR($BF262/$BF263-1,"")</f>
        <v/>
      </c>
      <c r="ER262" s="58">
        <f>IFERROR($BG262/$BG263-1,"")</f>
        <v/>
      </c>
      <c r="ES262" s="58">
        <f>IFERROR($BH262/$BH263-1,"")</f>
        <v/>
      </c>
      <c r="ET262" s="58">
        <f>IFERROR($BI262/$BI263-1,"")</f>
        <v/>
      </c>
      <c r="EU262" s="58">
        <f>IFERROR($BJ262/$BJ263-1,"")</f>
        <v/>
      </c>
      <c r="EV262" s="58">
        <f>IFERROR($BK262/$BK263-1,"")</f>
        <v/>
      </c>
      <c r="EW262" s="58">
        <f>IFERROR($BL262/$BL263-1,"")</f>
        <v/>
      </c>
      <c r="EX262" s="58">
        <f>IFERROR($BM262/$BM263-1,"")</f>
        <v/>
      </c>
      <c r="EY262" s="58">
        <f>IFERROR($BN262/$BN263-1,"")</f>
        <v/>
      </c>
      <c r="EZ262" s="58">
        <f>IFERROR($BO262/$BO263-1,"")</f>
        <v/>
      </c>
      <c r="FA262" s="58">
        <f>IFERROR($BP262/$BP263-1,"")</f>
        <v/>
      </c>
      <c r="FB262" s="58">
        <f>IFERROR($BQ262/$BQ263-1,"")</f>
        <v/>
      </c>
      <c r="FC262" s="58">
        <f>IFERROR($BR262/$BR263-1,"")</f>
        <v/>
      </c>
      <c r="FD262" s="58">
        <f>IFERROR($BS262/$BS263-1,"")</f>
        <v/>
      </c>
      <c r="FE262" s="58">
        <f>IFERROR($BT262/$BT263-1,"")</f>
        <v/>
      </c>
      <c r="FF262" s="58">
        <f>IFERROR($BU262/$BU263-1,"")</f>
        <v/>
      </c>
      <c r="FG262" s="58">
        <f>IFERROR($BV262/$BV263-1,"")</f>
        <v/>
      </c>
      <c r="FH262" s="58">
        <f>IFERROR($BW262/$BW263-1,"")</f>
        <v/>
      </c>
      <c r="FI262" s="58">
        <f>IFERROR($BX262/$BX263-1,"")</f>
        <v/>
      </c>
      <c r="FJ262" s="59">
        <f>$BY262-$BY263</f>
        <v/>
      </c>
      <c r="FK262" s="59">
        <f>$BZ262-$BZ263</f>
        <v/>
      </c>
      <c r="FL262" s="59">
        <f>$CA262-$CA263</f>
        <v/>
      </c>
      <c r="FM262" s="59">
        <f>$CB262-$CB263</f>
        <v/>
      </c>
      <c r="FN262" s="59">
        <f>$CC262-$CC263</f>
        <v/>
      </c>
      <c r="FO262" s="59">
        <f>$CD262-$CD263</f>
        <v/>
      </c>
      <c r="FP262" s="59">
        <f>$CE262-$CE263</f>
        <v/>
      </c>
      <c r="FQ262" s="59">
        <f>$CF262-$CF263</f>
        <v/>
      </c>
      <c r="FR262" s="59">
        <f>$CG262-$CG263</f>
        <v/>
      </c>
      <c r="FS262" s="59">
        <f>$CH262-$CH263</f>
        <v/>
      </c>
      <c r="FT262" s="59">
        <f>$CI262-$CI263</f>
        <v/>
      </c>
      <c r="FU262" s="59">
        <f>$CJ262-$CJ263</f>
        <v/>
      </c>
      <c r="FV262" s="59">
        <f>$CK262-$CK263</f>
        <v/>
      </c>
      <c r="FW262" s="59">
        <f>$CL262-$CL263</f>
        <v/>
      </c>
      <c r="FX262" s="59">
        <f>$CM262-$CM263</f>
        <v/>
      </c>
      <c r="FY262" s="59">
        <f>$CN262-$CN263</f>
        <v/>
      </c>
      <c r="FZ262" s="59">
        <f>$CO262-$CO263</f>
        <v/>
      </c>
      <c r="GA262" s="59">
        <f>$CP262-$CP263</f>
        <v/>
      </c>
      <c r="GB262" s="59">
        <f>$CQ262-$CQ263</f>
        <v/>
      </c>
      <c r="GC262" s="59">
        <f>$CR262-$CR263</f>
        <v/>
      </c>
      <c r="GD262" s="59">
        <f>$CS262-$CS263</f>
        <v/>
      </c>
      <c r="GE262" s="59">
        <f>$CT262-$CT263</f>
        <v/>
      </c>
    </row>
    <row r="263">
      <c r="CU263" s="58">
        <f>IFERROR($B263/$B264-1,"")</f>
        <v/>
      </c>
      <c r="CV263" s="59">
        <f>($F263-$F264)*100</f>
        <v/>
      </c>
      <c r="CW263" s="59">
        <f>($E263-$E264)*100</f>
        <v/>
      </c>
      <c r="CX263" s="58">
        <f>IFERROR($K263/$K264-1,"")</f>
        <v/>
      </c>
      <c r="CY263" s="59">
        <f>($AH263-$AH264)*100</f>
        <v/>
      </c>
      <c r="CZ263" s="59">
        <f>($AI263-$AI264)*100</f>
        <v/>
      </c>
      <c r="DA263" s="59">
        <f>($AJ263-$AJ264)*100</f>
        <v/>
      </c>
      <c r="DB263" s="59">
        <f>($AK263-$AK264)*100</f>
        <v/>
      </c>
      <c r="DC263" s="59">
        <f>($AL263-$AL264)*100</f>
        <v/>
      </c>
      <c r="DD263" s="59">
        <f>($AM263-$AM264)*100</f>
        <v/>
      </c>
      <c r="DE263" s="59">
        <f>($AN263-$AN264)*100</f>
        <v/>
      </c>
      <c r="DF263" s="59">
        <f>($AO263-$AO264)*100</f>
        <v/>
      </c>
      <c r="DG263" s="59">
        <f>($AP263-$AP264)*100</f>
        <v/>
      </c>
      <c r="DH263" s="59">
        <f>($AQ263-$AQ264)*100</f>
        <v/>
      </c>
      <c r="DI263" s="59">
        <f>($AR263-$AR264)*100</f>
        <v/>
      </c>
      <c r="DJ263" s="59">
        <f>($AS263-$AS264)*100</f>
        <v/>
      </c>
      <c r="DK263" s="59">
        <f>($AT263-$AT264)*100</f>
        <v/>
      </c>
      <c r="DL263" s="59">
        <f>($AU263-$AU264)*100</f>
        <v/>
      </c>
      <c r="DM263" s="59">
        <f>($AV263-$AV264)*100</f>
        <v/>
      </c>
      <c r="DN263" s="59">
        <f>($AW263-$AW264)*100</f>
        <v/>
      </c>
      <c r="DO263" s="59">
        <f>($AX263-$AX264)*100</f>
        <v/>
      </c>
      <c r="DP263" s="59">
        <f>($AY263-$AY264)*100</f>
        <v/>
      </c>
      <c r="DQ263" s="59">
        <f>($AZ263-$AZ264)*100</f>
        <v/>
      </c>
      <c r="DR263" s="59">
        <f>($BA263-$BA264)*100</f>
        <v/>
      </c>
      <c r="DS263" s="58">
        <f>IFERROR($N264/$N263-1,"")</f>
        <v/>
      </c>
      <c r="DT263" s="58">
        <f>IFERROR($O264/$O263-1,"")</f>
        <v/>
      </c>
      <c r="DU263" s="58">
        <f>IFERROR($P264/$P263-1,"")</f>
        <v/>
      </c>
      <c r="DV263" s="58">
        <f>IFERROR($Q264/$Q263-1,"")</f>
        <v/>
      </c>
      <c r="DW263" s="58">
        <f>IFERROR($R264/$R263-1,"")</f>
        <v/>
      </c>
      <c r="DX263" s="58">
        <f>IFERROR($S264/$S263-1,"")</f>
        <v/>
      </c>
      <c r="DY263" s="58">
        <f>IFERROR($T264/$T263-1,"")</f>
        <v/>
      </c>
      <c r="DZ263" s="58">
        <f>IFERROR($U264/$U263-1,"")</f>
        <v/>
      </c>
      <c r="EA263" s="58">
        <f>IFERROR($V264/$V263-1,"")</f>
        <v/>
      </c>
      <c r="EB263" s="58">
        <f>IFERROR($W264/$W263-1,"")</f>
        <v/>
      </c>
      <c r="EC263" s="58">
        <f>IFERROR($X264/$X263-1,"")</f>
        <v/>
      </c>
      <c r="ED263" s="58">
        <f>IFERROR($Y264/$Y263-1,"")</f>
        <v/>
      </c>
      <c r="EE263" s="58">
        <f>IFERROR($Z264/$Z263-1,"")</f>
        <v/>
      </c>
      <c r="EF263" s="58">
        <f>IFERROR($AA264/$AA263-1,"")</f>
        <v/>
      </c>
      <c r="EG263" s="58">
        <f>IFERROR($AB264/$AB263-1,"")</f>
        <v/>
      </c>
      <c r="EH263" s="58">
        <f>IFERROR($AC264/$AC263-1,"")</f>
        <v/>
      </c>
      <c r="EI263" s="58">
        <f>IFERROR($AD264/$AD263-1,"")</f>
        <v/>
      </c>
      <c r="EJ263" s="58">
        <f>IFERROR($AE264/$AE263-1,"")</f>
        <v/>
      </c>
      <c r="EK263" s="58">
        <f>IFERROR($AF264/$AF263-1,"")</f>
        <v/>
      </c>
      <c r="EL263" s="58">
        <f>IFERROR($AG264/$AG263-1,"")</f>
        <v/>
      </c>
      <c r="EM263" s="58">
        <f>IFERROR($BB263/$BB264-1,"")</f>
        <v/>
      </c>
      <c r="EN263" s="58">
        <f>IFERROR($BC263/$BC264-1,"")</f>
        <v/>
      </c>
      <c r="EO263" s="58">
        <f>IFERROR($BD263/$BD264-1,"")</f>
        <v/>
      </c>
      <c r="EP263" s="58">
        <f>IFERROR($BE263/$BE264-1,"")</f>
        <v/>
      </c>
      <c r="EQ263" s="58">
        <f>IFERROR($BF263/$BF264-1,"")</f>
        <v/>
      </c>
      <c r="ER263" s="58">
        <f>IFERROR($BG263/$BG264-1,"")</f>
        <v/>
      </c>
      <c r="ES263" s="58">
        <f>IFERROR($BH263/$BH264-1,"")</f>
        <v/>
      </c>
      <c r="ET263" s="58">
        <f>IFERROR($BI263/$BI264-1,"")</f>
        <v/>
      </c>
      <c r="EU263" s="58">
        <f>IFERROR($BJ263/$BJ264-1,"")</f>
        <v/>
      </c>
      <c r="EV263" s="58">
        <f>IFERROR($BK263/$BK264-1,"")</f>
        <v/>
      </c>
      <c r="EW263" s="58">
        <f>IFERROR($BL263/$BL264-1,"")</f>
        <v/>
      </c>
      <c r="EX263" s="58">
        <f>IFERROR($BM263/$BM264-1,"")</f>
        <v/>
      </c>
      <c r="EY263" s="58">
        <f>IFERROR($BN263/$BN264-1,"")</f>
        <v/>
      </c>
      <c r="EZ263" s="58">
        <f>IFERROR($BO263/$BO264-1,"")</f>
        <v/>
      </c>
      <c r="FA263" s="58">
        <f>IFERROR($BP263/$BP264-1,"")</f>
        <v/>
      </c>
      <c r="FB263" s="58">
        <f>IFERROR($BQ263/$BQ264-1,"")</f>
        <v/>
      </c>
      <c r="FC263" s="58">
        <f>IFERROR($BR263/$BR264-1,"")</f>
        <v/>
      </c>
      <c r="FD263" s="58">
        <f>IFERROR($BS263/$BS264-1,"")</f>
        <v/>
      </c>
      <c r="FE263" s="58">
        <f>IFERROR($BT263/$BT264-1,"")</f>
        <v/>
      </c>
      <c r="FF263" s="58">
        <f>IFERROR($BU263/$BU264-1,"")</f>
        <v/>
      </c>
      <c r="FG263" s="58">
        <f>IFERROR($BV263/$BV264-1,"")</f>
        <v/>
      </c>
      <c r="FH263" s="58">
        <f>IFERROR($BW263/$BW264-1,"")</f>
        <v/>
      </c>
      <c r="FI263" s="58">
        <f>IFERROR($BX263/$BX264-1,"")</f>
        <v/>
      </c>
      <c r="FJ263" s="59">
        <f>$BY263-$BY264</f>
        <v/>
      </c>
      <c r="FK263" s="59">
        <f>$BZ263-$BZ264</f>
        <v/>
      </c>
      <c r="FL263" s="59">
        <f>$CA263-$CA264</f>
        <v/>
      </c>
      <c r="FM263" s="59">
        <f>$CB263-$CB264</f>
        <v/>
      </c>
      <c r="FN263" s="59">
        <f>$CC263-$CC264</f>
        <v/>
      </c>
      <c r="FO263" s="59">
        <f>$CD263-$CD264</f>
        <v/>
      </c>
      <c r="FP263" s="59">
        <f>$CE263-$CE264</f>
        <v/>
      </c>
      <c r="FQ263" s="59">
        <f>$CF263-$CF264</f>
        <v/>
      </c>
      <c r="FR263" s="59">
        <f>$CG263-$CG264</f>
        <v/>
      </c>
      <c r="FS263" s="59">
        <f>$CH263-$CH264</f>
        <v/>
      </c>
      <c r="FT263" s="59">
        <f>$CI263-$CI264</f>
        <v/>
      </c>
      <c r="FU263" s="59">
        <f>$CJ263-$CJ264</f>
        <v/>
      </c>
      <c r="FV263" s="59">
        <f>$CK263-$CK264</f>
        <v/>
      </c>
      <c r="FW263" s="59">
        <f>$CL263-$CL264</f>
        <v/>
      </c>
      <c r="FX263" s="59">
        <f>$CM263-$CM264</f>
        <v/>
      </c>
      <c r="FY263" s="59">
        <f>$CN263-$CN264</f>
        <v/>
      </c>
      <c r="FZ263" s="59">
        <f>$CO263-$CO264</f>
        <v/>
      </c>
      <c r="GA263" s="59">
        <f>$CP263-$CP264</f>
        <v/>
      </c>
      <c r="GB263" s="59">
        <f>$CQ263-$CQ264</f>
        <v/>
      </c>
      <c r="GC263" s="59">
        <f>$CR263-$CR264</f>
        <v/>
      </c>
      <c r="GD263" s="59">
        <f>$CS263-$CS264</f>
        <v/>
      </c>
      <c r="GE263" s="59">
        <f>$CT263-$CT264</f>
        <v/>
      </c>
    </row>
    <row r="264">
      <c r="CU264" s="58">
        <f>IFERROR($B264/$B265-1,"")</f>
        <v/>
      </c>
      <c r="CV264" s="59">
        <f>($F264-$F265)*100</f>
        <v/>
      </c>
      <c r="CW264" s="59">
        <f>($E264-$E265)*100</f>
        <v/>
      </c>
      <c r="CX264" s="58">
        <f>IFERROR($K264/$K265-1,"")</f>
        <v/>
      </c>
      <c r="CY264" s="59">
        <f>($AH264-$AH265)*100</f>
        <v/>
      </c>
      <c r="CZ264" s="59">
        <f>($AI264-$AI265)*100</f>
        <v/>
      </c>
      <c r="DA264" s="59">
        <f>($AJ264-$AJ265)*100</f>
        <v/>
      </c>
      <c r="DB264" s="59">
        <f>($AK264-$AK265)*100</f>
        <v/>
      </c>
      <c r="DC264" s="59">
        <f>($AL264-$AL265)*100</f>
        <v/>
      </c>
      <c r="DD264" s="59">
        <f>($AM264-$AM265)*100</f>
        <v/>
      </c>
      <c r="DE264" s="59">
        <f>($AN264-$AN265)*100</f>
        <v/>
      </c>
      <c r="DF264" s="59">
        <f>($AO264-$AO265)*100</f>
        <v/>
      </c>
      <c r="DG264" s="59">
        <f>($AP264-$AP265)*100</f>
        <v/>
      </c>
      <c r="DH264" s="59">
        <f>($AQ264-$AQ265)*100</f>
        <v/>
      </c>
      <c r="DI264" s="59">
        <f>($AR264-$AR265)*100</f>
        <v/>
      </c>
      <c r="DJ264" s="59">
        <f>($AS264-$AS265)*100</f>
        <v/>
      </c>
      <c r="DK264" s="59">
        <f>($AT264-$AT265)*100</f>
        <v/>
      </c>
      <c r="DL264" s="59">
        <f>($AU264-$AU265)*100</f>
        <v/>
      </c>
      <c r="DM264" s="59">
        <f>($AV264-$AV265)*100</f>
        <v/>
      </c>
      <c r="DN264" s="59">
        <f>($AW264-$AW265)*100</f>
        <v/>
      </c>
      <c r="DO264" s="59">
        <f>($AX264-$AX265)*100</f>
        <v/>
      </c>
      <c r="DP264" s="59">
        <f>($AY264-$AY265)*100</f>
        <v/>
      </c>
      <c r="DQ264" s="59">
        <f>($AZ264-$AZ265)*100</f>
        <v/>
      </c>
      <c r="DR264" s="59">
        <f>($BA264-$BA265)*100</f>
        <v/>
      </c>
      <c r="DS264" s="58">
        <f>IFERROR($N265/$N264-1,"")</f>
        <v/>
      </c>
      <c r="DT264" s="58">
        <f>IFERROR($O265/$O264-1,"")</f>
        <v/>
      </c>
      <c r="DU264" s="58">
        <f>IFERROR($P265/$P264-1,"")</f>
        <v/>
      </c>
      <c r="DV264" s="58">
        <f>IFERROR($Q265/$Q264-1,"")</f>
        <v/>
      </c>
      <c r="DW264" s="58">
        <f>IFERROR($R265/$R264-1,"")</f>
        <v/>
      </c>
      <c r="DX264" s="58">
        <f>IFERROR($S265/$S264-1,"")</f>
        <v/>
      </c>
      <c r="DY264" s="58">
        <f>IFERROR($T265/$T264-1,"")</f>
        <v/>
      </c>
      <c r="DZ264" s="58">
        <f>IFERROR($U265/$U264-1,"")</f>
        <v/>
      </c>
      <c r="EA264" s="58">
        <f>IFERROR($V265/$V264-1,"")</f>
        <v/>
      </c>
      <c r="EB264" s="58">
        <f>IFERROR($W265/$W264-1,"")</f>
        <v/>
      </c>
      <c r="EC264" s="58">
        <f>IFERROR($X265/$X264-1,"")</f>
        <v/>
      </c>
      <c r="ED264" s="58">
        <f>IFERROR($Y265/$Y264-1,"")</f>
        <v/>
      </c>
      <c r="EE264" s="58">
        <f>IFERROR($Z265/$Z264-1,"")</f>
        <v/>
      </c>
      <c r="EF264" s="58">
        <f>IFERROR($AA265/$AA264-1,"")</f>
        <v/>
      </c>
      <c r="EG264" s="58">
        <f>IFERROR($AB265/$AB264-1,"")</f>
        <v/>
      </c>
      <c r="EH264" s="58">
        <f>IFERROR($AC265/$AC264-1,"")</f>
        <v/>
      </c>
      <c r="EI264" s="58">
        <f>IFERROR($AD265/$AD264-1,"")</f>
        <v/>
      </c>
      <c r="EJ264" s="58">
        <f>IFERROR($AE265/$AE264-1,"")</f>
        <v/>
      </c>
      <c r="EK264" s="58">
        <f>IFERROR($AF265/$AF264-1,"")</f>
        <v/>
      </c>
      <c r="EL264" s="58">
        <f>IFERROR($AG265/$AG264-1,"")</f>
        <v/>
      </c>
      <c r="EM264" s="58">
        <f>IFERROR($BB264/$BB265-1,"")</f>
        <v/>
      </c>
      <c r="EN264" s="58">
        <f>IFERROR($BC264/$BC265-1,"")</f>
        <v/>
      </c>
      <c r="EO264" s="58">
        <f>IFERROR($BD264/$BD265-1,"")</f>
        <v/>
      </c>
      <c r="EP264" s="58">
        <f>IFERROR($BE264/$BE265-1,"")</f>
        <v/>
      </c>
      <c r="EQ264" s="58">
        <f>IFERROR($BF264/$BF265-1,"")</f>
        <v/>
      </c>
      <c r="ER264" s="58">
        <f>IFERROR($BG264/$BG265-1,"")</f>
        <v/>
      </c>
      <c r="ES264" s="58">
        <f>IFERROR($BH264/$BH265-1,"")</f>
        <v/>
      </c>
      <c r="ET264" s="58">
        <f>IFERROR($BI264/$BI265-1,"")</f>
        <v/>
      </c>
      <c r="EU264" s="58">
        <f>IFERROR($BJ264/$BJ265-1,"")</f>
        <v/>
      </c>
      <c r="EV264" s="58">
        <f>IFERROR($BK264/$BK265-1,"")</f>
        <v/>
      </c>
      <c r="EW264" s="58">
        <f>IFERROR($BL264/$BL265-1,"")</f>
        <v/>
      </c>
      <c r="EX264" s="58">
        <f>IFERROR($BM264/$BM265-1,"")</f>
        <v/>
      </c>
      <c r="EY264" s="58">
        <f>IFERROR($BN264/$BN265-1,"")</f>
        <v/>
      </c>
      <c r="EZ264" s="58">
        <f>IFERROR($BO264/$BO265-1,"")</f>
        <v/>
      </c>
      <c r="FA264" s="58">
        <f>IFERROR($BP264/$BP265-1,"")</f>
        <v/>
      </c>
      <c r="FB264" s="58">
        <f>IFERROR($BQ264/$BQ265-1,"")</f>
        <v/>
      </c>
      <c r="FC264" s="58">
        <f>IFERROR($BR264/$BR265-1,"")</f>
        <v/>
      </c>
      <c r="FD264" s="58">
        <f>IFERROR($BS264/$BS265-1,"")</f>
        <v/>
      </c>
      <c r="FE264" s="58">
        <f>IFERROR($BT264/$BT265-1,"")</f>
        <v/>
      </c>
      <c r="FF264" s="58">
        <f>IFERROR($BU264/$BU265-1,"")</f>
        <v/>
      </c>
      <c r="FG264" s="58">
        <f>IFERROR($BV264/$BV265-1,"")</f>
        <v/>
      </c>
      <c r="FH264" s="58">
        <f>IFERROR($BW264/$BW265-1,"")</f>
        <v/>
      </c>
      <c r="FI264" s="58">
        <f>IFERROR($BX264/$BX265-1,"")</f>
        <v/>
      </c>
      <c r="FJ264" s="59">
        <f>$BY264-$BY265</f>
        <v/>
      </c>
      <c r="FK264" s="59">
        <f>$BZ264-$BZ265</f>
        <v/>
      </c>
      <c r="FL264" s="59">
        <f>$CA264-$CA265</f>
        <v/>
      </c>
      <c r="FM264" s="59">
        <f>$CB264-$CB265</f>
        <v/>
      </c>
      <c r="FN264" s="59">
        <f>$CC264-$CC265</f>
        <v/>
      </c>
      <c r="FO264" s="59">
        <f>$CD264-$CD265</f>
        <v/>
      </c>
      <c r="FP264" s="59">
        <f>$CE264-$CE265</f>
        <v/>
      </c>
      <c r="FQ264" s="59">
        <f>$CF264-$CF265</f>
        <v/>
      </c>
      <c r="FR264" s="59">
        <f>$CG264-$CG265</f>
        <v/>
      </c>
      <c r="FS264" s="59">
        <f>$CH264-$CH265</f>
        <v/>
      </c>
      <c r="FT264" s="59">
        <f>$CI264-$CI265</f>
        <v/>
      </c>
      <c r="FU264" s="59">
        <f>$CJ264-$CJ265</f>
        <v/>
      </c>
      <c r="FV264" s="59">
        <f>$CK264-$CK265</f>
        <v/>
      </c>
      <c r="FW264" s="59">
        <f>$CL264-$CL265</f>
        <v/>
      </c>
      <c r="FX264" s="59">
        <f>$CM264-$CM265</f>
        <v/>
      </c>
      <c r="FY264" s="59">
        <f>$CN264-$CN265</f>
        <v/>
      </c>
      <c r="FZ264" s="59">
        <f>$CO264-$CO265</f>
        <v/>
      </c>
      <c r="GA264" s="59">
        <f>$CP264-$CP265</f>
        <v/>
      </c>
      <c r="GB264" s="59">
        <f>$CQ264-$CQ265</f>
        <v/>
      </c>
      <c r="GC264" s="59">
        <f>$CR264-$CR265</f>
        <v/>
      </c>
      <c r="GD264" s="59">
        <f>$CS264-$CS265</f>
        <v/>
      </c>
      <c r="GE264" s="59">
        <f>$CT264-$CT265</f>
        <v/>
      </c>
    </row>
    <row r="265">
      <c r="CU265" s="58">
        <f>IFERROR($B265/$B266-1,"")</f>
        <v/>
      </c>
      <c r="CV265" s="59">
        <f>($F265-$F266)*100</f>
        <v/>
      </c>
      <c r="CW265" s="59">
        <f>($E265-$E266)*100</f>
        <v/>
      </c>
      <c r="CX265" s="58">
        <f>IFERROR($K265/$K266-1,"")</f>
        <v/>
      </c>
      <c r="CY265" s="59">
        <f>($AH265-$AH266)*100</f>
        <v/>
      </c>
      <c r="CZ265" s="59">
        <f>($AI265-$AI266)*100</f>
        <v/>
      </c>
      <c r="DA265" s="59">
        <f>($AJ265-$AJ266)*100</f>
        <v/>
      </c>
      <c r="DB265" s="59">
        <f>($AK265-$AK266)*100</f>
        <v/>
      </c>
      <c r="DC265" s="59">
        <f>($AL265-$AL266)*100</f>
        <v/>
      </c>
      <c r="DD265" s="59">
        <f>($AM265-$AM266)*100</f>
        <v/>
      </c>
      <c r="DE265" s="59">
        <f>($AN265-$AN266)*100</f>
        <v/>
      </c>
      <c r="DF265" s="59">
        <f>($AO265-$AO266)*100</f>
        <v/>
      </c>
      <c r="DG265" s="59">
        <f>($AP265-$AP266)*100</f>
        <v/>
      </c>
      <c r="DH265" s="59">
        <f>($AQ265-$AQ266)*100</f>
        <v/>
      </c>
      <c r="DI265" s="59">
        <f>($AR265-$AR266)*100</f>
        <v/>
      </c>
      <c r="DJ265" s="59">
        <f>($AS265-$AS266)*100</f>
        <v/>
      </c>
      <c r="DK265" s="59">
        <f>($AT265-$AT266)*100</f>
        <v/>
      </c>
      <c r="DL265" s="59">
        <f>($AU265-$AU266)*100</f>
        <v/>
      </c>
      <c r="DM265" s="59">
        <f>($AV265-$AV266)*100</f>
        <v/>
      </c>
      <c r="DN265" s="59">
        <f>($AW265-$AW266)*100</f>
        <v/>
      </c>
      <c r="DO265" s="59">
        <f>($AX265-$AX266)*100</f>
        <v/>
      </c>
      <c r="DP265" s="59">
        <f>($AY265-$AY266)*100</f>
        <v/>
      </c>
      <c r="DQ265" s="59">
        <f>($AZ265-$AZ266)*100</f>
        <v/>
      </c>
      <c r="DR265" s="59">
        <f>($BA265-$BA266)*100</f>
        <v/>
      </c>
      <c r="DS265" s="58">
        <f>IFERROR($N266/$N265-1,"")</f>
        <v/>
      </c>
      <c r="DT265" s="58">
        <f>IFERROR($O266/$O265-1,"")</f>
        <v/>
      </c>
      <c r="DU265" s="58">
        <f>IFERROR($P266/$P265-1,"")</f>
        <v/>
      </c>
      <c r="DV265" s="58">
        <f>IFERROR($Q266/$Q265-1,"")</f>
        <v/>
      </c>
      <c r="DW265" s="58">
        <f>IFERROR($R266/$R265-1,"")</f>
        <v/>
      </c>
      <c r="DX265" s="58">
        <f>IFERROR($S266/$S265-1,"")</f>
        <v/>
      </c>
      <c r="DY265" s="58">
        <f>IFERROR($T266/$T265-1,"")</f>
        <v/>
      </c>
      <c r="DZ265" s="58">
        <f>IFERROR($U266/$U265-1,"")</f>
        <v/>
      </c>
      <c r="EA265" s="58">
        <f>IFERROR($V266/$V265-1,"")</f>
        <v/>
      </c>
      <c r="EB265" s="58">
        <f>IFERROR($W266/$W265-1,"")</f>
        <v/>
      </c>
      <c r="EC265" s="58">
        <f>IFERROR($X266/$X265-1,"")</f>
        <v/>
      </c>
      <c r="ED265" s="58">
        <f>IFERROR($Y266/$Y265-1,"")</f>
        <v/>
      </c>
      <c r="EE265" s="58">
        <f>IFERROR($Z266/$Z265-1,"")</f>
        <v/>
      </c>
      <c r="EF265" s="58">
        <f>IFERROR($AA266/$AA265-1,"")</f>
        <v/>
      </c>
      <c r="EG265" s="58">
        <f>IFERROR($AB266/$AB265-1,"")</f>
        <v/>
      </c>
      <c r="EH265" s="58">
        <f>IFERROR($AC266/$AC265-1,"")</f>
        <v/>
      </c>
      <c r="EI265" s="58">
        <f>IFERROR($AD266/$AD265-1,"")</f>
        <v/>
      </c>
      <c r="EJ265" s="58">
        <f>IFERROR($AE266/$AE265-1,"")</f>
        <v/>
      </c>
      <c r="EK265" s="58">
        <f>IFERROR($AF266/$AF265-1,"")</f>
        <v/>
      </c>
      <c r="EL265" s="58">
        <f>IFERROR($AG266/$AG265-1,"")</f>
        <v/>
      </c>
      <c r="EM265" s="58">
        <f>IFERROR($BB265/$BB266-1,"")</f>
        <v/>
      </c>
      <c r="EN265" s="58">
        <f>IFERROR($BC265/$BC266-1,"")</f>
        <v/>
      </c>
      <c r="EO265" s="58">
        <f>IFERROR($BD265/$BD266-1,"")</f>
        <v/>
      </c>
      <c r="EP265" s="58">
        <f>IFERROR($BE265/$BE266-1,"")</f>
        <v/>
      </c>
      <c r="EQ265" s="58">
        <f>IFERROR($BF265/$BF266-1,"")</f>
        <v/>
      </c>
      <c r="ER265" s="58">
        <f>IFERROR($BG265/$BG266-1,"")</f>
        <v/>
      </c>
      <c r="ES265" s="58">
        <f>IFERROR($BH265/$BH266-1,"")</f>
        <v/>
      </c>
      <c r="ET265" s="58">
        <f>IFERROR($BI265/$BI266-1,"")</f>
        <v/>
      </c>
      <c r="EU265" s="58">
        <f>IFERROR($BJ265/$BJ266-1,"")</f>
        <v/>
      </c>
      <c r="EV265" s="58">
        <f>IFERROR($BK265/$BK266-1,"")</f>
        <v/>
      </c>
      <c r="EW265" s="58">
        <f>IFERROR($BL265/$BL266-1,"")</f>
        <v/>
      </c>
      <c r="EX265" s="58">
        <f>IFERROR($BM265/$BM266-1,"")</f>
        <v/>
      </c>
      <c r="EY265" s="58">
        <f>IFERROR($BN265/$BN266-1,"")</f>
        <v/>
      </c>
      <c r="EZ265" s="58">
        <f>IFERROR($BO265/$BO266-1,"")</f>
        <v/>
      </c>
      <c r="FA265" s="58">
        <f>IFERROR($BP265/$BP266-1,"")</f>
        <v/>
      </c>
      <c r="FB265" s="58">
        <f>IFERROR($BQ265/$BQ266-1,"")</f>
        <v/>
      </c>
      <c r="FC265" s="58">
        <f>IFERROR($BR265/$BR266-1,"")</f>
        <v/>
      </c>
      <c r="FD265" s="58">
        <f>IFERROR($BS265/$BS266-1,"")</f>
        <v/>
      </c>
      <c r="FE265" s="58">
        <f>IFERROR($BT265/$BT266-1,"")</f>
        <v/>
      </c>
      <c r="FF265" s="58">
        <f>IFERROR($BU265/$BU266-1,"")</f>
        <v/>
      </c>
      <c r="FG265" s="58">
        <f>IFERROR($BV265/$BV266-1,"")</f>
        <v/>
      </c>
      <c r="FH265" s="58">
        <f>IFERROR($BW265/$BW266-1,"")</f>
        <v/>
      </c>
      <c r="FI265" s="58">
        <f>IFERROR($BX265/$BX266-1,"")</f>
        <v/>
      </c>
      <c r="FJ265" s="59">
        <f>$BY265-$BY266</f>
        <v/>
      </c>
      <c r="FK265" s="59">
        <f>$BZ265-$BZ266</f>
        <v/>
      </c>
      <c r="FL265" s="59">
        <f>$CA265-$CA266</f>
        <v/>
      </c>
      <c r="FM265" s="59">
        <f>$CB265-$CB266</f>
        <v/>
      </c>
      <c r="FN265" s="59">
        <f>$CC265-$CC266</f>
        <v/>
      </c>
      <c r="FO265" s="59">
        <f>$CD265-$CD266</f>
        <v/>
      </c>
      <c r="FP265" s="59">
        <f>$CE265-$CE266</f>
        <v/>
      </c>
      <c r="FQ265" s="59">
        <f>$CF265-$CF266</f>
        <v/>
      </c>
      <c r="FR265" s="59">
        <f>$CG265-$CG266</f>
        <v/>
      </c>
      <c r="FS265" s="59">
        <f>$CH265-$CH266</f>
        <v/>
      </c>
      <c r="FT265" s="59">
        <f>$CI265-$CI266</f>
        <v/>
      </c>
      <c r="FU265" s="59">
        <f>$CJ265-$CJ266</f>
        <v/>
      </c>
      <c r="FV265" s="59">
        <f>$CK265-$CK266</f>
        <v/>
      </c>
      <c r="FW265" s="59">
        <f>$CL265-$CL266</f>
        <v/>
      </c>
      <c r="FX265" s="59">
        <f>$CM265-$CM266</f>
        <v/>
      </c>
      <c r="FY265" s="59">
        <f>$CN265-$CN266</f>
        <v/>
      </c>
      <c r="FZ265" s="59">
        <f>$CO265-$CO266</f>
        <v/>
      </c>
      <c r="GA265" s="59">
        <f>$CP265-$CP266</f>
        <v/>
      </c>
      <c r="GB265" s="59">
        <f>$CQ265-$CQ266</f>
        <v/>
      </c>
      <c r="GC265" s="59">
        <f>$CR265-$CR266</f>
        <v/>
      </c>
      <c r="GD265" s="59">
        <f>$CS265-$CS266</f>
        <v/>
      </c>
      <c r="GE265" s="59">
        <f>$CT265-$CT266</f>
        <v/>
      </c>
    </row>
    <row r="266">
      <c r="CU266" s="58">
        <f>IFERROR($B266/$B267-1,"")</f>
        <v/>
      </c>
      <c r="CV266" s="59">
        <f>($F266-$F267)*100</f>
        <v/>
      </c>
      <c r="CW266" s="59">
        <f>($E266-$E267)*100</f>
        <v/>
      </c>
      <c r="CX266" s="58">
        <f>IFERROR($K266/$K267-1,"")</f>
        <v/>
      </c>
      <c r="CY266" s="59">
        <f>($AH266-$AH267)*100</f>
        <v/>
      </c>
      <c r="CZ266" s="59">
        <f>($AI266-$AI267)*100</f>
        <v/>
      </c>
      <c r="DA266" s="59">
        <f>($AJ266-$AJ267)*100</f>
        <v/>
      </c>
      <c r="DB266" s="59">
        <f>($AK266-$AK267)*100</f>
        <v/>
      </c>
      <c r="DC266" s="59">
        <f>($AL266-$AL267)*100</f>
        <v/>
      </c>
      <c r="DD266" s="59">
        <f>($AM266-$AM267)*100</f>
        <v/>
      </c>
      <c r="DE266" s="59">
        <f>($AN266-$AN267)*100</f>
        <v/>
      </c>
      <c r="DF266" s="59">
        <f>($AO266-$AO267)*100</f>
        <v/>
      </c>
      <c r="DG266" s="59">
        <f>($AP266-$AP267)*100</f>
        <v/>
      </c>
      <c r="DH266" s="59">
        <f>($AQ266-$AQ267)*100</f>
        <v/>
      </c>
      <c r="DI266" s="59">
        <f>($AR266-$AR267)*100</f>
        <v/>
      </c>
      <c r="DJ266" s="59">
        <f>($AS266-$AS267)*100</f>
        <v/>
      </c>
      <c r="DK266" s="59">
        <f>($AT266-$AT267)*100</f>
        <v/>
      </c>
      <c r="DL266" s="59">
        <f>($AU266-$AU267)*100</f>
        <v/>
      </c>
      <c r="DM266" s="59">
        <f>($AV266-$AV267)*100</f>
        <v/>
      </c>
      <c r="DN266" s="59">
        <f>($AW266-$AW267)*100</f>
        <v/>
      </c>
      <c r="DO266" s="59">
        <f>($AX266-$AX267)*100</f>
        <v/>
      </c>
      <c r="DP266" s="59">
        <f>($AY266-$AY267)*100</f>
        <v/>
      </c>
      <c r="DQ266" s="59">
        <f>($AZ266-$AZ267)*100</f>
        <v/>
      </c>
      <c r="DR266" s="59">
        <f>($BA266-$BA267)*100</f>
        <v/>
      </c>
      <c r="DS266" s="58">
        <f>IFERROR($N267/$N266-1,"")</f>
        <v/>
      </c>
      <c r="DT266" s="58">
        <f>IFERROR($O267/$O266-1,"")</f>
        <v/>
      </c>
      <c r="DU266" s="58">
        <f>IFERROR($P267/$P266-1,"")</f>
        <v/>
      </c>
      <c r="DV266" s="58">
        <f>IFERROR($Q267/$Q266-1,"")</f>
        <v/>
      </c>
      <c r="DW266" s="58">
        <f>IFERROR($R267/$R266-1,"")</f>
        <v/>
      </c>
      <c r="DX266" s="58">
        <f>IFERROR($S267/$S266-1,"")</f>
        <v/>
      </c>
      <c r="DY266" s="58">
        <f>IFERROR($T267/$T266-1,"")</f>
        <v/>
      </c>
      <c r="DZ266" s="58">
        <f>IFERROR($U267/$U266-1,"")</f>
        <v/>
      </c>
      <c r="EA266" s="58">
        <f>IFERROR($V267/$V266-1,"")</f>
        <v/>
      </c>
      <c r="EB266" s="58">
        <f>IFERROR($W267/$W266-1,"")</f>
        <v/>
      </c>
      <c r="EC266" s="58">
        <f>IFERROR($X267/$X266-1,"")</f>
        <v/>
      </c>
      <c r="ED266" s="58">
        <f>IFERROR($Y267/$Y266-1,"")</f>
        <v/>
      </c>
      <c r="EE266" s="58">
        <f>IFERROR($Z267/$Z266-1,"")</f>
        <v/>
      </c>
      <c r="EF266" s="58">
        <f>IFERROR($AA267/$AA266-1,"")</f>
        <v/>
      </c>
      <c r="EG266" s="58">
        <f>IFERROR($AB267/$AB266-1,"")</f>
        <v/>
      </c>
      <c r="EH266" s="58">
        <f>IFERROR($AC267/$AC266-1,"")</f>
        <v/>
      </c>
      <c r="EI266" s="58">
        <f>IFERROR($AD267/$AD266-1,"")</f>
        <v/>
      </c>
      <c r="EJ266" s="58">
        <f>IFERROR($AE267/$AE266-1,"")</f>
        <v/>
      </c>
      <c r="EK266" s="58">
        <f>IFERROR($AF267/$AF266-1,"")</f>
        <v/>
      </c>
      <c r="EL266" s="58">
        <f>IFERROR($AG267/$AG266-1,"")</f>
        <v/>
      </c>
      <c r="EM266" s="58">
        <f>IFERROR($BB266/$BB267-1,"")</f>
        <v/>
      </c>
      <c r="EN266" s="58">
        <f>IFERROR($BC266/$BC267-1,"")</f>
        <v/>
      </c>
      <c r="EO266" s="58">
        <f>IFERROR($BD266/$BD267-1,"")</f>
        <v/>
      </c>
      <c r="EP266" s="58">
        <f>IFERROR($BE266/$BE267-1,"")</f>
        <v/>
      </c>
      <c r="EQ266" s="58">
        <f>IFERROR($BF266/$BF267-1,"")</f>
        <v/>
      </c>
      <c r="ER266" s="58">
        <f>IFERROR($BG266/$BG267-1,"")</f>
        <v/>
      </c>
      <c r="ES266" s="58">
        <f>IFERROR($BH266/$BH267-1,"")</f>
        <v/>
      </c>
      <c r="ET266" s="58">
        <f>IFERROR($BI266/$BI267-1,"")</f>
        <v/>
      </c>
      <c r="EU266" s="58">
        <f>IFERROR($BJ266/$BJ267-1,"")</f>
        <v/>
      </c>
      <c r="EV266" s="58">
        <f>IFERROR($BK266/$BK267-1,"")</f>
        <v/>
      </c>
      <c r="EW266" s="58">
        <f>IFERROR($BL266/$BL267-1,"")</f>
        <v/>
      </c>
      <c r="EX266" s="58">
        <f>IFERROR($BM266/$BM267-1,"")</f>
        <v/>
      </c>
      <c r="EY266" s="58">
        <f>IFERROR($BN266/$BN267-1,"")</f>
        <v/>
      </c>
      <c r="EZ266" s="58">
        <f>IFERROR($BO266/$BO267-1,"")</f>
        <v/>
      </c>
      <c r="FA266" s="58">
        <f>IFERROR($BP266/$BP267-1,"")</f>
        <v/>
      </c>
      <c r="FB266" s="58">
        <f>IFERROR($BQ266/$BQ267-1,"")</f>
        <v/>
      </c>
      <c r="FC266" s="58">
        <f>IFERROR($BR266/$BR267-1,"")</f>
        <v/>
      </c>
      <c r="FD266" s="58">
        <f>IFERROR($BS266/$BS267-1,"")</f>
        <v/>
      </c>
      <c r="FE266" s="58">
        <f>IFERROR($BT266/$BT267-1,"")</f>
        <v/>
      </c>
      <c r="FF266" s="58">
        <f>IFERROR($BU266/$BU267-1,"")</f>
        <v/>
      </c>
      <c r="FG266" s="58">
        <f>IFERROR($BV266/$BV267-1,"")</f>
        <v/>
      </c>
      <c r="FH266" s="58">
        <f>IFERROR($BW266/$BW267-1,"")</f>
        <v/>
      </c>
      <c r="FI266" s="58">
        <f>IFERROR($BX266/$BX267-1,"")</f>
        <v/>
      </c>
      <c r="FJ266" s="59">
        <f>$BY266-$BY267</f>
        <v/>
      </c>
      <c r="FK266" s="59">
        <f>$BZ266-$BZ267</f>
        <v/>
      </c>
      <c r="FL266" s="59">
        <f>$CA266-$CA267</f>
        <v/>
      </c>
      <c r="FM266" s="59">
        <f>$CB266-$CB267</f>
        <v/>
      </c>
      <c r="FN266" s="59">
        <f>$CC266-$CC267</f>
        <v/>
      </c>
      <c r="FO266" s="59">
        <f>$CD266-$CD267</f>
        <v/>
      </c>
      <c r="FP266" s="59">
        <f>$CE266-$CE267</f>
        <v/>
      </c>
      <c r="FQ266" s="59">
        <f>$CF266-$CF267</f>
        <v/>
      </c>
      <c r="FR266" s="59">
        <f>$CG266-$CG267</f>
        <v/>
      </c>
      <c r="FS266" s="59">
        <f>$CH266-$CH267</f>
        <v/>
      </c>
      <c r="FT266" s="59">
        <f>$CI266-$CI267</f>
        <v/>
      </c>
      <c r="FU266" s="59">
        <f>$CJ266-$CJ267</f>
        <v/>
      </c>
      <c r="FV266" s="59">
        <f>$CK266-$CK267</f>
        <v/>
      </c>
      <c r="FW266" s="59">
        <f>$CL266-$CL267</f>
        <v/>
      </c>
      <c r="FX266" s="59">
        <f>$CM266-$CM267</f>
        <v/>
      </c>
      <c r="FY266" s="59">
        <f>$CN266-$CN267</f>
        <v/>
      </c>
      <c r="FZ266" s="59">
        <f>$CO266-$CO267</f>
        <v/>
      </c>
      <c r="GA266" s="59">
        <f>$CP266-$CP267</f>
        <v/>
      </c>
      <c r="GB266" s="59">
        <f>$CQ266-$CQ267</f>
        <v/>
      </c>
      <c r="GC266" s="59">
        <f>$CR266-$CR267</f>
        <v/>
      </c>
      <c r="GD266" s="59">
        <f>$CS266-$CS267</f>
        <v/>
      </c>
      <c r="GE266" s="59">
        <f>$CT266-$CT267</f>
        <v/>
      </c>
    </row>
    <row r="267">
      <c r="CU267" s="58">
        <f>IFERROR($B267/$B268-1,"")</f>
        <v/>
      </c>
      <c r="CV267" s="59">
        <f>($F267-$F268)*100</f>
        <v/>
      </c>
      <c r="CW267" s="59">
        <f>($E267-$E268)*100</f>
        <v/>
      </c>
      <c r="CX267" s="58">
        <f>IFERROR($K267/$K268-1,"")</f>
        <v/>
      </c>
      <c r="CY267" s="59">
        <f>($AH267-$AH268)*100</f>
        <v/>
      </c>
      <c r="CZ267" s="59">
        <f>($AI267-$AI268)*100</f>
        <v/>
      </c>
      <c r="DA267" s="59">
        <f>($AJ267-$AJ268)*100</f>
        <v/>
      </c>
      <c r="DB267" s="59">
        <f>($AK267-$AK268)*100</f>
        <v/>
      </c>
      <c r="DC267" s="59">
        <f>($AL267-$AL268)*100</f>
        <v/>
      </c>
      <c r="DD267" s="59">
        <f>($AM267-$AM268)*100</f>
        <v/>
      </c>
      <c r="DE267" s="59">
        <f>($AN267-$AN268)*100</f>
        <v/>
      </c>
      <c r="DF267" s="59">
        <f>($AO267-$AO268)*100</f>
        <v/>
      </c>
      <c r="DG267" s="59">
        <f>($AP267-$AP268)*100</f>
        <v/>
      </c>
      <c r="DH267" s="59">
        <f>($AQ267-$AQ268)*100</f>
        <v/>
      </c>
      <c r="DI267" s="59">
        <f>($AR267-$AR268)*100</f>
        <v/>
      </c>
      <c r="DJ267" s="59">
        <f>($AS267-$AS268)*100</f>
        <v/>
      </c>
      <c r="DK267" s="59">
        <f>($AT267-$AT268)*100</f>
        <v/>
      </c>
      <c r="DL267" s="59">
        <f>($AU267-$AU268)*100</f>
        <v/>
      </c>
      <c r="DM267" s="59">
        <f>($AV267-$AV268)*100</f>
        <v/>
      </c>
      <c r="DN267" s="59">
        <f>($AW267-$AW268)*100</f>
        <v/>
      </c>
      <c r="DO267" s="59">
        <f>($AX267-$AX268)*100</f>
        <v/>
      </c>
      <c r="DP267" s="59">
        <f>($AY267-$AY268)*100</f>
        <v/>
      </c>
      <c r="DQ267" s="59">
        <f>($AZ267-$AZ268)*100</f>
        <v/>
      </c>
      <c r="DR267" s="59">
        <f>($BA267-$BA268)*100</f>
        <v/>
      </c>
      <c r="DS267" s="58">
        <f>IFERROR($N268/$N267-1,"")</f>
        <v/>
      </c>
      <c r="DT267" s="58">
        <f>IFERROR($O268/$O267-1,"")</f>
        <v/>
      </c>
      <c r="DU267" s="58">
        <f>IFERROR($P268/$P267-1,"")</f>
        <v/>
      </c>
      <c r="DV267" s="58">
        <f>IFERROR($Q268/$Q267-1,"")</f>
        <v/>
      </c>
      <c r="DW267" s="58">
        <f>IFERROR($R268/$R267-1,"")</f>
        <v/>
      </c>
      <c r="DX267" s="58">
        <f>IFERROR($S268/$S267-1,"")</f>
        <v/>
      </c>
      <c r="DY267" s="58">
        <f>IFERROR($T268/$T267-1,"")</f>
        <v/>
      </c>
      <c r="DZ267" s="58">
        <f>IFERROR($U268/$U267-1,"")</f>
        <v/>
      </c>
      <c r="EA267" s="58">
        <f>IFERROR($V268/$V267-1,"")</f>
        <v/>
      </c>
      <c r="EB267" s="58">
        <f>IFERROR($W268/$W267-1,"")</f>
        <v/>
      </c>
      <c r="EC267" s="58">
        <f>IFERROR($X268/$X267-1,"")</f>
        <v/>
      </c>
      <c r="ED267" s="58">
        <f>IFERROR($Y268/$Y267-1,"")</f>
        <v/>
      </c>
      <c r="EE267" s="58">
        <f>IFERROR($Z268/$Z267-1,"")</f>
        <v/>
      </c>
      <c r="EF267" s="58">
        <f>IFERROR($AA268/$AA267-1,"")</f>
        <v/>
      </c>
      <c r="EG267" s="58">
        <f>IFERROR($AB268/$AB267-1,"")</f>
        <v/>
      </c>
      <c r="EH267" s="58">
        <f>IFERROR($AC268/$AC267-1,"")</f>
        <v/>
      </c>
      <c r="EI267" s="58">
        <f>IFERROR($AD268/$AD267-1,"")</f>
        <v/>
      </c>
      <c r="EJ267" s="58">
        <f>IFERROR($AE268/$AE267-1,"")</f>
        <v/>
      </c>
      <c r="EK267" s="58">
        <f>IFERROR($AF268/$AF267-1,"")</f>
        <v/>
      </c>
      <c r="EL267" s="58">
        <f>IFERROR($AG268/$AG267-1,"")</f>
        <v/>
      </c>
      <c r="EM267" s="58">
        <f>IFERROR($BB267/$BB268-1,"")</f>
        <v/>
      </c>
      <c r="EN267" s="58">
        <f>IFERROR($BC267/$BC268-1,"")</f>
        <v/>
      </c>
      <c r="EO267" s="58">
        <f>IFERROR($BD267/$BD268-1,"")</f>
        <v/>
      </c>
      <c r="EP267" s="58">
        <f>IFERROR($BE267/$BE268-1,"")</f>
        <v/>
      </c>
      <c r="EQ267" s="58">
        <f>IFERROR($BF267/$BF268-1,"")</f>
        <v/>
      </c>
      <c r="ER267" s="58">
        <f>IFERROR($BG267/$BG268-1,"")</f>
        <v/>
      </c>
      <c r="ES267" s="58">
        <f>IFERROR($BH267/$BH268-1,"")</f>
        <v/>
      </c>
      <c r="ET267" s="58">
        <f>IFERROR($BI267/$BI268-1,"")</f>
        <v/>
      </c>
      <c r="EU267" s="58">
        <f>IFERROR($BJ267/$BJ268-1,"")</f>
        <v/>
      </c>
      <c r="EV267" s="58">
        <f>IFERROR($BK267/$BK268-1,"")</f>
        <v/>
      </c>
      <c r="EW267" s="58">
        <f>IFERROR($BL267/$BL268-1,"")</f>
        <v/>
      </c>
      <c r="EX267" s="58">
        <f>IFERROR($BM267/$BM268-1,"")</f>
        <v/>
      </c>
      <c r="EY267" s="58">
        <f>IFERROR($BN267/$BN268-1,"")</f>
        <v/>
      </c>
      <c r="EZ267" s="58">
        <f>IFERROR($BO267/$BO268-1,"")</f>
        <v/>
      </c>
      <c r="FA267" s="58">
        <f>IFERROR($BP267/$BP268-1,"")</f>
        <v/>
      </c>
      <c r="FB267" s="58">
        <f>IFERROR($BQ267/$BQ268-1,"")</f>
        <v/>
      </c>
      <c r="FC267" s="58">
        <f>IFERROR($BR267/$BR268-1,"")</f>
        <v/>
      </c>
      <c r="FD267" s="58">
        <f>IFERROR($BS267/$BS268-1,"")</f>
        <v/>
      </c>
      <c r="FE267" s="58">
        <f>IFERROR($BT267/$BT268-1,"")</f>
        <v/>
      </c>
      <c r="FF267" s="58">
        <f>IFERROR($BU267/$BU268-1,"")</f>
        <v/>
      </c>
      <c r="FG267" s="58">
        <f>IFERROR($BV267/$BV268-1,"")</f>
        <v/>
      </c>
      <c r="FH267" s="58">
        <f>IFERROR($BW267/$BW268-1,"")</f>
        <v/>
      </c>
      <c r="FI267" s="58">
        <f>IFERROR($BX267/$BX268-1,"")</f>
        <v/>
      </c>
      <c r="FJ267" s="59">
        <f>$BY267-$BY268</f>
        <v/>
      </c>
      <c r="FK267" s="59">
        <f>$BZ267-$BZ268</f>
        <v/>
      </c>
      <c r="FL267" s="59">
        <f>$CA267-$CA268</f>
        <v/>
      </c>
      <c r="FM267" s="59">
        <f>$CB267-$CB268</f>
        <v/>
      </c>
      <c r="FN267" s="59">
        <f>$CC267-$CC268</f>
        <v/>
      </c>
      <c r="FO267" s="59">
        <f>$CD267-$CD268</f>
        <v/>
      </c>
      <c r="FP267" s="59">
        <f>$CE267-$CE268</f>
        <v/>
      </c>
      <c r="FQ267" s="59">
        <f>$CF267-$CF268</f>
        <v/>
      </c>
      <c r="FR267" s="59">
        <f>$CG267-$CG268</f>
        <v/>
      </c>
      <c r="FS267" s="59">
        <f>$CH267-$CH268</f>
        <v/>
      </c>
      <c r="FT267" s="59">
        <f>$CI267-$CI268</f>
        <v/>
      </c>
      <c r="FU267" s="59">
        <f>$CJ267-$CJ268</f>
        <v/>
      </c>
      <c r="FV267" s="59">
        <f>$CK267-$CK268</f>
        <v/>
      </c>
      <c r="FW267" s="59">
        <f>$CL267-$CL268</f>
        <v/>
      </c>
      <c r="FX267" s="59">
        <f>$CM267-$CM268</f>
        <v/>
      </c>
      <c r="FY267" s="59">
        <f>$CN267-$CN268</f>
        <v/>
      </c>
      <c r="FZ267" s="59">
        <f>$CO267-$CO268</f>
        <v/>
      </c>
      <c r="GA267" s="59">
        <f>$CP267-$CP268</f>
        <v/>
      </c>
      <c r="GB267" s="59">
        <f>$CQ267-$CQ268</f>
        <v/>
      </c>
      <c r="GC267" s="59">
        <f>$CR267-$CR268</f>
        <v/>
      </c>
      <c r="GD267" s="59">
        <f>$CS267-$CS268</f>
        <v/>
      </c>
      <c r="GE267" s="59">
        <f>$CT267-$CT268</f>
        <v/>
      </c>
    </row>
    <row r="268">
      <c r="CU268" s="58">
        <f>IFERROR($B268/$B269-1,"")</f>
        <v/>
      </c>
      <c r="CV268" s="59">
        <f>($F268-$F269)*100</f>
        <v/>
      </c>
      <c r="CW268" s="59">
        <f>($E268-$E269)*100</f>
        <v/>
      </c>
      <c r="CX268" s="58">
        <f>IFERROR($K268/$K269-1,"")</f>
        <v/>
      </c>
      <c r="CY268" s="59">
        <f>($AH268-$AH269)*100</f>
        <v/>
      </c>
      <c r="CZ268" s="59">
        <f>($AI268-$AI269)*100</f>
        <v/>
      </c>
      <c r="DA268" s="59">
        <f>($AJ268-$AJ269)*100</f>
        <v/>
      </c>
      <c r="DB268" s="59">
        <f>($AK268-$AK269)*100</f>
        <v/>
      </c>
      <c r="DC268" s="59">
        <f>($AL268-$AL269)*100</f>
        <v/>
      </c>
      <c r="DD268" s="59">
        <f>($AM268-$AM269)*100</f>
        <v/>
      </c>
      <c r="DE268" s="59">
        <f>($AN268-$AN269)*100</f>
        <v/>
      </c>
      <c r="DF268" s="59">
        <f>($AO268-$AO269)*100</f>
        <v/>
      </c>
      <c r="DG268" s="59">
        <f>($AP268-$AP269)*100</f>
        <v/>
      </c>
      <c r="DH268" s="59">
        <f>($AQ268-$AQ269)*100</f>
        <v/>
      </c>
      <c r="DI268" s="59">
        <f>($AR268-$AR269)*100</f>
        <v/>
      </c>
      <c r="DJ268" s="59">
        <f>($AS268-$AS269)*100</f>
        <v/>
      </c>
      <c r="DK268" s="59">
        <f>($AT268-$AT269)*100</f>
        <v/>
      </c>
      <c r="DL268" s="59">
        <f>($AU268-$AU269)*100</f>
        <v/>
      </c>
      <c r="DM268" s="59">
        <f>($AV268-$AV269)*100</f>
        <v/>
      </c>
      <c r="DN268" s="59">
        <f>($AW268-$AW269)*100</f>
        <v/>
      </c>
      <c r="DO268" s="59">
        <f>($AX268-$AX269)*100</f>
        <v/>
      </c>
      <c r="DP268" s="59">
        <f>($AY268-$AY269)*100</f>
        <v/>
      </c>
      <c r="DQ268" s="59">
        <f>($AZ268-$AZ269)*100</f>
        <v/>
      </c>
      <c r="DR268" s="59">
        <f>($BA268-$BA269)*100</f>
        <v/>
      </c>
      <c r="DS268" s="58">
        <f>IFERROR($N269/$N268-1,"")</f>
        <v/>
      </c>
      <c r="DT268" s="58">
        <f>IFERROR($O269/$O268-1,"")</f>
        <v/>
      </c>
      <c r="DU268" s="58">
        <f>IFERROR($P269/$P268-1,"")</f>
        <v/>
      </c>
      <c r="DV268" s="58">
        <f>IFERROR($Q269/$Q268-1,"")</f>
        <v/>
      </c>
      <c r="DW268" s="58">
        <f>IFERROR($R269/$R268-1,"")</f>
        <v/>
      </c>
      <c r="DX268" s="58">
        <f>IFERROR($S269/$S268-1,"")</f>
        <v/>
      </c>
      <c r="DY268" s="58">
        <f>IFERROR($T269/$T268-1,"")</f>
        <v/>
      </c>
      <c r="DZ268" s="58">
        <f>IFERROR($U269/$U268-1,"")</f>
        <v/>
      </c>
      <c r="EA268" s="58">
        <f>IFERROR($V269/$V268-1,"")</f>
        <v/>
      </c>
      <c r="EB268" s="58">
        <f>IFERROR($W269/$W268-1,"")</f>
        <v/>
      </c>
      <c r="EC268" s="58">
        <f>IFERROR($X269/$X268-1,"")</f>
        <v/>
      </c>
      <c r="ED268" s="58">
        <f>IFERROR($Y269/$Y268-1,"")</f>
        <v/>
      </c>
      <c r="EE268" s="58">
        <f>IFERROR($Z269/$Z268-1,"")</f>
        <v/>
      </c>
      <c r="EF268" s="58">
        <f>IFERROR($AA269/$AA268-1,"")</f>
        <v/>
      </c>
      <c r="EG268" s="58">
        <f>IFERROR($AB269/$AB268-1,"")</f>
        <v/>
      </c>
      <c r="EH268" s="58">
        <f>IFERROR($AC269/$AC268-1,"")</f>
        <v/>
      </c>
      <c r="EI268" s="58">
        <f>IFERROR($AD269/$AD268-1,"")</f>
        <v/>
      </c>
      <c r="EJ268" s="58">
        <f>IFERROR($AE269/$AE268-1,"")</f>
        <v/>
      </c>
      <c r="EK268" s="58">
        <f>IFERROR($AF269/$AF268-1,"")</f>
        <v/>
      </c>
      <c r="EL268" s="58">
        <f>IFERROR($AG269/$AG268-1,"")</f>
        <v/>
      </c>
      <c r="EM268" s="58">
        <f>IFERROR($BB268/$BB269-1,"")</f>
        <v/>
      </c>
      <c r="EN268" s="58">
        <f>IFERROR($BC268/$BC269-1,"")</f>
        <v/>
      </c>
      <c r="EO268" s="58">
        <f>IFERROR($BD268/$BD269-1,"")</f>
        <v/>
      </c>
      <c r="EP268" s="58">
        <f>IFERROR($BE268/$BE269-1,"")</f>
        <v/>
      </c>
      <c r="EQ268" s="58">
        <f>IFERROR($BF268/$BF269-1,"")</f>
        <v/>
      </c>
      <c r="ER268" s="58">
        <f>IFERROR($BG268/$BG269-1,"")</f>
        <v/>
      </c>
      <c r="ES268" s="58">
        <f>IFERROR($BH268/$BH269-1,"")</f>
        <v/>
      </c>
      <c r="ET268" s="58">
        <f>IFERROR($BI268/$BI269-1,"")</f>
        <v/>
      </c>
      <c r="EU268" s="58">
        <f>IFERROR($BJ268/$BJ269-1,"")</f>
        <v/>
      </c>
      <c r="EV268" s="58">
        <f>IFERROR($BK268/$BK269-1,"")</f>
        <v/>
      </c>
      <c r="EW268" s="58">
        <f>IFERROR($BL268/$BL269-1,"")</f>
        <v/>
      </c>
      <c r="EX268" s="58">
        <f>IFERROR($BM268/$BM269-1,"")</f>
        <v/>
      </c>
      <c r="EY268" s="58">
        <f>IFERROR($BN268/$BN269-1,"")</f>
        <v/>
      </c>
      <c r="EZ268" s="58">
        <f>IFERROR($BO268/$BO269-1,"")</f>
        <v/>
      </c>
      <c r="FA268" s="58">
        <f>IFERROR($BP268/$BP269-1,"")</f>
        <v/>
      </c>
      <c r="FB268" s="58">
        <f>IFERROR($BQ268/$BQ269-1,"")</f>
        <v/>
      </c>
      <c r="FC268" s="58">
        <f>IFERROR($BR268/$BR269-1,"")</f>
        <v/>
      </c>
      <c r="FD268" s="58">
        <f>IFERROR($BS268/$BS269-1,"")</f>
        <v/>
      </c>
      <c r="FE268" s="58">
        <f>IFERROR($BT268/$BT269-1,"")</f>
        <v/>
      </c>
      <c r="FF268" s="58">
        <f>IFERROR($BU268/$BU269-1,"")</f>
        <v/>
      </c>
      <c r="FG268" s="58">
        <f>IFERROR($BV268/$BV269-1,"")</f>
        <v/>
      </c>
      <c r="FH268" s="58">
        <f>IFERROR($BW268/$BW269-1,"")</f>
        <v/>
      </c>
      <c r="FI268" s="58">
        <f>IFERROR($BX268/$BX269-1,"")</f>
        <v/>
      </c>
      <c r="FJ268" s="59">
        <f>$BY268-$BY269</f>
        <v/>
      </c>
      <c r="FK268" s="59">
        <f>$BZ268-$BZ269</f>
        <v/>
      </c>
      <c r="FL268" s="59">
        <f>$CA268-$CA269</f>
        <v/>
      </c>
      <c r="FM268" s="59">
        <f>$CB268-$CB269</f>
        <v/>
      </c>
      <c r="FN268" s="59">
        <f>$CC268-$CC269</f>
        <v/>
      </c>
      <c r="FO268" s="59">
        <f>$CD268-$CD269</f>
        <v/>
      </c>
      <c r="FP268" s="59">
        <f>$CE268-$CE269</f>
        <v/>
      </c>
      <c r="FQ268" s="59">
        <f>$CF268-$CF269</f>
        <v/>
      </c>
      <c r="FR268" s="59">
        <f>$CG268-$CG269</f>
        <v/>
      </c>
      <c r="FS268" s="59">
        <f>$CH268-$CH269</f>
        <v/>
      </c>
      <c r="FT268" s="59">
        <f>$CI268-$CI269</f>
        <v/>
      </c>
      <c r="FU268" s="59">
        <f>$CJ268-$CJ269</f>
        <v/>
      </c>
      <c r="FV268" s="59">
        <f>$CK268-$CK269</f>
        <v/>
      </c>
      <c r="FW268" s="59">
        <f>$CL268-$CL269</f>
        <v/>
      </c>
      <c r="FX268" s="59">
        <f>$CM268-$CM269</f>
        <v/>
      </c>
      <c r="FY268" s="59">
        <f>$CN268-$CN269</f>
        <v/>
      </c>
      <c r="FZ268" s="59">
        <f>$CO268-$CO269</f>
        <v/>
      </c>
      <c r="GA268" s="59">
        <f>$CP268-$CP269</f>
        <v/>
      </c>
      <c r="GB268" s="59">
        <f>$CQ268-$CQ269</f>
        <v/>
      </c>
      <c r="GC268" s="59">
        <f>$CR268-$CR269</f>
        <v/>
      </c>
      <c r="GD268" s="59">
        <f>$CS268-$CS269</f>
        <v/>
      </c>
      <c r="GE268" s="59">
        <f>$CT268-$CT269</f>
        <v/>
      </c>
    </row>
    <row r="269">
      <c r="CU269" s="58">
        <f>IFERROR($B269/$B270-1,"")</f>
        <v/>
      </c>
      <c r="CV269" s="59">
        <f>($F269-$F270)*100</f>
        <v/>
      </c>
      <c r="CW269" s="59">
        <f>($E269-$E270)*100</f>
        <v/>
      </c>
      <c r="CX269" s="58">
        <f>IFERROR($K269/$K270-1,"")</f>
        <v/>
      </c>
      <c r="CY269" s="59">
        <f>($AH269-$AH270)*100</f>
        <v/>
      </c>
      <c r="CZ269" s="59">
        <f>($AI269-$AI270)*100</f>
        <v/>
      </c>
      <c r="DA269" s="59">
        <f>($AJ269-$AJ270)*100</f>
        <v/>
      </c>
      <c r="DB269" s="59">
        <f>($AK269-$AK270)*100</f>
        <v/>
      </c>
      <c r="DC269" s="59">
        <f>($AL269-$AL270)*100</f>
        <v/>
      </c>
      <c r="DD269" s="59">
        <f>($AM269-$AM270)*100</f>
        <v/>
      </c>
      <c r="DE269" s="59">
        <f>($AN269-$AN270)*100</f>
        <v/>
      </c>
      <c r="DF269" s="59">
        <f>($AO269-$AO270)*100</f>
        <v/>
      </c>
      <c r="DG269" s="59">
        <f>($AP269-$AP270)*100</f>
        <v/>
      </c>
      <c r="DH269" s="59">
        <f>($AQ269-$AQ270)*100</f>
        <v/>
      </c>
      <c r="DI269" s="59">
        <f>($AR269-$AR270)*100</f>
        <v/>
      </c>
      <c r="DJ269" s="59">
        <f>($AS269-$AS270)*100</f>
        <v/>
      </c>
      <c r="DK269" s="59">
        <f>($AT269-$AT270)*100</f>
        <v/>
      </c>
      <c r="DL269" s="59">
        <f>($AU269-$AU270)*100</f>
        <v/>
      </c>
      <c r="DM269" s="59">
        <f>($AV269-$AV270)*100</f>
        <v/>
      </c>
      <c r="DN269" s="59">
        <f>($AW269-$AW270)*100</f>
        <v/>
      </c>
      <c r="DO269" s="59">
        <f>($AX269-$AX270)*100</f>
        <v/>
      </c>
      <c r="DP269" s="59">
        <f>($AY269-$AY270)*100</f>
        <v/>
      </c>
      <c r="DQ269" s="59">
        <f>($AZ269-$AZ270)*100</f>
        <v/>
      </c>
      <c r="DR269" s="59">
        <f>($BA269-$BA270)*100</f>
        <v/>
      </c>
      <c r="DS269" s="58">
        <f>IFERROR($N270/$N269-1,"")</f>
        <v/>
      </c>
      <c r="DT269" s="58">
        <f>IFERROR($O270/$O269-1,"")</f>
        <v/>
      </c>
      <c r="DU269" s="58">
        <f>IFERROR($P270/$P269-1,"")</f>
        <v/>
      </c>
      <c r="DV269" s="58">
        <f>IFERROR($Q270/$Q269-1,"")</f>
        <v/>
      </c>
      <c r="DW269" s="58">
        <f>IFERROR($R270/$R269-1,"")</f>
        <v/>
      </c>
      <c r="DX269" s="58">
        <f>IFERROR($S270/$S269-1,"")</f>
        <v/>
      </c>
      <c r="DY269" s="58">
        <f>IFERROR($T270/$T269-1,"")</f>
        <v/>
      </c>
      <c r="DZ269" s="58">
        <f>IFERROR($U270/$U269-1,"")</f>
        <v/>
      </c>
      <c r="EA269" s="58">
        <f>IFERROR($V270/$V269-1,"")</f>
        <v/>
      </c>
      <c r="EB269" s="58">
        <f>IFERROR($W270/$W269-1,"")</f>
        <v/>
      </c>
      <c r="EC269" s="58">
        <f>IFERROR($X270/$X269-1,"")</f>
        <v/>
      </c>
      <c r="ED269" s="58">
        <f>IFERROR($Y270/$Y269-1,"")</f>
        <v/>
      </c>
      <c r="EE269" s="58">
        <f>IFERROR($Z270/$Z269-1,"")</f>
        <v/>
      </c>
      <c r="EF269" s="58">
        <f>IFERROR($AA270/$AA269-1,"")</f>
        <v/>
      </c>
      <c r="EG269" s="58">
        <f>IFERROR($AB270/$AB269-1,"")</f>
        <v/>
      </c>
      <c r="EH269" s="58">
        <f>IFERROR($AC270/$AC269-1,"")</f>
        <v/>
      </c>
      <c r="EI269" s="58">
        <f>IFERROR($AD270/$AD269-1,"")</f>
        <v/>
      </c>
      <c r="EJ269" s="58">
        <f>IFERROR($AE270/$AE269-1,"")</f>
        <v/>
      </c>
      <c r="EK269" s="58">
        <f>IFERROR($AF270/$AF269-1,"")</f>
        <v/>
      </c>
      <c r="EL269" s="58">
        <f>IFERROR($AG270/$AG269-1,"")</f>
        <v/>
      </c>
      <c r="EM269" s="58">
        <f>IFERROR($BB269/$BB270-1,"")</f>
        <v/>
      </c>
      <c r="EN269" s="58">
        <f>IFERROR($BC269/$BC270-1,"")</f>
        <v/>
      </c>
      <c r="EO269" s="58">
        <f>IFERROR($BD269/$BD270-1,"")</f>
        <v/>
      </c>
      <c r="EP269" s="58">
        <f>IFERROR($BE269/$BE270-1,"")</f>
        <v/>
      </c>
      <c r="EQ269" s="58">
        <f>IFERROR($BF269/$BF270-1,"")</f>
        <v/>
      </c>
      <c r="ER269" s="58">
        <f>IFERROR($BG269/$BG270-1,"")</f>
        <v/>
      </c>
      <c r="ES269" s="58">
        <f>IFERROR($BH269/$BH270-1,"")</f>
        <v/>
      </c>
      <c r="ET269" s="58">
        <f>IFERROR($BI269/$BI270-1,"")</f>
        <v/>
      </c>
      <c r="EU269" s="58">
        <f>IFERROR($BJ269/$BJ270-1,"")</f>
        <v/>
      </c>
      <c r="EV269" s="58">
        <f>IFERROR($BK269/$BK270-1,"")</f>
        <v/>
      </c>
      <c r="EW269" s="58">
        <f>IFERROR($BL269/$BL270-1,"")</f>
        <v/>
      </c>
      <c r="EX269" s="58">
        <f>IFERROR($BM269/$BM270-1,"")</f>
        <v/>
      </c>
      <c r="EY269" s="58">
        <f>IFERROR($BN269/$BN270-1,"")</f>
        <v/>
      </c>
      <c r="EZ269" s="58">
        <f>IFERROR($BO269/$BO270-1,"")</f>
        <v/>
      </c>
      <c r="FA269" s="58">
        <f>IFERROR($BP269/$BP270-1,"")</f>
        <v/>
      </c>
      <c r="FB269" s="58">
        <f>IFERROR($BQ269/$BQ270-1,"")</f>
        <v/>
      </c>
      <c r="FC269" s="58">
        <f>IFERROR($BR269/$BR270-1,"")</f>
        <v/>
      </c>
      <c r="FD269" s="58">
        <f>IFERROR($BS269/$BS270-1,"")</f>
        <v/>
      </c>
      <c r="FE269" s="58">
        <f>IFERROR($BT269/$BT270-1,"")</f>
        <v/>
      </c>
      <c r="FF269" s="58">
        <f>IFERROR($BU269/$BU270-1,"")</f>
        <v/>
      </c>
      <c r="FG269" s="58">
        <f>IFERROR($BV269/$BV270-1,"")</f>
        <v/>
      </c>
      <c r="FH269" s="58">
        <f>IFERROR($BW269/$BW270-1,"")</f>
        <v/>
      </c>
      <c r="FI269" s="58">
        <f>IFERROR($BX269/$BX270-1,"")</f>
        <v/>
      </c>
      <c r="FJ269" s="59">
        <f>$BY269-$BY270</f>
        <v/>
      </c>
      <c r="FK269" s="59">
        <f>$BZ269-$BZ270</f>
        <v/>
      </c>
      <c r="FL269" s="59">
        <f>$CA269-$CA270</f>
        <v/>
      </c>
      <c r="FM269" s="59">
        <f>$CB269-$CB270</f>
        <v/>
      </c>
      <c r="FN269" s="59">
        <f>$CC269-$CC270</f>
        <v/>
      </c>
      <c r="FO269" s="59">
        <f>$CD269-$CD270</f>
        <v/>
      </c>
      <c r="FP269" s="59">
        <f>$CE269-$CE270</f>
        <v/>
      </c>
      <c r="FQ269" s="59">
        <f>$CF269-$CF270</f>
        <v/>
      </c>
      <c r="FR269" s="59">
        <f>$CG269-$CG270</f>
        <v/>
      </c>
      <c r="FS269" s="59">
        <f>$CH269-$CH270</f>
        <v/>
      </c>
      <c r="FT269" s="59">
        <f>$CI269-$CI270</f>
        <v/>
      </c>
      <c r="FU269" s="59">
        <f>$CJ269-$CJ270</f>
        <v/>
      </c>
      <c r="FV269" s="59">
        <f>$CK269-$CK270</f>
        <v/>
      </c>
      <c r="FW269" s="59">
        <f>$CL269-$CL270</f>
        <v/>
      </c>
      <c r="FX269" s="59">
        <f>$CM269-$CM270</f>
        <v/>
      </c>
      <c r="FY269" s="59">
        <f>$CN269-$CN270</f>
        <v/>
      </c>
      <c r="FZ269" s="59">
        <f>$CO269-$CO270</f>
        <v/>
      </c>
      <c r="GA269" s="59">
        <f>$CP269-$CP270</f>
        <v/>
      </c>
      <c r="GB269" s="59">
        <f>$CQ269-$CQ270</f>
        <v/>
      </c>
      <c r="GC269" s="59">
        <f>$CR269-$CR270</f>
        <v/>
      </c>
      <c r="GD269" s="59">
        <f>$CS269-$CS270</f>
        <v/>
      </c>
      <c r="GE269" s="59">
        <f>$CT269-$CT270</f>
        <v/>
      </c>
    </row>
    <row r="270">
      <c r="CU270" s="58">
        <f>IFERROR($B270/$B271-1,"")</f>
        <v/>
      </c>
      <c r="CV270" s="59">
        <f>($F270-$F271)*100</f>
        <v/>
      </c>
      <c r="CW270" s="59">
        <f>($E270-$E271)*100</f>
        <v/>
      </c>
      <c r="CX270" s="58">
        <f>IFERROR($K270/$K271-1,"")</f>
        <v/>
      </c>
      <c r="CY270" s="59">
        <f>($AH270-$AH271)*100</f>
        <v/>
      </c>
      <c r="CZ270" s="59">
        <f>($AI270-$AI271)*100</f>
        <v/>
      </c>
      <c r="DA270" s="59">
        <f>($AJ270-$AJ271)*100</f>
        <v/>
      </c>
      <c r="DB270" s="59">
        <f>($AK270-$AK271)*100</f>
        <v/>
      </c>
      <c r="DC270" s="59">
        <f>($AL270-$AL271)*100</f>
        <v/>
      </c>
      <c r="DD270" s="59">
        <f>($AM270-$AM271)*100</f>
        <v/>
      </c>
      <c r="DE270" s="59">
        <f>($AN270-$AN271)*100</f>
        <v/>
      </c>
      <c r="DF270" s="59">
        <f>($AO270-$AO271)*100</f>
        <v/>
      </c>
      <c r="DG270" s="59">
        <f>($AP270-$AP271)*100</f>
        <v/>
      </c>
      <c r="DH270" s="59">
        <f>($AQ270-$AQ271)*100</f>
        <v/>
      </c>
      <c r="DI270" s="59">
        <f>($AR270-$AR271)*100</f>
        <v/>
      </c>
      <c r="DJ270" s="59">
        <f>($AS270-$AS271)*100</f>
        <v/>
      </c>
      <c r="DK270" s="59">
        <f>($AT270-$AT271)*100</f>
        <v/>
      </c>
      <c r="DL270" s="59">
        <f>($AU270-$AU271)*100</f>
        <v/>
      </c>
      <c r="DM270" s="59">
        <f>($AV270-$AV271)*100</f>
        <v/>
      </c>
      <c r="DN270" s="59">
        <f>($AW270-$AW271)*100</f>
        <v/>
      </c>
      <c r="DO270" s="59">
        <f>($AX270-$AX271)*100</f>
        <v/>
      </c>
      <c r="DP270" s="59">
        <f>($AY270-$AY271)*100</f>
        <v/>
      </c>
      <c r="DQ270" s="59">
        <f>($AZ270-$AZ271)*100</f>
        <v/>
      </c>
      <c r="DR270" s="59">
        <f>($BA270-$BA271)*100</f>
        <v/>
      </c>
      <c r="DS270" s="58">
        <f>IFERROR($N271/$N270-1,"")</f>
        <v/>
      </c>
      <c r="DT270" s="58">
        <f>IFERROR($O271/$O270-1,"")</f>
        <v/>
      </c>
      <c r="DU270" s="58">
        <f>IFERROR($P271/$P270-1,"")</f>
        <v/>
      </c>
      <c r="DV270" s="58">
        <f>IFERROR($Q271/$Q270-1,"")</f>
        <v/>
      </c>
      <c r="DW270" s="58">
        <f>IFERROR($R271/$R270-1,"")</f>
        <v/>
      </c>
      <c r="DX270" s="58">
        <f>IFERROR($S271/$S270-1,"")</f>
        <v/>
      </c>
      <c r="DY270" s="58">
        <f>IFERROR($T271/$T270-1,"")</f>
        <v/>
      </c>
      <c r="DZ270" s="58">
        <f>IFERROR($U271/$U270-1,"")</f>
        <v/>
      </c>
      <c r="EA270" s="58">
        <f>IFERROR($V271/$V270-1,"")</f>
        <v/>
      </c>
      <c r="EB270" s="58">
        <f>IFERROR($W271/$W270-1,"")</f>
        <v/>
      </c>
      <c r="EC270" s="58">
        <f>IFERROR($X271/$X270-1,"")</f>
        <v/>
      </c>
      <c r="ED270" s="58">
        <f>IFERROR($Y271/$Y270-1,"")</f>
        <v/>
      </c>
      <c r="EE270" s="58">
        <f>IFERROR($Z271/$Z270-1,"")</f>
        <v/>
      </c>
      <c r="EF270" s="58">
        <f>IFERROR($AA271/$AA270-1,"")</f>
        <v/>
      </c>
      <c r="EG270" s="58">
        <f>IFERROR($AB271/$AB270-1,"")</f>
        <v/>
      </c>
      <c r="EH270" s="58">
        <f>IFERROR($AC271/$AC270-1,"")</f>
        <v/>
      </c>
      <c r="EI270" s="58">
        <f>IFERROR($AD271/$AD270-1,"")</f>
        <v/>
      </c>
      <c r="EJ270" s="58">
        <f>IFERROR($AE271/$AE270-1,"")</f>
        <v/>
      </c>
      <c r="EK270" s="58">
        <f>IFERROR($AF271/$AF270-1,"")</f>
        <v/>
      </c>
      <c r="EL270" s="58">
        <f>IFERROR($AG271/$AG270-1,"")</f>
        <v/>
      </c>
      <c r="EM270" s="58">
        <f>IFERROR($BB270/$BB271-1,"")</f>
        <v/>
      </c>
      <c r="EN270" s="58">
        <f>IFERROR($BC270/$BC271-1,"")</f>
        <v/>
      </c>
      <c r="EO270" s="58">
        <f>IFERROR($BD270/$BD271-1,"")</f>
        <v/>
      </c>
      <c r="EP270" s="58">
        <f>IFERROR($BE270/$BE271-1,"")</f>
        <v/>
      </c>
      <c r="EQ270" s="58">
        <f>IFERROR($BF270/$BF271-1,"")</f>
        <v/>
      </c>
      <c r="ER270" s="58">
        <f>IFERROR($BG270/$BG271-1,"")</f>
        <v/>
      </c>
      <c r="ES270" s="58">
        <f>IFERROR($BH270/$BH271-1,"")</f>
        <v/>
      </c>
      <c r="ET270" s="58">
        <f>IFERROR($BI270/$BI271-1,"")</f>
        <v/>
      </c>
      <c r="EU270" s="58">
        <f>IFERROR($BJ270/$BJ271-1,"")</f>
        <v/>
      </c>
      <c r="EV270" s="58">
        <f>IFERROR($BK270/$BK271-1,"")</f>
        <v/>
      </c>
      <c r="EW270" s="58">
        <f>IFERROR($BL270/$BL271-1,"")</f>
        <v/>
      </c>
      <c r="EX270" s="58">
        <f>IFERROR($BM270/$BM271-1,"")</f>
        <v/>
      </c>
      <c r="EY270" s="58">
        <f>IFERROR($BN270/$BN271-1,"")</f>
        <v/>
      </c>
      <c r="EZ270" s="58">
        <f>IFERROR($BO270/$BO271-1,"")</f>
        <v/>
      </c>
      <c r="FA270" s="58">
        <f>IFERROR($BP270/$BP271-1,"")</f>
        <v/>
      </c>
      <c r="FB270" s="58">
        <f>IFERROR($BQ270/$BQ271-1,"")</f>
        <v/>
      </c>
      <c r="FC270" s="58">
        <f>IFERROR($BR270/$BR271-1,"")</f>
        <v/>
      </c>
      <c r="FD270" s="58">
        <f>IFERROR($BS270/$BS271-1,"")</f>
        <v/>
      </c>
      <c r="FE270" s="58">
        <f>IFERROR($BT270/$BT271-1,"")</f>
        <v/>
      </c>
      <c r="FF270" s="58">
        <f>IFERROR($BU270/$BU271-1,"")</f>
        <v/>
      </c>
      <c r="FG270" s="58">
        <f>IFERROR($BV270/$BV271-1,"")</f>
        <v/>
      </c>
      <c r="FH270" s="58">
        <f>IFERROR($BW270/$BW271-1,"")</f>
        <v/>
      </c>
      <c r="FI270" s="58">
        <f>IFERROR($BX270/$BX271-1,"")</f>
        <v/>
      </c>
      <c r="FJ270" s="59">
        <f>$BY270-$BY271</f>
        <v/>
      </c>
      <c r="FK270" s="59">
        <f>$BZ270-$BZ271</f>
        <v/>
      </c>
      <c r="FL270" s="59">
        <f>$CA270-$CA271</f>
        <v/>
      </c>
      <c r="FM270" s="59">
        <f>$CB270-$CB271</f>
        <v/>
      </c>
      <c r="FN270" s="59">
        <f>$CC270-$CC271</f>
        <v/>
      </c>
      <c r="FO270" s="59">
        <f>$CD270-$CD271</f>
        <v/>
      </c>
      <c r="FP270" s="59">
        <f>$CE270-$CE271</f>
        <v/>
      </c>
      <c r="FQ270" s="59">
        <f>$CF270-$CF271</f>
        <v/>
      </c>
      <c r="FR270" s="59">
        <f>$CG270-$CG271</f>
        <v/>
      </c>
      <c r="FS270" s="59">
        <f>$CH270-$CH271</f>
        <v/>
      </c>
      <c r="FT270" s="59">
        <f>$CI270-$CI271</f>
        <v/>
      </c>
      <c r="FU270" s="59">
        <f>$CJ270-$CJ271</f>
        <v/>
      </c>
      <c r="FV270" s="59">
        <f>$CK270-$CK271</f>
        <v/>
      </c>
      <c r="FW270" s="59">
        <f>$CL270-$CL271</f>
        <v/>
      </c>
      <c r="FX270" s="59">
        <f>$CM270-$CM271</f>
        <v/>
      </c>
      <c r="FY270" s="59">
        <f>$CN270-$CN271</f>
        <v/>
      </c>
      <c r="FZ270" s="59">
        <f>$CO270-$CO271</f>
        <v/>
      </c>
      <c r="GA270" s="59">
        <f>$CP270-$CP271</f>
        <v/>
      </c>
      <c r="GB270" s="59">
        <f>$CQ270-$CQ271</f>
        <v/>
      </c>
      <c r="GC270" s="59">
        <f>$CR270-$CR271</f>
        <v/>
      </c>
      <c r="GD270" s="59">
        <f>$CS270-$CS271</f>
        <v/>
      </c>
      <c r="GE270" s="59">
        <f>$CT270-$CT271</f>
        <v/>
      </c>
    </row>
    <row r="271">
      <c r="CU271" s="58">
        <f>IFERROR($B271/$B272-1,"")</f>
        <v/>
      </c>
      <c r="CV271" s="59">
        <f>($F271-$F272)*100</f>
        <v/>
      </c>
      <c r="CW271" s="59">
        <f>($E271-$E272)*100</f>
        <v/>
      </c>
      <c r="CX271" s="58">
        <f>IFERROR($K271/$K272-1,"")</f>
        <v/>
      </c>
      <c r="CY271" s="59">
        <f>($AH271-$AH272)*100</f>
        <v/>
      </c>
      <c r="CZ271" s="59">
        <f>($AI271-$AI272)*100</f>
        <v/>
      </c>
      <c r="DA271" s="59">
        <f>($AJ271-$AJ272)*100</f>
        <v/>
      </c>
      <c r="DB271" s="59">
        <f>($AK271-$AK272)*100</f>
        <v/>
      </c>
      <c r="DC271" s="59">
        <f>($AL271-$AL272)*100</f>
        <v/>
      </c>
      <c r="DD271" s="59">
        <f>($AM271-$AM272)*100</f>
        <v/>
      </c>
      <c r="DE271" s="59">
        <f>($AN271-$AN272)*100</f>
        <v/>
      </c>
      <c r="DF271" s="59">
        <f>($AO271-$AO272)*100</f>
        <v/>
      </c>
      <c r="DG271" s="59">
        <f>($AP271-$AP272)*100</f>
        <v/>
      </c>
      <c r="DH271" s="59">
        <f>($AQ271-$AQ272)*100</f>
        <v/>
      </c>
      <c r="DI271" s="59">
        <f>($AR271-$AR272)*100</f>
        <v/>
      </c>
      <c r="DJ271" s="59">
        <f>($AS271-$AS272)*100</f>
        <v/>
      </c>
      <c r="DK271" s="59">
        <f>($AT271-$AT272)*100</f>
        <v/>
      </c>
      <c r="DL271" s="59">
        <f>($AU271-$AU272)*100</f>
        <v/>
      </c>
      <c r="DM271" s="59">
        <f>($AV271-$AV272)*100</f>
        <v/>
      </c>
      <c r="DN271" s="59">
        <f>($AW271-$AW272)*100</f>
        <v/>
      </c>
      <c r="DO271" s="59">
        <f>($AX271-$AX272)*100</f>
        <v/>
      </c>
      <c r="DP271" s="59">
        <f>($AY271-$AY272)*100</f>
        <v/>
      </c>
      <c r="DQ271" s="59">
        <f>($AZ271-$AZ272)*100</f>
        <v/>
      </c>
      <c r="DR271" s="59">
        <f>($BA271-$BA272)*100</f>
        <v/>
      </c>
      <c r="DS271" s="58">
        <f>IFERROR($N272/$N271-1,"")</f>
        <v/>
      </c>
      <c r="DT271" s="58">
        <f>IFERROR($O272/$O271-1,"")</f>
        <v/>
      </c>
      <c r="DU271" s="58">
        <f>IFERROR($P272/$P271-1,"")</f>
        <v/>
      </c>
      <c r="DV271" s="58">
        <f>IFERROR($Q272/$Q271-1,"")</f>
        <v/>
      </c>
      <c r="DW271" s="58">
        <f>IFERROR($R272/$R271-1,"")</f>
        <v/>
      </c>
      <c r="DX271" s="58">
        <f>IFERROR($S272/$S271-1,"")</f>
        <v/>
      </c>
      <c r="DY271" s="58">
        <f>IFERROR($T272/$T271-1,"")</f>
        <v/>
      </c>
      <c r="DZ271" s="58">
        <f>IFERROR($U272/$U271-1,"")</f>
        <v/>
      </c>
      <c r="EA271" s="58">
        <f>IFERROR($V272/$V271-1,"")</f>
        <v/>
      </c>
      <c r="EB271" s="58">
        <f>IFERROR($W272/$W271-1,"")</f>
        <v/>
      </c>
      <c r="EC271" s="58">
        <f>IFERROR($X272/$X271-1,"")</f>
        <v/>
      </c>
      <c r="ED271" s="58">
        <f>IFERROR($Y272/$Y271-1,"")</f>
        <v/>
      </c>
      <c r="EE271" s="58">
        <f>IFERROR($Z272/$Z271-1,"")</f>
        <v/>
      </c>
      <c r="EF271" s="58">
        <f>IFERROR($AA272/$AA271-1,"")</f>
        <v/>
      </c>
      <c r="EG271" s="58">
        <f>IFERROR($AB272/$AB271-1,"")</f>
        <v/>
      </c>
      <c r="EH271" s="58">
        <f>IFERROR($AC272/$AC271-1,"")</f>
        <v/>
      </c>
      <c r="EI271" s="58">
        <f>IFERROR($AD272/$AD271-1,"")</f>
        <v/>
      </c>
      <c r="EJ271" s="58">
        <f>IFERROR($AE272/$AE271-1,"")</f>
        <v/>
      </c>
      <c r="EK271" s="58">
        <f>IFERROR($AF272/$AF271-1,"")</f>
        <v/>
      </c>
      <c r="EL271" s="58">
        <f>IFERROR($AG272/$AG271-1,"")</f>
        <v/>
      </c>
      <c r="EM271" s="58">
        <f>IFERROR($BB271/$BB272-1,"")</f>
        <v/>
      </c>
      <c r="EN271" s="58">
        <f>IFERROR($BC271/$BC272-1,"")</f>
        <v/>
      </c>
      <c r="EO271" s="58">
        <f>IFERROR($BD271/$BD272-1,"")</f>
        <v/>
      </c>
      <c r="EP271" s="58">
        <f>IFERROR($BE271/$BE272-1,"")</f>
        <v/>
      </c>
      <c r="EQ271" s="58">
        <f>IFERROR($BF271/$BF272-1,"")</f>
        <v/>
      </c>
      <c r="ER271" s="58">
        <f>IFERROR($BG271/$BG272-1,"")</f>
        <v/>
      </c>
      <c r="ES271" s="58">
        <f>IFERROR($BH271/$BH272-1,"")</f>
        <v/>
      </c>
      <c r="ET271" s="58">
        <f>IFERROR($BI271/$BI272-1,"")</f>
        <v/>
      </c>
      <c r="EU271" s="58">
        <f>IFERROR($BJ271/$BJ272-1,"")</f>
        <v/>
      </c>
      <c r="EV271" s="58">
        <f>IFERROR($BK271/$BK272-1,"")</f>
        <v/>
      </c>
      <c r="EW271" s="58">
        <f>IFERROR($BL271/$BL272-1,"")</f>
        <v/>
      </c>
      <c r="EX271" s="58">
        <f>IFERROR($BM271/$BM272-1,"")</f>
        <v/>
      </c>
      <c r="EY271" s="58">
        <f>IFERROR($BN271/$BN272-1,"")</f>
        <v/>
      </c>
      <c r="EZ271" s="58">
        <f>IFERROR($BO271/$BO272-1,"")</f>
        <v/>
      </c>
      <c r="FA271" s="58">
        <f>IFERROR($BP271/$BP272-1,"")</f>
        <v/>
      </c>
      <c r="FB271" s="58">
        <f>IFERROR($BQ271/$BQ272-1,"")</f>
        <v/>
      </c>
      <c r="FC271" s="58">
        <f>IFERROR($BR271/$BR272-1,"")</f>
        <v/>
      </c>
      <c r="FD271" s="58">
        <f>IFERROR($BS271/$BS272-1,"")</f>
        <v/>
      </c>
      <c r="FE271" s="58">
        <f>IFERROR($BT271/$BT272-1,"")</f>
        <v/>
      </c>
      <c r="FF271" s="58">
        <f>IFERROR($BU271/$BU272-1,"")</f>
        <v/>
      </c>
      <c r="FG271" s="58">
        <f>IFERROR($BV271/$BV272-1,"")</f>
        <v/>
      </c>
      <c r="FH271" s="58">
        <f>IFERROR($BW271/$BW272-1,"")</f>
        <v/>
      </c>
      <c r="FI271" s="58">
        <f>IFERROR($BX271/$BX272-1,"")</f>
        <v/>
      </c>
      <c r="FJ271" s="59">
        <f>$BY271-$BY272</f>
        <v/>
      </c>
      <c r="FK271" s="59">
        <f>$BZ271-$BZ272</f>
        <v/>
      </c>
      <c r="FL271" s="59">
        <f>$CA271-$CA272</f>
        <v/>
      </c>
      <c r="FM271" s="59">
        <f>$CB271-$CB272</f>
        <v/>
      </c>
      <c r="FN271" s="59">
        <f>$CC271-$CC272</f>
        <v/>
      </c>
      <c r="FO271" s="59">
        <f>$CD271-$CD272</f>
        <v/>
      </c>
      <c r="FP271" s="59">
        <f>$CE271-$CE272</f>
        <v/>
      </c>
      <c r="FQ271" s="59">
        <f>$CF271-$CF272</f>
        <v/>
      </c>
      <c r="FR271" s="59">
        <f>$CG271-$CG272</f>
        <v/>
      </c>
      <c r="FS271" s="59">
        <f>$CH271-$CH272</f>
        <v/>
      </c>
      <c r="FT271" s="59">
        <f>$CI271-$CI272</f>
        <v/>
      </c>
      <c r="FU271" s="59">
        <f>$CJ271-$CJ272</f>
        <v/>
      </c>
      <c r="FV271" s="59">
        <f>$CK271-$CK272</f>
        <v/>
      </c>
      <c r="FW271" s="59">
        <f>$CL271-$CL272</f>
        <v/>
      </c>
      <c r="FX271" s="59">
        <f>$CM271-$CM272</f>
        <v/>
      </c>
      <c r="FY271" s="59">
        <f>$CN271-$CN272</f>
        <v/>
      </c>
      <c r="FZ271" s="59">
        <f>$CO271-$CO272</f>
        <v/>
      </c>
      <c r="GA271" s="59">
        <f>$CP271-$CP272</f>
        <v/>
      </c>
      <c r="GB271" s="59">
        <f>$CQ271-$CQ272</f>
        <v/>
      </c>
      <c r="GC271" s="59">
        <f>$CR271-$CR272</f>
        <v/>
      </c>
      <c r="GD271" s="59">
        <f>$CS271-$CS272</f>
        <v/>
      </c>
      <c r="GE271" s="59">
        <f>$CT271-$CT272</f>
        <v/>
      </c>
    </row>
    <row r="272">
      <c r="CU272" s="58">
        <f>IFERROR($B272/$B273-1,"")</f>
        <v/>
      </c>
      <c r="CV272" s="59">
        <f>($F272-$F273)*100</f>
        <v/>
      </c>
      <c r="CW272" s="59">
        <f>($E272-$E273)*100</f>
        <v/>
      </c>
      <c r="CX272" s="58">
        <f>IFERROR($K272/$K273-1,"")</f>
        <v/>
      </c>
      <c r="CY272" s="59">
        <f>($AH272-$AH273)*100</f>
        <v/>
      </c>
      <c r="CZ272" s="59">
        <f>($AI272-$AI273)*100</f>
        <v/>
      </c>
      <c r="DA272" s="59">
        <f>($AJ272-$AJ273)*100</f>
        <v/>
      </c>
      <c r="DB272" s="59">
        <f>($AK272-$AK273)*100</f>
        <v/>
      </c>
      <c r="DC272" s="59">
        <f>($AL272-$AL273)*100</f>
        <v/>
      </c>
      <c r="DD272" s="59">
        <f>($AM272-$AM273)*100</f>
        <v/>
      </c>
      <c r="DE272" s="59">
        <f>($AN272-$AN273)*100</f>
        <v/>
      </c>
      <c r="DF272" s="59">
        <f>($AO272-$AO273)*100</f>
        <v/>
      </c>
      <c r="DG272" s="59">
        <f>($AP272-$AP273)*100</f>
        <v/>
      </c>
      <c r="DH272" s="59">
        <f>($AQ272-$AQ273)*100</f>
        <v/>
      </c>
      <c r="DI272" s="59">
        <f>($AR272-$AR273)*100</f>
        <v/>
      </c>
      <c r="DJ272" s="59">
        <f>($AS272-$AS273)*100</f>
        <v/>
      </c>
      <c r="DK272" s="59">
        <f>($AT272-$AT273)*100</f>
        <v/>
      </c>
      <c r="DL272" s="59">
        <f>($AU272-$AU273)*100</f>
        <v/>
      </c>
      <c r="DM272" s="59">
        <f>($AV272-$AV273)*100</f>
        <v/>
      </c>
      <c r="DN272" s="59">
        <f>($AW272-$AW273)*100</f>
        <v/>
      </c>
      <c r="DO272" s="59">
        <f>($AX272-$AX273)*100</f>
        <v/>
      </c>
      <c r="DP272" s="59">
        <f>($AY272-$AY273)*100</f>
        <v/>
      </c>
      <c r="DQ272" s="59">
        <f>($AZ272-$AZ273)*100</f>
        <v/>
      </c>
      <c r="DR272" s="59">
        <f>($BA272-$BA273)*100</f>
        <v/>
      </c>
      <c r="DS272" s="58">
        <f>IFERROR($N273/$N272-1,"")</f>
        <v/>
      </c>
      <c r="DT272" s="58">
        <f>IFERROR($O273/$O272-1,"")</f>
        <v/>
      </c>
      <c r="DU272" s="58">
        <f>IFERROR($P273/$P272-1,"")</f>
        <v/>
      </c>
      <c r="DV272" s="58">
        <f>IFERROR($Q273/$Q272-1,"")</f>
        <v/>
      </c>
      <c r="DW272" s="58">
        <f>IFERROR($R273/$R272-1,"")</f>
        <v/>
      </c>
      <c r="DX272" s="58">
        <f>IFERROR($S273/$S272-1,"")</f>
        <v/>
      </c>
      <c r="DY272" s="58">
        <f>IFERROR($T273/$T272-1,"")</f>
        <v/>
      </c>
      <c r="DZ272" s="58">
        <f>IFERROR($U273/$U272-1,"")</f>
        <v/>
      </c>
      <c r="EA272" s="58">
        <f>IFERROR($V273/$V272-1,"")</f>
        <v/>
      </c>
      <c r="EB272" s="58">
        <f>IFERROR($W273/$W272-1,"")</f>
        <v/>
      </c>
      <c r="EC272" s="58">
        <f>IFERROR($X273/$X272-1,"")</f>
        <v/>
      </c>
      <c r="ED272" s="58">
        <f>IFERROR($Y273/$Y272-1,"")</f>
        <v/>
      </c>
      <c r="EE272" s="58">
        <f>IFERROR($Z273/$Z272-1,"")</f>
        <v/>
      </c>
      <c r="EF272" s="58">
        <f>IFERROR($AA273/$AA272-1,"")</f>
        <v/>
      </c>
      <c r="EG272" s="58">
        <f>IFERROR($AB273/$AB272-1,"")</f>
        <v/>
      </c>
      <c r="EH272" s="58">
        <f>IFERROR($AC273/$AC272-1,"")</f>
        <v/>
      </c>
      <c r="EI272" s="58">
        <f>IFERROR($AD273/$AD272-1,"")</f>
        <v/>
      </c>
      <c r="EJ272" s="58">
        <f>IFERROR($AE273/$AE272-1,"")</f>
        <v/>
      </c>
      <c r="EK272" s="58">
        <f>IFERROR($AF273/$AF272-1,"")</f>
        <v/>
      </c>
      <c r="EL272" s="58">
        <f>IFERROR($AG273/$AG272-1,"")</f>
        <v/>
      </c>
      <c r="EM272" s="58">
        <f>IFERROR($BB272/$BB273-1,"")</f>
        <v/>
      </c>
      <c r="EN272" s="58">
        <f>IFERROR($BC272/$BC273-1,"")</f>
        <v/>
      </c>
      <c r="EO272" s="58">
        <f>IFERROR($BD272/$BD273-1,"")</f>
        <v/>
      </c>
      <c r="EP272" s="58">
        <f>IFERROR($BE272/$BE273-1,"")</f>
        <v/>
      </c>
      <c r="EQ272" s="58">
        <f>IFERROR($BF272/$BF273-1,"")</f>
        <v/>
      </c>
      <c r="ER272" s="58">
        <f>IFERROR($BG272/$BG273-1,"")</f>
        <v/>
      </c>
      <c r="ES272" s="58">
        <f>IFERROR($BH272/$BH273-1,"")</f>
        <v/>
      </c>
      <c r="ET272" s="58">
        <f>IFERROR($BI272/$BI273-1,"")</f>
        <v/>
      </c>
      <c r="EU272" s="58">
        <f>IFERROR($BJ272/$BJ273-1,"")</f>
        <v/>
      </c>
      <c r="EV272" s="58">
        <f>IFERROR($BK272/$BK273-1,"")</f>
        <v/>
      </c>
      <c r="EW272" s="58">
        <f>IFERROR($BL272/$BL273-1,"")</f>
        <v/>
      </c>
      <c r="EX272" s="58">
        <f>IFERROR($BM272/$BM273-1,"")</f>
        <v/>
      </c>
      <c r="EY272" s="58">
        <f>IFERROR($BN272/$BN273-1,"")</f>
        <v/>
      </c>
      <c r="EZ272" s="58">
        <f>IFERROR($BO272/$BO273-1,"")</f>
        <v/>
      </c>
      <c r="FA272" s="58">
        <f>IFERROR($BP272/$BP273-1,"")</f>
        <v/>
      </c>
      <c r="FB272" s="58">
        <f>IFERROR($BQ272/$BQ273-1,"")</f>
        <v/>
      </c>
      <c r="FC272" s="58">
        <f>IFERROR($BR272/$BR273-1,"")</f>
        <v/>
      </c>
      <c r="FD272" s="58">
        <f>IFERROR($BS272/$BS273-1,"")</f>
        <v/>
      </c>
      <c r="FE272" s="58">
        <f>IFERROR($BT272/$BT273-1,"")</f>
        <v/>
      </c>
      <c r="FF272" s="58">
        <f>IFERROR($BU272/$BU273-1,"")</f>
        <v/>
      </c>
      <c r="FG272" s="58">
        <f>IFERROR($BV272/$BV273-1,"")</f>
        <v/>
      </c>
      <c r="FH272" s="58">
        <f>IFERROR($BW272/$BW273-1,"")</f>
        <v/>
      </c>
      <c r="FI272" s="58">
        <f>IFERROR($BX272/$BX273-1,"")</f>
        <v/>
      </c>
      <c r="FJ272" s="59">
        <f>$BY272-$BY273</f>
        <v/>
      </c>
      <c r="FK272" s="59">
        <f>$BZ272-$BZ273</f>
        <v/>
      </c>
      <c r="FL272" s="59">
        <f>$CA272-$CA273</f>
        <v/>
      </c>
      <c r="FM272" s="59">
        <f>$CB272-$CB273</f>
        <v/>
      </c>
      <c r="FN272" s="59">
        <f>$CC272-$CC273</f>
        <v/>
      </c>
      <c r="FO272" s="59">
        <f>$CD272-$CD273</f>
        <v/>
      </c>
      <c r="FP272" s="59">
        <f>$CE272-$CE273</f>
        <v/>
      </c>
      <c r="FQ272" s="59">
        <f>$CF272-$CF273</f>
        <v/>
      </c>
      <c r="FR272" s="59">
        <f>$CG272-$CG273</f>
        <v/>
      </c>
      <c r="FS272" s="59">
        <f>$CH272-$CH273</f>
        <v/>
      </c>
      <c r="FT272" s="59">
        <f>$CI272-$CI273</f>
        <v/>
      </c>
      <c r="FU272" s="59">
        <f>$CJ272-$CJ273</f>
        <v/>
      </c>
      <c r="FV272" s="59">
        <f>$CK272-$CK273</f>
        <v/>
      </c>
      <c r="FW272" s="59">
        <f>$CL272-$CL273</f>
        <v/>
      </c>
      <c r="FX272" s="59">
        <f>$CM272-$CM273</f>
        <v/>
      </c>
      <c r="FY272" s="59">
        <f>$CN272-$CN273</f>
        <v/>
      </c>
      <c r="FZ272" s="59">
        <f>$CO272-$CO273</f>
        <v/>
      </c>
      <c r="GA272" s="59">
        <f>$CP272-$CP273</f>
        <v/>
      </c>
      <c r="GB272" s="59">
        <f>$CQ272-$CQ273</f>
        <v/>
      </c>
      <c r="GC272" s="59">
        <f>$CR272-$CR273</f>
        <v/>
      </c>
      <c r="GD272" s="59">
        <f>$CS272-$CS273</f>
        <v/>
      </c>
      <c r="GE272" s="59">
        <f>$CT272-$CT273</f>
        <v/>
      </c>
    </row>
    <row r="273">
      <c r="CU273" s="58">
        <f>IFERROR($B273/$B274-1,"")</f>
        <v/>
      </c>
      <c r="CV273" s="59">
        <f>($F273-$F274)*100</f>
        <v/>
      </c>
      <c r="CW273" s="59">
        <f>($E273-$E274)*100</f>
        <v/>
      </c>
      <c r="CX273" s="58">
        <f>IFERROR($K273/$K274-1,"")</f>
        <v/>
      </c>
      <c r="CY273" s="59">
        <f>($AH273-$AH274)*100</f>
        <v/>
      </c>
      <c r="CZ273" s="59">
        <f>($AI273-$AI274)*100</f>
        <v/>
      </c>
      <c r="DA273" s="59">
        <f>($AJ273-$AJ274)*100</f>
        <v/>
      </c>
      <c r="DB273" s="59">
        <f>($AK273-$AK274)*100</f>
        <v/>
      </c>
      <c r="DC273" s="59">
        <f>($AL273-$AL274)*100</f>
        <v/>
      </c>
      <c r="DD273" s="59">
        <f>($AM273-$AM274)*100</f>
        <v/>
      </c>
      <c r="DE273" s="59">
        <f>($AN273-$AN274)*100</f>
        <v/>
      </c>
      <c r="DF273" s="59">
        <f>($AO273-$AO274)*100</f>
        <v/>
      </c>
      <c r="DG273" s="59">
        <f>($AP273-$AP274)*100</f>
        <v/>
      </c>
      <c r="DH273" s="59">
        <f>($AQ273-$AQ274)*100</f>
        <v/>
      </c>
      <c r="DI273" s="59">
        <f>($AR273-$AR274)*100</f>
        <v/>
      </c>
      <c r="DJ273" s="59">
        <f>($AS273-$AS274)*100</f>
        <v/>
      </c>
      <c r="DK273" s="59">
        <f>($AT273-$AT274)*100</f>
        <v/>
      </c>
      <c r="DL273" s="59">
        <f>($AU273-$AU274)*100</f>
        <v/>
      </c>
      <c r="DM273" s="59">
        <f>($AV273-$AV274)*100</f>
        <v/>
      </c>
      <c r="DN273" s="59">
        <f>($AW273-$AW274)*100</f>
        <v/>
      </c>
      <c r="DO273" s="59">
        <f>($AX273-$AX274)*100</f>
        <v/>
      </c>
      <c r="DP273" s="59">
        <f>($AY273-$AY274)*100</f>
        <v/>
      </c>
      <c r="DQ273" s="59">
        <f>($AZ273-$AZ274)*100</f>
        <v/>
      </c>
      <c r="DR273" s="59">
        <f>($BA273-$BA274)*100</f>
        <v/>
      </c>
      <c r="DS273" s="58">
        <f>IFERROR($N274/$N273-1,"")</f>
        <v/>
      </c>
      <c r="DT273" s="58">
        <f>IFERROR($O274/$O273-1,"")</f>
        <v/>
      </c>
      <c r="DU273" s="58">
        <f>IFERROR($P274/$P273-1,"")</f>
        <v/>
      </c>
      <c r="DV273" s="58">
        <f>IFERROR($Q274/$Q273-1,"")</f>
        <v/>
      </c>
      <c r="DW273" s="58">
        <f>IFERROR($R274/$R273-1,"")</f>
        <v/>
      </c>
      <c r="DX273" s="58">
        <f>IFERROR($S274/$S273-1,"")</f>
        <v/>
      </c>
      <c r="DY273" s="58">
        <f>IFERROR($T274/$T273-1,"")</f>
        <v/>
      </c>
      <c r="DZ273" s="58">
        <f>IFERROR($U274/$U273-1,"")</f>
        <v/>
      </c>
      <c r="EA273" s="58">
        <f>IFERROR($V274/$V273-1,"")</f>
        <v/>
      </c>
      <c r="EB273" s="58">
        <f>IFERROR($W274/$W273-1,"")</f>
        <v/>
      </c>
      <c r="EC273" s="58">
        <f>IFERROR($X274/$X273-1,"")</f>
        <v/>
      </c>
      <c r="ED273" s="58">
        <f>IFERROR($Y274/$Y273-1,"")</f>
        <v/>
      </c>
      <c r="EE273" s="58">
        <f>IFERROR($Z274/$Z273-1,"")</f>
        <v/>
      </c>
      <c r="EF273" s="58">
        <f>IFERROR($AA274/$AA273-1,"")</f>
        <v/>
      </c>
      <c r="EG273" s="58">
        <f>IFERROR($AB274/$AB273-1,"")</f>
        <v/>
      </c>
      <c r="EH273" s="58">
        <f>IFERROR($AC274/$AC273-1,"")</f>
        <v/>
      </c>
      <c r="EI273" s="58">
        <f>IFERROR($AD274/$AD273-1,"")</f>
        <v/>
      </c>
      <c r="EJ273" s="58">
        <f>IFERROR($AE274/$AE273-1,"")</f>
        <v/>
      </c>
      <c r="EK273" s="58">
        <f>IFERROR($AF274/$AF273-1,"")</f>
        <v/>
      </c>
      <c r="EL273" s="58">
        <f>IFERROR($AG274/$AG273-1,"")</f>
        <v/>
      </c>
      <c r="EM273" s="58">
        <f>IFERROR($BB273/$BB274-1,"")</f>
        <v/>
      </c>
      <c r="EN273" s="58">
        <f>IFERROR($BC273/$BC274-1,"")</f>
        <v/>
      </c>
      <c r="EO273" s="58">
        <f>IFERROR($BD273/$BD274-1,"")</f>
        <v/>
      </c>
      <c r="EP273" s="58">
        <f>IFERROR($BE273/$BE274-1,"")</f>
        <v/>
      </c>
      <c r="EQ273" s="58">
        <f>IFERROR($BF273/$BF274-1,"")</f>
        <v/>
      </c>
      <c r="ER273" s="58">
        <f>IFERROR($BG273/$BG274-1,"")</f>
        <v/>
      </c>
      <c r="ES273" s="58">
        <f>IFERROR($BH273/$BH274-1,"")</f>
        <v/>
      </c>
      <c r="ET273" s="58">
        <f>IFERROR($BI273/$BI274-1,"")</f>
        <v/>
      </c>
      <c r="EU273" s="58">
        <f>IFERROR($BJ273/$BJ274-1,"")</f>
        <v/>
      </c>
      <c r="EV273" s="58">
        <f>IFERROR($BK273/$BK274-1,"")</f>
        <v/>
      </c>
      <c r="EW273" s="58">
        <f>IFERROR($BL273/$BL274-1,"")</f>
        <v/>
      </c>
      <c r="EX273" s="58">
        <f>IFERROR($BM273/$BM274-1,"")</f>
        <v/>
      </c>
      <c r="EY273" s="58">
        <f>IFERROR($BN273/$BN274-1,"")</f>
        <v/>
      </c>
      <c r="EZ273" s="58">
        <f>IFERROR($BO273/$BO274-1,"")</f>
        <v/>
      </c>
      <c r="FA273" s="58">
        <f>IFERROR($BP273/$BP274-1,"")</f>
        <v/>
      </c>
      <c r="FB273" s="58">
        <f>IFERROR($BQ273/$BQ274-1,"")</f>
        <v/>
      </c>
      <c r="FC273" s="58">
        <f>IFERROR($BR273/$BR274-1,"")</f>
        <v/>
      </c>
      <c r="FD273" s="58">
        <f>IFERROR($BS273/$BS274-1,"")</f>
        <v/>
      </c>
      <c r="FE273" s="58">
        <f>IFERROR($BT273/$BT274-1,"")</f>
        <v/>
      </c>
      <c r="FF273" s="58">
        <f>IFERROR($BU273/$BU274-1,"")</f>
        <v/>
      </c>
      <c r="FG273" s="58">
        <f>IFERROR($BV273/$BV274-1,"")</f>
        <v/>
      </c>
      <c r="FH273" s="58">
        <f>IFERROR($BW273/$BW274-1,"")</f>
        <v/>
      </c>
      <c r="FI273" s="58">
        <f>IFERROR($BX273/$BX274-1,"")</f>
        <v/>
      </c>
      <c r="FJ273" s="59">
        <f>$BY273-$BY274</f>
        <v/>
      </c>
      <c r="FK273" s="59">
        <f>$BZ273-$BZ274</f>
        <v/>
      </c>
      <c r="FL273" s="59">
        <f>$CA273-$CA274</f>
        <v/>
      </c>
      <c r="FM273" s="59">
        <f>$CB273-$CB274</f>
        <v/>
      </c>
      <c r="FN273" s="59">
        <f>$CC273-$CC274</f>
        <v/>
      </c>
      <c r="FO273" s="59">
        <f>$CD273-$CD274</f>
        <v/>
      </c>
      <c r="FP273" s="59">
        <f>$CE273-$CE274</f>
        <v/>
      </c>
      <c r="FQ273" s="59">
        <f>$CF273-$CF274</f>
        <v/>
      </c>
      <c r="FR273" s="59">
        <f>$CG273-$CG274</f>
        <v/>
      </c>
      <c r="FS273" s="59">
        <f>$CH273-$CH274</f>
        <v/>
      </c>
      <c r="FT273" s="59">
        <f>$CI273-$CI274</f>
        <v/>
      </c>
      <c r="FU273" s="59">
        <f>$CJ273-$CJ274</f>
        <v/>
      </c>
      <c r="FV273" s="59">
        <f>$CK273-$CK274</f>
        <v/>
      </c>
      <c r="FW273" s="59">
        <f>$CL273-$CL274</f>
        <v/>
      </c>
      <c r="FX273" s="59">
        <f>$CM273-$CM274</f>
        <v/>
      </c>
      <c r="FY273" s="59">
        <f>$CN273-$CN274</f>
        <v/>
      </c>
      <c r="FZ273" s="59">
        <f>$CO273-$CO274</f>
        <v/>
      </c>
      <c r="GA273" s="59">
        <f>$CP273-$CP274</f>
        <v/>
      </c>
      <c r="GB273" s="59">
        <f>$CQ273-$CQ274</f>
        <v/>
      </c>
      <c r="GC273" s="59">
        <f>$CR273-$CR274</f>
        <v/>
      </c>
      <c r="GD273" s="59">
        <f>$CS273-$CS274</f>
        <v/>
      </c>
      <c r="GE273" s="59">
        <f>$CT273-$CT274</f>
        <v/>
      </c>
    </row>
    <row r="274">
      <c r="CU274" s="58">
        <f>IFERROR($B274/$B275-1,"")</f>
        <v/>
      </c>
      <c r="CV274" s="59">
        <f>($F274-$F275)*100</f>
        <v/>
      </c>
      <c r="CW274" s="59">
        <f>($E274-$E275)*100</f>
        <v/>
      </c>
      <c r="CX274" s="58">
        <f>IFERROR($K274/$K275-1,"")</f>
        <v/>
      </c>
      <c r="CY274" s="59">
        <f>($AH274-$AH275)*100</f>
        <v/>
      </c>
      <c r="CZ274" s="59">
        <f>($AI274-$AI275)*100</f>
        <v/>
      </c>
      <c r="DA274" s="59">
        <f>($AJ274-$AJ275)*100</f>
        <v/>
      </c>
      <c r="DB274" s="59">
        <f>($AK274-$AK275)*100</f>
        <v/>
      </c>
      <c r="DC274" s="59">
        <f>($AL274-$AL275)*100</f>
        <v/>
      </c>
      <c r="DD274" s="59">
        <f>($AM274-$AM275)*100</f>
        <v/>
      </c>
      <c r="DE274" s="59">
        <f>($AN274-$AN275)*100</f>
        <v/>
      </c>
      <c r="DF274" s="59">
        <f>($AO274-$AO275)*100</f>
        <v/>
      </c>
      <c r="DG274" s="59">
        <f>($AP274-$AP275)*100</f>
        <v/>
      </c>
      <c r="DH274" s="59">
        <f>($AQ274-$AQ275)*100</f>
        <v/>
      </c>
      <c r="DI274" s="59">
        <f>($AR274-$AR275)*100</f>
        <v/>
      </c>
      <c r="DJ274" s="59">
        <f>($AS274-$AS275)*100</f>
        <v/>
      </c>
      <c r="DK274" s="59">
        <f>($AT274-$AT275)*100</f>
        <v/>
      </c>
      <c r="DL274" s="59">
        <f>($AU274-$AU275)*100</f>
        <v/>
      </c>
      <c r="DM274" s="59">
        <f>($AV274-$AV275)*100</f>
        <v/>
      </c>
      <c r="DN274" s="59">
        <f>($AW274-$AW275)*100</f>
        <v/>
      </c>
      <c r="DO274" s="59">
        <f>($AX274-$AX275)*100</f>
        <v/>
      </c>
      <c r="DP274" s="59">
        <f>($AY274-$AY275)*100</f>
        <v/>
      </c>
      <c r="DQ274" s="59">
        <f>($AZ274-$AZ275)*100</f>
        <v/>
      </c>
      <c r="DR274" s="59">
        <f>($BA274-$BA275)*100</f>
        <v/>
      </c>
      <c r="DS274" s="58">
        <f>IFERROR($N275/$N274-1,"")</f>
        <v/>
      </c>
      <c r="DT274" s="58">
        <f>IFERROR($O275/$O274-1,"")</f>
        <v/>
      </c>
      <c r="DU274" s="58">
        <f>IFERROR($P275/$P274-1,"")</f>
        <v/>
      </c>
      <c r="DV274" s="58">
        <f>IFERROR($Q275/$Q274-1,"")</f>
        <v/>
      </c>
      <c r="DW274" s="58">
        <f>IFERROR($R275/$R274-1,"")</f>
        <v/>
      </c>
      <c r="DX274" s="58">
        <f>IFERROR($S275/$S274-1,"")</f>
        <v/>
      </c>
      <c r="DY274" s="58">
        <f>IFERROR($T275/$T274-1,"")</f>
        <v/>
      </c>
      <c r="DZ274" s="58">
        <f>IFERROR($U275/$U274-1,"")</f>
        <v/>
      </c>
      <c r="EA274" s="58">
        <f>IFERROR($V275/$V274-1,"")</f>
        <v/>
      </c>
      <c r="EB274" s="58">
        <f>IFERROR($W275/$W274-1,"")</f>
        <v/>
      </c>
      <c r="EC274" s="58">
        <f>IFERROR($X275/$X274-1,"")</f>
        <v/>
      </c>
      <c r="ED274" s="58">
        <f>IFERROR($Y275/$Y274-1,"")</f>
        <v/>
      </c>
      <c r="EE274" s="58">
        <f>IFERROR($Z275/$Z274-1,"")</f>
        <v/>
      </c>
      <c r="EF274" s="58">
        <f>IFERROR($AA275/$AA274-1,"")</f>
        <v/>
      </c>
      <c r="EG274" s="58">
        <f>IFERROR($AB275/$AB274-1,"")</f>
        <v/>
      </c>
      <c r="EH274" s="58">
        <f>IFERROR($AC275/$AC274-1,"")</f>
        <v/>
      </c>
      <c r="EI274" s="58">
        <f>IFERROR($AD275/$AD274-1,"")</f>
        <v/>
      </c>
      <c r="EJ274" s="58">
        <f>IFERROR($AE275/$AE274-1,"")</f>
        <v/>
      </c>
      <c r="EK274" s="58">
        <f>IFERROR($AF275/$AF274-1,"")</f>
        <v/>
      </c>
      <c r="EL274" s="58">
        <f>IFERROR($AG275/$AG274-1,"")</f>
        <v/>
      </c>
      <c r="EM274" s="58">
        <f>IFERROR($BB274/$BB275-1,"")</f>
        <v/>
      </c>
      <c r="EN274" s="58">
        <f>IFERROR($BC274/$BC275-1,"")</f>
        <v/>
      </c>
      <c r="EO274" s="58">
        <f>IFERROR($BD274/$BD275-1,"")</f>
        <v/>
      </c>
      <c r="EP274" s="58">
        <f>IFERROR($BE274/$BE275-1,"")</f>
        <v/>
      </c>
      <c r="EQ274" s="58">
        <f>IFERROR($BF274/$BF275-1,"")</f>
        <v/>
      </c>
      <c r="ER274" s="58">
        <f>IFERROR($BG274/$BG275-1,"")</f>
        <v/>
      </c>
      <c r="ES274" s="58">
        <f>IFERROR($BH274/$BH275-1,"")</f>
        <v/>
      </c>
      <c r="ET274" s="58">
        <f>IFERROR($BI274/$BI275-1,"")</f>
        <v/>
      </c>
      <c r="EU274" s="58">
        <f>IFERROR($BJ274/$BJ275-1,"")</f>
        <v/>
      </c>
      <c r="EV274" s="58">
        <f>IFERROR($BK274/$BK275-1,"")</f>
        <v/>
      </c>
      <c r="EW274" s="58">
        <f>IFERROR($BL274/$BL275-1,"")</f>
        <v/>
      </c>
      <c r="EX274" s="58">
        <f>IFERROR($BM274/$BM275-1,"")</f>
        <v/>
      </c>
      <c r="EY274" s="58">
        <f>IFERROR($BN274/$BN275-1,"")</f>
        <v/>
      </c>
      <c r="EZ274" s="58">
        <f>IFERROR($BO274/$BO275-1,"")</f>
        <v/>
      </c>
      <c r="FA274" s="58">
        <f>IFERROR($BP274/$BP275-1,"")</f>
        <v/>
      </c>
      <c r="FB274" s="58">
        <f>IFERROR($BQ274/$BQ275-1,"")</f>
        <v/>
      </c>
      <c r="FC274" s="58">
        <f>IFERROR($BR274/$BR275-1,"")</f>
        <v/>
      </c>
      <c r="FD274" s="58">
        <f>IFERROR($BS274/$BS275-1,"")</f>
        <v/>
      </c>
      <c r="FE274" s="58">
        <f>IFERROR($BT274/$BT275-1,"")</f>
        <v/>
      </c>
      <c r="FF274" s="58">
        <f>IFERROR($BU274/$BU275-1,"")</f>
        <v/>
      </c>
      <c r="FG274" s="58">
        <f>IFERROR($BV274/$BV275-1,"")</f>
        <v/>
      </c>
      <c r="FH274" s="58">
        <f>IFERROR($BW274/$BW275-1,"")</f>
        <v/>
      </c>
      <c r="FI274" s="58">
        <f>IFERROR($BX274/$BX275-1,"")</f>
        <v/>
      </c>
      <c r="FJ274" s="59">
        <f>$BY274-$BY275</f>
        <v/>
      </c>
      <c r="FK274" s="59">
        <f>$BZ274-$BZ275</f>
        <v/>
      </c>
      <c r="FL274" s="59">
        <f>$CA274-$CA275</f>
        <v/>
      </c>
      <c r="FM274" s="59">
        <f>$CB274-$CB275</f>
        <v/>
      </c>
      <c r="FN274" s="59">
        <f>$CC274-$CC275</f>
        <v/>
      </c>
      <c r="FO274" s="59">
        <f>$CD274-$CD275</f>
        <v/>
      </c>
      <c r="FP274" s="59">
        <f>$CE274-$CE275</f>
        <v/>
      </c>
      <c r="FQ274" s="59">
        <f>$CF274-$CF275</f>
        <v/>
      </c>
      <c r="FR274" s="59">
        <f>$CG274-$CG275</f>
        <v/>
      </c>
      <c r="FS274" s="59">
        <f>$CH274-$CH275</f>
        <v/>
      </c>
      <c r="FT274" s="59">
        <f>$CI274-$CI275</f>
        <v/>
      </c>
      <c r="FU274" s="59">
        <f>$CJ274-$CJ275</f>
        <v/>
      </c>
      <c r="FV274" s="59">
        <f>$CK274-$CK275</f>
        <v/>
      </c>
      <c r="FW274" s="59">
        <f>$CL274-$CL275</f>
        <v/>
      </c>
      <c r="FX274" s="59">
        <f>$CM274-$CM275</f>
        <v/>
      </c>
      <c r="FY274" s="59">
        <f>$CN274-$CN275</f>
        <v/>
      </c>
      <c r="FZ274" s="59">
        <f>$CO274-$CO275</f>
        <v/>
      </c>
      <c r="GA274" s="59">
        <f>$CP274-$CP275</f>
        <v/>
      </c>
      <c r="GB274" s="59">
        <f>$CQ274-$CQ275</f>
        <v/>
      </c>
      <c r="GC274" s="59">
        <f>$CR274-$CR275</f>
        <v/>
      </c>
      <c r="GD274" s="59">
        <f>$CS274-$CS275</f>
        <v/>
      </c>
      <c r="GE274" s="59">
        <f>$CT274-$CT275</f>
        <v/>
      </c>
    </row>
    <row r="275">
      <c r="CU275" s="58">
        <f>IFERROR($B275/$B276-1,"")</f>
        <v/>
      </c>
      <c r="CV275" s="59">
        <f>($F275-$F276)*100</f>
        <v/>
      </c>
      <c r="CW275" s="59">
        <f>($E275-$E276)*100</f>
        <v/>
      </c>
      <c r="CX275" s="58">
        <f>IFERROR($K275/$K276-1,"")</f>
        <v/>
      </c>
      <c r="CY275" s="59">
        <f>($AH275-$AH276)*100</f>
        <v/>
      </c>
      <c r="CZ275" s="59">
        <f>($AI275-$AI276)*100</f>
        <v/>
      </c>
      <c r="DA275" s="59">
        <f>($AJ275-$AJ276)*100</f>
        <v/>
      </c>
      <c r="DB275" s="59">
        <f>($AK275-$AK276)*100</f>
        <v/>
      </c>
      <c r="DC275" s="59">
        <f>($AL275-$AL276)*100</f>
        <v/>
      </c>
      <c r="DD275" s="59">
        <f>($AM275-$AM276)*100</f>
        <v/>
      </c>
      <c r="DE275" s="59">
        <f>($AN275-$AN276)*100</f>
        <v/>
      </c>
      <c r="DF275" s="59">
        <f>($AO275-$AO276)*100</f>
        <v/>
      </c>
      <c r="DG275" s="59">
        <f>($AP275-$AP276)*100</f>
        <v/>
      </c>
      <c r="DH275" s="59">
        <f>($AQ275-$AQ276)*100</f>
        <v/>
      </c>
      <c r="DI275" s="59">
        <f>($AR275-$AR276)*100</f>
        <v/>
      </c>
      <c r="DJ275" s="59">
        <f>($AS275-$AS276)*100</f>
        <v/>
      </c>
      <c r="DK275" s="59">
        <f>($AT275-$AT276)*100</f>
        <v/>
      </c>
      <c r="DL275" s="59">
        <f>($AU275-$AU276)*100</f>
        <v/>
      </c>
      <c r="DM275" s="59">
        <f>($AV275-$AV276)*100</f>
        <v/>
      </c>
      <c r="DN275" s="59">
        <f>($AW275-$AW276)*100</f>
        <v/>
      </c>
      <c r="DO275" s="59">
        <f>($AX275-$AX276)*100</f>
        <v/>
      </c>
      <c r="DP275" s="59">
        <f>($AY275-$AY276)*100</f>
        <v/>
      </c>
      <c r="DQ275" s="59">
        <f>($AZ275-$AZ276)*100</f>
        <v/>
      </c>
      <c r="DR275" s="59">
        <f>($BA275-$BA276)*100</f>
        <v/>
      </c>
      <c r="DS275" s="58">
        <f>IFERROR($N276/$N275-1,"")</f>
        <v/>
      </c>
      <c r="DT275" s="58">
        <f>IFERROR($O276/$O275-1,"")</f>
        <v/>
      </c>
      <c r="DU275" s="58">
        <f>IFERROR($P276/$P275-1,"")</f>
        <v/>
      </c>
      <c r="DV275" s="58">
        <f>IFERROR($Q276/$Q275-1,"")</f>
        <v/>
      </c>
      <c r="DW275" s="58">
        <f>IFERROR($R276/$R275-1,"")</f>
        <v/>
      </c>
      <c r="DX275" s="58">
        <f>IFERROR($S276/$S275-1,"")</f>
        <v/>
      </c>
      <c r="DY275" s="58">
        <f>IFERROR($T276/$T275-1,"")</f>
        <v/>
      </c>
      <c r="DZ275" s="58">
        <f>IFERROR($U276/$U275-1,"")</f>
        <v/>
      </c>
      <c r="EA275" s="58">
        <f>IFERROR($V276/$V275-1,"")</f>
        <v/>
      </c>
      <c r="EB275" s="58">
        <f>IFERROR($W276/$W275-1,"")</f>
        <v/>
      </c>
      <c r="EC275" s="58">
        <f>IFERROR($X276/$X275-1,"")</f>
        <v/>
      </c>
      <c r="ED275" s="58">
        <f>IFERROR($Y276/$Y275-1,"")</f>
        <v/>
      </c>
      <c r="EE275" s="58">
        <f>IFERROR($Z276/$Z275-1,"")</f>
        <v/>
      </c>
      <c r="EF275" s="58">
        <f>IFERROR($AA276/$AA275-1,"")</f>
        <v/>
      </c>
      <c r="EG275" s="58">
        <f>IFERROR($AB276/$AB275-1,"")</f>
        <v/>
      </c>
      <c r="EH275" s="58">
        <f>IFERROR($AC276/$AC275-1,"")</f>
        <v/>
      </c>
      <c r="EI275" s="58">
        <f>IFERROR($AD276/$AD275-1,"")</f>
        <v/>
      </c>
      <c r="EJ275" s="58">
        <f>IFERROR($AE276/$AE275-1,"")</f>
        <v/>
      </c>
      <c r="EK275" s="58">
        <f>IFERROR($AF276/$AF275-1,"")</f>
        <v/>
      </c>
      <c r="EL275" s="58">
        <f>IFERROR($AG276/$AG275-1,"")</f>
        <v/>
      </c>
      <c r="EM275" s="58">
        <f>IFERROR($BB275/$BB276-1,"")</f>
        <v/>
      </c>
      <c r="EN275" s="58">
        <f>IFERROR($BC275/$BC276-1,"")</f>
        <v/>
      </c>
      <c r="EO275" s="58">
        <f>IFERROR($BD275/$BD276-1,"")</f>
        <v/>
      </c>
      <c r="EP275" s="58">
        <f>IFERROR($BE275/$BE276-1,"")</f>
        <v/>
      </c>
      <c r="EQ275" s="58">
        <f>IFERROR($BF275/$BF276-1,"")</f>
        <v/>
      </c>
      <c r="ER275" s="58">
        <f>IFERROR($BG275/$BG276-1,"")</f>
        <v/>
      </c>
      <c r="ES275" s="58">
        <f>IFERROR($BH275/$BH276-1,"")</f>
        <v/>
      </c>
      <c r="ET275" s="58">
        <f>IFERROR($BI275/$BI276-1,"")</f>
        <v/>
      </c>
      <c r="EU275" s="58">
        <f>IFERROR($BJ275/$BJ276-1,"")</f>
        <v/>
      </c>
      <c r="EV275" s="58">
        <f>IFERROR($BK275/$BK276-1,"")</f>
        <v/>
      </c>
      <c r="EW275" s="58">
        <f>IFERROR($BL275/$BL276-1,"")</f>
        <v/>
      </c>
      <c r="EX275" s="58">
        <f>IFERROR($BM275/$BM276-1,"")</f>
        <v/>
      </c>
      <c r="EY275" s="58">
        <f>IFERROR($BN275/$BN276-1,"")</f>
        <v/>
      </c>
      <c r="EZ275" s="58">
        <f>IFERROR($BO275/$BO276-1,"")</f>
        <v/>
      </c>
      <c r="FA275" s="58">
        <f>IFERROR($BP275/$BP276-1,"")</f>
        <v/>
      </c>
      <c r="FB275" s="58">
        <f>IFERROR($BQ275/$BQ276-1,"")</f>
        <v/>
      </c>
      <c r="FC275" s="58">
        <f>IFERROR($BR275/$BR276-1,"")</f>
        <v/>
      </c>
      <c r="FD275" s="58">
        <f>IFERROR($BS275/$BS276-1,"")</f>
        <v/>
      </c>
      <c r="FE275" s="58">
        <f>IFERROR($BT275/$BT276-1,"")</f>
        <v/>
      </c>
      <c r="FF275" s="58">
        <f>IFERROR($BU275/$BU276-1,"")</f>
        <v/>
      </c>
      <c r="FG275" s="58">
        <f>IFERROR($BV275/$BV276-1,"")</f>
        <v/>
      </c>
      <c r="FH275" s="58">
        <f>IFERROR($BW275/$BW276-1,"")</f>
        <v/>
      </c>
      <c r="FI275" s="58">
        <f>IFERROR($BX275/$BX276-1,"")</f>
        <v/>
      </c>
      <c r="FJ275" s="59">
        <f>$BY275-$BY276</f>
        <v/>
      </c>
      <c r="FK275" s="59">
        <f>$BZ275-$BZ276</f>
        <v/>
      </c>
      <c r="FL275" s="59">
        <f>$CA275-$CA276</f>
        <v/>
      </c>
      <c r="FM275" s="59">
        <f>$CB275-$CB276</f>
        <v/>
      </c>
      <c r="FN275" s="59">
        <f>$CC275-$CC276</f>
        <v/>
      </c>
      <c r="FO275" s="59">
        <f>$CD275-$CD276</f>
        <v/>
      </c>
      <c r="FP275" s="59">
        <f>$CE275-$CE276</f>
        <v/>
      </c>
      <c r="FQ275" s="59">
        <f>$CF275-$CF276</f>
        <v/>
      </c>
      <c r="FR275" s="59">
        <f>$CG275-$CG276</f>
        <v/>
      </c>
      <c r="FS275" s="59">
        <f>$CH275-$CH276</f>
        <v/>
      </c>
      <c r="FT275" s="59">
        <f>$CI275-$CI276</f>
        <v/>
      </c>
      <c r="FU275" s="59">
        <f>$CJ275-$CJ276</f>
        <v/>
      </c>
      <c r="FV275" s="59">
        <f>$CK275-$CK276</f>
        <v/>
      </c>
      <c r="FW275" s="59">
        <f>$CL275-$CL276</f>
        <v/>
      </c>
      <c r="FX275" s="59">
        <f>$CM275-$CM276</f>
        <v/>
      </c>
      <c r="FY275" s="59">
        <f>$CN275-$CN276</f>
        <v/>
      </c>
      <c r="FZ275" s="59">
        <f>$CO275-$CO276</f>
        <v/>
      </c>
      <c r="GA275" s="59">
        <f>$CP275-$CP276</f>
        <v/>
      </c>
      <c r="GB275" s="59">
        <f>$CQ275-$CQ276</f>
        <v/>
      </c>
      <c r="GC275" s="59">
        <f>$CR275-$CR276</f>
        <v/>
      </c>
      <c r="GD275" s="59">
        <f>$CS275-$CS276</f>
        <v/>
      </c>
      <c r="GE275" s="59">
        <f>$CT275-$CT276</f>
        <v/>
      </c>
    </row>
    <row r="276">
      <c r="CU276" s="58">
        <f>IFERROR($B276/$B277-1,"")</f>
        <v/>
      </c>
      <c r="CV276" s="59">
        <f>($F276-$F277)*100</f>
        <v/>
      </c>
      <c r="CW276" s="59">
        <f>($E276-$E277)*100</f>
        <v/>
      </c>
      <c r="CX276" s="58">
        <f>IFERROR($K276/$K277-1,"")</f>
        <v/>
      </c>
      <c r="CY276" s="59">
        <f>($AH276-$AH277)*100</f>
        <v/>
      </c>
      <c r="CZ276" s="59">
        <f>($AI276-$AI277)*100</f>
        <v/>
      </c>
      <c r="DA276" s="59">
        <f>($AJ276-$AJ277)*100</f>
        <v/>
      </c>
      <c r="DB276" s="59">
        <f>($AK276-$AK277)*100</f>
        <v/>
      </c>
      <c r="DC276" s="59">
        <f>($AL276-$AL277)*100</f>
        <v/>
      </c>
      <c r="DD276" s="59">
        <f>($AM276-$AM277)*100</f>
        <v/>
      </c>
      <c r="DE276" s="59">
        <f>($AN276-$AN277)*100</f>
        <v/>
      </c>
      <c r="DF276" s="59">
        <f>($AO276-$AO277)*100</f>
        <v/>
      </c>
      <c r="DG276" s="59">
        <f>($AP276-$AP277)*100</f>
        <v/>
      </c>
      <c r="DH276" s="59">
        <f>($AQ276-$AQ277)*100</f>
        <v/>
      </c>
      <c r="DI276" s="59">
        <f>($AR276-$AR277)*100</f>
        <v/>
      </c>
      <c r="DJ276" s="59">
        <f>($AS276-$AS277)*100</f>
        <v/>
      </c>
      <c r="DK276" s="59">
        <f>($AT276-$AT277)*100</f>
        <v/>
      </c>
      <c r="DL276" s="59">
        <f>($AU276-$AU277)*100</f>
        <v/>
      </c>
      <c r="DM276" s="59">
        <f>($AV276-$AV277)*100</f>
        <v/>
      </c>
      <c r="DN276" s="59">
        <f>($AW276-$AW277)*100</f>
        <v/>
      </c>
      <c r="DO276" s="59">
        <f>($AX276-$AX277)*100</f>
        <v/>
      </c>
      <c r="DP276" s="59">
        <f>($AY276-$AY277)*100</f>
        <v/>
      </c>
      <c r="DQ276" s="59">
        <f>($AZ276-$AZ277)*100</f>
        <v/>
      </c>
      <c r="DR276" s="59">
        <f>($BA276-$BA277)*100</f>
        <v/>
      </c>
      <c r="DS276" s="58">
        <f>IFERROR($N277/$N276-1,"")</f>
        <v/>
      </c>
      <c r="DT276" s="58">
        <f>IFERROR($O277/$O276-1,"")</f>
        <v/>
      </c>
      <c r="DU276" s="58">
        <f>IFERROR($P277/$P276-1,"")</f>
        <v/>
      </c>
      <c r="DV276" s="58">
        <f>IFERROR($Q277/$Q276-1,"")</f>
        <v/>
      </c>
      <c r="DW276" s="58">
        <f>IFERROR($R277/$R276-1,"")</f>
        <v/>
      </c>
      <c r="DX276" s="58">
        <f>IFERROR($S277/$S276-1,"")</f>
        <v/>
      </c>
      <c r="DY276" s="58">
        <f>IFERROR($T277/$T276-1,"")</f>
        <v/>
      </c>
      <c r="DZ276" s="58">
        <f>IFERROR($U277/$U276-1,"")</f>
        <v/>
      </c>
      <c r="EA276" s="58">
        <f>IFERROR($V277/$V276-1,"")</f>
        <v/>
      </c>
      <c r="EB276" s="58">
        <f>IFERROR($W277/$W276-1,"")</f>
        <v/>
      </c>
      <c r="EC276" s="58">
        <f>IFERROR($X277/$X276-1,"")</f>
        <v/>
      </c>
      <c r="ED276" s="58">
        <f>IFERROR($Y277/$Y276-1,"")</f>
        <v/>
      </c>
      <c r="EE276" s="58">
        <f>IFERROR($Z277/$Z276-1,"")</f>
        <v/>
      </c>
      <c r="EF276" s="58">
        <f>IFERROR($AA277/$AA276-1,"")</f>
        <v/>
      </c>
      <c r="EG276" s="58">
        <f>IFERROR($AB277/$AB276-1,"")</f>
        <v/>
      </c>
      <c r="EH276" s="58">
        <f>IFERROR($AC277/$AC276-1,"")</f>
        <v/>
      </c>
      <c r="EI276" s="58">
        <f>IFERROR($AD277/$AD276-1,"")</f>
        <v/>
      </c>
      <c r="EJ276" s="58">
        <f>IFERROR($AE277/$AE276-1,"")</f>
        <v/>
      </c>
      <c r="EK276" s="58">
        <f>IFERROR($AF277/$AF276-1,"")</f>
        <v/>
      </c>
      <c r="EL276" s="58">
        <f>IFERROR($AG277/$AG276-1,"")</f>
        <v/>
      </c>
      <c r="EM276" s="58">
        <f>IFERROR($BB276/$BB277-1,"")</f>
        <v/>
      </c>
      <c r="EN276" s="58">
        <f>IFERROR($BC276/$BC277-1,"")</f>
        <v/>
      </c>
      <c r="EO276" s="58">
        <f>IFERROR($BD276/$BD277-1,"")</f>
        <v/>
      </c>
      <c r="EP276" s="58">
        <f>IFERROR($BE276/$BE277-1,"")</f>
        <v/>
      </c>
      <c r="EQ276" s="58">
        <f>IFERROR($BF276/$BF277-1,"")</f>
        <v/>
      </c>
      <c r="ER276" s="58">
        <f>IFERROR($BG276/$BG277-1,"")</f>
        <v/>
      </c>
      <c r="ES276" s="58">
        <f>IFERROR($BH276/$BH277-1,"")</f>
        <v/>
      </c>
      <c r="ET276" s="58">
        <f>IFERROR($BI276/$BI277-1,"")</f>
        <v/>
      </c>
      <c r="EU276" s="58">
        <f>IFERROR($BJ276/$BJ277-1,"")</f>
        <v/>
      </c>
      <c r="EV276" s="58">
        <f>IFERROR($BK276/$BK277-1,"")</f>
        <v/>
      </c>
      <c r="EW276" s="58">
        <f>IFERROR($BL276/$BL277-1,"")</f>
        <v/>
      </c>
      <c r="EX276" s="58">
        <f>IFERROR($BM276/$BM277-1,"")</f>
        <v/>
      </c>
      <c r="EY276" s="58">
        <f>IFERROR($BN276/$BN277-1,"")</f>
        <v/>
      </c>
      <c r="EZ276" s="58">
        <f>IFERROR($BO276/$BO277-1,"")</f>
        <v/>
      </c>
      <c r="FA276" s="58">
        <f>IFERROR($BP276/$BP277-1,"")</f>
        <v/>
      </c>
      <c r="FB276" s="58">
        <f>IFERROR($BQ276/$BQ277-1,"")</f>
        <v/>
      </c>
      <c r="FC276" s="58">
        <f>IFERROR($BR276/$BR277-1,"")</f>
        <v/>
      </c>
      <c r="FD276" s="58">
        <f>IFERROR($BS276/$BS277-1,"")</f>
        <v/>
      </c>
      <c r="FE276" s="58">
        <f>IFERROR($BT276/$BT277-1,"")</f>
        <v/>
      </c>
      <c r="FF276" s="58">
        <f>IFERROR($BU276/$BU277-1,"")</f>
        <v/>
      </c>
      <c r="FG276" s="58">
        <f>IFERROR($BV276/$BV277-1,"")</f>
        <v/>
      </c>
      <c r="FH276" s="58">
        <f>IFERROR($BW276/$BW277-1,"")</f>
        <v/>
      </c>
      <c r="FI276" s="58">
        <f>IFERROR($BX276/$BX277-1,"")</f>
        <v/>
      </c>
      <c r="FJ276" s="59">
        <f>$BY276-$BY277</f>
        <v/>
      </c>
      <c r="FK276" s="59">
        <f>$BZ276-$BZ277</f>
        <v/>
      </c>
      <c r="FL276" s="59">
        <f>$CA276-$CA277</f>
        <v/>
      </c>
      <c r="FM276" s="59">
        <f>$CB276-$CB277</f>
        <v/>
      </c>
      <c r="FN276" s="59">
        <f>$CC276-$CC277</f>
        <v/>
      </c>
      <c r="FO276" s="59">
        <f>$CD276-$CD277</f>
        <v/>
      </c>
      <c r="FP276" s="59">
        <f>$CE276-$CE277</f>
        <v/>
      </c>
      <c r="FQ276" s="59">
        <f>$CF276-$CF277</f>
        <v/>
      </c>
      <c r="FR276" s="59">
        <f>$CG276-$CG277</f>
        <v/>
      </c>
      <c r="FS276" s="59">
        <f>$CH276-$CH277</f>
        <v/>
      </c>
      <c r="FT276" s="59">
        <f>$CI276-$CI277</f>
        <v/>
      </c>
      <c r="FU276" s="59">
        <f>$CJ276-$CJ277</f>
        <v/>
      </c>
      <c r="FV276" s="59">
        <f>$CK276-$CK277</f>
        <v/>
      </c>
      <c r="FW276" s="59">
        <f>$CL276-$CL277</f>
        <v/>
      </c>
      <c r="FX276" s="59">
        <f>$CM276-$CM277</f>
        <v/>
      </c>
      <c r="FY276" s="59">
        <f>$CN276-$CN277</f>
        <v/>
      </c>
      <c r="FZ276" s="59">
        <f>$CO276-$CO277</f>
        <v/>
      </c>
      <c r="GA276" s="59">
        <f>$CP276-$CP277</f>
        <v/>
      </c>
      <c r="GB276" s="59">
        <f>$CQ276-$CQ277</f>
        <v/>
      </c>
      <c r="GC276" s="59">
        <f>$CR276-$CR277</f>
        <v/>
      </c>
      <c r="GD276" s="59">
        <f>$CS276-$CS277</f>
        <v/>
      </c>
      <c r="GE276" s="59">
        <f>$CT276-$CT277</f>
        <v/>
      </c>
    </row>
    <row r="277">
      <c r="CU277" s="58">
        <f>IFERROR($B277/$B278-1,"")</f>
        <v/>
      </c>
      <c r="CV277" s="59">
        <f>($F277-$F278)*100</f>
        <v/>
      </c>
      <c r="CW277" s="59">
        <f>($E277-$E278)*100</f>
        <v/>
      </c>
      <c r="CX277" s="58">
        <f>IFERROR($K277/$K278-1,"")</f>
        <v/>
      </c>
      <c r="CY277" s="59">
        <f>($AH277-$AH278)*100</f>
        <v/>
      </c>
      <c r="CZ277" s="59">
        <f>($AI277-$AI278)*100</f>
        <v/>
      </c>
      <c r="DA277" s="59">
        <f>($AJ277-$AJ278)*100</f>
        <v/>
      </c>
      <c r="DB277" s="59">
        <f>($AK277-$AK278)*100</f>
        <v/>
      </c>
      <c r="DC277" s="59">
        <f>($AL277-$AL278)*100</f>
        <v/>
      </c>
      <c r="DD277" s="59">
        <f>($AM277-$AM278)*100</f>
        <v/>
      </c>
      <c r="DE277" s="59">
        <f>($AN277-$AN278)*100</f>
        <v/>
      </c>
      <c r="DF277" s="59">
        <f>($AO277-$AO278)*100</f>
        <v/>
      </c>
      <c r="DG277" s="59">
        <f>($AP277-$AP278)*100</f>
        <v/>
      </c>
      <c r="DH277" s="59">
        <f>($AQ277-$AQ278)*100</f>
        <v/>
      </c>
      <c r="DI277" s="59">
        <f>($AR277-$AR278)*100</f>
        <v/>
      </c>
      <c r="DJ277" s="59">
        <f>($AS277-$AS278)*100</f>
        <v/>
      </c>
      <c r="DK277" s="59">
        <f>($AT277-$AT278)*100</f>
        <v/>
      </c>
      <c r="DL277" s="59">
        <f>($AU277-$AU278)*100</f>
        <v/>
      </c>
      <c r="DM277" s="59">
        <f>($AV277-$AV278)*100</f>
        <v/>
      </c>
      <c r="DN277" s="59">
        <f>($AW277-$AW278)*100</f>
        <v/>
      </c>
      <c r="DO277" s="59">
        <f>($AX277-$AX278)*100</f>
        <v/>
      </c>
      <c r="DP277" s="59">
        <f>($AY277-$AY278)*100</f>
        <v/>
      </c>
      <c r="DQ277" s="59">
        <f>($AZ277-$AZ278)*100</f>
        <v/>
      </c>
      <c r="DR277" s="59">
        <f>($BA277-$BA278)*100</f>
        <v/>
      </c>
      <c r="DS277" s="58">
        <f>IFERROR($N278/$N277-1,"")</f>
        <v/>
      </c>
      <c r="DT277" s="58">
        <f>IFERROR($O278/$O277-1,"")</f>
        <v/>
      </c>
      <c r="DU277" s="58">
        <f>IFERROR($P278/$P277-1,"")</f>
        <v/>
      </c>
      <c r="DV277" s="58">
        <f>IFERROR($Q278/$Q277-1,"")</f>
        <v/>
      </c>
      <c r="DW277" s="58">
        <f>IFERROR($R278/$R277-1,"")</f>
        <v/>
      </c>
      <c r="DX277" s="58">
        <f>IFERROR($S278/$S277-1,"")</f>
        <v/>
      </c>
      <c r="DY277" s="58">
        <f>IFERROR($T278/$T277-1,"")</f>
        <v/>
      </c>
      <c r="DZ277" s="58">
        <f>IFERROR($U278/$U277-1,"")</f>
        <v/>
      </c>
      <c r="EA277" s="58">
        <f>IFERROR($V278/$V277-1,"")</f>
        <v/>
      </c>
      <c r="EB277" s="58">
        <f>IFERROR($W278/$W277-1,"")</f>
        <v/>
      </c>
      <c r="EC277" s="58">
        <f>IFERROR($X278/$X277-1,"")</f>
        <v/>
      </c>
      <c r="ED277" s="58">
        <f>IFERROR($Y278/$Y277-1,"")</f>
        <v/>
      </c>
      <c r="EE277" s="58">
        <f>IFERROR($Z278/$Z277-1,"")</f>
        <v/>
      </c>
      <c r="EF277" s="58">
        <f>IFERROR($AA278/$AA277-1,"")</f>
        <v/>
      </c>
      <c r="EG277" s="58">
        <f>IFERROR($AB278/$AB277-1,"")</f>
        <v/>
      </c>
      <c r="EH277" s="58">
        <f>IFERROR($AC278/$AC277-1,"")</f>
        <v/>
      </c>
      <c r="EI277" s="58">
        <f>IFERROR($AD278/$AD277-1,"")</f>
        <v/>
      </c>
      <c r="EJ277" s="58">
        <f>IFERROR($AE278/$AE277-1,"")</f>
        <v/>
      </c>
      <c r="EK277" s="58">
        <f>IFERROR($AF278/$AF277-1,"")</f>
        <v/>
      </c>
      <c r="EL277" s="58">
        <f>IFERROR($AG278/$AG277-1,"")</f>
        <v/>
      </c>
      <c r="EM277" s="58">
        <f>IFERROR($BB277/$BB278-1,"")</f>
        <v/>
      </c>
      <c r="EN277" s="58">
        <f>IFERROR($BC277/$BC278-1,"")</f>
        <v/>
      </c>
      <c r="EO277" s="58">
        <f>IFERROR($BD277/$BD278-1,"")</f>
        <v/>
      </c>
      <c r="EP277" s="58">
        <f>IFERROR($BE277/$BE278-1,"")</f>
        <v/>
      </c>
      <c r="EQ277" s="58">
        <f>IFERROR($BF277/$BF278-1,"")</f>
        <v/>
      </c>
      <c r="ER277" s="58">
        <f>IFERROR($BG277/$BG278-1,"")</f>
        <v/>
      </c>
      <c r="ES277" s="58">
        <f>IFERROR($BH277/$BH278-1,"")</f>
        <v/>
      </c>
      <c r="ET277" s="58">
        <f>IFERROR($BI277/$BI278-1,"")</f>
        <v/>
      </c>
      <c r="EU277" s="58">
        <f>IFERROR($BJ277/$BJ278-1,"")</f>
        <v/>
      </c>
      <c r="EV277" s="58">
        <f>IFERROR($BK277/$BK278-1,"")</f>
        <v/>
      </c>
      <c r="EW277" s="58">
        <f>IFERROR($BL277/$BL278-1,"")</f>
        <v/>
      </c>
      <c r="EX277" s="58">
        <f>IFERROR($BM277/$BM278-1,"")</f>
        <v/>
      </c>
      <c r="EY277" s="58">
        <f>IFERROR($BN277/$BN278-1,"")</f>
        <v/>
      </c>
      <c r="EZ277" s="58">
        <f>IFERROR($BO277/$BO278-1,"")</f>
        <v/>
      </c>
      <c r="FA277" s="58">
        <f>IFERROR($BP277/$BP278-1,"")</f>
        <v/>
      </c>
      <c r="FB277" s="58">
        <f>IFERROR($BQ277/$BQ278-1,"")</f>
        <v/>
      </c>
      <c r="FC277" s="58">
        <f>IFERROR($BR277/$BR278-1,"")</f>
        <v/>
      </c>
      <c r="FD277" s="58">
        <f>IFERROR($BS277/$BS278-1,"")</f>
        <v/>
      </c>
      <c r="FE277" s="58">
        <f>IFERROR($BT277/$BT278-1,"")</f>
        <v/>
      </c>
      <c r="FF277" s="58">
        <f>IFERROR($BU277/$BU278-1,"")</f>
        <v/>
      </c>
      <c r="FG277" s="58">
        <f>IFERROR($BV277/$BV278-1,"")</f>
        <v/>
      </c>
      <c r="FH277" s="58">
        <f>IFERROR($BW277/$BW278-1,"")</f>
        <v/>
      </c>
      <c r="FI277" s="58">
        <f>IFERROR($BX277/$BX278-1,"")</f>
        <v/>
      </c>
      <c r="FJ277" s="59">
        <f>$BY277-$BY278</f>
        <v/>
      </c>
      <c r="FK277" s="59">
        <f>$BZ277-$BZ278</f>
        <v/>
      </c>
      <c r="FL277" s="59">
        <f>$CA277-$CA278</f>
        <v/>
      </c>
      <c r="FM277" s="59">
        <f>$CB277-$CB278</f>
        <v/>
      </c>
      <c r="FN277" s="59">
        <f>$CC277-$CC278</f>
        <v/>
      </c>
      <c r="FO277" s="59">
        <f>$CD277-$CD278</f>
        <v/>
      </c>
      <c r="FP277" s="59">
        <f>$CE277-$CE278</f>
        <v/>
      </c>
      <c r="FQ277" s="59">
        <f>$CF277-$CF278</f>
        <v/>
      </c>
      <c r="FR277" s="59">
        <f>$CG277-$CG278</f>
        <v/>
      </c>
      <c r="FS277" s="59">
        <f>$CH277-$CH278</f>
        <v/>
      </c>
      <c r="FT277" s="59">
        <f>$CI277-$CI278</f>
        <v/>
      </c>
      <c r="FU277" s="59">
        <f>$CJ277-$CJ278</f>
        <v/>
      </c>
      <c r="FV277" s="59">
        <f>$CK277-$CK278</f>
        <v/>
      </c>
      <c r="FW277" s="59">
        <f>$CL277-$CL278</f>
        <v/>
      </c>
      <c r="FX277" s="59">
        <f>$CM277-$CM278</f>
        <v/>
      </c>
      <c r="FY277" s="59">
        <f>$CN277-$CN278</f>
        <v/>
      </c>
      <c r="FZ277" s="59">
        <f>$CO277-$CO278</f>
        <v/>
      </c>
      <c r="GA277" s="59">
        <f>$CP277-$CP278</f>
        <v/>
      </c>
      <c r="GB277" s="59">
        <f>$CQ277-$CQ278</f>
        <v/>
      </c>
      <c r="GC277" s="59">
        <f>$CR277-$CR278</f>
        <v/>
      </c>
      <c r="GD277" s="59">
        <f>$CS277-$CS278</f>
        <v/>
      </c>
      <c r="GE277" s="59">
        <f>$CT277-$CT278</f>
        <v/>
      </c>
    </row>
    <row r="278">
      <c r="CU278" s="58">
        <f>IFERROR($B278/$B279-1,"")</f>
        <v/>
      </c>
      <c r="CV278" s="59">
        <f>($F278-$F279)*100</f>
        <v/>
      </c>
      <c r="CW278" s="59">
        <f>($E278-$E279)*100</f>
        <v/>
      </c>
      <c r="CX278" s="58">
        <f>IFERROR($K278/$K279-1,"")</f>
        <v/>
      </c>
      <c r="CY278" s="59">
        <f>($AH278-$AH279)*100</f>
        <v/>
      </c>
      <c r="CZ278" s="59">
        <f>($AI278-$AI279)*100</f>
        <v/>
      </c>
      <c r="DA278" s="59">
        <f>($AJ278-$AJ279)*100</f>
        <v/>
      </c>
      <c r="DB278" s="59">
        <f>($AK278-$AK279)*100</f>
        <v/>
      </c>
      <c r="DC278" s="59">
        <f>($AL278-$AL279)*100</f>
        <v/>
      </c>
      <c r="DD278" s="59">
        <f>($AM278-$AM279)*100</f>
        <v/>
      </c>
      <c r="DE278" s="59">
        <f>($AN278-$AN279)*100</f>
        <v/>
      </c>
      <c r="DF278" s="59">
        <f>($AO278-$AO279)*100</f>
        <v/>
      </c>
      <c r="DG278" s="59">
        <f>($AP278-$AP279)*100</f>
        <v/>
      </c>
      <c r="DH278" s="59">
        <f>($AQ278-$AQ279)*100</f>
        <v/>
      </c>
      <c r="DI278" s="59">
        <f>($AR278-$AR279)*100</f>
        <v/>
      </c>
      <c r="DJ278" s="59">
        <f>($AS278-$AS279)*100</f>
        <v/>
      </c>
      <c r="DK278" s="59">
        <f>($AT278-$AT279)*100</f>
        <v/>
      </c>
      <c r="DL278" s="59">
        <f>($AU278-$AU279)*100</f>
        <v/>
      </c>
      <c r="DM278" s="59">
        <f>($AV278-$AV279)*100</f>
        <v/>
      </c>
      <c r="DN278" s="59">
        <f>($AW278-$AW279)*100</f>
        <v/>
      </c>
      <c r="DO278" s="59">
        <f>($AX278-$AX279)*100</f>
        <v/>
      </c>
      <c r="DP278" s="59">
        <f>($AY278-$AY279)*100</f>
        <v/>
      </c>
      <c r="DQ278" s="59">
        <f>($AZ278-$AZ279)*100</f>
        <v/>
      </c>
      <c r="DR278" s="59">
        <f>($BA278-$BA279)*100</f>
        <v/>
      </c>
      <c r="DS278" s="58">
        <f>IFERROR($N279/$N278-1,"")</f>
        <v/>
      </c>
      <c r="DT278" s="58">
        <f>IFERROR($O279/$O278-1,"")</f>
        <v/>
      </c>
      <c r="DU278" s="58">
        <f>IFERROR($P279/$P278-1,"")</f>
        <v/>
      </c>
      <c r="DV278" s="58">
        <f>IFERROR($Q279/$Q278-1,"")</f>
        <v/>
      </c>
      <c r="DW278" s="58">
        <f>IFERROR($R279/$R278-1,"")</f>
        <v/>
      </c>
      <c r="DX278" s="58">
        <f>IFERROR($S279/$S278-1,"")</f>
        <v/>
      </c>
      <c r="DY278" s="58">
        <f>IFERROR($T279/$T278-1,"")</f>
        <v/>
      </c>
      <c r="DZ278" s="58">
        <f>IFERROR($U279/$U278-1,"")</f>
        <v/>
      </c>
      <c r="EA278" s="58">
        <f>IFERROR($V279/$V278-1,"")</f>
        <v/>
      </c>
      <c r="EB278" s="58">
        <f>IFERROR($W279/$W278-1,"")</f>
        <v/>
      </c>
      <c r="EC278" s="58">
        <f>IFERROR($X279/$X278-1,"")</f>
        <v/>
      </c>
      <c r="ED278" s="58">
        <f>IFERROR($Y279/$Y278-1,"")</f>
        <v/>
      </c>
      <c r="EE278" s="58">
        <f>IFERROR($Z279/$Z278-1,"")</f>
        <v/>
      </c>
      <c r="EF278" s="58">
        <f>IFERROR($AA279/$AA278-1,"")</f>
        <v/>
      </c>
      <c r="EG278" s="58">
        <f>IFERROR($AB279/$AB278-1,"")</f>
        <v/>
      </c>
      <c r="EH278" s="58">
        <f>IFERROR($AC279/$AC278-1,"")</f>
        <v/>
      </c>
      <c r="EI278" s="58">
        <f>IFERROR($AD279/$AD278-1,"")</f>
        <v/>
      </c>
      <c r="EJ278" s="58">
        <f>IFERROR($AE279/$AE278-1,"")</f>
        <v/>
      </c>
      <c r="EK278" s="58">
        <f>IFERROR($AF279/$AF278-1,"")</f>
        <v/>
      </c>
      <c r="EL278" s="58">
        <f>IFERROR($AG279/$AG278-1,"")</f>
        <v/>
      </c>
      <c r="EM278" s="58">
        <f>IFERROR($BB278/$BB279-1,"")</f>
        <v/>
      </c>
      <c r="EN278" s="58">
        <f>IFERROR($BC278/$BC279-1,"")</f>
        <v/>
      </c>
      <c r="EO278" s="58">
        <f>IFERROR($BD278/$BD279-1,"")</f>
        <v/>
      </c>
      <c r="EP278" s="58">
        <f>IFERROR($BE278/$BE279-1,"")</f>
        <v/>
      </c>
      <c r="EQ278" s="58">
        <f>IFERROR($BF278/$BF279-1,"")</f>
        <v/>
      </c>
      <c r="ER278" s="58">
        <f>IFERROR($BG278/$BG279-1,"")</f>
        <v/>
      </c>
      <c r="ES278" s="58">
        <f>IFERROR($BH278/$BH279-1,"")</f>
        <v/>
      </c>
      <c r="ET278" s="58">
        <f>IFERROR($BI278/$BI279-1,"")</f>
        <v/>
      </c>
      <c r="EU278" s="58">
        <f>IFERROR($BJ278/$BJ279-1,"")</f>
        <v/>
      </c>
      <c r="EV278" s="58">
        <f>IFERROR($BK278/$BK279-1,"")</f>
        <v/>
      </c>
      <c r="EW278" s="58">
        <f>IFERROR($BL278/$BL279-1,"")</f>
        <v/>
      </c>
      <c r="EX278" s="58">
        <f>IFERROR($BM278/$BM279-1,"")</f>
        <v/>
      </c>
      <c r="EY278" s="58">
        <f>IFERROR($BN278/$BN279-1,"")</f>
        <v/>
      </c>
      <c r="EZ278" s="58">
        <f>IFERROR($BO278/$BO279-1,"")</f>
        <v/>
      </c>
      <c r="FA278" s="58">
        <f>IFERROR($BP278/$BP279-1,"")</f>
        <v/>
      </c>
      <c r="FB278" s="58">
        <f>IFERROR($BQ278/$BQ279-1,"")</f>
        <v/>
      </c>
      <c r="FC278" s="58">
        <f>IFERROR($BR278/$BR279-1,"")</f>
        <v/>
      </c>
      <c r="FD278" s="58">
        <f>IFERROR($BS278/$BS279-1,"")</f>
        <v/>
      </c>
      <c r="FE278" s="58">
        <f>IFERROR($BT278/$BT279-1,"")</f>
        <v/>
      </c>
      <c r="FF278" s="58">
        <f>IFERROR($BU278/$BU279-1,"")</f>
        <v/>
      </c>
      <c r="FG278" s="58">
        <f>IFERROR($BV278/$BV279-1,"")</f>
        <v/>
      </c>
      <c r="FH278" s="58">
        <f>IFERROR($BW278/$BW279-1,"")</f>
        <v/>
      </c>
      <c r="FI278" s="58">
        <f>IFERROR($BX278/$BX279-1,"")</f>
        <v/>
      </c>
      <c r="FJ278" s="59">
        <f>$BY278-$BY279</f>
        <v/>
      </c>
      <c r="FK278" s="59">
        <f>$BZ278-$BZ279</f>
        <v/>
      </c>
      <c r="FL278" s="59">
        <f>$CA278-$CA279</f>
        <v/>
      </c>
      <c r="FM278" s="59">
        <f>$CB278-$CB279</f>
        <v/>
      </c>
      <c r="FN278" s="59">
        <f>$CC278-$CC279</f>
        <v/>
      </c>
      <c r="FO278" s="59">
        <f>$CD278-$CD279</f>
        <v/>
      </c>
      <c r="FP278" s="59">
        <f>$CE278-$CE279</f>
        <v/>
      </c>
      <c r="FQ278" s="59">
        <f>$CF278-$CF279</f>
        <v/>
      </c>
      <c r="FR278" s="59">
        <f>$CG278-$CG279</f>
        <v/>
      </c>
      <c r="FS278" s="59">
        <f>$CH278-$CH279</f>
        <v/>
      </c>
      <c r="FT278" s="59">
        <f>$CI278-$CI279</f>
        <v/>
      </c>
      <c r="FU278" s="59">
        <f>$CJ278-$CJ279</f>
        <v/>
      </c>
      <c r="FV278" s="59">
        <f>$CK278-$CK279</f>
        <v/>
      </c>
      <c r="FW278" s="59">
        <f>$CL278-$CL279</f>
        <v/>
      </c>
      <c r="FX278" s="59">
        <f>$CM278-$CM279</f>
        <v/>
      </c>
      <c r="FY278" s="59">
        <f>$CN278-$CN279</f>
        <v/>
      </c>
      <c r="FZ278" s="59">
        <f>$CO278-$CO279</f>
        <v/>
      </c>
      <c r="GA278" s="59">
        <f>$CP278-$CP279</f>
        <v/>
      </c>
      <c r="GB278" s="59">
        <f>$CQ278-$CQ279</f>
        <v/>
      </c>
      <c r="GC278" s="59">
        <f>$CR278-$CR279</f>
        <v/>
      </c>
      <c r="GD278" s="59">
        <f>$CS278-$CS279</f>
        <v/>
      </c>
      <c r="GE278" s="59">
        <f>$CT278-$CT279</f>
        <v/>
      </c>
    </row>
    <row r="279">
      <c r="CU279" s="58">
        <f>IFERROR($B279/$B280-1,"")</f>
        <v/>
      </c>
      <c r="CV279" s="59">
        <f>($F279-$F280)*100</f>
        <v/>
      </c>
      <c r="CW279" s="59">
        <f>($E279-$E280)*100</f>
        <v/>
      </c>
      <c r="CX279" s="58">
        <f>IFERROR($K279/$K280-1,"")</f>
        <v/>
      </c>
      <c r="CY279" s="59">
        <f>($AH279-$AH280)*100</f>
        <v/>
      </c>
      <c r="CZ279" s="59">
        <f>($AI279-$AI280)*100</f>
        <v/>
      </c>
      <c r="DA279" s="59">
        <f>($AJ279-$AJ280)*100</f>
        <v/>
      </c>
      <c r="DB279" s="59">
        <f>($AK279-$AK280)*100</f>
        <v/>
      </c>
      <c r="DC279" s="59">
        <f>($AL279-$AL280)*100</f>
        <v/>
      </c>
      <c r="DD279" s="59">
        <f>($AM279-$AM280)*100</f>
        <v/>
      </c>
      <c r="DE279" s="59">
        <f>($AN279-$AN280)*100</f>
        <v/>
      </c>
      <c r="DF279" s="59">
        <f>($AO279-$AO280)*100</f>
        <v/>
      </c>
      <c r="DG279" s="59">
        <f>($AP279-$AP280)*100</f>
        <v/>
      </c>
      <c r="DH279" s="59">
        <f>($AQ279-$AQ280)*100</f>
        <v/>
      </c>
      <c r="DI279" s="59">
        <f>($AR279-$AR280)*100</f>
        <v/>
      </c>
      <c r="DJ279" s="59">
        <f>($AS279-$AS280)*100</f>
        <v/>
      </c>
      <c r="DK279" s="59">
        <f>($AT279-$AT280)*100</f>
        <v/>
      </c>
      <c r="DL279" s="59">
        <f>($AU279-$AU280)*100</f>
        <v/>
      </c>
      <c r="DM279" s="59">
        <f>($AV279-$AV280)*100</f>
        <v/>
      </c>
      <c r="DN279" s="59">
        <f>($AW279-$AW280)*100</f>
        <v/>
      </c>
      <c r="DO279" s="59">
        <f>($AX279-$AX280)*100</f>
        <v/>
      </c>
      <c r="DP279" s="59">
        <f>($AY279-$AY280)*100</f>
        <v/>
      </c>
      <c r="DQ279" s="59">
        <f>($AZ279-$AZ280)*100</f>
        <v/>
      </c>
      <c r="DR279" s="59">
        <f>($BA279-$BA280)*100</f>
        <v/>
      </c>
      <c r="DS279" s="58">
        <f>IFERROR($N280/$N279-1,"")</f>
        <v/>
      </c>
      <c r="DT279" s="58">
        <f>IFERROR($O280/$O279-1,"")</f>
        <v/>
      </c>
      <c r="DU279" s="58">
        <f>IFERROR($P280/$P279-1,"")</f>
        <v/>
      </c>
      <c r="DV279" s="58">
        <f>IFERROR($Q280/$Q279-1,"")</f>
        <v/>
      </c>
      <c r="DW279" s="58">
        <f>IFERROR($R280/$R279-1,"")</f>
        <v/>
      </c>
      <c r="DX279" s="58">
        <f>IFERROR($S280/$S279-1,"")</f>
        <v/>
      </c>
      <c r="DY279" s="58">
        <f>IFERROR($T280/$T279-1,"")</f>
        <v/>
      </c>
      <c r="DZ279" s="58">
        <f>IFERROR($U280/$U279-1,"")</f>
        <v/>
      </c>
      <c r="EA279" s="58">
        <f>IFERROR($V280/$V279-1,"")</f>
        <v/>
      </c>
      <c r="EB279" s="58">
        <f>IFERROR($W280/$W279-1,"")</f>
        <v/>
      </c>
      <c r="EC279" s="58">
        <f>IFERROR($X280/$X279-1,"")</f>
        <v/>
      </c>
      <c r="ED279" s="58">
        <f>IFERROR($Y280/$Y279-1,"")</f>
        <v/>
      </c>
      <c r="EE279" s="58">
        <f>IFERROR($Z280/$Z279-1,"")</f>
        <v/>
      </c>
      <c r="EF279" s="58">
        <f>IFERROR($AA280/$AA279-1,"")</f>
        <v/>
      </c>
      <c r="EG279" s="58">
        <f>IFERROR($AB280/$AB279-1,"")</f>
        <v/>
      </c>
      <c r="EH279" s="58">
        <f>IFERROR($AC280/$AC279-1,"")</f>
        <v/>
      </c>
      <c r="EI279" s="58">
        <f>IFERROR($AD280/$AD279-1,"")</f>
        <v/>
      </c>
      <c r="EJ279" s="58">
        <f>IFERROR($AE280/$AE279-1,"")</f>
        <v/>
      </c>
      <c r="EK279" s="58">
        <f>IFERROR($AF280/$AF279-1,"")</f>
        <v/>
      </c>
      <c r="EL279" s="58">
        <f>IFERROR($AG280/$AG279-1,"")</f>
        <v/>
      </c>
      <c r="EM279" s="58">
        <f>IFERROR($BB279/$BB280-1,"")</f>
        <v/>
      </c>
      <c r="EN279" s="58">
        <f>IFERROR($BC279/$BC280-1,"")</f>
        <v/>
      </c>
      <c r="EO279" s="58">
        <f>IFERROR($BD279/$BD280-1,"")</f>
        <v/>
      </c>
      <c r="EP279" s="58">
        <f>IFERROR($BE279/$BE280-1,"")</f>
        <v/>
      </c>
      <c r="EQ279" s="58">
        <f>IFERROR($BF279/$BF280-1,"")</f>
        <v/>
      </c>
      <c r="ER279" s="58">
        <f>IFERROR($BG279/$BG280-1,"")</f>
        <v/>
      </c>
      <c r="ES279" s="58">
        <f>IFERROR($BH279/$BH280-1,"")</f>
        <v/>
      </c>
      <c r="ET279" s="58">
        <f>IFERROR($BI279/$BI280-1,"")</f>
        <v/>
      </c>
      <c r="EU279" s="58">
        <f>IFERROR($BJ279/$BJ280-1,"")</f>
        <v/>
      </c>
      <c r="EV279" s="58">
        <f>IFERROR($BK279/$BK280-1,"")</f>
        <v/>
      </c>
      <c r="EW279" s="58">
        <f>IFERROR($BL279/$BL280-1,"")</f>
        <v/>
      </c>
      <c r="EX279" s="58">
        <f>IFERROR($BM279/$BM280-1,"")</f>
        <v/>
      </c>
      <c r="EY279" s="58">
        <f>IFERROR($BN279/$BN280-1,"")</f>
        <v/>
      </c>
      <c r="EZ279" s="58">
        <f>IFERROR($BO279/$BO280-1,"")</f>
        <v/>
      </c>
      <c r="FA279" s="58">
        <f>IFERROR($BP279/$BP280-1,"")</f>
        <v/>
      </c>
      <c r="FB279" s="58">
        <f>IFERROR($BQ279/$BQ280-1,"")</f>
        <v/>
      </c>
      <c r="FC279" s="58">
        <f>IFERROR($BR279/$BR280-1,"")</f>
        <v/>
      </c>
      <c r="FD279" s="58">
        <f>IFERROR($BS279/$BS280-1,"")</f>
        <v/>
      </c>
      <c r="FE279" s="58">
        <f>IFERROR($BT279/$BT280-1,"")</f>
        <v/>
      </c>
      <c r="FF279" s="58">
        <f>IFERROR($BU279/$BU280-1,"")</f>
        <v/>
      </c>
      <c r="FG279" s="58">
        <f>IFERROR($BV279/$BV280-1,"")</f>
        <v/>
      </c>
      <c r="FH279" s="58">
        <f>IFERROR($BW279/$BW280-1,"")</f>
        <v/>
      </c>
      <c r="FI279" s="58">
        <f>IFERROR($BX279/$BX280-1,"")</f>
        <v/>
      </c>
      <c r="FJ279" s="59">
        <f>$BY279-$BY280</f>
        <v/>
      </c>
      <c r="FK279" s="59">
        <f>$BZ279-$BZ280</f>
        <v/>
      </c>
      <c r="FL279" s="59">
        <f>$CA279-$CA280</f>
        <v/>
      </c>
      <c r="FM279" s="59">
        <f>$CB279-$CB280</f>
        <v/>
      </c>
      <c r="FN279" s="59">
        <f>$CC279-$CC280</f>
        <v/>
      </c>
      <c r="FO279" s="59">
        <f>$CD279-$CD280</f>
        <v/>
      </c>
      <c r="FP279" s="59">
        <f>$CE279-$CE280</f>
        <v/>
      </c>
      <c r="FQ279" s="59">
        <f>$CF279-$CF280</f>
        <v/>
      </c>
      <c r="FR279" s="59">
        <f>$CG279-$CG280</f>
        <v/>
      </c>
      <c r="FS279" s="59">
        <f>$CH279-$CH280</f>
        <v/>
      </c>
      <c r="FT279" s="59">
        <f>$CI279-$CI280</f>
        <v/>
      </c>
      <c r="FU279" s="59">
        <f>$CJ279-$CJ280</f>
        <v/>
      </c>
      <c r="FV279" s="59">
        <f>$CK279-$CK280</f>
        <v/>
      </c>
      <c r="FW279" s="59">
        <f>$CL279-$CL280</f>
        <v/>
      </c>
      <c r="FX279" s="59">
        <f>$CM279-$CM280</f>
        <v/>
      </c>
      <c r="FY279" s="59">
        <f>$CN279-$CN280</f>
        <v/>
      </c>
      <c r="FZ279" s="59">
        <f>$CO279-$CO280</f>
        <v/>
      </c>
      <c r="GA279" s="59">
        <f>$CP279-$CP280</f>
        <v/>
      </c>
      <c r="GB279" s="59">
        <f>$CQ279-$CQ280</f>
        <v/>
      </c>
      <c r="GC279" s="59">
        <f>$CR279-$CR280</f>
        <v/>
      </c>
      <c r="GD279" s="59">
        <f>$CS279-$CS280</f>
        <v/>
      </c>
      <c r="GE279" s="59">
        <f>$CT279-$CT280</f>
        <v/>
      </c>
    </row>
    <row r="280">
      <c r="CU280" s="58">
        <f>IFERROR($B280/$B281-1,"")</f>
        <v/>
      </c>
      <c r="CV280" s="59">
        <f>($F280-$F281)*100</f>
        <v/>
      </c>
      <c r="CW280" s="59">
        <f>($E280-$E281)*100</f>
        <v/>
      </c>
      <c r="CX280" s="58">
        <f>IFERROR($K280/$K281-1,"")</f>
        <v/>
      </c>
      <c r="CY280" s="59">
        <f>($AH280-$AH281)*100</f>
        <v/>
      </c>
      <c r="CZ280" s="59">
        <f>($AI280-$AI281)*100</f>
        <v/>
      </c>
      <c r="DA280" s="59">
        <f>($AJ280-$AJ281)*100</f>
        <v/>
      </c>
      <c r="DB280" s="59">
        <f>($AK280-$AK281)*100</f>
        <v/>
      </c>
      <c r="DC280" s="59">
        <f>($AL280-$AL281)*100</f>
        <v/>
      </c>
      <c r="DD280" s="59">
        <f>($AM280-$AM281)*100</f>
        <v/>
      </c>
      <c r="DE280" s="59">
        <f>($AN280-$AN281)*100</f>
        <v/>
      </c>
      <c r="DF280" s="59">
        <f>($AO280-$AO281)*100</f>
        <v/>
      </c>
      <c r="DG280" s="59">
        <f>($AP280-$AP281)*100</f>
        <v/>
      </c>
      <c r="DH280" s="59">
        <f>($AQ280-$AQ281)*100</f>
        <v/>
      </c>
      <c r="DI280" s="59">
        <f>($AR280-$AR281)*100</f>
        <v/>
      </c>
      <c r="DJ280" s="59">
        <f>($AS280-$AS281)*100</f>
        <v/>
      </c>
      <c r="DK280" s="59">
        <f>($AT280-$AT281)*100</f>
        <v/>
      </c>
      <c r="DL280" s="59">
        <f>($AU280-$AU281)*100</f>
        <v/>
      </c>
      <c r="DM280" s="59">
        <f>($AV280-$AV281)*100</f>
        <v/>
      </c>
      <c r="DN280" s="59">
        <f>($AW280-$AW281)*100</f>
        <v/>
      </c>
      <c r="DO280" s="59">
        <f>($AX280-$AX281)*100</f>
        <v/>
      </c>
      <c r="DP280" s="59">
        <f>($AY280-$AY281)*100</f>
        <v/>
      </c>
      <c r="DQ280" s="59">
        <f>($AZ280-$AZ281)*100</f>
        <v/>
      </c>
      <c r="DR280" s="59">
        <f>($BA280-$BA281)*100</f>
        <v/>
      </c>
      <c r="DS280" s="58">
        <f>IFERROR($N281/$N280-1,"")</f>
        <v/>
      </c>
      <c r="DT280" s="58">
        <f>IFERROR($O281/$O280-1,"")</f>
        <v/>
      </c>
      <c r="DU280" s="58">
        <f>IFERROR($P281/$P280-1,"")</f>
        <v/>
      </c>
      <c r="DV280" s="58">
        <f>IFERROR($Q281/$Q280-1,"")</f>
        <v/>
      </c>
      <c r="DW280" s="58">
        <f>IFERROR($R281/$R280-1,"")</f>
        <v/>
      </c>
      <c r="DX280" s="58">
        <f>IFERROR($S281/$S280-1,"")</f>
        <v/>
      </c>
      <c r="DY280" s="58">
        <f>IFERROR($T281/$T280-1,"")</f>
        <v/>
      </c>
      <c r="DZ280" s="58">
        <f>IFERROR($U281/$U280-1,"")</f>
        <v/>
      </c>
      <c r="EA280" s="58">
        <f>IFERROR($V281/$V280-1,"")</f>
        <v/>
      </c>
      <c r="EB280" s="58">
        <f>IFERROR($W281/$W280-1,"")</f>
        <v/>
      </c>
      <c r="EC280" s="58">
        <f>IFERROR($X281/$X280-1,"")</f>
        <v/>
      </c>
      <c r="ED280" s="58">
        <f>IFERROR($Y281/$Y280-1,"")</f>
        <v/>
      </c>
      <c r="EE280" s="58">
        <f>IFERROR($Z281/$Z280-1,"")</f>
        <v/>
      </c>
      <c r="EF280" s="58">
        <f>IFERROR($AA281/$AA280-1,"")</f>
        <v/>
      </c>
      <c r="EG280" s="58">
        <f>IFERROR($AB281/$AB280-1,"")</f>
        <v/>
      </c>
      <c r="EH280" s="58">
        <f>IFERROR($AC281/$AC280-1,"")</f>
        <v/>
      </c>
      <c r="EI280" s="58">
        <f>IFERROR($AD281/$AD280-1,"")</f>
        <v/>
      </c>
      <c r="EJ280" s="58">
        <f>IFERROR($AE281/$AE280-1,"")</f>
        <v/>
      </c>
      <c r="EK280" s="58">
        <f>IFERROR($AF281/$AF280-1,"")</f>
        <v/>
      </c>
      <c r="EL280" s="58">
        <f>IFERROR($AG281/$AG280-1,"")</f>
        <v/>
      </c>
      <c r="EM280" s="58">
        <f>IFERROR($BB280/$BB281-1,"")</f>
        <v/>
      </c>
      <c r="EN280" s="58">
        <f>IFERROR($BC280/$BC281-1,"")</f>
        <v/>
      </c>
      <c r="EO280" s="58">
        <f>IFERROR($BD280/$BD281-1,"")</f>
        <v/>
      </c>
      <c r="EP280" s="58">
        <f>IFERROR($BE280/$BE281-1,"")</f>
        <v/>
      </c>
      <c r="EQ280" s="58">
        <f>IFERROR($BF280/$BF281-1,"")</f>
        <v/>
      </c>
      <c r="ER280" s="58">
        <f>IFERROR($BG280/$BG281-1,"")</f>
        <v/>
      </c>
      <c r="ES280" s="58">
        <f>IFERROR($BH280/$BH281-1,"")</f>
        <v/>
      </c>
      <c r="ET280" s="58">
        <f>IFERROR($BI280/$BI281-1,"")</f>
        <v/>
      </c>
      <c r="EU280" s="58">
        <f>IFERROR($BJ280/$BJ281-1,"")</f>
        <v/>
      </c>
      <c r="EV280" s="58">
        <f>IFERROR($BK280/$BK281-1,"")</f>
        <v/>
      </c>
      <c r="EW280" s="58">
        <f>IFERROR($BL280/$BL281-1,"")</f>
        <v/>
      </c>
      <c r="EX280" s="58">
        <f>IFERROR($BM280/$BM281-1,"")</f>
        <v/>
      </c>
      <c r="EY280" s="58">
        <f>IFERROR($BN280/$BN281-1,"")</f>
        <v/>
      </c>
      <c r="EZ280" s="58">
        <f>IFERROR($BO280/$BO281-1,"")</f>
        <v/>
      </c>
      <c r="FA280" s="58">
        <f>IFERROR($BP280/$BP281-1,"")</f>
        <v/>
      </c>
      <c r="FB280" s="58">
        <f>IFERROR($BQ280/$BQ281-1,"")</f>
        <v/>
      </c>
      <c r="FC280" s="58">
        <f>IFERROR($BR280/$BR281-1,"")</f>
        <v/>
      </c>
      <c r="FD280" s="58">
        <f>IFERROR($BS280/$BS281-1,"")</f>
        <v/>
      </c>
      <c r="FE280" s="58">
        <f>IFERROR($BT280/$BT281-1,"")</f>
        <v/>
      </c>
      <c r="FF280" s="58">
        <f>IFERROR($BU280/$BU281-1,"")</f>
        <v/>
      </c>
      <c r="FG280" s="58">
        <f>IFERROR($BV280/$BV281-1,"")</f>
        <v/>
      </c>
      <c r="FH280" s="58">
        <f>IFERROR($BW280/$BW281-1,"")</f>
        <v/>
      </c>
      <c r="FI280" s="58">
        <f>IFERROR($BX280/$BX281-1,"")</f>
        <v/>
      </c>
      <c r="FJ280" s="59">
        <f>$BY280-$BY281</f>
        <v/>
      </c>
      <c r="FK280" s="59">
        <f>$BZ280-$BZ281</f>
        <v/>
      </c>
      <c r="FL280" s="59">
        <f>$CA280-$CA281</f>
        <v/>
      </c>
      <c r="FM280" s="59">
        <f>$CB280-$CB281</f>
        <v/>
      </c>
      <c r="FN280" s="59">
        <f>$CC280-$CC281</f>
        <v/>
      </c>
      <c r="FO280" s="59">
        <f>$CD280-$CD281</f>
        <v/>
      </c>
      <c r="FP280" s="59">
        <f>$CE280-$CE281</f>
        <v/>
      </c>
      <c r="FQ280" s="59">
        <f>$CF280-$CF281</f>
        <v/>
      </c>
      <c r="FR280" s="59">
        <f>$CG280-$CG281</f>
        <v/>
      </c>
      <c r="FS280" s="59">
        <f>$CH280-$CH281</f>
        <v/>
      </c>
      <c r="FT280" s="59">
        <f>$CI280-$CI281</f>
        <v/>
      </c>
      <c r="FU280" s="59">
        <f>$CJ280-$CJ281</f>
        <v/>
      </c>
      <c r="FV280" s="59">
        <f>$CK280-$CK281</f>
        <v/>
      </c>
      <c r="FW280" s="59">
        <f>$CL280-$CL281</f>
        <v/>
      </c>
      <c r="FX280" s="59">
        <f>$CM280-$CM281</f>
        <v/>
      </c>
      <c r="FY280" s="59">
        <f>$CN280-$CN281</f>
        <v/>
      </c>
      <c r="FZ280" s="59">
        <f>$CO280-$CO281</f>
        <v/>
      </c>
      <c r="GA280" s="59">
        <f>$CP280-$CP281</f>
        <v/>
      </c>
      <c r="GB280" s="59">
        <f>$CQ280-$CQ281</f>
        <v/>
      </c>
      <c r="GC280" s="59">
        <f>$CR280-$CR281</f>
        <v/>
      </c>
      <c r="GD280" s="59">
        <f>$CS280-$CS281</f>
        <v/>
      </c>
      <c r="GE280" s="59">
        <f>$CT280-$CT281</f>
        <v/>
      </c>
    </row>
    <row r="281">
      <c r="CU281" s="58">
        <f>IFERROR($B281/$B282-1,"")</f>
        <v/>
      </c>
      <c r="CV281" s="59">
        <f>($F281-$F282)*100</f>
        <v/>
      </c>
      <c r="CW281" s="59">
        <f>($E281-$E282)*100</f>
        <v/>
      </c>
      <c r="CX281" s="58">
        <f>IFERROR($K281/$K282-1,"")</f>
        <v/>
      </c>
      <c r="CY281" s="59">
        <f>($AH281-$AH282)*100</f>
        <v/>
      </c>
      <c r="CZ281" s="59">
        <f>($AI281-$AI282)*100</f>
        <v/>
      </c>
      <c r="DA281" s="59">
        <f>($AJ281-$AJ282)*100</f>
        <v/>
      </c>
      <c r="DB281" s="59">
        <f>($AK281-$AK282)*100</f>
        <v/>
      </c>
      <c r="DC281" s="59">
        <f>($AL281-$AL282)*100</f>
        <v/>
      </c>
      <c r="DD281" s="59">
        <f>($AM281-$AM282)*100</f>
        <v/>
      </c>
      <c r="DE281" s="59">
        <f>($AN281-$AN282)*100</f>
        <v/>
      </c>
      <c r="DF281" s="59">
        <f>($AO281-$AO282)*100</f>
        <v/>
      </c>
      <c r="DG281" s="59">
        <f>($AP281-$AP282)*100</f>
        <v/>
      </c>
      <c r="DH281" s="59">
        <f>($AQ281-$AQ282)*100</f>
        <v/>
      </c>
      <c r="DI281" s="59">
        <f>($AR281-$AR282)*100</f>
        <v/>
      </c>
      <c r="DJ281" s="59">
        <f>($AS281-$AS282)*100</f>
        <v/>
      </c>
      <c r="DK281" s="59">
        <f>($AT281-$AT282)*100</f>
        <v/>
      </c>
      <c r="DL281" s="59">
        <f>($AU281-$AU282)*100</f>
        <v/>
      </c>
      <c r="DM281" s="59">
        <f>($AV281-$AV282)*100</f>
        <v/>
      </c>
      <c r="DN281" s="59">
        <f>($AW281-$AW282)*100</f>
        <v/>
      </c>
      <c r="DO281" s="59">
        <f>($AX281-$AX282)*100</f>
        <v/>
      </c>
      <c r="DP281" s="59">
        <f>($AY281-$AY282)*100</f>
        <v/>
      </c>
      <c r="DQ281" s="59">
        <f>($AZ281-$AZ282)*100</f>
        <v/>
      </c>
      <c r="DR281" s="59">
        <f>($BA281-$BA282)*100</f>
        <v/>
      </c>
      <c r="DS281" s="58">
        <f>IFERROR($N282/$N281-1,"")</f>
        <v/>
      </c>
      <c r="DT281" s="58">
        <f>IFERROR($O282/$O281-1,"")</f>
        <v/>
      </c>
      <c r="DU281" s="58">
        <f>IFERROR($P282/$P281-1,"")</f>
        <v/>
      </c>
      <c r="DV281" s="58">
        <f>IFERROR($Q282/$Q281-1,"")</f>
        <v/>
      </c>
      <c r="DW281" s="58">
        <f>IFERROR($R282/$R281-1,"")</f>
        <v/>
      </c>
      <c r="DX281" s="58">
        <f>IFERROR($S282/$S281-1,"")</f>
        <v/>
      </c>
      <c r="DY281" s="58">
        <f>IFERROR($T282/$T281-1,"")</f>
        <v/>
      </c>
      <c r="DZ281" s="58">
        <f>IFERROR($U282/$U281-1,"")</f>
        <v/>
      </c>
      <c r="EA281" s="58">
        <f>IFERROR($V282/$V281-1,"")</f>
        <v/>
      </c>
      <c r="EB281" s="58">
        <f>IFERROR($W282/$W281-1,"")</f>
        <v/>
      </c>
      <c r="EC281" s="58">
        <f>IFERROR($X282/$X281-1,"")</f>
        <v/>
      </c>
      <c r="ED281" s="58">
        <f>IFERROR($Y282/$Y281-1,"")</f>
        <v/>
      </c>
      <c r="EE281" s="58">
        <f>IFERROR($Z282/$Z281-1,"")</f>
        <v/>
      </c>
      <c r="EF281" s="58">
        <f>IFERROR($AA282/$AA281-1,"")</f>
        <v/>
      </c>
      <c r="EG281" s="58">
        <f>IFERROR($AB282/$AB281-1,"")</f>
        <v/>
      </c>
      <c r="EH281" s="58">
        <f>IFERROR($AC282/$AC281-1,"")</f>
        <v/>
      </c>
      <c r="EI281" s="58">
        <f>IFERROR($AD282/$AD281-1,"")</f>
        <v/>
      </c>
      <c r="EJ281" s="58">
        <f>IFERROR($AE282/$AE281-1,"")</f>
        <v/>
      </c>
      <c r="EK281" s="58">
        <f>IFERROR($AF282/$AF281-1,"")</f>
        <v/>
      </c>
      <c r="EL281" s="58">
        <f>IFERROR($AG282/$AG281-1,"")</f>
        <v/>
      </c>
      <c r="EM281" s="58">
        <f>IFERROR($BB281/$BB282-1,"")</f>
        <v/>
      </c>
      <c r="EN281" s="58">
        <f>IFERROR($BC281/$BC282-1,"")</f>
        <v/>
      </c>
      <c r="EO281" s="58">
        <f>IFERROR($BD281/$BD282-1,"")</f>
        <v/>
      </c>
      <c r="EP281" s="58">
        <f>IFERROR($BE281/$BE282-1,"")</f>
        <v/>
      </c>
      <c r="EQ281" s="58">
        <f>IFERROR($BF281/$BF282-1,"")</f>
        <v/>
      </c>
      <c r="ER281" s="58">
        <f>IFERROR($BG281/$BG282-1,"")</f>
        <v/>
      </c>
      <c r="ES281" s="58">
        <f>IFERROR($BH281/$BH282-1,"")</f>
        <v/>
      </c>
      <c r="ET281" s="58">
        <f>IFERROR($BI281/$BI282-1,"")</f>
        <v/>
      </c>
      <c r="EU281" s="58">
        <f>IFERROR($BJ281/$BJ282-1,"")</f>
        <v/>
      </c>
      <c r="EV281" s="58">
        <f>IFERROR($BK281/$BK282-1,"")</f>
        <v/>
      </c>
      <c r="EW281" s="58">
        <f>IFERROR($BL281/$BL282-1,"")</f>
        <v/>
      </c>
      <c r="EX281" s="58">
        <f>IFERROR($BM281/$BM282-1,"")</f>
        <v/>
      </c>
      <c r="EY281" s="58">
        <f>IFERROR($BN281/$BN282-1,"")</f>
        <v/>
      </c>
      <c r="EZ281" s="58">
        <f>IFERROR($BO281/$BO282-1,"")</f>
        <v/>
      </c>
      <c r="FA281" s="58">
        <f>IFERROR($BP281/$BP282-1,"")</f>
        <v/>
      </c>
      <c r="FB281" s="58">
        <f>IFERROR($BQ281/$BQ282-1,"")</f>
        <v/>
      </c>
      <c r="FC281" s="58">
        <f>IFERROR($BR281/$BR282-1,"")</f>
        <v/>
      </c>
      <c r="FD281" s="58">
        <f>IFERROR($BS281/$BS282-1,"")</f>
        <v/>
      </c>
      <c r="FE281" s="58">
        <f>IFERROR($BT281/$BT282-1,"")</f>
        <v/>
      </c>
      <c r="FF281" s="58">
        <f>IFERROR($BU281/$BU282-1,"")</f>
        <v/>
      </c>
      <c r="FG281" s="58">
        <f>IFERROR($BV281/$BV282-1,"")</f>
        <v/>
      </c>
      <c r="FH281" s="58">
        <f>IFERROR($BW281/$BW282-1,"")</f>
        <v/>
      </c>
      <c r="FI281" s="58">
        <f>IFERROR($BX281/$BX282-1,"")</f>
        <v/>
      </c>
      <c r="FJ281" s="59">
        <f>$BY281-$BY282</f>
        <v/>
      </c>
      <c r="FK281" s="59">
        <f>$BZ281-$BZ282</f>
        <v/>
      </c>
      <c r="FL281" s="59">
        <f>$CA281-$CA282</f>
        <v/>
      </c>
      <c r="FM281" s="59">
        <f>$CB281-$CB282</f>
        <v/>
      </c>
      <c r="FN281" s="59">
        <f>$CC281-$CC282</f>
        <v/>
      </c>
      <c r="FO281" s="59">
        <f>$CD281-$CD282</f>
        <v/>
      </c>
      <c r="FP281" s="59">
        <f>$CE281-$CE282</f>
        <v/>
      </c>
      <c r="FQ281" s="59">
        <f>$CF281-$CF282</f>
        <v/>
      </c>
      <c r="FR281" s="59">
        <f>$CG281-$CG282</f>
        <v/>
      </c>
      <c r="FS281" s="59">
        <f>$CH281-$CH282</f>
        <v/>
      </c>
      <c r="FT281" s="59">
        <f>$CI281-$CI282</f>
        <v/>
      </c>
      <c r="FU281" s="59">
        <f>$CJ281-$CJ282</f>
        <v/>
      </c>
      <c r="FV281" s="59">
        <f>$CK281-$CK282</f>
        <v/>
      </c>
      <c r="FW281" s="59">
        <f>$CL281-$CL282</f>
        <v/>
      </c>
      <c r="FX281" s="59">
        <f>$CM281-$CM282</f>
        <v/>
      </c>
      <c r="FY281" s="59">
        <f>$CN281-$CN282</f>
        <v/>
      </c>
      <c r="FZ281" s="59">
        <f>$CO281-$CO282</f>
        <v/>
      </c>
      <c r="GA281" s="59">
        <f>$CP281-$CP282</f>
        <v/>
      </c>
      <c r="GB281" s="59">
        <f>$CQ281-$CQ282</f>
        <v/>
      </c>
      <c r="GC281" s="59">
        <f>$CR281-$CR282</f>
        <v/>
      </c>
      <c r="GD281" s="59">
        <f>$CS281-$CS282</f>
        <v/>
      </c>
      <c r="GE281" s="59">
        <f>$CT281-$CT282</f>
        <v/>
      </c>
    </row>
    <row r="282">
      <c r="CU282" s="58">
        <f>IFERROR($B282/$B283-1,"")</f>
        <v/>
      </c>
      <c r="CV282" s="59">
        <f>($F282-$F283)*100</f>
        <v/>
      </c>
      <c r="CW282" s="59">
        <f>($E282-$E283)*100</f>
        <v/>
      </c>
      <c r="CX282" s="58">
        <f>IFERROR($K282/$K283-1,"")</f>
        <v/>
      </c>
      <c r="CY282" s="59">
        <f>($AH282-$AH283)*100</f>
        <v/>
      </c>
      <c r="CZ282" s="59">
        <f>($AI282-$AI283)*100</f>
        <v/>
      </c>
      <c r="DA282" s="59">
        <f>($AJ282-$AJ283)*100</f>
        <v/>
      </c>
      <c r="DB282" s="59">
        <f>($AK282-$AK283)*100</f>
        <v/>
      </c>
      <c r="DC282" s="59">
        <f>($AL282-$AL283)*100</f>
        <v/>
      </c>
      <c r="DD282" s="59">
        <f>($AM282-$AM283)*100</f>
        <v/>
      </c>
      <c r="DE282" s="59">
        <f>($AN282-$AN283)*100</f>
        <v/>
      </c>
      <c r="DF282" s="59">
        <f>($AO282-$AO283)*100</f>
        <v/>
      </c>
      <c r="DG282" s="59">
        <f>($AP282-$AP283)*100</f>
        <v/>
      </c>
      <c r="DH282" s="59">
        <f>($AQ282-$AQ283)*100</f>
        <v/>
      </c>
      <c r="DI282" s="59">
        <f>($AR282-$AR283)*100</f>
        <v/>
      </c>
      <c r="DJ282" s="59">
        <f>($AS282-$AS283)*100</f>
        <v/>
      </c>
      <c r="DK282" s="59">
        <f>($AT282-$AT283)*100</f>
        <v/>
      </c>
      <c r="DL282" s="59">
        <f>($AU282-$AU283)*100</f>
        <v/>
      </c>
      <c r="DM282" s="59">
        <f>($AV282-$AV283)*100</f>
        <v/>
      </c>
      <c r="DN282" s="59">
        <f>($AW282-$AW283)*100</f>
        <v/>
      </c>
      <c r="DO282" s="59">
        <f>($AX282-$AX283)*100</f>
        <v/>
      </c>
      <c r="DP282" s="59">
        <f>($AY282-$AY283)*100</f>
        <v/>
      </c>
      <c r="DQ282" s="59">
        <f>($AZ282-$AZ283)*100</f>
        <v/>
      </c>
      <c r="DR282" s="59">
        <f>($BA282-$BA283)*100</f>
        <v/>
      </c>
      <c r="DS282" s="58">
        <f>IFERROR($N283/$N282-1,"")</f>
        <v/>
      </c>
      <c r="DT282" s="58">
        <f>IFERROR($O283/$O282-1,"")</f>
        <v/>
      </c>
      <c r="DU282" s="58">
        <f>IFERROR($P283/$P282-1,"")</f>
        <v/>
      </c>
      <c r="DV282" s="58">
        <f>IFERROR($Q283/$Q282-1,"")</f>
        <v/>
      </c>
      <c r="DW282" s="58">
        <f>IFERROR($R283/$R282-1,"")</f>
        <v/>
      </c>
      <c r="DX282" s="58">
        <f>IFERROR($S283/$S282-1,"")</f>
        <v/>
      </c>
      <c r="DY282" s="58">
        <f>IFERROR($T283/$T282-1,"")</f>
        <v/>
      </c>
      <c r="DZ282" s="58">
        <f>IFERROR($U283/$U282-1,"")</f>
        <v/>
      </c>
      <c r="EA282" s="58">
        <f>IFERROR($V283/$V282-1,"")</f>
        <v/>
      </c>
      <c r="EB282" s="58">
        <f>IFERROR($W283/$W282-1,"")</f>
        <v/>
      </c>
      <c r="EC282" s="58">
        <f>IFERROR($X283/$X282-1,"")</f>
        <v/>
      </c>
      <c r="ED282" s="58">
        <f>IFERROR($Y283/$Y282-1,"")</f>
        <v/>
      </c>
      <c r="EE282" s="58">
        <f>IFERROR($Z283/$Z282-1,"")</f>
        <v/>
      </c>
      <c r="EF282" s="58">
        <f>IFERROR($AA283/$AA282-1,"")</f>
        <v/>
      </c>
      <c r="EG282" s="58">
        <f>IFERROR($AB283/$AB282-1,"")</f>
        <v/>
      </c>
      <c r="EH282" s="58">
        <f>IFERROR($AC283/$AC282-1,"")</f>
        <v/>
      </c>
      <c r="EI282" s="58">
        <f>IFERROR($AD283/$AD282-1,"")</f>
        <v/>
      </c>
      <c r="EJ282" s="58">
        <f>IFERROR($AE283/$AE282-1,"")</f>
        <v/>
      </c>
      <c r="EK282" s="58">
        <f>IFERROR($AF283/$AF282-1,"")</f>
        <v/>
      </c>
      <c r="EL282" s="58">
        <f>IFERROR($AG283/$AG282-1,"")</f>
        <v/>
      </c>
      <c r="EM282" s="58">
        <f>IFERROR($BB282/$BB283-1,"")</f>
        <v/>
      </c>
      <c r="EN282" s="58">
        <f>IFERROR($BC282/$BC283-1,"")</f>
        <v/>
      </c>
      <c r="EO282" s="58">
        <f>IFERROR($BD282/$BD283-1,"")</f>
        <v/>
      </c>
      <c r="EP282" s="58">
        <f>IFERROR($BE282/$BE283-1,"")</f>
        <v/>
      </c>
      <c r="EQ282" s="58">
        <f>IFERROR($BF282/$BF283-1,"")</f>
        <v/>
      </c>
      <c r="ER282" s="58">
        <f>IFERROR($BG282/$BG283-1,"")</f>
        <v/>
      </c>
      <c r="ES282" s="58">
        <f>IFERROR($BH282/$BH283-1,"")</f>
        <v/>
      </c>
      <c r="ET282" s="58">
        <f>IFERROR($BI282/$BI283-1,"")</f>
        <v/>
      </c>
      <c r="EU282" s="58">
        <f>IFERROR($BJ282/$BJ283-1,"")</f>
        <v/>
      </c>
      <c r="EV282" s="58">
        <f>IFERROR($BK282/$BK283-1,"")</f>
        <v/>
      </c>
      <c r="EW282" s="58">
        <f>IFERROR($BL282/$BL283-1,"")</f>
        <v/>
      </c>
      <c r="EX282" s="58">
        <f>IFERROR($BM282/$BM283-1,"")</f>
        <v/>
      </c>
      <c r="EY282" s="58">
        <f>IFERROR($BN282/$BN283-1,"")</f>
        <v/>
      </c>
      <c r="EZ282" s="58">
        <f>IFERROR($BO282/$BO283-1,"")</f>
        <v/>
      </c>
      <c r="FA282" s="58">
        <f>IFERROR($BP282/$BP283-1,"")</f>
        <v/>
      </c>
      <c r="FB282" s="58">
        <f>IFERROR($BQ282/$BQ283-1,"")</f>
        <v/>
      </c>
      <c r="FC282" s="58">
        <f>IFERROR($BR282/$BR283-1,"")</f>
        <v/>
      </c>
      <c r="FD282" s="58">
        <f>IFERROR($BS282/$BS283-1,"")</f>
        <v/>
      </c>
      <c r="FE282" s="58">
        <f>IFERROR($BT282/$BT283-1,"")</f>
        <v/>
      </c>
      <c r="FF282" s="58">
        <f>IFERROR($BU282/$BU283-1,"")</f>
        <v/>
      </c>
      <c r="FG282" s="58">
        <f>IFERROR($BV282/$BV283-1,"")</f>
        <v/>
      </c>
      <c r="FH282" s="58">
        <f>IFERROR($BW282/$BW283-1,"")</f>
        <v/>
      </c>
      <c r="FI282" s="58">
        <f>IFERROR($BX282/$BX283-1,"")</f>
        <v/>
      </c>
      <c r="FJ282" s="59">
        <f>$BY282-$BY283</f>
        <v/>
      </c>
      <c r="FK282" s="59">
        <f>$BZ282-$BZ283</f>
        <v/>
      </c>
      <c r="FL282" s="59">
        <f>$CA282-$CA283</f>
        <v/>
      </c>
      <c r="FM282" s="59">
        <f>$CB282-$CB283</f>
        <v/>
      </c>
      <c r="FN282" s="59">
        <f>$CC282-$CC283</f>
        <v/>
      </c>
      <c r="FO282" s="59">
        <f>$CD282-$CD283</f>
        <v/>
      </c>
      <c r="FP282" s="59">
        <f>$CE282-$CE283</f>
        <v/>
      </c>
      <c r="FQ282" s="59">
        <f>$CF282-$CF283</f>
        <v/>
      </c>
      <c r="FR282" s="59">
        <f>$CG282-$CG283</f>
        <v/>
      </c>
      <c r="FS282" s="59">
        <f>$CH282-$CH283</f>
        <v/>
      </c>
      <c r="FT282" s="59">
        <f>$CI282-$CI283</f>
        <v/>
      </c>
      <c r="FU282" s="59">
        <f>$CJ282-$CJ283</f>
        <v/>
      </c>
      <c r="FV282" s="59">
        <f>$CK282-$CK283</f>
        <v/>
      </c>
      <c r="FW282" s="59">
        <f>$CL282-$CL283</f>
        <v/>
      </c>
      <c r="FX282" s="59">
        <f>$CM282-$CM283</f>
        <v/>
      </c>
      <c r="FY282" s="59">
        <f>$CN282-$CN283</f>
        <v/>
      </c>
      <c r="FZ282" s="59">
        <f>$CO282-$CO283</f>
        <v/>
      </c>
      <c r="GA282" s="59">
        <f>$CP282-$CP283</f>
        <v/>
      </c>
      <c r="GB282" s="59">
        <f>$CQ282-$CQ283</f>
        <v/>
      </c>
      <c r="GC282" s="59">
        <f>$CR282-$CR283</f>
        <v/>
      </c>
      <c r="GD282" s="59">
        <f>$CS282-$CS283</f>
        <v/>
      </c>
      <c r="GE282" s="59">
        <f>$CT282-$CT283</f>
        <v/>
      </c>
    </row>
    <row r="283">
      <c r="CU283" s="58">
        <f>IFERROR($B283/$B284-1,"")</f>
        <v/>
      </c>
      <c r="CV283" s="59">
        <f>($F283-$F284)*100</f>
        <v/>
      </c>
      <c r="CW283" s="59">
        <f>($E283-$E284)*100</f>
        <v/>
      </c>
      <c r="CX283" s="58">
        <f>IFERROR($K283/$K284-1,"")</f>
        <v/>
      </c>
      <c r="CY283" s="59">
        <f>($AH283-$AH284)*100</f>
        <v/>
      </c>
      <c r="CZ283" s="59">
        <f>($AI283-$AI284)*100</f>
        <v/>
      </c>
      <c r="DA283" s="59">
        <f>($AJ283-$AJ284)*100</f>
        <v/>
      </c>
      <c r="DB283" s="59">
        <f>($AK283-$AK284)*100</f>
        <v/>
      </c>
      <c r="DC283" s="59">
        <f>($AL283-$AL284)*100</f>
        <v/>
      </c>
      <c r="DD283" s="59">
        <f>($AM283-$AM284)*100</f>
        <v/>
      </c>
      <c r="DE283" s="59">
        <f>($AN283-$AN284)*100</f>
        <v/>
      </c>
      <c r="DF283" s="59">
        <f>($AO283-$AO284)*100</f>
        <v/>
      </c>
      <c r="DG283" s="59">
        <f>($AP283-$AP284)*100</f>
        <v/>
      </c>
      <c r="DH283" s="59">
        <f>($AQ283-$AQ284)*100</f>
        <v/>
      </c>
      <c r="DI283" s="59">
        <f>($AR283-$AR284)*100</f>
        <v/>
      </c>
      <c r="DJ283" s="59">
        <f>($AS283-$AS284)*100</f>
        <v/>
      </c>
      <c r="DK283" s="59">
        <f>($AT283-$AT284)*100</f>
        <v/>
      </c>
      <c r="DL283" s="59">
        <f>($AU283-$AU284)*100</f>
        <v/>
      </c>
      <c r="DM283" s="59">
        <f>($AV283-$AV284)*100</f>
        <v/>
      </c>
      <c r="DN283" s="59">
        <f>($AW283-$AW284)*100</f>
        <v/>
      </c>
      <c r="DO283" s="59">
        <f>($AX283-$AX284)*100</f>
        <v/>
      </c>
      <c r="DP283" s="59">
        <f>($AY283-$AY284)*100</f>
        <v/>
      </c>
      <c r="DQ283" s="59">
        <f>($AZ283-$AZ284)*100</f>
        <v/>
      </c>
      <c r="DR283" s="59">
        <f>($BA283-$BA284)*100</f>
        <v/>
      </c>
      <c r="DS283" s="58">
        <f>IFERROR($N284/$N283-1,"")</f>
        <v/>
      </c>
      <c r="DT283" s="58">
        <f>IFERROR($O284/$O283-1,"")</f>
        <v/>
      </c>
      <c r="DU283" s="58">
        <f>IFERROR($P284/$P283-1,"")</f>
        <v/>
      </c>
      <c r="DV283" s="58">
        <f>IFERROR($Q284/$Q283-1,"")</f>
        <v/>
      </c>
      <c r="DW283" s="58">
        <f>IFERROR($R284/$R283-1,"")</f>
        <v/>
      </c>
      <c r="DX283" s="58">
        <f>IFERROR($S284/$S283-1,"")</f>
        <v/>
      </c>
      <c r="DY283" s="58">
        <f>IFERROR($T284/$T283-1,"")</f>
        <v/>
      </c>
      <c r="DZ283" s="58">
        <f>IFERROR($U284/$U283-1,"")</f>
        <v/>
      </c>
      <c r="EA283" s="58">
        <f>IFERROR($V284/$V283-1,"")</f>
        <v/>
      </c>
      <c r="EB283" s="58">
        <f>IFERROR($W284/$W283-1,"")</f>
        <v/>
      </c>
      <c r="EC283" s="58">
        <f>IFERROR($X284/$X283-1,"")</f>
        <v/>
      </c>
      <c r="ED283" s="58">
        <f>IFERROR($Y284/$Y283-1,"")</f>
        <v/>
      </c>
      <c r="EE283" s="58">
        <f>IFERROR($Z284/$Z283-1,"")</f>
        <v/>
      </c>
      <c r="EF283" s="58">
        <f>IFERROR($AA284/$AA283-1,"")</f>
        <v/>
      </c>
      <c r="EG283" s="58">
        <f>IFERROR($AB284/$AB283-1,"")</f>
        <v/>
      </c>
      <c r="EH283" s="58">
        <f>IFERROR($AC284/$AC283-1,"")</f>
        <v/>
      </c>
      <c r="EI283" s="58">
        <f>IFERROR($AD284/$AD283-1,"")</f>
        <v/>
      </c>
      <c r="EJ283" s="58">
        <f>IFERROR($AE284/$AE283-1,"")</f>
        <v/>
      </c>
      <c r="EK283" s="58">
        <f>IFERROR($AF284/$AF283-1,"")</f>
        <v/>
      </c>
      <c r="EL283" s="58">
        <f>IFERROR($AG284/$AG283-1,"")</f>
        <v/>
      </c>
      <c r="EM283" s="58">
        <f>IFERROR($BB283/$BB284-1,"")</f>
        <v/>
      </c>
      <c r="EN283" s="58">
        <f>IFERROR($BC283/$BC284-1,"")</f>
        <v/>
      </c>
      <c r="EO283" s="58">
        <f>IFERROR($BD283/$BD284-1,"")</f>
        <v/>
      </c>
      <c r="EP283" s="58">
        <f>IFERROR($BE283/$BE284-1,"")</f>
        <v/>
      </c>
      <c r="EQ283" s="58">
        <f>IFERROR($BF283/$BF284-1,"")</f>
        <v/>
      </c>
      <c r="ER283" s="58">
        <f>IFERROR($BG283/$BG284-1,"")</f>
        <v/>
      </c>
      <c r="ES283" s="58">
        <f>IFERROR($BH283/$BH284-1,"")</f>
        <v/>
      </c>
      <c r="ET283" s="58">
        <f>IFERROR($BI283/$BI284-1,"")</f>
        <v/>
      </c>
      <c r="EU283" s="58">
        <f>IFERROR($BJ283/$BJ284-1,"")</f>
        <v/>
      </c>
      <c r="EV283" s="58">
        <f>IFERROR($BK283/$BK284-1,"")</f>
        <v/>
      </c>
      <c r="EW283" s="58">
        <f>IFERROR($BL283/$BL284-1,"")</f>
        <v/>
      </c>
      <c r="EX283" s="58">
        <f>IFERROR($BM283/$BM284-1,"")</f>
        <v/>
      </c>
      <c r="EY283" s="58">
        <f>IFERROR($BN283/$BN284-1,"")</f>
        <v/>
      </c>
      <c r="EZ283" s="58">
        <f>IFERROR($BO283/$BO284-1,"")</f>
        <v/>
      </c>
      <c r="FA283" s="58">
        <f>IFERROR($BP283/$BP284-1,"")</f>
        <v/>
      </c>
      <c r="FB283" s="58">
        <f>IFERROR($BQ283/$BQ284-1,"")</f>
        <v/>
      </c>
      <c r="FC283" s="58">
        <f>IFERROR($BR283/$BR284-1,"")</f>
        <v/>
      </c>
      <c r="FD283" s="58">
        <f>IFERROR($BS283/$BS284-1,"")</f>
        <v/>
      </c>
      <c r="FE283" s="58">
        <f>IFERROR($BT283/$BT284-1,"")</f>
        <v/>
      </c>
      <c r="FF283" s="58">
        <f>IFERROR($BU283/$BU284-1,"")</f>
        <v/>
      </c>
      <c r="FG283" s="58">
        <f>IFERROR($BV283/$BV284-1,"")</f>
        <v/>
      </c>
      <c r="FH283" s="58">
        <f>IFERROR($BW283/$BW284-1,"")</f>
        <v/>
      </c>
      <c r="FI283" s="58">
        <f>IFERROR($BX283/$BX284-1,"")</f>
        <v/>
      </c>
      <c r="FJ283" s="59">
        <f>$BY283-$BY284</f>
        <v/>
      </c>
      <c r="FK283" s="59">
        <f>$BZ283-$BZ284</f>
        <v/>
      </c>
      <c r="FL283" s="59">
        <f>$CA283-$CA284</f>
        <v/>
      </c>
      <c r="FM283" s="59">
        <f>$CB283-$CB284</f>
        <v/>
      </c>
      <c r="FN283" s="59">
        <f>$CC283-$CC284</f>
        <v/>
      </c>
      <c r="FO283" s="59">
        <f>$CD283-$CD284</f>
        <v/>
      </c>
      <c r="FP283" s="59">
        <f>$CE283-$CE284</f>
        <v/>
      </c>
      <c r="FQ283" s="59">
        <f>$CF283-$CF284</f>
        <v/>
      </c>
      <c r="FR283" s="59">
        <f>$CG283-$CG284</f>
        <v/>
      </c>
      <c r="FS283" s="59">
        <f>$CH283-$CH284</f>
        <v/>
      </c>
      <c r="FT283" s="59">
        <f>$CI283-$CI284</f>
        <v/>
      </c>
      <c r="FU283" s="59">
        <f>$CJ283-$CJ284</f>
        <v/>
      </c>
      <c r="FV283" s="59">
        <f>$CK283-$CK284</f>
        <v/>
      </c>
      <c r="FW283" s="59">
        <f>$CL283-$CL284</f>
        <v/>
      </c>
      <c r="FX283" s="59">
        <f>$CM283-$CM284</f>
        <v/>
      </c>
      <c r="FY283" s="59">
        <f>$CN283-$CN284</f>
        <v/>
      </c>
      <c r="FZ283" s="59">
        <f>$CO283-$CO284</f>
        <v/>
      </c>
      <c r="GA283" s="59">
        <f>$CP283-$CP284</f>
        <v/>
      </c>
      <c r="GB283" s="59">
        <f>$CQ283-$CQ284</f>
        <v/>
      </c>
      <c r="GC283" s="59">
        <f>$CR283-$CR284</f>
        <v/>
      </c>
      <c r="GD283" s="59">
        <f>$CS283-$CS284</f>
        <v/>
      </c>
      <c r="GE283" s="59">
        <f>$CT283-$CT284</f>
        <v/>
      </c>
    </row>
    <row r="284">
      <c r="CU284" s="58">
        <f>IFERROR($B284/$B285-1,"")</f>
        <v/>
      </c>
      <c r="CV284" s="59">
        <f>($F284-$F285)*100</f>
        <v/>
      </c>
      <c r="CW284" s="59">
        <f>($E284-$E285)*100</f>
        <v/>
      </c>
      <c r="CX284" s="58">
        <f>IFERROR($K284/$K285-1,"")</f>
        <v/>
      </c>
      <c r="CY284" s="59">
        <f>($AH284-$AH285)*100</f>
        <v/>
      </c>
      <c r="CZ284" s="59">
        <f>($AI284-$AI285)*100</f>
        <v/>
      </c>
      <c r="DA284" s="59">
        <f>($AJ284-$AJ285)*100</f>
        <v/>
      </c>
      <c r="DB284" s="59">
        <f>($AK284-$AK285)*100</f>
        <v/>
      </c>
      <c r="DC284" s="59">
        <f>($AL284-$AL285)*100</f>
        <v/>
      </c>
      <c r="DD284" s="59">
        <f>($AM284-$AM285)*100</f>
        <v/>
      </c>
      <c r="DE284" s="59">
        <f>($AN284-$AN285)*100</f>
        <v/>
      </c>
      <c r="DF284" s="59">
        <f>($AO284-$AO285)*100</f>
        <v/>
      </c>
      <c r="DG284" s="59">
        <f>($AP284-$AP285)*100</f>
        <v/>
      </c>
      <c r="DH284" s="59">
        <f>($AQ284-$AQ285)*100</f>
        <v/>
      </c>
      <c r="DI284" s="59">
        <f>($AR284-$AR285)*100</f>
        <v/>
      </c>
      <c r="DJ284" s="59">
        <f>($AS284-$AS285)*100</f>
        <v/>
      </c>
      <c r="DK284" s="59">
        <f>($AT284-$AT285)*100</f>
        <v/>
      </c>
      <c r="DL284" s="59">
        <f>($AU284-$AU285)*100</f>
        <v/>
      </c>
      <c r="DM284" s="59">
        <f>($AV284-$AV285)*100</f>
        <v/>
      </c>
      <c r="DN284" s="59">
        <f>($AW284-$AW285)*100</f>
        <v/>
      </c>
      <c r="DO284" s="59">
        <f>($AX284-$AX285)*100</f>
        <v/>
      </c>
      <c r="DP284" s="59">
        <f>($AY284-$AY285)*100</f>
        <v/>
      </c>
      <c r="DQ284" s="59">
        <f>($AZ284-$AZ285)*100</f>
        <v/>
      </c>
      <c r="DR284" s="59">
        <f>($BA284-$BA285)*100</f>
        <v/>
      </c>
      <c r="DS284" s="58">
        <f>IFERROR($N285/$N284-1,"")</f>
        <v/>
      </c>
      <c r="DT284" s="58">
        <f>IFERROR($O285/$O284-1,"")</f>
        <v/>
      </c>
      <c r="DU284" s="58">
        <f>IFERROR($P285/$P284-1,"")</f>
        <v/>
      </c>
      <c r="DV284" s="58">
        <f>IFERROR($Q285/$Q284-1,"")</f>
        <v/>
      </c>
      <c r="DW284" s="58">
        <f>IFERROR($R285/$R284-1,"")</f>
        <v/>
      </c>
      <c r="DX284" s="58">
        <f>IFERROR($S285/$S284-1,"")</f>
        <v/>
      </c>
      <c r="DY284" s="58">
        <f>IFERROR($T285/$T284-1,"")</f>
        <v/>
      </c>
      <c r="DZ284" s="58">
        <f>IFERROR($U285/$U284-1,"")</f>
        <v/>
      </c>
      <c r="EA284" s="58">
        <f>IFERROR($V285/$V284-1,"")</f>
        <v/>
      </c>
      <c r="EB284" s="58">
        <f>IFERROR($W285/$W284-1,"")</f>
        <v/>
      </c>
      <c r="EC284" s="58">
        <f>IFERROR($X285/$X284-1,"")</f>
        <v/>
      </c>
      <c r="ED284" s="58">
        <f>IFERROR($Y285/$Y284-1,"")</f>
        <v/>
      </c>
      <c r="EE284" s="58">
        <f>IFERROR($Z285/$Z284-1,"")</f>
        <v/>
      </c>
      <c r="EF284" s="58">
        <f>IFERROR($AA285/$AA284-1,"")</f>
        <v/>
      </c>
      <c r="EG284" s="58">
        <f>IFERROR($AB285/$AB284-1,"")</f>
        <v/>
      </c>
      <c r="EH284" s="58">
        <f>IFERROR($AC285/$AC284-1,"")</f>
        <v/>
      </c>
      <c r="EI284" s="58">
        <f>IFERROR($AD285/$AD284-1,"")</f>
        <v/>
      </c>
      <c r="EJ284" s="58">
        <f>IFERROR($AE285/$AE284-1,"")</f>
        <v/>
      </c>
      <c r="EK284" s="58">
        <f>IFERROR($AF285/$AF284-1,"")</f>
        <v/>
      </c>
      <c r="EL284" s="58">
        <f>IFERROR($AG285/$AG284-1,"")</f>
        <v/>
      </c>
      <c r="EM284" s="58">
        <f>IFERROR($BB284/$BB285-1,"")</f>
        <v/>
      </c>
      <c r="EN284" s="58">
        <f>IFERROR($BC284/$BC285-1,"")</f>
        <v/>
      </c>
      <c r="EO284" s="58">
        <f>IFERROR($BD284/$BD285-1,"")</f>
        <v/>
      </c>
      <c r="EP284" s="58">
        <f>IFERROR($BE284/$BE285-1,"")</f>
        <v/>
      </c>
      <c r="EQ284" s="58">
        <f>IFERROR($BF284/$BF285-1,"")</f>
        <v/>
      </c>
      <c r="ER284" s="58">
        <f>IFERROR($BG284/$BG285-1,"")</f>
        <v/>
      </c>
      <c r="ES284" s="58">
        <f>IFERROR($BH284/$BH285-1,"")</f>
        <v/>
      </c>
      <c r="ET284" s="58">
        <f>IFERROR($BI284/$BI285-1,"")</f>
        <v/>
      </c>
      <c r="EU284" s="58">
        <f>IFERROR($BJ284/$BJ285-1,"")</f>
        <v/>
      </c>
      <c r="EV284" s="58">
        <f>IFERROR($BK284/$BK285-1,"")</f>
        <v/>
      </c>
      <c r="EW284" s="58">
        <f>IFERROR($BL284/$BL285-1,"")</f>
        <v/>
      </c>
      <c r="EX284" s="58">
        <f>IFERROR($BM284/$BM285-1,"")</f>
        <v/>
      </c>
      <c r="EY284" s="58">
        <f>IFERROR($BN284/$BN285-1,"")</f>
        <v/>
      </c>
      <c r="EZ284" s="58">
        <f>IFERROR($BO284/$BO285-1,"")</f>
        <v/>
      </c>
      <c r="FA284" s="58">
        <f>IFERROR($BP284/$BP285-1,"")</f>
        <v/>
      </c>
      <c r="FB284" s="58">
        <f>IFERROR($BQ284/$BQ285-1,"")</f>
        <v/>
      </c>
      <c r="FC284" s="58">
        <f>IFERROR($BR284/$BR285-1,"")</f>
        <v/>
      </c>
      <c r="FD284" s="58">
        <f>IFERROR($BS284/$BS285-1,"")</f>
        <v/>
      </c>
      <c r="FE284" s="58">
        <f>IFERROR($BT284/$BT285-1,"")</f>
        <v/>
      </c>
      <c r="FF284" s="58">
        <f>IFERROR($BU284/$BU285-1,"")</f>
        <v/>
      </c>
      <c r="FG284" s="58">
        <f>IFERROR($BV284/$BV285-1,"")</f>
        <v/>
      </c>
      <c r="FH284" s="58">
        <f>IFERROR($BW284/$BW285-1,"")</f>
        <v/>
      </c>
      <c r="FI284" s="58">
        <f>IFERROR($BX284/$BX285-1,"")</f>
        <v/>
      </c>
      <c r="FJ284" s="59">
        <f>$BY284-$BY285</f>
        <v/>
      </c>
      <c r="FK284" s="59">
        <f>$BZ284-$BZ285</f>
        <v/>
      </c>
      <c r="FL284" s="59">
        <f>$CA284-$CA285</f>
        <v/>
      </c>
      <c r="FM284" s="59">
        <f>$CB284-$CB285</f>
        <v/>
      </c>
      <c r="FN284" s="59">
        <f>$CC284-$CC285</f>
        <v/>
      </c>
      <c r="FO284" s="59">
        <f>$CD284-$CD285</f>
        <v/>
      </c>
      <c r="FP284" s="59">
        <f>$CE284-$CE285</f>
        <v/>
      </c>
      <c r="FQ284" s="59">
        <f>$CF284-$CF285</f>
        <v/>
      </c>
      <c r="FR284" s="59">
        <f>$CG284-$CG285</f>
        <v/>
      </c>
      <c r="FS284" s="59">
        <f>$CH284-$CH285</f>
        <v/>
      </c>
      <c r="FT284" s="59">
        <f>$CI284-$CI285</f>
        <v/>
      </c>
      <c r="FU284" s="59">
        <f>$CJ284-$CJ285</f>
        <v/>
      </c>
      <c r="FV284" s="59">
        <f>$CK284-$CK285</f>
        <v/>
      </c>
      <c r="FW284" s="59">
        <f>$CL284-$CL285</f>
        <v/>
      </c>
      <c r="FX284" s="59">
        <f>$CM284-$CM285</f>
        <v/>
      </c>
      <c r="FY284" s="59">
        <f>$CN284-$CN285</f>
        <v/>
      </c>
      <c r="FZ284" s="59">
        <f>$CO284-$CO285</f>
        <v/>
      </c>
      <c r="GA284" s="59">
        <f>$CP284-$CP285</f>
        <v/>
      </c>
      <c r="GB284" s="59">
        <f>$CQ284-$CQ285</f>
        <v/>
      </c>
      <c r="GC284" s="59">
        <f>$CR284-$CR285</f>
        <v/>
      </c>
      <c r="GD284" s="59">
        <f>$CS284-$CS285</f>
        <v/>
      </c>
      <c r="GE284" s="59">
        <f>$CT284-$CT285</f>
        <v/>
      </c>
    </row>
    <row r="285">
      <c r="CU285" s="58">
        <f>IFERROR($B285/$B286-1,"")</f>
        <v/>
      </c>
      <c r="CV285" s="59">
        <f>($F285-$F286)*100</f>
        <v/>
      </c>
      <c r="CW285" s="59">
        <f>($E285-$E286)*100</f>
        <v/>
      </c>
      <c r="CX285" s="58">
        <f>IFERROR($K285/$K286-1,"")</f>
        <v/>
      </c>
      <c r="CY285" s="59">
        <f>($AH285-$AH286)*100</f>
        <v/>
      </c>
      <c r="CZ285" s="59">
        <f>($AI285-$AI286)*100</f>
        <v/>
      </c>
      <c r="DA285" s="59">
        <f>($AJ285-$AJ286)*100</f>
        <v/>
      </c>
      <c r="DB285" s="59">
        <f>($AK285-$AK286)*100</f>
        <v/>
      </c>
      <c r="DC285" s="59">
        <f>($AL285-$AL286)*100</f>
        <v/>
      </c>
      <c r="DD285" s="59">
        <f>($AM285-$AM286)*100</f>
        <v/>
      </c>
      <c r="DE285" s="59">
        <f>($AN285-$AN286)*100</f>
        <v/>
      </c>
      <c r="DF285" s="59">
        <f>($AO285-$AO286)*100</f>
        <v/>
      </c>
      <c r="DG285" s="59">
        <f>($AP285-$AP286)*100</f>
        <v/>
      </c>
      <c r="DH285" s="59">
        <f>($AQ285-$AQ286)*100</f>
        <v/>
      </c>
      <c r="DI285" s="59">
        <f>($AR285-$AR286)*100</f>
        <v/>
      </c>
      <c r="DJ285" s="59">
        <f>($AS285-$AS286)*100</f>
        <v/>
      </c>
      <c r="DK285" s="59">
        <f>($AT285-$AT286)*100</f>
        <v/>
      </c>
      <c r="DL285" s="59">
        <f>($AU285-$AU286)*100</f>
        <v/>
      </c>
      <c r="DM285" s="59">
        <f>($AV285-$AV286)*100</f>
        <v/>
      </c>
      <c r="DN285" s="59">
        <f>($AW285-$AW286)*100</f>
        <v/>
      </c>
      <c r="DO285" s="59">
        <f>($AX285-$AX286)*100</f>
        <v/>
      </c>
      <c r="DP285" s="59">
        <f>($AY285-$AY286)*100</f>
        <v/>
      </c>
      <c r="DQ285" s="59">
        <f>($AZ285-$AZ286)*100</f>
        <v/>
      </c>
      <c r="DR285" s="59">
        <f>($BA285-$BA286)*100</f>
        <v/>
      </c>
      <c r="DS285" s="58">
        <f>IFERROR($N286/$N285-1,"")</f>
        <v/>
      </c>
      <c r="DT285" s="58">
        <f>IFERROR($O286/$O285-1,"")</f>
        <v/>
      </c>
      <c r="DU285" s="58">
        <f>IFERROR($P286/$P285-1,"")</f>
        <v/>
      </c>
      <c r="DV285" s="58">
        <f>IFERROR($Q286/$Q285-1,"")</f>
        <v/>
      </c>
      <c r="DW285" s="58">
        <f>IFERROR($R286/$R285-1,"")</f>
        <v/>
      </c>
      <c r="DX285" s="58">
        <f>IFERROR($S286/$S285-1,"")</f>
        <v/>
      </c>
      <c r="DY285" s="58">
        <f>IFERROR($T286/$T285-1,"")</f>
        <v/>
      </c>
      <c r="DZ285" s="58">
        <f>IFERROR($U286/$U285-1,"")</f>
        <v/>
      </c>
      <c r="EA285" s="58">
        <f>IFERROR($V286/$V285-1,"")</f>
        <v/>
      </c>
      <c r="EB285" s="58">
        <f>IFERROR($W286/$W285-1,"")</f>
        <v/>
      </c>
      <c r="EC285" s="58">
        <f>IFERROR($X286/$X285-1,"")</f>
        <v/>
      </c>
      <c r="ED285" s="58">
        <f>IFERROR($Y286/$Y285-1,"")</f>
        <v/>
      </c>
      <c r="EE285" s="58">
        <f>IFERROR($Z286/$Z285-1,"")</f>
        <v/>
      </c>
      <c r="EF285" s="58">
        <f>IFERROR($AA286/$AA285-1,"")</f>
        <v/>
      </c>
      <c r="EG285" s="58">
        <f>IFERROR($AB286/$AB285-1,"")</f>
        <v/>
      </c>
      <c r="EH285" s="58">
        <f>IFERROR($AC286/$AC285-1,"")</f>
        <v/>
      </c>
      <c r="EI285" s="58">
        <f>IFERROR($AD286/$AD285-1,"")</f>
        <v/>
      </c>
      <c r="EJ285" s="58">
        <f>IFERROR($AE286/$AE285-1,"")</f>
        <v/>
      </c>
      <c r="EK285" s="58">
        <f>IFERROR($AF286/$AF285-1,"")</f>
        <v/>
      </c>
      <c r="EL285" s="58">
        <f>IFERROR($AG286/$AG285-1,"")</f>
        <v/>
      </c>
      <c r="EM285" s="58">
        <f>IFERROR($BB285/$BB286-1,"")</f>
        <v/>
      </c>
      <c r="EN285" s="58">
        <f>IFERROR($BC285/$BC286-1,"")</f>
        <v/>
      </c>
      <c r="EO285" s="58">
        <f>IFERROR($BD285/$BD286-1,"")</f>
        <v/>
      </c>
      <c r="EP285" s="58">
        <f>IFERROR($BE285/$BE286-1,"")</f>
        <v/>
      </c>
      <c r="EQ285" s="58">
        <f>IFERROR($BF285/$BF286-1,"")</f>
        <v/>
      </c>
      <c r="ER285" s="58">
        <f>IFERROR($BG285/$BG286-1,"")</f>
        <v/>
      </c>
      <c r="ES285" s="58">
        <f>IFERROR($BH285/$BH286-1,"")</f>
        <v/>
      </c>
      <c r="ET285" s="58">
        <f>IFERROR($BI285/$BI286-1,"")</f>
        <v/>
      </c>
      <c r="EU285" s="58">
        <f>IFERROR($BJ285/$BJ286-1,"")</f>
        <v/>
      </c>
      <c r="EV285" s="58">
        <f>IFERROR($BK285/$BK286-1,"")</f>
        <v/>
      </c>
      <c r="EW285" s="58">
        <f>IFERROR($BL285/$BL286-1,"")</f>
        <v/>
      </c>
      <c r="EX285" s="58">
        <f>IFERROR($BM285/$BM286-1,"")</f>
        <v/>
      </c>
      <c r="EY285" s="58">
        <f>IFERROR($BN285/$BN286-1,"")</f>
        <v/>
      </c>
      <c r="EZ285" s="58">
        <f>IFERROR($BO285/$BO286-1,"")</f>
        <v/>
      </c>
      <c r="FA285" s="58">
        <f>IFERROR($BP285/$BP286-1,"")</f>
        <v/>
      </c>
      <c r="FB285" s="58">
        <f>IFERROR($BQ285/$BQ286-1,"")</f>
        <v/>
      </c>
      <c r="FC285" s="58">
        <f>IFERROR($BR285/$BR286-1,"")</f>
        <v/>
      </c>
      <c r="FD285" s="58">
        <f>IFERROR($BS285/$BS286-1,"")</f>
        <v/>
      </c>
      <c r="FE285" s="58">
        <f>IFERROR($BT285/$BT286-1,"")</f>
        <v/>
      </c>
      <c r="FF285" s="58">
        <f>IFERROR($BU285/$BU286-1,"")</f>
        <v/>
      </c>
      <c r="FG285" s="58">
        <f>IFERROR($BV285/$BV286-1,"")</f>
        <v/>
      </c>
      <c r="FH285" s="58">
        <f>IFERROR($BW285/$BW286-1,"")</f>
        <v/>
      </c>
      <c r="FI285" s="58">
        <f>IFERROR($BX285/$BX286-1,"")</f>
        <v/>
      </c>
      <c r="FJ285" s="59">
        <f>$BY285-$BY286</f>
        <v/>
      </c>
      <c r="FK285" s="59">
        <f>$BZ285-$BZ286</f>
        <v/>
      </c>
      <c r="FL285" s="59">
        <f>$CA285-$CA286</f>
        <v/>
      </c>
      <c r="FM285" s="59">
        <f>$CB285-$CB286</f>
        <v/>
      </c>
      <c r="FN285" s="59">
        <f>$CC285-$CC286</f>
        <v/>
      </c>
      <c r="FO285" s="59">
        <f>$CD285-$CD286</f>
        <v/>
      </c>
      <c r="FP285" s="59">
        <f>$CE285-$CE286</f>
        <v/>
      </c>
      <c r="FQ285" s="59">
        <f>$CF285-$CF286</f>
        <v/>
      </c>
      <c r="FR285" s="59">
        <f>$CG285-$CG286</f>
        <v/>
      </c>
      <c r="FS285" s="59">
        <f>$CH285-$CH286</f>
        <v/>
      </c>
      <c r="FT285" s="59">
        <f>$CI285-$CI286</f>
        <v/>
      </c>
      <c r="FU285" s="59">
        <f>$CJ285-$CJ286</f>
        <v/>
      </c>
      <c r="FV285" s="59">
        <f>$CK285-$CK286</f>
        <v/>
      </c>
      <c r="FW285" s="59">
        <f>$CL285-$CL286</f>
        <v/>
      </c>
      <c r="FX285" s="59">
        <f>$CM285-$CM286</f>
        <v/>
      </c>
      <c r="FY285" s="59">
        <f>$CN285-$CN286</f>
        <v/>
      </c>
      <c r="FZ285" s="59">
        <f>$CO285-$CO286</f>
        <v/>
      </c>
      <c r="GA285" s="59">
        <f>$CP285-$CP286</f>
        <v/>
      </c>
      <c r="GB285" s="59">
        <f>$CQ285-$CQ286</f>
        <v/>
      </c>
      <c r="GC285" s="59">
        <f>$CR285-$CR286</f>
        <v/>
      </c>
      <c r="GD285" s="59">
        <f>$CS285-$CS286</f>
        <v/>
      </c>
      <c r="GE285" s="59">
        <f>$CT285-$CT286</f>
        <v/>
      </c>
    </row>
    <row r="286">
      <c r="CU286" s="58">
        <f>IFERROR($B286/$B287-1,"")</f>
        <v/>
      </c>
      <c r="CV286" s="59">
        <f>($F286-$F287)*100</f>
        <v/>
      </c>
      <c r="CW286" s="59">
        <f>($E286-$E287)*100</f>
        <v/>
      </c>
      <c r="CX286" s="58">
        <f>IFERROR($K286/$K287-1,"")</f>
        <v/>
      </c>
      <c r="CY286" s="59">
        <f>($AH286-$AH287)*100</f>
        <v/>
      </c>
      <c r="CZ286" s="59">
        <f>($AI286-$AI287)*100</f>
        <v/>
      </c>
      <c r="DA286" s="59">
        <f>($AJ286-$AJ287)*100</f>
        <v/>
      </c>
      <c r="DB286" s="59">
        <f>($AK286-$AK287)*100</f>
        <v/>
      </c>
      <c r="DC286" s="59">
        <f>($AL286-$AL287)*100</f>
        <v/>
      </c>
      <c r="DD286" s="59">
        <f>($AM286-$AM287)*100</f>
        <v/>
      </c>
      <c r="DE286" s="59">
        <f>($AN286-$AN287)*100</f>
        <v/>
      </c>
      <c r="DF286" s="59">
        <f>($AO286-$AO287)*100</f>
        <v/>
      </c>
      <c r="DG286" s="59">
        <f>($AP286-$AP287)*100</f>
        <v/>
      </c>
      <c r="DH286" s="59">
        <f>($AQ286-$AQ287)*100</f>
        <v/>
      </c>
      <c r="DI286" s="59">
        <f>($AR286-$AR287)*100</f>
        <v/>
      </c>
      <c r="DJ286" s="59">
        <f>($AS286-$AS287)*100</f>
        <v/>
      </c>
      <c r="DK286" s="59">
        <f>($AT286-$AT287)*100</f>
        <v/>
      </c>
      <c r="DL286" s="59">
        <f>($AU286-$AU287)*100</f>
        <v/>
      </c>
      <c r="DM286" s="59">
        <f>($AV286-$AV287)*100</f>
        <v/>
      </c>
      <c r="DN286" s="59">
        <f>($AW286-$AW287)*100</f>
        <v/>
      </c>
      <c r="DO286" s="59">
        <f>($AX286-$AX287)*100</f>
        <v/>
      </c>
      <c r="DP286" s="59">
        <f>($AY286-$AY287)*100</f>
        <v/>
      </c>
      <c r="DQ286" s="59">
        <f>($AZ286-$AZ287)*100</f>
        <v/>
      </c>
      <c r="DR286" s="59">
        <f>($BA286-$BA287)*100</f>
        <v/>
      </c>
      <c r="DS286" s="58">
        <f>IFERROR($N287/$N286-1,"")</f>
        <v/>
      </c>
      <c r="DT286" s="58">
        <f>IFERROR($O287/$O286-1,"")</f>
        <v/>
      </c>
      <c r="DU286" s="58">
        <f>IFERROR($P287/$P286-1,"")</f>
        <v/>
      </c>
      <c r="DV286" s="58">
        <f>IFERROR($Q287/$Q286-1,"")</f>
        <v/>
      </c>
      <c r="DW286" s="58">
        <f>IFERROR($R287/$R286-1,"")</f>
        <v/>
      </c>
      <c r="DX286" s="58">
        <f>IFERROR($S287/$S286-1,"")</f>
        <v/>
      </c>
      <c r="DY286" s="58">
        <f>IFERROR($T287/$T286-1,"")</f>
        <v/>
      </c>
      <c r="DZ286" s="58">
        <f>IFERROR($U287/$U286-1,"")</f>
        <v/>
      </c>
      <c r="EA286" s="58">
        <f>IFERROR($V287/$V286-1,"")</f>
        <v/>
      </c>
      <c r="EB286" s="58">
        <f>IFERROR($W287/$W286-1,"")</f>
        <v/>
      </c>
      <c r="EC286" s="58">
        <f>IFERROR($X287/$X286-1,"")</f>
        <v/>
      </c>
      <c r="ED286" s="58">
        <f>IFERROR($Y287/$Y286-1,"")</f>
        <v/>
      </c>
      <c r="EE286" s="58">
        <f>IFERROR($Z287/$Z286-1,"")</f>
        <v/>
      </c>
      <c r="EF286" s="58">
        <f>IFERROR($AA287/$AA286-1,"")</f>
        <v/>
      </c>
      <c r="EG286" s="58">
        <f>IFERROR($AB287/$AB286-1,"")</f>
        <v/>
      </c>
      <c r="EH286" s="58">
        <f>IFERROR($AC287/$AC286-1,"")</f>
        <v/>
      </c>
      <c r="EI286" s="58">
        <f>IFERROR($AD287/$AD286-1,"")</f>
        <v/>
      </c>
      <c r="EJ286" s="58">
        <f>IFERROR($AE287/$AE286-1,"")</f>
        <v/>
      </c>
      <c r="EK286" s="58">
        <f>IFERROR($AF287/$AF286-1,"")</f>
        <v/>
      </c>
      <c r="EL286" s="58">
        <f>IFERROR($AG287/$AG286-1,"")</f>
        <v/>
      </c>
      <c r="EM286" s="58">
        <f>IFERROR($BB286/$BB287-1,"")</f>
        <v/>
      </c>
      <c r="EN286" s="58">
        <f>IFERROR($BC286/$BC287-1,"")</f>
        <v/>
      </c>
      <c r="EO286" s="58">
        <f>IFERROR($BD286/$BD287-1,"")</f>
        <v/>
      </c>
      <c r="EP286" s="58">
        <f>IFERROR($BE286/$BE287-1,"")</f>
        <v/>
      </c>
      <c r="EQ286" s="58">
        <f>IFERROR($BF286/$BF287-1,"")</f>
        <v/>
      </c>
      <c r="ER286" s="58">
        <f>IFERROR($BG286/$BG287-1,"")</f>
        <v/>
      </c>
      <c r="ES286" s="58">
        <f>IFERROR($BH286/$BH287-1,"")</f>
        <v/>
      </c>
      <c r="ET286" s="58">
        <f>IFERROR($BI286/$BI287-1,"")</f>
        <v/>
      </c>
      <c r="EU286" s="58">
        <f>IFERROR($BJ286/$BJ287-1,"")</f>
        <v/>
      </c>
      <c r="EV286" s="58">
        <f>IFERROR($BK286/$BK287-1,"")</f>
        <v/>
      </c>
      <c r="EW286" s="58">
        <f>IFERROR($BL286/$BL287-1,"")</f>
        <v/>
      </c>
      <c r="EX286" s="58">
        <f>IFERROR($BM286/$BM287-1,"")</f>
        <v/>
      </c>
      <c r="EY286" s="58">
        <f>IFERROR($BN286/$BN287-1,"")</f>
        <v/>
      </c>
      <c r="EZ286" s="58">
        <f>IFERROR($BO286/$BO287-1,"")</f>
        <v/>
      </c>
      <c r="FA286" s="58">
        <f>IFERROR($BP286/$BP287-1,"")</f>
        <v/>
      </c>
      <c r="FB286" s="58">
        <f>IFERROR($BQ286/$BQ287-1,"")</f>
        <v/>
      </c>
      <c r="FC286" s="58">
        <f>IFERROR($BR286/$BR287-1,"")</f>
        <v/>
      </c>
      <c r="FD286" s="58">
        <f>IFERROR($BS286/$BS287-1,"")</f>
        <v/>
      </c>
      <c r="FE286" s="58">
        <f>IFERROR($BT286/$BT287-1,"")</f>
        <v/>
      </c>
      <c r="FF286" s="58">
        <f>IFERROR($BU286/$BU287-1,"")</f>
        <v/>
      </c>
      <c r="FG286" s="58">
        <f>IFERROR($BV286/$BV287-1,"")</f>
        <v/>
      </c>
      <c r="FH286" s="58">
        <f>IFERROR($BW286/$BW287-1,"")</f>
        <v/>
      </c>
      <c r="FI286" s="58">
        <f>IFERROR($BX286/$BX287-1,"")</f>
        <v/>
      </c>
      <c r="FJ286" s="59">
        <f>$BY286-$BY287</f>
        <v/>
      </c>
      <c r="FK286" s="59">
        <f>$BZ286-$BZ287</f>
        <v/>
      </c>
      <c r="FL286" s="59">
        <f>$CA286-$CA287</f>
        <v/>
      </c>
      <c r="FM286" s="59">
        <f>$CB286-$CB287</f>
        <v/>
      </c>
      <c r="FN286" s="59">
        <f>$CC286-$CC287</f>
        <v/>
      </c>
      <c r="FO286" s="59">
        <f>$CD286-$CD287</f>
        <v/>
      </c>
      <c r="FP286" s="59">
        <f>$CE286-$CE287</f>
        <v/>
      </c>
      <c r="FQ286" s="59">
        <f>$CF286-$CF287</f>
        <v/>
      </c>
      <c r="FR286" s="59">
        <f>$CG286-$CG287</f>
        <v/>
      </c>
      <c r="FS286" s="59">
        <f>$CH286-$CH287</f>
        <v/>
      </c>
      <c r="FT286" s="59">
        <f>$CI286-$CI287</f>
        <v/>
      </c>
      <c r="FU286" s="59">
        <f>$CJ286-$CJ287</f>
        <v/>
      </c>
      <c r="FV286" s="59">
        <f>$CK286-$CK287</f>
        <v/>
      </c>
      <c r="FW286" s="59">
        <f>$CL286-$CL287</f>
        <v/>
      </c>
      <c r="FX286" s="59">
        <f>$CM286-$CM287</f>
        <v/>
      </c>
      <c r="FY286" s="59">
        <f>$CN286-$CN287</f>
        <v/>
      </c>
      <c r="FZ286" s="59">
        <f>$CO286-$CO287</f>
        <v/>
      </c>
      <c r="GA286" s="59">
        <f>$CP286-$CP287</f>
        <v/>
      </c>
      <c r="GB286" s="59">
        <f>$CQ286-$CQ287</f>
        <v/>
      </c>
      <c r="GC286" s="59">
        <f>$CR286-$CR287</f>
        <v/>
      </c>
      <c r="GD286" s="59">
        <f>$CS286-$CS287</f>
        <v/>
      </c>
      <c r="GE286" s="59">
        <f>$CT286-$CT287</f>
        <v/>
      </c>
    </row>
    <row r="287">
      <c r="CU287" s="58">
        <f>IFERROR($B287/$B288-1,"")</f>
        <v/>
      </c>
      <c r="CV287" s="59">
        <f>($F287-$F288)*100</f>
        <v/>
      </c>
      <c r="CW287" s="59">
        <f>($E287-$E288)*100</f>
        <v/>
      </c>
      <c r="CX287" s="58">
        <f>IFERROR($K287/$K288-1,"")</f>
        <v/>
      </c>
      <c r="CY287" s="59">
        <f>($AH287-$AH288)*100</f>
        <v/>
      </c>
      <c r="CZ287" s="59">
        <f>($AI287-$AI288)*100</f>
        <v/>
      </c>
      <c r="DA287" s="59">
        <f>($AJ287-$AJ288)*100</f>
        <v/>
      </c>
      <c r="DB287" s="59">
        <f>($AK287-$AK288)*100</f>
        <v/>
      </c>
      <c r="DC287" s="59">
        <f>($AL287-$AL288)*100</f>
        <v/>
      </c>
      <c r="DD287" s="59">
        <f>($AM287-$AM288)*100</f>
        <v/>
      </c>
      <c r="DE287" s="59">
        <f>($AN287-$AN288)*100</f>
        <v/>
      </c>
      <c r="DF287" s="59">
        <f>($AO287-$AO288)*100</f>
        <v/>
      </c>
      <c r="DG287" s="59">
        <f>($AP287-$AP288)*100</f>
        <v/>
      </c>
      <c r="DH287" s="59">
        <f>($AQ287-$AQ288)*100</f>
        <v/>
      </c>
      <c r="DI287" s="59">
        <f>($AR287-$AR288)*100</f>
        <v/>
      </c>
      <c r="DJ287" s="59">
        <f>($AS287-$AS288)*100</f>
        <v/>
      </c>
      <c r="DK287" s="59">
        <f>($AT287-$AT288)*100</f>
        <v/>
      </c>
      <c r="DL287" s="59">
        <f>($AU287-$AU288)*100</f>
        <v/>
      </c>
      <c r="DM287" s="59">
        <f>($AV287-$AV288)*100</f>
        <v/>
      </c>
      <c r="DN287" s="59">
        <f>($AW287-$AW288)*100</f>
        <v/>
      </c>
      <c r="DO287" s="59">
        <f>($AX287-$AX288)*100</f>
        <v/>
      </c>
      <c r="DP287" s="59">
        <f>($AY287-$AY288)*100</f>
        <v/>
      </c>
      <c r="DQ287" s="59">
        <f>($AZ287-$AZ288)*100</f>
        <v/>
      </c>
      <c r="DR287" s="59">
        <f>($BA287-$BA288)*100</f>
        <v/>
      </c>
      <c r="DS287" s="58">
        <f>IFERROR($N288/$N287-1,"")</f>
        <v/>
      </c>
      <c r="DT287" s="58">
        <f>IFERROR($O288/$O287-1,"")</f>
        <v/>
      </c>
      <c r="DU287" s="58">
        <f>IFERROR($P288/$P287-1,"")</f>
        <v/>
      </c>
      <c r="DV287" s="58">
        <f>IFERROR($Q288/$Q287-1,"")</f>
        <v/>
      </c>
      <c r="DW287" s="58">
        <f>IFERROR($R288/$R287-1,"")</f>
        <v/>
      </c>
      <c r="DX287" s="58">
        <f>IFERROR($S288/$S287-1,"")</f>
        <v/>
      </c>
      <c r="DY287" s="58">
        <f>IFERROR($T288/$T287-1,"")</f>
        <v/>
      </c>
      <c r="DZ287" s="58">
        <f>IFERROR($U288/$U287-1,"")</f>
        <v/>
      </c>
      <c r="EA287" s="58">
        <f>IFERROR($V288/$V287-1,"")</f>
        <v/>
      </c>
      <c r="EB287" s="58">
        <f>IFERROR($W288/$W287-1,"")</f>
        <v/>
      </c>
      <c r="EC287" s="58">
        <f>IFERROR($X288/$X287-1,"")</f>
        <v/>
      </c>
      <c r="ED287" s="58">
        <f>IFERROR($Y288/$Y287-1,"")</f>
        <v/>
      </c>
      <c r="EE287" s="58">
        <f>IFERROR($Z288/$Z287-1,"")</f>
        <v/>
      </c>
      <c r="EF287" s="58">
        <f>IFERROR($AA288/$AA287-1,"")</f>
        <v/>
      </c>
      <c r="EG287" s="58">
        <f>IFERROR($AB288/$AB287-1,"")</f>
        <v/>
      </c>
      <c r="EH287" s="58">
        <f>IFERROR($AC288/$AC287-1,"")</f>
        <v/>
      </c>
      <c r="EI287" s="58">
        <f>IFERROR($AD288/$AD287-1,"")</f>
        <v/>
      </c>
      <c r="EJ287" s="58">
        <f>IFERROR($AE288/$AE287-1,"")</f>
        <v/>
      </c>
      <c r="EK287" s="58">
        <f>IFERROR($AF288/$AF287-1,"")</f>
        <v/>
      </c>
      <c r="EL287" s="58">
        <f>IFERROR($AG288/$AG287-1,"")</f>
        <v/>
      </c>
      <c r="EM287" s="58">
        <f>IFERROR($BB287/$BB288-1,"")</f>
        <v/>
      </c>
      <c r="EN287" s="58">
        <f>IFERROR($BC287/$BC288-1,"")</f>
        <v/>
      </c>
      <c r="EO287" s="58">
        <f>IFERROR($BD287/$BD288-1,"")</f>
        <v/>
      </c>
      <c r="EP287" s="58">
        <f>IFERROR($BE287/$BE288-1,"")</f>
        <v/>
      </c>
      <c r="EQ287" s="58">
        <f>IFERROR($BF287/$BF288-1,"")</f>
        <v/>
      </c>
      <c r="ER287" s="58">
        <f>IFERROR($BG287/$BG288-1,"")</f>
        <v/>
      </c>
      <c r="ES287" s="58">
        <f>IFERROR($BH287/$BH288-1,"")</f>
        <v/>
      </c>
      <c r="ET287" s="58">
        <f>IFERROR($BI287/$BI288-1,"")</f>
        <v/>
      </c>
      <c r="EU287" s="58">
        <f>IFERROR($BJ287/$BJ288-1,"")</f>
        <v/>
      </c>
      <c r="EV287" s="58">
        <f>IFERROR($BK287/$BK288-1,"")</f>
        <v/>
      </c>
      <c r="EW287" s="58">
        <f>IFERROR($BL287/$BL288-1,"")</f>
        <v/>
      </c>
      <c r="EX287" s="58">
        <f>IFERROR($BM287/$BM288-1,"")</f>
        <v/>
      </c>
      <c r="EY287" s="58">
        <f>IFERROR($BN287/$BN288-1,"")</f>
        <v/>
      </c>
      <c r="EZ287" s="58">
        <f>IFERROR($BO287/$BO288-1,"")</f>
        <v/>
      </c>
      <c r="FA287" s="58">
        <f>IFERROR($BP287/$BP288-1,"")</f>
        <v/>
      </c>
      <c r="FB287" s="58">
        <f>IFERROR($BQ287/$BQ288-1,"")</f>
        <v/>
      </c>
      <c r="FC287" s="58">
        <f>IFERROR($BR287/$BR288-1,"")</f>
        <v/>
      </c>
      <c r="FD287" s="58">
        <f>IFERROR($BS287/$BS288-1,"")</f>
        <v/>
      </c>
      <c r="FE287" s="58">
        <f>IFERROR($BT287/$BT288-1,"")</f>
        <v/>
      </c>
      <c r="FF287" s="58">
        <f>IFERROR($BU287/$BU288-1,"")</f>
        <v/>
      </c>
      <c r="FG287" s="58">
        <f>IFERROR($BV287/$BV288-1,"")</f>
        <v/>
      </c>
      <c r="FH287" s="58">
        <f>IFERROR($BW287/$BW288-1,"")</f>
        <v/>
      </c>
      <c r="FI287" s="58">
        <f>IFERROR($BX287/$BX288-1,"")</f>
        <v/>
      </c>
      <c r="FJ287" s="59">
        <f>$BY287-$BY288</f>
        <v/>
      </c>
      <c r="FK287" s="59">
        <f>$BZ287-$BZ288</f>
        <v/>
      </c>
      <c r="FL287" s="59">
        <f>$CA287-$CA288</f>
        <v/>
      </c>
      <c r="FM287" s="59">
        <f>$CB287-$CB288</f>
        <v/>
      </c>
      <c r="FN287" s="59">
        <f>$CC287-$CC288</f>
        <v/>
      </c>
      <c r="FO287" s="59">
        <f>$CD287-$CD288</f>
        <v/>
      </c>
      <c r="FP287" s="59">
        <f>$CE287-$CE288</f>
        <v/>
      </c>
      <c r="FQ287" s="59">
        <f>$CF287-$CF288</f>
        <v/>
      </c>
      <c r="FR287" s="59">
        <f>$CG287-$CG288</f>
        <v/>
      </c>
      <c r="FS287" s="59">
        <f>$CH287-$CH288</f>
        <v/>
      </c>
      <c r="FT287" s="59">
        <f>$CI287-$CI288</f>
        <v/>
      </c>
      <c r="FU287" s="59">
        <f>$CJ287-$CJ288</f>
        <v/>
      </c>
      <c r="FV287" s="59">
        <f>$CK287-$CK288</f>
        <v/>
      </c>
      <c r="FW287" s="59">
        <f>$CL287-$CL288</f>
        <v/>
      </c>
      <c r="FX287" s="59">
        <f>$CM287-$CM288</f>
        <v/>
      </c>
      <c r="FY287" s="59">
        <f>$CN287-$CN288</f>
        <v/>
      </c>
      <c r="FZ287" s="59">
        <f>$CO287-$CO288</f>
        <v/>
      </c>
      <c r="GA287" s="59">
        <f>$CP287-$CP288</f>
        <v/>
      </c>
      <c r="GB287" s="59">
        <f>$CQ287-$CQ288</f>
        <v/>
      </c>
      <c r="GC287" s="59">
        <f>$CR287-$CR288</f>
        <v/>
      </c>
      <c r="GD287" s="59">
        <f>$CS287-$CS288</f>
        <v/>
      </c>
      <c r="GE287" s="59">
        <f>$CT287-$CT288</f>
        <v/>
      </c>
    </row>
    <row r="288">
      <c r="CU288" s="58">
        <f>IFERROR($B288/$B289-1,"")</f>
        <v/>
      </c>
      <c r="CV288" s="59">
        <f>($F288-$F289)*100</f>
        <v/>
      </c>
      <c r="CW288" s="59">
        <f>($E288-$E289)*100</f>
        <v/>
      </c>
      <c r="CX288" s="58">
        <f>IFERROR($K288/$K289-1,"")</f>
        <v/>
      </c>
      <c r="CY288" s="59">
        <f>($AH288-$AH289)*100</f>
        <v/>
      </c>
      <c r="CZ288" s="59">
        <f>($AI288-$AI289)*100</f>
        <v/>
      </c>
      <c r="DA288" s="59">
        <f>($AJ288-$AJ289)*100</f>
        <v/>
      </c>
      <c r="DB288" s="59">
        <f>($AK288-$AK289)*100</f>
        <v/>
      </c>
      <c r="DC288" s="59">
        <f>($AL288-$AL289)*100</f>
        <v/>
      </c>
      <c r="DD288" s="59">
        <f>($AM288-$AM289)*100</f>
        <v/>
      </c>
      <c r="DE288" s="59">
        <f>($AN288-$AN289)*100</f>
        <v/>
      </c>
      <c r="DF288" s="59">
        <f>($AO288-$AO289)*100</f>
        <v/>
      </c>
      <c r="DG288" s="59">
        <f>($AP288-$AP289)*100</f>
        <v/>
      </c>
      <c r="DH288" s="59">
        <f>($AQ288-$AQ289)*100</f>
        <v/>
      </c>
      <c r="DI288" s="59">
        <f>($AR288-$AR289)*100</f>
        <v/>
      </c>
      <c r="DJ288" s="59">
        <f>($AS288-$AS289)*100</f>
        <v/>
      </c>
      <c r="DK288" s="59">
        <f>($AT288-$AT289)*100</f>
        <v/>
      </c>
      <c r="DL288" s="59">
        <f>($AU288-$AU289)*100</f>
        <v/>
      </c>
      <c r="DM288" s="59">
        <f>($AV288-$AV289)*100</f>
        <v/>
      </c>
      <c r="DN288" s="59">
        <f>($AW288-$AW289)*100</f>
        <v/>
      </c>
      <c r="DO288" s="59">
        <f>($AX288-$AX289)*100</f>
        <v/>
      </c>
      <c r="DP288" s="59">
        <f>($AY288-$AY289)*100</f>
        <v/>
      </c>
      <c r="DQ288" s="59">
        <f>($AZ288-$AZ289)*100</f>
        <v/>
      </c>
      <c r="DR288" s="59">
        <f>($BA288-$BA289)*100</f>
        <v/>
      </c>
      <c r="DS288" s="58">
        <f>IFERROR($N289/$N288-1,"")</f>
        <v/>
      </c>
      <c r="DT288" s="58">
        <f>IFERROR($O289/$O288-1,"")</f>
        <v/>
      </c>
      <c r="DU288" s="58">
        <f>IFERROR($P289/$P288-1,"")</f>
        <v/>
      </c>
      <c r="DV288" s="58">
        <f>IFERROR($Q289/$Q288-1,"")</f>
        <v/>
      </c>
      <c r="DW288" s="58">
        <f>IFERROR($R289/$R288-1,"")</f>
        <v/>
      </c>
      <c r="DX288" s="58">
        <f>IFERROR($S289/$S288-1,"")</f>
        <v/>
      </c>
      <c r="DY288" s="58">
        <f>IFERROR($T289/$T288-1,"")</f>
        <v/>
      </c>
      <c r="DZ288" s="58">
        <f>IFERROR($U289/$U288-1,"")</f>
        <v/>
      </c>
      <c r="EA288" s="58">
        <f>IFERROR($V289/$V288-1,"")</f>
        <v/>
      </c>
      <c r="EB288" s="58">
        <f>IFERROR($W289/$W288-1,"")</f>
        <v/>
      </c>
      <c r="EC288" s="58">
        <f>IFERROR($X289/$X288-1,"")</f>
        <v/>
      </c>
      <c r="ED288" s="58">
        <f>IFERROR($Y289/$Y288-1,"")</f>
        <v/>
      </c>
      <c r="EE288" s="58">
        <f>IFERROR($Z289/$Z288-1,"")</f>
        <v/>
      </c>
      <c r="EF288" s="58">
        <f>IFERROR($AA289/$AA288-1,"")</f>
        <v/>
      </c>
      <c r="EG288" s="58">
        <f>IFERROR($AB289/$AB288-1,"")</f>
        <v/>
      </c>
      <c r="EH288" s="58">
        <f>IFERROR($AC289/$AC288-1,"")</f>
        <v/>
      </c>
      <c r="EI288" s="58">
        <f>IFERROR($AD289/$AD288-1,"")</f>
        <v/>
      </c>
      <c r="EJ288" s="58">
        <f>IFERROR($AE289/$AE288-1,"")</f>
        <v/>
      </c>
      <c r="EK288" s="58">
        <f>IFERROR($AF289/$AF288-1,"")</f>
        <v/>
      </c>
      <c r="EL288" s="58">
        <f>IFERROR($AG289/$AG288-1,"")</f>
        <v/>
      </c>
      <c r="EM288" s="58">
        <f>IFERROR($BB288/$BB289-1,"")</f>
        <v/>
      </c>
      <c r="EN288" s="58">
        <f>IFERROR($BC288/$BC289-1,"")</f>
        <v/>
      </c>
      <c r="EO288" s="58">
        <f>IFERROR($BD288/$BD289-1,"")</f>
        <v/>
      </c>
      <c r="EP288" s="58">
        <f>IFERROR($BE288/$BE289-1,"")</f>
        <v/>
      </c>
      <c r="EQ288" s="58">
        <f>IFERROR($BF288/$BF289-1,"")</f>
        <v/>
      </c>
      <c r="ER288" s="58">
        <f>IFERROR($BG288/$BG289-1,"")</f>
        <v/>
      </c>
      <c r="ES288" s="58">
        <f>IFERROR($BH288/$BH289-1,"")</f>
        <v/>
      </c>
      <c r="ET288" s="58">
        <f>IFERROR($BI288/$BI289-1,"")</f>
        <v/>
      </c>
      <c r="EU288" s="58">
        <f>IFERROR($BJ288/$BJ289-1,"")</f>
        <v/>
      </c>
      <c r="EV288" s="58">
        <f>IFERROR($BK288/$BK289-1,"")</f>
        <v/>
      </c>
      <c r="EW288" s="58">
        <f>IFERROR($BL288/$BL289-1,"")</f>
        <v/>
      </c>
      <c r="EX288" s="58">
        <f>IFERROR($BM288/$BM289-1,"")</f>
        <v/>
      </c>
      <c r="EY288" s="58">
        <f>IFERROR($BN288/$BN289-1,"")</f>
        <v/>
      </c>
      <c r="EZ288" s="58">
        <f>IFERROR($BO288/$BO289-1,"")</f>
        <v/>
      </c>
      <c r="FA288" s="58">
        <f>IFERROR($BP288/$BP289-1,"")</f>
        <v/>
      </c>
      <c r="FB288" s="58">
        <f>IFERROR($BQ288/$BQ289-1,"")</f>
        <v/>
      </c>
      <c r="FC288" s="58">
        <f>IFERROR($BR288/$BR289-1,"")</f>
        <v/>
      </c>
      <c r="FD288" s="58">
        <f>IFERROR($BS288/$BS289-1,"")</f>
        <v/>
      </c>
      <c r="FE288" s="58">
        <f>IFERROR($BT288/$BT289-1,"")</f>
        <v/>
      </c>
      <c r="FF288" s="58">
        <f>IFERROR($BU288/$BU289-1,"")</f>
        <v/>
      </c>
      <c r="FG288" s="58">
        <f>IFERROR($BV288/$BV289-1,"")</f>
        <v/>
      </c>
      <c r="FH288" s="58">
        <f>IFERROR($BW288/$BW289-1,"")</f>
        <v/>
      </c>
      <c r="FI288" s="58">
        <f>IFERROR($BX288/$BX289-1,"")</f>
        <v/>
      </c>
      <c r="FJ288" s="59">
        <f>$BY288-$BY289</f>
        <v/>
      </c>
      <c r="FK288" s="59">
        <f>$BZ288-$BZ289</f>
        <v/>
      </c>
      <c r="FL288" s="59">
        <f>$CA288-$CA289</f>
        <v/>
      </c>
      <c r="FM288" s="59">
        <f>$CB288-$CB289</f>
        <v/>
      </c>
      <c r="FN288" s="59">
        <f>$CC288-$CC289</f>
        <v/>
      </c>
      <c r="FO288" s="59">
        <f>$CD288-$CD289</f>
        <v/>
      </c>
      <c r="FP288" s="59">
        <f>$CE288-$CE289</f>
        <v/>
      </c>
      <c r="FQ288" s="59">
        <f>$CF288-$CF289</f>
        <v/>
      </c>
      <c r="FR288" s="59">
        <f>$CG288-$CG289</f>
        <v/>
      </c>
      <c r="FS288" s="59">
        <f>$CH288-$CH289</f>
        <v/>
      </c>
      <c r="FT288" s="59">
        <f>$CI288-$CI289</f>
        <v/>
      </c>
      <c r="FU288" s="59">
        <f>$CJ288-$CJ289</f>
        <v/>
      </c>
      <c r="FV288" s="59">
        <f>$CK288-$CK289</f>
        <v/>
      </c>
      <c r="FW288" s="59">
        <f>$CL288-$CL289</f>
        <v/>
      </c>
      <c r="FX288" s="59">
        <f>$CM288-$CM289</f>
        <v/>
      </c>
      <c r="FY288" s="59">
        <f>$CN288-$CN289</f>
        <v/>
      </c>
      <c r="FZ288" s="59">
        <f>$CO288-$CO289</f>
        <v/>
      </c>
      <c r="GA288" s="59">
        <f>$CP288-$CP289</f>
        <v/>
      </c>
      <c r="GB288" s="59">
        <f>$CQ288-$CQ289</f>
        <v/>
      </c>
      <c r="GC288" s="59">
        <f>$CR288-$CR289</f>
        <v/>
      </c>
      <c r="GD288" s="59">
        <f>$CS288-$CS289</f>
        <v/>
      </c>
      <c r="GE288" s="59">
        <f>$CT288-$CT289</f>
        <v/>
      </c>
    </row>
    <row r="289">
      <c r="CU289" s="58">
        <f>IFERROR($B289/$B290-1,"")</f>
        <v/>
      </c>
      <c r="CV289" s="59">
        <f>($F289-$F290)*100</f>
        <v/>
      </c>
      <c r="CW289" s="59">
        <f>($E289-$E290)*100</f>
        <v/>
      </c>
      <c r="CX289" s="58">
        <f>IFERROR($K289/$K290-1,"")</f>
        <v/>
      </c>
      <c r="CY289" s="59">
        <f>($AH289-$AH290)*100</f>
        <v/>
      </c>
      <c r="CZ289" s="59">
        <f>($AI289-$AI290)*100</f>
        <v/>
      </c>
      <c r="DA289" s="59">
        <f>($AJ289-$AJ290)*100</f>
        <v/>
      </c>
      <c r="DB289" s="59">
        <f>($AK289-$AK290)*100</f>
        <v/>
      </c>
      <c r="DC289" s="59">
        <f>($AL289-$AL290)*100</f>
        <v/>
      </c>
      <c r="DD289" s="59">
        <f>($AM289-$AM290)*100</f>
        <v/>
      </c>
      <c r="DE289" s="59">
        <f>($AN289-$AN290)*100</f>
        <v/>
      </c>
      <c r="DF289" s="59">
        <f>($AO289-$AO290)*100</f>
        <v/>
      </c>
      <c r="DG289" s="59">
        <f>($AP289-$AP290)*100</f>
        <v/>
      </c>
      <c r="DH289" s="59">
        <f>($AQ289-$AQ290)*100</f>
        <v/>
      </c>
      <c r="DI289" s="59">
        <f>($AR289-$AR290)*100</f>
        <v/>
      </c>
      <c r="DJ289" s="59">
        <f>($AS289-$AS290)*100</f>
        <v/>
      </c>
      <c r="DK289" s="59">
        <f>($AT289-$AT290)*100</f>
        <v/>
      </c>
      <c r="DL289" s="59">
        <f>($AU289-$AU290)*100</f>
        <v/>
      </c>
      <c r="DM289" s="59">
        <f>($AV289-$AV290)*100</f>
        <v/>
      </c>
      <c r="DN289" s="59">
        <f>($AW289-$AW290)*100</f>
        <v/>
      </c>
      <c r="DO289" s="59">
        <f>($AX289-$AX290)*100</f>
        <v/>
      </c>
      <c r="DP289" s="59">
        <f>($AY289-$AY290)*100</f>
        <v/>
      </c>
      <c r="DQ289" s="59">
        <f>($AZ289-$AZ290)*100</f>
        <v/>
      </c>
      <c r="DR289" s="59">
        <f>($BA289-$BA290)*100</f>
        <v/>
      </c>
      <c r="DS289" s="58">
        <f>IFERROR($N290/$N289-1,"")</f>
        <v/>
      </c>
      <c r="DT289" s="58">
        <f>IFERROR($O290/$O289-1,"")</f>
        <v/>
      </c>
      <c r="DU289" s="58">
        <f>IFERROR($P290/$P289-1,"")</f>
        <v/>
      </c>
      <c r="DV289" s="58">
        <f>IFERROR($Q290/$Q289-1,"")</f>
        <v/>
      </c>
      <c r="DW289" s="58">
        <f>IFERROR($R290/$R289-1,"")</f>
        <v/>
      </c>
      <c r="DX289" s="58">
        <f>IFERROR($S290/$S289-1,"")</f>
        <v/>
      </c>
      <c r="DY289" s="58">
        <f>IFERROR($T290/$T289-1,"")</f>
        <v/>
      </c>
      <c r="DZ289" s="58">
        <f>IFERROR($U290/$U289-1,"")</f>
        <v/>
      </c>
      <c r="EA289" s="58">
        <f>IFERROR($V290/$V289-1,"")</f>
        <v/>
      </c>
      <c r="EB289" s="58">
        <f>IFERROR($W290/$W289-1,"")</f>
        <v/>
      </c>
      <c r="EC289" s="58">
        <f>IFERROR($X290/$X289-1,"")</f>
        <v/>
      </c>
      <c r="ED289" s="58">
        <f>IFERROR($Y290/$Y289-1,"")</f>
        <v/>
      </c>
      <c r="EE289" s="58">
        <f>IFERROR($Z290/$Z289-1,"")</f>
        <v/>
      </c>
      <c r="EF289" s="58">
        <f>IFERROR($AA290/$AA289-1,"")</f>
        <v/>
      </c>
      <c r="EG289" s="58">
        <f>IFERROR($AB290/$AB289-1,"")</f>
        <v/>
      </c>
      <c r="EH289" s="58">
        <f>IFERROR($AC290/$AC289-1,"")</f>
        <v/>
      </c>
      <c r="EI289" s="58">
        <f>IFERROR($AD290/$AD289-1,"")</f>
        <v/>
      </c>
      <c r="EJ289" s="58">
        <f>IFERROR($AE290/$AE289-1,"")</f>
        <v/>
      </c>
      <c r="EK289" s="58">
        <f>IFERROR($AF290/$AF289-1,"")</f>
        <v/>
      </c>
      <c r="EL289" s="58">
        <f>IFERROR($AG290/$AG289-1,"")</f>
        <v/>
      </c>
      <c r="EM289" s="58">
        <f>IFERROR($BB289/$BB290-1,"")</f>
        <v/>
      </c>
      <c r="EN289" s="58">
        <f>IFERROR($BC289/$BC290-1,"")</f>
        <v/>
      </c>
      <c r="EO289" s="58">
        <f>IFERROR($BD289/$BD290-1,"")</f>
        <v/>
      </c>
      <c r="EP289" s="58">
        <f>IFERROR($BE289/$BE290-1,"")</f>
        <v/>
      </c>
      <c r="EQ289" s="58">
        <f>IFERROR($BF289/$BF290-1,"")</f>
        <v/>
      </c>
      <c r="ER289" s="58">
        <f>IFERROR($BG289/$BG290-1,"")</f>
        <v/>
      </c>
      <c r="ES289" s="58">
        <f>IFERROR($BH289/$BH290-1,"")</f>
        <v/>
      </c>
      <c r="ET289" s="58">
        <f>IFERROR($BI289/$BI290-1,"")</f>
        <v/>
      </c>
      <c r="EU289" s="58">
        <f>IFERROR($BJ289/$BJ290-1,"")</f>
        <v/>
      </c>
      <c r="EV289" s="58">
        <f>IFERROR($BK289/$BK290-1,"")</f>
        <v/>
      </c>
      <c r="EW289" s="58">
        <f>IFERROR($BL289/$BL290-1,"")</f>
        <v/>
      </c>
      <c r="EX289" s="58">
        <f>IFERROR($BM289/$BM290-1,"")</f>
        <v/>
      </c>
      <c r="EY289" s="58">
        <f>IFERROR($BN289/$BN290-1,"")</f>
        <v/>
      </c>
      <c r="EZ289" s="58">
        <f>IFERROR($BO289/$BO290-1,"")</f>
        <v/>
      </c>
      <c r="FA289" s="58">
        <f>IFERROR($BP289/$BP290-1,"")</f>
        <v/>
      </c>
      <c r="FB289" s="58">
        <f>IFERROR($BQ289/$BQ290-1,"")</f>
        <v/>
      </c>
      <c r="FC289" s="58">
        <f>IFERROR($BR289/$BR290-1,"")</f>
        <v/>
      </c>
      <c r="FD289" s="58">
        <f>IFERROR($BS289/$BS290-1,"")</f>
        <v/>
      </c>
      <c r="FE289" s="58">
        <f>IFERROR($BT289/$BT290-1,"")</f>
        <v/>
      </c>
      <c r="FF289" s="58">
        <f>IFERROR($BU289/$BU290-1,"")</f>
        <v/>
      </c>
      <c r="FG289" s="58">
        <f>IFERROR($BV289/$BV290-1,"")</f>
        <v/>
      </c>
      <c r="FH289" s="58">
        <f>IFERROR($BW289/$BW290-1,"")</f>
        <v/>
      </c>
      <c r="FI289" s="58">
        <f>IFERROR($BX289/$BX290-1,"")</f>
        <v/>
      </c>
      <c r="FJ289" s="59">
        <f>$BY289-$BY290</f>
        <v/>
      </c>
      <c r="FK289" s="59">
        <f>$BZ289-$BZ290</f>
        <v/>
      </c>
      <c r="FL289" s="59">
        <f>$CA289-$CA290</f>
        <v/>
      </c>
      <c r="FM289" s="59">
        <f>$CB289-$CB290</f>
        <v/>
      </c>
      <c r="FN289" s="59">
        <f>$CC289-$CC290</f>
        <v/>
      </c>
      <c r="FO289" s="59">
        <f>$CD289-$CD290</f>
        <v/>
      </c>
      <c r="FP289" s="59">
        <f>$CE289-$CE290</f>
        <v/>
      </c>
      <c r="FQ289" s="59">
        <f>$CF289-$CF290</f>
        <v/>
      </c>
      <c r="FR289" s="59">
        <f>$CG289-$CG290</f>
        <v/>
      </c>
      <c r="FS289" s="59">
        <f>$CH289-$CH290</f>
        <v/>
      </c>
      <c r="FT289" s="59">
        <f>$CI289-$CI290</f>
        <v/>
      </c>
      <c r="FU289" s="59">
        <f>$CJ289-$CJ290</f>
        <v/>
      </c>
      <c r="FV289" s="59">
        <f>$CK289-$CK290</f>
        <v/>
      </c>
      <c r="FW289" s="59">
        <f>$CL289-$CL290</f>
        <v/>
      </c>
      <c r="FX289" s="59">
        <f>$CM289-$CM290</f>
        <v/>
      </c>
      <c r="FY289" s="59">
        <f>$CN289-$CN290</f>
        <v/>
      </c>
      <c r="FZ289" s="59">
        <f>$CO289-$CO290</f>
        <v/>
      </c>
      <c r="GA289" s="59">
        <f>$CP289-$CP290</f>
        <v/>
      </c>
      <c r="GB289" s="59">
        <f>$CQ289-$CQ290</f>
        <v/>
      </c>
      <c r="GC289" s="59">
        <f>$CR289-$CR290</f>
        <v/>
      </c>
      <c r="GD289" s="59">
        <f>$CS289-$CS290</f>
        <v/>
      </c>
      <c r="GE289" s="59">
        <f>$CT289-$CT290</f>
        <v/>
      </c>
    </row>
    <row r="290">
      <c r="CU290" s="58">
        <f>IFERROR($B290/$B291-1,"")</f>
        <v/>
      </c>
      <c r="CV290" s="59">
        <f>($F290-$F291)*100</f>
        <v/>
      </c>
      <c r="CW290" s="59">
        <f>($E290-$E291)*100</f>
        <v/>
      </c>
      <c r="CX290" s="58">
        <f>IFERROR($K290/$K291-1,"")</f>
        <v/>
      </c>
      <c r="CY290" s="59">
        <f>($AH290-$AH291)*100</f>
        <v/>
      </c>
      <c r="CZ290" s="59">
        <f>($AI290-$AI291)*100</f>
        <v/>
      </c>
      <c r="DA290" s="59">
        <f>($AJ290-$AJ291)*100</f>
        <v/>
      </c>
      <c r="DB290" s="59">
        <f>($AK290-$AK291)*100</f>
        <v/>
      </c>
      <c r="DC290" s="59">
        <f>($AL290-$AL291)*100</f>
        <v/>
      </c>
      <c r="DD290" s="59">
        <f>($AM290-$AM291)*100</f>
        <v/>
      </c>
      <c r="DE290" s="59">
        <f>($AN290-$AN291)*100</f>
        <v/>
      </c>
      <c r="DF290" s="59">
        <f>($AO290-$AO291)*100</f>
        <v/>
      </c>
      <c r="DG290" s="59">
        <f>($AP290-$AP291)*100</f>
        <v/>
      </c>
      <c r="DH290" s="59">
        <f>($AQ290-$AQ291)*100</f>
        <v/>
      </c>
      <c r="DI290" s="59">
        <f>($AR290-$AR291)*100</f>
        <v/>
      </c>
      <c r="DJ290" s="59">
        <f>($AS290-$AS291)*100</f>
        <v/>
      </c>
      <c r="DK290" s="59">
        <f>($AT290-$AT291)*100</f>
        <v/>
      </c>
      <c r="DL290" s="59">
        <f>($AU290-$AU291)*100</f>
        <v/>
      </c>
      <c r="DM290" s="59">
        <f>($AV290-$AV291)*100</f>
        <v/>
      </c>
      <c r="DN290" s="59">
        <f>($AW290-$AW291)*100</f>
        <v/>
      </c>
      <c r="DO290" s="59">
        <f>($AX290-$AX291)*100</f>
        <v/>
      </c>
      <c r="DP290" s="59">
        <f>($AY290-$AY291)*100</f>
        <v/>
      </c>
      <c r="DQ290" s="59">
        <f>($AZ290-$AZ291)*100</f>
        <v/>
      </c>
      <c r="DR290" s="59">
        <f>($BA290-$BA291)*100</f>
        <v/>
      </c>
      <c r="DS290" s="58">
        <f>IFERROR($N291/$N290-1,"")</f>
        <v/>
      </c>
      <c r="DT290" s="58">
        <f>IFERROR($O291/$O290-1,"")</f>
        <v/>
      </c>
      <c r="DU290" s="58">
        <f>IFERROR($P291/$P290-1,"")</f>
        <v/>
      </c>
      <c r="DV290" s="58">
        <f>IFERROR($Q291/$Q290-1,"")</f>
        <v/>
      </c>
      <c r="DW290" s="58">
        <f>IFERROR($R291/$R290-1,"")</f>
        <v/>
      </c>
      <c r="DX290" s="58">
        <f>IFERROR($S291/$S290-1,"")</f>
        <v/>
      </c>
      <c r="DY290" s="58">
        <f>IFERROR($T291/$T290-1,"")</f>
        <v/>
      </c>
      <c r="DZ290" s="58">
        <f>IFERROR($U291/$U290-1,"")</f>
        <v/>
      </c>
      <c r="EA290" s="58">
        <f>IFERROR($V291/$V290-1,"")</f>
        <v/>
      </c>
      <c r="EB290" s="58">
        <f>IFERROR($W291/$W290-1,"")</f>
        <v/>
      </c>
      <c r="EC290" s="58">
        <f>IFERROR($X291/$X290-1,"")</f>
        <v/>
      </c>
      <c r="ED290" s="58">
        <f>IFERROR($Y291/$Y290-1,"")</f>
        <v/>
      </c>
      <c r="EE290" s="58">
        <f>IFERROR($Z291/$Z290-1,"")</f>
        <v/>
      </c>
      <c r="EF290" s="58">
        <f>IFERROR($AA291/$AA290-1,"")</f>
        <v/>
      </c>
      <c r="EG290" s="58">
        <f>IFERROR($AB291/$AB290-1,"")</f>
        <v/>
      </c>
      <c r="EH290" s="58">
        <f>IFERROR($AC291/$AC290-1,"")</f>
        <v/>
      </c>
      <c r="EI290" s="58">
        <f>IFERROR($AD291/$AD290-1,"")</f>
        <v/>
      </c>
      <c r="EJ290" s="58">
        <f>IFERROR($AE291/$AE290-1,"")</f>
        <v/>
      </c>
      <c r="EK290" s="58">
        <f>IFERROR($AF291/$AF290-1,"")</f>
        <v/>
      </c>
      <c r="EL290" s="58">
        <f>IFERROR($AG291/$AG290-1,"")</f>
        <v/>
      </c>
      <c r="EM290" s="58">
        <f>IFERROR($BB290/$BB291-1,"")</f>
        <v/>
      </c>
      <c r="EN290" s="58">
        <f>IFERROR($BC290/$BC291-1,"")</f>
        <v/>
      </c>
      <c r="EO290" s="58">
        <f>IFERROR($BD290/$BD291-1,"")</f>
        <v/>
      </c>
      <c r="EP290" s="58">
        <f>IFERROR($BE290/$BE291-1,"")</f>
        <v/>
      </c>
      <c r="EQ290" s="58">
        <f>IFERROR($BF290/$BF291-1,"")</f>
        <v/>
      </c>
      <c r="ER290" s="58">
        <f>IFERROR($BG290/$BG291-1,"")</f>
        <v/>
      </c>
      <c r="ES290" s="58">
        <f>IFERROR($BH290/$BH291-1,"")</f>
        <v/>
      </c>
      <c r="ET290" s="58">
        <f>IFERROR($BI290/$BI291-1,"")</f>
        <v/>
      </c>
      <c r="EU290" s="58">
        <f>IFERROR($BJ290/$BJ291-1,"")</f>
        <v/>
      </c>
      <c r="EV290" s="58">
        <f>IFERROR($BK290/$BK291-1,"")</f>
        <v/>
      </c>
      <c r="EW290" s="58">
        <f>IFERROR($BL290/$BL291-1,"")</f>
        <v/>
      </c>
      <c r="EX290" s="58">
        <f>IFERROR($BM290/$BM291-1,"")</f>
        <v/>
      </c>
      <c r="EY290" s="58">
        <f>IFERROR($BN290/$BN291-1,"")</f>
        <v/>
      </c>
      <c r="EZ290" s="58">
        <f>IFERROR($BO290/$BO291-1,"")</f>
        <v/>
      </c>
      <c r="FA290" s="58">
        <f>IFERROR($BP290/$BP291-1,"")</f>
        <v/>
      </c>
      <c r="FB290" s="58">
        <f>IFERROR($BQ290/$BQ291-1,"")</f>
        <v/>
      </c>
      <c r="FC290" s="58">
        <f>IFERROR($BR290/$BR291-1,"")</f>
        <v/>
      </c>
      <c r="FD290" s="58">
        <f>IFERROR($BS290/$BS291-1,"")</f>
        <v/>
      </c>
      <c r="FE290" s="58">
        <f>IFERROR($BT290/$BT291-1,"")</f>
        <v/>
      </c>
      <c r="FF290" s="58">
        <f>IFERROR($BU290/$BU291-1,"")</f>
        <v/>
      </c>
      <c r="FG290" s="58">
        <f>IFERROR($BV290/$BV291-1,"")</f>
        <v/>
      </c>
      <c r="FH290" s="58">
        <f>IFERROR($BW290/$BW291-1,"")</f>
        <v/>
      </c>
      <c r="FI290" s="58">
        <f>IFERROR($BX290/$BX291-1,"")</f>
        <v/>
      </c>
      <c r="FJ290" s="59">
        <f>$BY290-$BY291</f>
        <v/>
      </c>
      <c r="FK290" s="59">
        <f>$BZ290-$BZ291</f>
        <v/>
      </c>
      <c r="FL290" s="59">
        <f>$CA290-$CA291</f>
        <v/>
      </c>
      <c r="FM290" s="59">
        <f>$CB290-$CB291</f>
        <v/>
      </c>
      <c r="FN290" s="59">
        <f>$CC290-$CC291</f>
        <v/>
      </c>
      <c r="FO290" s="59">
        <f>$CD290-$CD291</f>
        <v/>
      </c>
      <c r="FP290" s="59">
        <f>$CE290-$CE291</f>
        <v/>
      </c>
      <c r="FQ290" s="59">
        <f>$CF290-$CF291</f>
        <v/>
      </c>
      <c r="FR290" s="59">
        <f>$CG290-$CG291</f>
        <v/>
      </c>
      <c r="FS290" s="59">
        <f>$CH290-$CH291</f>
        <v/>
      </c>
      <c r="FT290" s="59">
        <f>$CI290-$CI291</f>
        <v/>
      </c>
      <c r="FU290" s="59">
        <f>$CJ290-$CJ291</f>
        <v/>
      </c>
      <c r="FV290" s="59">
        <f>$CK290-$CK291</f>
        <v/>
      </c>
      <c r="FW290" s="59">
        <f>$CL290-$CL291</f>
        <v/>
      </c>
      <c r="FX290" s="59">
        <f>$CM290-$CM291</f>
        <v/>
      </c>
      <c r="FY290" s="59">
        <f>$CN290-$CN291</f>
        <v/>
      </c>
      <c r="FZ290" s="59">
        <f>$CO290-$CO291</f>
        <v/>
      </c>
      <c r="GA290" s="59">
        <f>$CP290-$CP291</f>
        <v/>
      </c>
      <c r="GB290" s="59">
        <f>$CQ290-$CQ291</f>
        <v/>
      </c>
      <c r="GC290" s="59">
        <f>$CR290-$CR291</f>
        <v/>
      </c>
      <c r="GD290" s="59">
        <f>$CS290-$CS291</f>
        <v/>
      </c>
      <c r="GE290" s="59">
        <f>$CT290-$CT291</f>
        <v/>
      </c>
    </row>
    <row r="291">
      <c r="CU291" s="58">
        <f>IFERROR($B291/$B292-1,"")</f>
        <v/>
      </c>
      <c r="CV291" s="59">
        <f>($F291-$F292)*100</f>
        <v/>
      </c>
      <c r="CW291" s="59">
        <f>($E291-$E292)*100</f>
        <v/>
      </c>
      <c r="CX291" s="58">
        <f>IFERROR($K291/$K292-1,"")</f>
        <v/>
      </c>
      <c r="CY291" s="59">
        <f>($AH291-$AH292)*100</f>
        <v/>
      </c>
      <c r="CZ291" s="59">
        <f>($AI291-$AI292)*100</f>
        <v/>
      </c>
      <c r="DA291" s="59">
        <f>($AJ291-$AJ292)*100</f>
        <v/>
      </c>
      <c r="DB291" s="59">
        <f>($AK291-$AK292)*100</f>
        <v/>
      </c>
      <c r="DC291" s="59">
        <f>($AL291-$AL292)*100</f>
        <v/>
      </c>
      <c r="DD291" s="59">
        <f>($AM291-$AM292)*100</f>
        <v/>
      </c>
      <c r="DE291" s="59">
        <f>($AN291-$AN292)*100</f>
        <v/>
      </c>
      <c r="DF291" s="59">
        <f>($AO291-$AO292)*100</f>
        <v/>
      </c>
      <c r="DG291" s="59">
        <f>($AP291-$AP292)*100</f>
        <v/>
      </c>
      <c r="DH291" s="59">
        <f>($AQ291-$AQ292)*100</f>
        <v/>
      </c>
      <c r="DI291" s="59">
        <f>($AR291-$AR292)*100</f>
        <v/>
      </c>
      <c r="DJ291" s="59">
        <f>($AS291-$AS292)*100</f>
        <v/>
      </c>
      <c r="DK291" s="59">
        <f>($AT291-$AT292)*100</f>
        <v/>
      </c>
      <c r="DL291" s="59">
        <f>($AU291-$AU292)*100</f>
        <v/>
      </c>
      <c r="DM291" s="59">
        <f>($AV291-$AV292)*100</f>
        <v/>
      </c>
      <c r="DN291" s="59">
        <f>($AW291-$AW292)*100</f>
        <v/>
      </c>
      <c r="DO291" s="59">
        <f>($AX291-$AX292)*100</f>
        <v/>
      </c>
      <c r="DP291" s="59">
        <f>($AY291-$AY292)*100</f>
        <v/>
      </c>
      <c r="DQ291" s="59">
        <f>($AZ291-$AZ292)*100</f>
        <v/>
      </c>
      <c r="DR291" s="59">
        <f>($BA291-$BA292)*100</f>
        <v/>
      </c>
      <c r="DS291" s="58">
        <f>IFERROR($N292/$N291-1,"")</f>
        <v/>
      </c>
      <c r="DT291" s="58">
        <f>IFERROR($O292/$O291-1,"")</f>
        <v/>
      </c>
      <c r="DU291" s="58">
        <f>IFERROR($P292/$P291-1,"")</f>
        <v/>
      </c>
      <c r="DV291" s="58">
        <f>IFERROR($Q292/$Q291-1,"")</f>
        <v/>
      </c>
      <c r="DW291" s="58">
        <f>IFERROR($R292/$R291-1,"")</f>
        <v/>
      </c>
      <c r="DX291" s="58">
        <f>IFERROR($S292/$S291-1,"")</f>
        <v/>
      </c>
      <c r="DY291" s="58">
        <f>IFERROR($T292/$T291-1,"")</f>
        <v/>
      </c>
      <c r="DZ291" s="58">
        <f>IFERROR($U292/$U291-1,"")</f>
        <v/>
      </c>
      <c r="EA291" s="58">
        <f>IFERROR($V292/$V291-1,"")</f>
        <v/>
      </c>
      <c r="EB291" s="58">
        <f>IFERROR($W292/$W291-1,"")</f>
        <v/>
      </c>
      <c r="EC291" s="58">
        <f>IFERROR($X292/$X291-1,"")</f>
        <v/>
      </c>
      <c r="ED291" s="58">
        <f>IFERROR($Y292/$Y291-1,"")</f>
        <v/>
      </c>
      <c r="EE291" s="58">
        <f>IFERROR($Z292/$Z291-1,"")</f>
        <v/>
      </c>
      <c r="EF291" s="58">
        <f>IFERROR($AA292/$AA291-1,"")</f>
        <v/>
      </c>
      <c r="EG291" s="58">
        <f>IFERROR($AB292/$AB291-1,"")</f>
        <v/>
      </c>
      <c r="EH291" s="58">
        <f>IFERROR($AC292/$AC291-1,"")</f>
        <v/>
      </c>
      <c r="EI291" s="58">
        <f>IFERROR($AD292/$AD291-1,"")</f>
        <v/>
      </c>
      <c r="EJ291" s="58">
        <f>IFERROR($AE292/$AE291-1,"")</f>
        <v/>
      </c>
      <c r="EK291" s="58">
        <f>IFERROR($AF292/$AF291-1,"")</f>
        <v/>
      </c>
      <c r="EL291" s="58">
        <f>IFERROR($AG292/$AG291-1,"")</f>
        <v/>
      </c>
      <c r="EM291" s="58">
        <f>IFERROR($BB291/$BB292-1,"")</f>
        <v/>
      </c>
      <c r="EN291" s="58">
        <f>IFERROR($BC291/$BC292-1,"")</f>
        <v/>
      </c>
      <c r="EO291" s="58">
        <f>IFERROR($BD291/$BD292-1,"")</f>
        <v/>
      </c>
      <c r="EP291" s="58">
        <f>IFERROR($BE291/$BE292-1,"")</f>
        <v/>
      </c>
      <c r="EQ291" s="58">
        <f>IFERROR($BF291/$BF292-1,"")</f>
        <v/>
      </c>
      <c r="ER291" s="58">
        <f>IFERROR($BG291/$BG292-1,"")</f>
        <v/>
      </c>
      <c r="ES291" s="58">
        <f>IFERROR($BH291/$BH292-1,"")</f>
        <v/>
      </c>
      <c r="ET291" s="58">
        <f>IFERROR($BI291/$BI292-1,"")</f>
        <v/>
      </c>
      <c r="EU291" s="58">
        <f>IFERROR($BJ291/$BJ292-1,"")</f>
        <v/>
      </c>
      <c r="EV291" s="58">
        <f>IFERROR($BK291/$BK292-1,"")</f>
        <v/>
      </c>
      <c r="EW291" s="58">
        <f>IFERROR($BL291/$BL292-1,"")</f>
        <v/>
      </c>
      <c r="EX291" s="58">
        <f>IFERROR($BM291/$BM292-1,"")</f>
        <v/>
      </c>
      <c r="EY291" s="58">
        <f>IFERROR($BN291/$BN292-1,"")</f>
        <v/>
      </c>
      <c r="EZ291" s="58">
        <f>IFERROR($BO291/$BO292-1,"")</f>
        <v/>
      </c>
      <c r="FA291" s="58">
        <f>IFERROR($BP291/$BP292-1,"")</f>
        <v/>
      </c>
      <c r="FB291" s="58">
        <f>IFERROR($BQ291/$BQ292-1,"")</f>
        <v/>
      </c>
      <c r="FC291" s="58">
        <f>IFERROR($BR291/$BR292-1,"")</f>
        <v/>
      </c>
      <c r="FD291" s="58">
        <f>IFERROR($BS291/$BS292-1,"")</f>
        <v/>
      </c>
      <c r="FE291" s="58">
        <f>IFERROR($BT291/$BT292-1,"")</f>
        <v/>
      </c>
      <c r="FF291" s="58">
        <f>IFERROR($BU291/$BU292-1,"")</f>
        <v/>
      </c>
      <c r="FG291" s="58">
        <f>IFERROR($BV291/$BV292-1,"")</f>
        <v/>
      </c>
      <c r="FH291" s="58">
        <f>IFERROR($BW291/$BW292-1,"")</f>
        <v/>
      </c>
      <c r="FI291" s="58">
        <f>IFERROR($BX291/$BX292-1,"")</f>
        <v/>
      </c>
      <c r="FJ291" s="59">
        <f>$BY291-$BY292</f>
        <v/>
      </c>
      <c r="FK291" s="59">
        <f>$BZ291-$BZ292</f>
        <v/>
      </c>
      <c r="FL291" s="59">
        <f>$CA291-$CA292</f>
        <v/>
      </c>
      <c r="FM291" s="59">
        <f>$CB291-$CB292</f>
        <v/>
      </c>
      <c r="FN291" s="59">
        <f>$CC291-$CC292</f>
        <v/>
      </c>
      <c r="FO291" s="59">
        <f>$CD291-$CD292</f>
        <v/>
      </c>
      <c r="FP291" s="59">
        <f>$CE291-$CE292</f>
        <v/>
      </c>
      <c r="FQ291" s="59">
        <f>$CF291-$CF292</f>
        <v/>
      </c>
      <c r="FR291" s="59">
        <f>$CG291-$CG292</f>
        <v/>
      </c>
      <c r="FS291" s="59">
        <f>$CH291-$CH292</f>
        <v/>
      </c>
      <c r="FT291" s="59">
        <f>$CI291-$CI292</f>
        <v/>
      </c>
      <c r="FU291" s="59">
        <f>$CJ291-$CJ292</f>
        <v/>
      </c>
      <c r="FV291" s="59">
        <f>$CK291-$CK292</f>
        <v/>
      </c>
      <c r="FW291" s="59">
        <f>$CL291-$CL292</f>
        <v/>
      </c>
      <c r="FX291" s="59">
        <f>$CM291-$CM292</f>
        <v/>
      </c>
      <c r="FY291" s="59">
        <f>$CN291-$CN292</f>
        <v/>
      </c>
      <c r="FZ291" s="59">
        <f>$CO291-$CO292</f>
        <v/>
      </c>
      <c r="GA291" s="59">
        <f>$CP291-$CP292</f>
        <v/>
      </c>
      <c r="GB291" s="59">
        <f>$CQ291-$CQ292</f>
        <v/>
      </c>
      <c r="GC291" s="59">
        <f>$CR291-$CR292</f>
        <v/>
      </c>
      <c r="GD291" s="59">
        <f>$CS291-$CS292</f>
        <v/>
      </c>
      <c r="GE291" s="59">
        <f>$CT291-$CT292</f>
        <v/>
      </c>
    </row>
    <row r="292">
      <c r="CU292" s="58">
        <f>IFERROR($B292/$B293-1,"")</f>
        <v/>
      </c>
      <c r="CV292" s="59">
        <f>($F292-$F293)*100</f>
        <v/>
      </c>
      <c r="CW292" s="59">
        <f>($E292-$E293)*100</f>
        <v/>
      </c>
      <c r="CX292" s="58">
        <f>IFERROR($K292/$K293-1,"")</f>
        <v/>
      </c>
      <c r="CY292" s="59">
        <f>($AH292-$AH293)*100</f>
        <v/>
      </c>
      <c r="CZ292" s="59">
        <f>($AI292-$AI293)*100</f>
        <v/>
      </c>
      <c r="DA292" s="59">
        <f>($AJ292-$AJ293)*100</f>
        <v/>
      </c>
      <c r="DB292" s="59">
        <f>($AK292-$AK293)*100</f>
        <v/>
      </c>
      <c r="DC292" s="59">
        <f>($AL292-$AL293)*100</f>
        <v/>
      </c>
      <c r="DD292" s="59">
        <f>($AM292-$AM293)*100</f>
        <v/>
      </c>
      <c r="DE292" s="59">
        <f>($AN292-$AN293)*100</f>
        <v/>
      </c>
      <c r="DF292" s="59">
        <f>($AO292-$AO293)*100</f>
        <v/>
      </c>
      <c r="DG292" s="59">
        <f>($AP292-$AP293)*100</f>
        <v/>
      </c>
      <c r="DH292" s="59">
        <f>($AQ292-$AQ293)*100</f>
        <v/>
      </c>
      <c r="DI292" s="59">
        <f>($AR292-$AR293)*100</f>
        <v/>
      </c>
      <c r="DJ292" s="59">
        <f>($AS292-$AS293)*100</f>
        <v/>
      </c>
      <c r="DK292" s="59">
        <f>($AT292-$AT293)*100</f>
        <v/>
      </c>
      <c r="DL292" s="59">
        <f>($AU292-$AU293)*100</f>
        <v/>
      </c>
      <c r="DM292" s="59">
        <f>($AV292-$AV293)*100</f>
        <v/>
      </c>
      <c r="DN292" s="59">
        <f>($AW292-$AW293)*100</f>
        <v/>
      </c>
      <c r="DO292" s="59">
        <f>($AX292-$AX293)*100</f>
        <v/>
      </c>
      <c r="DP292" s="59">
        <f>($AY292-$AY293)*100</f>
        <v/>
      </c>
      <c r="DQ292" s="59">
        <f>($AZ292-$AZ293)*100</f>
        <v/>
      </c>
      <c r="DR292" s="59">
        <f>($BA292-$BA293)*100</f>
        <v/>
      </c>
      <c r="DS292" s="58">
        <f>IFERROR($N293/$N292-1,"")</f>
        <v/>
      </c>
      <c r="DT292" s="58">
        <f>IFERROR($O293/$O292-1,"")</f>
        <v/>
      </c>
      <c r="DU292" s="58">
        <f>IFERROR($P293/$P292-1,"")</f>
        <v/>
      </c>
      <c r="DV292" s="58">
        <f>IFERROR($Q293/$Q292-1,"")</f>
        <v/>
      </c>
      <c r="DW292" s="58">
        <f>IFERROR($R293/$R292-1,"")</f>
        <v/>
      </c>
      <c r="DX292" s="58">
        <f>IFERROR($S293/$S292-1,"")</f>
        <v/>
      </c>
      <c r="DY292" s="58">
        <f>IFERROR($T293/$T292-1,"")</f>
        <v/>
      </c>
      <c r="DZ292" s="58">
        <f>IFERROR($U293/$U292-1,"")</f>
        <v/>
      </c>
      <c r="EA292" s="58">
        <f>IFERROR($V293/$V292-1,"")</f>
        <v/>
      </c>
      <c r="EB292" s="58">
        <f>IFERROR($W293/$W292-1,"")</f>
        <v/>
      </c>
      <c r="EC292" s="58">
        <f>IFERROR($X293/$X292-1,"")</f>
        <v/>
      </c>
      <c r="ED292" s="58">
        <f>IFERROR($Y293/$Y292-1,"")</f>
        <v/>
      </c>
      <c r="EE292" s="58">
        <f>IFERROR($Z293/$Z292-1,"")</f>
        <v/>
      </c>
      <c r="EF292" s="58">
        <f>IFERROR($AA293/$AA292-1,"")</f>
        <v/>
      </c>
      <c r="EG292" s="58">
        <f>IFERROR($AB293/$AB292-1,"")</f>
        <v/>
      </c>
      <c r="EH292" s="58">
        <f>IFERROR($AC293/$AC292-1,"")</f>
        <v/>
      </c>
      <c r="EI292" s="58">
        <f>IFERROR($AD293/$AD292-1,"")</f>
        <v/>
      </c>
      <c r="EJ292" s="58">
        <f>IFERROR($AE293/$AE292-1,"")</f>
        <v/>
      </c>
      <c r="EK292" s="58">
        <f>IFERROR($AF293/$AF292-1,"")</f>
        <v/>
      </c>
      <c r="EL292" s="58">
        <f>IFERROR($AG293/$AG292-1,"")</f>
        <v/>
      </c>
      <c r="EM292" s="58">
        <f>IFERROR($BB292/$BB293-1,"")</f>
        <v/>
      </c>
      <c r="EN292" s="58">
        <f>IFERROR($BC292/$BC293-1,"")</f>
        <v/>
      </c>
      <c r="EO292" s="58">
        <f>IFERROR($BD292/$BD293-1,"")</f>
        <v/>
      </c>
      <c r="EP292" s="58">
        <f>IFERROR($BE292/$BE293-1,"")</f>
        <v/>
      </c>
      <c r="EQ292" s="58">
        <f>IFERROR($BF292/$BF293-1,"")</f>
        <v/>
      </c>
      <c r="ER292" s="58">
        <f>IFERROR($BG292/$BG293-1,"")</f>
        <v/>
      </c>
      <c r="ES292" s="58">
        <f>IFERROR($BH292/$BH293-1,"")</f>
        <v/>
      </c>
      <c r="ET292" s="58">
        <f>IFERROR($BI292/$BI293-1,"")</f>
        <v/>
      </c>
      <c r="EU292" s="58">
        <f>IFERROR($BJ292/$BJ293-1,"")</f>
        <v/>
      </c>
      <c r="EV292" s="58">
        <f>IFERROR($BK292/$BK293-1,"")</f>
        <v/>
      </c>
      <c r="EW292" s="58">
        <f>IFERROR($BL292/$BL293-1,"")</f>
        <v/>
      </c>
      <c r="EX292" s="58">
        <f>IFERROR($BM292/$BM293-1,"")</f>
        <v/>
      </c>
      <c r="EY292" s="58">
        <f>IFERROR($BN292/$BN293-1,"")</f>
        <v/>
      </c>
      <c r="EZ292" s="58">
        <f>IFERROR($BO292/$BO293-1,"")</f>
        <v/>
      </c>
      <c r="FA292" s="58">
        <f>IFERROR($BP292/$BP293-1,"")</f>
        <v/>
      </c>
      <c r="FB292" s="58">
        <f>IFERROR($BQ292/$BQ293-1,"")</f>
        <v/>
      </c>
      <c r="FC292" s="58">
        <f>IFERROR($BR292/$BR293-1,"")</f>
        <v/>
      </c>
      <c r="FD292" s="58">
        <f>IFERROR($BS292/$BS293-1,"")</f>
        <v/>
      </c>
      <c r="FE292" s="58">
        <f>IFERROR($BT292/$BT293-1,"")</f>
        <v/>
      </c>
      <c r="FF292" s="58">
        <f>IFERROR($BU292/$BU293-1,"")</f>
        <v/>
      </c>
      <c r="FG292" s="58">
        <f>IFERROR($BV292/$BV293-1,"")</f>
        <v/>
      </c>
      <c r="FH292" s="58">
        <f>IFERROR($BW292/$BW293-1,"")</f>
        <v/>
      </c>
      <c r="FI292" s="58">
        <f>IFERROR($BX292/$BX293-1,"")</f>
        <v/>
      </c>
      <c r="FJ292" s="59">
        <f>$BY292-$BY293</f>
        <v/>
      </c>
      <c r="FK292" s="59">
        <f>$BZ292-$BZ293</f>
        <v/>
      </c>
      <c r="FL292" s="59">
        <f>$CA292-$CA293</f>
        <v/>
      </c>
      <c r="FM292" s="59">
        <f>$CB292-$CB293</f>
        <v/>
      </c>
      <c r="FN292" s="59">
        <f>$CC292-$CC293</f>
        <v/>
      </c>
      <c r="FO292" s="59">
        <f>$CD292-$CD293</f>
        <v/>
      </c>
      <c r="FP292" s="59">
        <f>$CE292-$CE293</f>
        <v/>
      </c>
      <c r="FQ292" s="59">
        <f>$CF292-$CF293</f>
        <v/>
      </c>
      <c r="FR292" s="59">
        <f>$CG292-$CG293</f>
        <v/>
      </c>
      <c r="FS292" s="59">
        <f>$CH292-$CH293</f>
        <v/>
      </c>
      <c r="FT292" s="59">
        <f>$CI292-$CI293</f>
        <v/>
      </c>
      <c r="FU292" s="59">
        <f>$CJ292-$CJ293</f>
        <v/>
      </c>
      <c r="FV292" s="59">
        <f>$CK292-$CK293</f>
        <v/>
      </c>
      <c r="FW292" s="59">
        <f>$CL292-$CL293</f>
        <v/>
      </c>
      <c r="FX292" s="59">
        <f>$CM292-$CM293</f>
        <v/>
      </c>
      <c r="FY292" s="59">
        <f>$CN292-$CN293</f>
        <v/>
      </c>
      <c r="FZ292" s="59">
        <f>$CO292-$CO293</f>
        <v/>
      </c>
      <c r="GA292" s="59">
        <f>$CP292-$CP293</f>
        <v/>
      </c>
      <c r="GB292" s="59">
        <f>$CQ292-$CQ293</f>
        <v/>
      </c>
      <c r="GC292" s="59">
        <f>$CR292-$CR293</f>
        <v/>
      </c>
      <c r="GD292" s="59">
        <f>$CS292-$CS293</f>
        <v/>
      </c>
      <c r="GE292" s="59">
        <f>$CT292-$CT293</f>
        <v/>
      </c>
    </row>
    <row r="293">
      <c r="CU293" s="58">
        <f>IFERROR($B293/$B294-1,"")</f>
        <v/>
      </c>
      <c r="CV293" s="59">
        <f>($F293-$F294)*100</f>
        <v/>
      </c>
      <c r="CW293" s="59">
        <f>($E293-$E294)*100</f>
        <v/>
      </c>
      <c r="CX293" s="58">
        <f>IFERROR($K293/$K294-1,"")</f>
        <v/>
      </c>
      <c r="CY293" s="59">
        <f>($AH293-$AH294)*100</f>
        <v/>
      </c>
      <c r="CZ293" s="59">
        <f>($AI293-$AI294)*100</f>
        <v/>
      </c>
      <c r="DA293" s="59">
        <f>($AJ293-$AJ294)*100</f>
        <v/>
      </c>
      <c r="DB293" s="59">
        <f>($AK293-$AK294)*100</f>
        <v/>
      </c>
      <c r="DC293" s="59">
        <f>($AL293-$AL294)*100</f>
        <v/>
      </c>
      <c r="DD293" s="59">
        <f>($AM293-$AM294)*100</f>
        <v/>
      </c>
      <c r="DE293" s="59">
        <f>($AN293-$AN294)*100</f>
        <v/>
      </c>
      <c r="DF293" s="59">
        <f>($AO293-$AO294)*100</f>
        <v/>
      </c>
      <c r="DG293" s="59">
        <f>($AP293-$AP294)*100</f>
        <v/>
      </c>
      <c r="DH293" s="59">
        <f>($AQ293-$AQ294)*100</f>
        <v/>
      </c>
      <c r="DI293" s="59">
        <f>($AR293-$AR294)*100</f>
        <v/>
      </c>
      <c r="DJ293" s="59">
        <f>($AS293-$AS294)*100</f>
        <v/>
      </c>
      <c r="DK293" s="59">
        <f>($AT293-$AT294)*100</f>
        <v/>
      </c>
      <c r="DL293" s="59">
        <f>($AU293-$AU294)*100</f>
        <v/>
      </c>
      <c r="DM293" s="59">
        <f>($AV293-$AV294)*100</f>
        <v/>
      </c>
      <c r="DN293" s="59">
        <f>($AW293-$AW294)*100</f>
        <v/>
      </c>
      <c r="DO293" s="59">
        <f>($AX293-$AX294)*100</f>
        <v/>
      </c>
      <c r="DP293" s="59">
        <f>($AY293-$AY294)*100</f>
        <v/>
      </c>
      <c r="DQ293" s="59">
        <f>($AZ293-$AZ294)*100</f>
        <v/>
      </c>
      <c r="DR293" s="59">
        <f>($BA293-$BA294)*100</f>
        <v/>
      </c>
      <c r="DS293" s="58">
        <f>IFERROR($N294/$N293-1,"")</f>
        <v/>
      </c>
      <c r="DT293" s="58">
        <f>IFERROR($O294/$O293-1,"")</f>
        <v/>
      </c>
      <c r="DU293" s="58">
        <f>IFERROR($P294/$P293-1,"")</f>
        <v/>
      </c>
      <c r="DV293" s="58">
        <f>IFERROR($Q294/$Q293-1,"")</f>
        <v/>
      </c>
      <c r="DW293" s="58">
        <f>IFERROR($R294/$R293-1,"")</f>
        <v/>
      </c>
      <c r="DX293" s="58">
        <f>IFERROR($S294/$S293-1,"")</f>
        <v/>
      </c>
      <c r="DY293" s="58">
        <f>IFERROR($T294/$T293-1,"")</f>
        <v/>
      </c>
      <c r="DZ293" s="58">
        <f>IFERROR($U294/$U293-1,"")</f>
        <v/>
      </c>
      <c r="EA293" s="58">
        <f>IFERROR($V294/$V293-1,"")</f>
        <v/>
      </c>
      <c r="EB293" s="58">
        <f>IFERROR($W294/$W293-1,"")</f>
        <v/>
      </c>
      <c r="EC293" s="58">
        <f>IFERROR($X294/$X293-1,"")</f>
        <v/>
      </c>
      <c r="ED293" s="58">
        <f>IFERROR($Y294/$Y293-1,"")</f>
        <v/>
      </c>
      <c r="EE293" s="58">
        <f>IFERROR($Z294/$Z293-1,"")</f>
        <v/>
      </c>
      <c r="EF293" s="58">
        <f>IFERROR($AA294/$AA293-1,"")</f>
        <v/>
      </c>
      <c r="EG293" s="58">
        <f>IFERROR($AB294/$AB293-1,"")</f>
        <v/>
      </c>
      <c r="EH293" s="58">
        <f>IFERROR($AC294/$AC293-1,"")</f>
        <v/>
      </c>
      <c r="EI293" s="58">
        <f>IFERROR($AD294/$AD293-1,"")</f>
        <v/>
      </c>
      <c r="EJ293" s="58">
        <f>IFERROR($AE294/$AE293-1,"")</f>
        <v/>
      </c>
      <c r="EK293" s="58">
        <f>IFERROR($AF294/$AF293-1,"")</f>
        <v/>
      </c>
      <c r="EL293" s="58">
        <f>IFERROR($AG294/$AG293-1,"")</f>
        <v/>
      </c>
      <c r="EM293" s="58">
        <f>IFERROR($BB293/$BB294-1,"")</f>
        <v/>
      </c>
      <c r="EN293" s="58">
        <f>IFERROR($BC293/$BC294-1,"")</f>
        <v/>
      </c>
      <c r="EO293" s="58">
        <f>IFERROR($BD293/$BD294-1,"")</f>
        <v/>
      </c>
      <c r="EP293" s="58">
        <f>IFERROR($BE293/$BE294-1,"")</f>
        <v/>
      </c>
      <c r="EQ293" s="58">
        <f>IFERROR($BF293/$BF294-1,"")</f>
        <v/>
      </c>
      <c r="ER293" s="58">
        <f>IFERROR($BG293/$BG294-1,"")</f>
        <v/>
      </c>
      <c r="ES293" s="58">
        <f>IFERROR($BH293/$BH294-1,"")</f>
        <v/>
      </c>
      <c r="ET293" s="58">
        <f>IFERROR($BI293/$BI294-1,"")</f>
        <v/>
      </c>
      <c r="EU293" s="58">
        <f>IFERROR($BJ293/$BJ294-1,"")</f>
        <v/>
      </c>
      <c r="EV293" s="58">
        <f>IFERROR($BK293/$BK294-1,"")</f>
        <v/>
      </c>
      <c r="EW293" s="58">
        <f>IFERROR($BL293/$BL294-1,"")</f>
        <v/>
      </c>
      <c r="EX293" s="58">
        <f>IFERROR($BM293/$BM294-1,"")</f>
        <v/>
      </c>
      <c r="EY293" s="58">
        <f>IFERROR($BN293/$BN294-1,"")</f>
        <v/>
      </c>
      <c r="EZ293" s="58">
        <f>IFERROR($BO293/$BO294-1,"")</f>
        <v/>
      </c>
      <c r="FA293" s="58">
        <f>IFERROR($BP293/$BP294-1,"")</f>
        <v/>
      </c>
      <c r="FB293" s="58">
        <f>IFERROR($BQ293/$BQ294-1,"")</f>
        <v/>
      </c>
      <c r="FC293" s="58">
        <f>IFERROR($BR293/$BR294-1,"")</f>
        <v/>
      </c>
      <c r="FD293" s="58">
        <f>IFERROR($BS293/$BS294-1,"")</f>
        <v/>
      </c>
      <c r="FE293" s="58">
        <f>IFERROR($BT293/$BT294-1,"")</f>
        <v/>
      </c>
      <c r="FF293" s="58">
        <f>IFERROR($BU293/$BU294-1,"")</f>
        <v/>
      </c>
      <c r="FG293" s="58">
        <f>IFERROR($BV293/$BV294-1,"")</f>
        <v/>
      </c>
      <c r="FH293" s="58">
        <f>IFERROR($BW293/$BW294-1,"")</f>
        <v/>
      </c>
      <c r="FI293" s="58">
        <f>IFERROR($BX293/$BX294-1,"")</f>
        <v/>
      </c>
      <c r="FJ293" s="59">
        <f>$BY293-$BY294</f>
        <v/>
      </c>
      <c r="FK293" s="59">
        <f>$BZ293-$BZ294</f>
        <v/>
      </c>
      <c r="FL293" s="59">
        <f>$CA293-$CA294</f>
        <v/>
      </c>
      <c r="FM293" s="59">
        <f>$CB293-$CB294</f>
        <v/>
      </c>
      <c r="FN293" s="59">
        <f>$CC293-$CC294</f>
        <v/>
      </c>
      <c r="FO293" s="59">
        <f>$CD293-$CD294</f>
        <v/>
      </c>
      <c r="FP293" s="59">
        <f>$CE293-$CE294</f>
        <v/>
      </c>
      <c r="FQ293" s="59">
        <f>$CF293-$CF294</f>
        <v/>
      </c>
      <c r="FR293" s="59">
        <f>$CG293-$CG294</f>
        <v/>
      </c>
      <c r="FS293" s="59">
        <f>$CH293-$CH294</f>
        <v/>
      </c>
      <c r="FT293" s="59">
        <f>$CI293-$CI294</f>
        <v/>
      </c>
      <c r="FU293" s="59">
        <f>$CJ293-$CJ294</f>
        <v/>
      </c>
      <c r="FV293" s="59">
        <f>$CK293-$CK294</f>
        <v/>
      </c>
      <c r="FW293" s="59">
        <f>$CL293-$CL294</f>
        <v/>
      </c>
      <c r="FX293" s="59">
        <f>$CM293-$CM294</f>
        <v/>
      </c>
      <c r="FY293" s="59">
        <f>$CN293-$CN294</f>
        <v/>
      </c>
      <c r="FZ293" s="59">
        <f>$CO293-$CO294</f>
        <v/>
      </c>
      <c r="GA293" s="59">
        <f>$CP293-$CP294</f>
        <v/>
      </c>
      <c r="GB293" s="59">
        <f>$CQ293-$CQ294</f>
        <v/>
      </c>
      <c r="GC293" s="59">
        <f>$CR293-$CR294</f>
        <v/>
      </c>
      <c r="GD293" s="59">
        <f>$CS293-$CS294</f>
        <v/>
      </c>
      <c r="GE293" s="59">
        <f>$CT293-$CT294</f>
        <v/>
      </c>
    </row>
    <row r="294">
      <c r="CU294" s="58">
        <f>IFERROR($B294/$B295-1,"")</f>
        <v/>
      </c>
      <c r="CV294" s="59">
        <f>($F294-$F295)*100</f>
        <v/>
      </c>
      <c r="CW294" s="59">
        <f>($E294-$E295)*100</f>
        <v/>
      </c>
      <c r="CX294" s="58">
        <f>IFERROR($K294/$K295-1,"")</f>
        <v/>
      </c>
      <c r="CY294" s="59">
        <f>($AH294-$AH295)*100</f>
        <v/>
      </c>
      <c r="CZ294" s="59">
        <f>($AI294-$AI295)*100</f>
        <v/>
      </c>
      <c r="DA294" s="59">
        <f>($AJ294-$AJ295)*100</f>
        <v/>
      </c>
      <c r="DB294" s="59">
        <f>($AK294-$AK295)*100</f>
        <v/>
      </c>
      <c r="DC294" s="59">
        <f>($AL294-$AL295)*100</f>
        <v/>
      </c>
      <c r="DD294" s="59">
        <f>($AM294-$AM295)*100</f>
        <v/>
      </c>
      <c r="DE294" s="59">
        <f>($AN294-$AN295)*100</f>
        <v/>
      </c>
      <c r="DF294" s="59">
        <f>($AO294-$AO295)*100</f>
        <v/>
      </c>
      <c r="DG294" s="59">
        <f>($AP294-$AP295)*100</f>
        <v/>
      </c>
      <c r="DH294" s="59">
        <f>($AQ294-$AQ295)*100</f>
        <v/>
      </c>
      <c r="DI294" s="59">
        <f>($AR294-$AR295)*100</f>
        <v/>
      </c>
      <c r="DJ294" s="59">
        <f>($AS294-$AS295)*100</f>
        <v/>
      </c>
      <c r="DK294" s="59">
        <f>($AT294-$AT295)*100</f>
        <v/>
      </c>
      <c r="DL294" s="59">
        <f>($AU294-$AU295)*100</f>
        <v/>
      </c>
      <c r="DM294" s="59">
        <f>($AV294-$AV295)*100</f>
        <v/>
      </c>
      <c r="DN294" s="59">
        <f>($AW294-$AW295)*100</f>
        <v/>
      </c>
      <c r="DO294" s="59">
        <f>($AX294-$AX295)*100</f>
        <v/>
      </c>
      <c r="DP294" s="59">
        <f>($AY294-$AY295)*100</f>
        <v/>
      </c>
      <c r="DQ294" s="59">
        <f>($AZ294-$AZ295)*100</f>
        <v/>
      </c>
      <c r="DR294" s="59">
        <f>($BA294-$BA295)*100</f>
        <v/>
      </c>
      <c r="DS294" s="58">
        <f>IFERROR($N295/$N294-1,"")</f>
        <v/>
      </c>
      <c r="DT294" s="58">
        <f>IFERROR($O295/$O294-1,"")</f>
        <v/>
      </c>
      <c r="DU294" s="58">
        <f>IFERROR($P295/$P294-1,"")</f>
        <v/>
      </c>
      <c r="DV294" s="58">
        <f>IFERROR($Q295/$Q294-1,"")</f>
        <v/>
      </c>
      <c r="DW294" s="58">
        <f>IFERROR($R295/$R294-1,"")</f>
        <v/>
      </c>
      <c r="DX294" s="58">
        <f>IFERROR($S295/$S294-1,"")</f>
        <v/>
      </c>
      <c r="DY294" s="58">
        <f>IFERROR($T295/$T294-1,"")</f>
        <v/>
      </c>
      <c r="DZ294" s="58">
        <f>IFERROR($U295/$U294-1,"")</f>
        <v/>
      </c>
      <c r="EA294" s="58">
        <f>IFERROR($V295/$V294-1,"")</f>
        <v/>
      </c>
      <c r="EB294" s="58">
        <f>IFERROR($W295/$W294-1,"")</f>
        <v/>
      </c>
      <c r="EC294" s="58">
        <f>IFERROR($X295/$X294-1,"")</f>
        <v/>
      </c>
      <c r="ED294" s="58">
        <f>IFERROR($Y295/$Y294-1,"")</f>
        <v/>
      </c>
      <c r="EE294" s="58">
        <f>IFERROR($Z295/$Z294-1,"")</f>
        <v/>
      </c>
      <c r="EF294" s="58">
        <f>IFERROR($AA295/$AA294-1,"")</f>
        <v/>
      </c>
      <c r="EG294" s="58">
        <f>IFERROR($AB295/$AB294-1,"")</f>
        <v/>
      </c>
      <c r="EH294" s="58">
        <f>IFERROR($AC295/$AC294-1,"")</f>
        <v/>
      </c>
      <c r="EI294" s="58">
        <f>IFERROR($AD295/$AD294-1,"")</f>
        <v/>
      </c>
      <c r="EJ294" s="58">
        <f>IFERROR($AE295/$AE294-1,"")</f>
        <v/>
      </c>
      <c r="EK294" s="58">
        <f>IFERROR($AF295/$AF294-1,"")</f>
        <v/>
      </c>
      <c r="EL294" s="58">
        <f>IFERROR($AG295/$AG294-1,"")</f>
        <v/>
      </c>
      <c r="EM294" s="58">
        <f>IFERROR($BB294/$BB295-1,"")</f>
        <v/>
      </c>
      <c r="EN294" s="58">
        <f>IFERROR($BC294/$BC295-1,"")</f>
        <v/>
      </c>
      <c r="EO294" s="58">
        <f>IFERROR($BD294/$BD295-1,"")</f>
        <v/>
      </c>
      <c r="EP294" s="58">
        <f>IFERROR($BE294/$BE295-1,"")</f>
        <v/>
      </c>
      <c r="EQ294" s="58">
        <f>IFERROR($BF294/$BF295-1,"")</f>
        <v/>
      </c>
      <c r="ER294" s="58">
        <f>IFERROR($BG294/$BG295-1,"")</f>
        <v/>
      </c>
      <c r="ES294" s="58">
        <f>IFERROR($BH294/$BH295-1,"")</f>
        <v/>
      </c>
      <c r="ET294" s="58">
        <f>IFERROR($BI294/$BI295-1,"")</f>
        <v/>
      </c>
      <c r="EU294" s="58">
        <f>IFERROR($BJ294/$BJ295-1,"")</f>
        <v/>
      </c>
      <c r="EV294" s="58">
        <f>IFERROR($BK294/$BK295-1,"")</f>
        <v/>
      </c>
      <c r="EW294" s="58">
        <f>IFERROR($BL294/$BL295-1,"")</f>
        <v/>
      </c>
      <c r="EX294" s="58">
        <f>IFERROR($BM294/$BM295-1,"")</f>
        <v/>
      </c>
      <c r="EY294" s="58">
        <f>IFERROR($BN294/$BN295-1,"")</f>
        <v/>
      </c>
      <c r="EZ294" s="58">
        <f>IFERROR($BO294/$BO295-1,"")</f>
        <v/>
      </c>
      <c r="FA294" s="58">
        <f>IFERROR($BP294/$BP295-1,"")</f>
        <v/>
      </c>
      <c r="FB294" s="58">
        <f>IFERROR($BQ294/$BQ295-1,"")</f>
        <v/>
      </c>
      <c r="FC294" s="58">
        <f>IFERROR($BR294/$BR295-1,"")</f>
        <v/>
      </c>
      <c r="FD294" s="58">
        <f>IFERROR($BS294/$BS295-1,"")</f>
        <v/>
      </c>
      <c r="FE294" s="58">
        <f>IFERROR($BT294/$BT295-1,"")</f>
        <v/>
      </c>
      <c r="FF294" s="58">
        <f>IFERROR($BU294/$BU295-1,"")</f>
        <v/>
      </c>
      <c r="FG294" s="58">
        <f>IFERROR($BV294/$BV295-1,"")</f>
        <v/>
      </c>
      <c r="FH294" s="58">
        <f>IFERROR($BW294/$BW295-1,"")</f>
        <v/>
      </c>
      <c r="FI294" s="58">
        <f>IFERROR($BX294/$BX295-1,"")</f>
        <v/>
      </c>
      <c r="FJ294" s="59">
        <f>$BY294-$BY295</f>
        <v/>
      </c>
      <c r="FK294" s="59">
        <f>$BZ294-$BZ295</f>
        <v/>
      </c>
      <c r="FL294" s="59">
        <f>$CA294-$CA295</f>
        <v/>
      </c>
      <c r="FM294" s="59">
        <f>$CB294-$CB295</f>
        <v/>
      </c>
      <c r="FN294" s="59">
        <f>$CC294-$CC295</f>
        <v/>
      </c>
      <c r="FO294" s="59">
        <f>$CD294-$CD295</f>
        <v/>
      </c>
      <c r="FP294" s="59">
        <f>$CE294-$CE295</f>
        <v/>
      </c>
      <c r="FQ294" s="59">
        <f>$CF294-$CF295</f>
        <v/>
      </c>
      <c r="FR294" s="59">
        <f>$CG294-$CG295</f>
        <v/>
      </c>
      <c r="FS294" s="59">
        <f>$CH294-$CH295</f>
        <v/>
      </c>
      <c r="FT294" s="59">
        <f>$CI294-$CI295</f>
        <v/>
      </c>
      <c r="FU294" s="59">
        <f>$CJ294-$CJ295</f>
        <v/>
      </c>
      <c r="FV294" s="59">
        <f>$CK294-$CK295</f>
        <v/>
      </c>
      <c r="FW294" s="59">
        <f>$CL294-$CL295</f>
        <v/>
      </c>
      <c r="FX294" s="59">
        <f>$CM294-$CM295</f>
        <v/>
      </c>
      <c r="FY294" s="59">
        <f>$CN294-$CN295</f>
        <v/>
      </c>
      <c r="FZ294" s="59">
        <f>$CO294-$CO295</f>
        <v/>
      </c>
      <c r="GA294" s="59">
        <f>$CP294-$CP295</f>
        <v/>
      </c>
      <c r="GB294" s="59">
        <f>$CQ294-$CQ295</f>
        <v/>
      </c>
      <c r="GC294" s="59">
        <f>$CR294-$CR295</f>
        <v/>
      </c>
      <c r="GD294" s="59">
        <f>$CS294-$CS295</f>
        <v/>
      </c>
      <c r="GE294" s="59">
        <f>$CT294-$CT295</f>
        <v/>
      </c>
    </row>
    <row r="295">
      <c r="CU295" s="58">
        <f>IFERROR($B295/$B296-1,"")</f>
        <v/>
      </c>
      <c r="CV295" s="59">
        <f>($F295-$F296)*100</f>
        <v/>
      </c>
      <c r="CW295" s="59">
        <f>($E295-$E296)*100</f>
        <v/>
      </c>
      <c r="CX295" s="58">
        <f>IFERROR($K295/$K296-1,"")</f>
        <v/>
      </c>
      <c r="CY295" s="59">
        <f>($AH295-$AH296)*100</f>
        <v/>
      </c>
      <c r="CZ295" s="59">
        <f>($AI295-$AI296)*100</f>
        <v/>
      </c>
      <c r="DA295" s="59">
        <f>($AJ295-$AJ296)*100</f>
        <v/>
      </c>
      <c r="DB295" s="59">
        <f>($AK295-$AK296)*100</f>
        <v/>
      </c>
      <c r="DC295" s="59">
        <f>($AL295-$AL296)*100</f>
        <v/>
      </c>
      <c r="DD295" s="59">
        <f>($AM295-$AM296)*100</f>
        <v/>
      </c>
      <c r="DE295" s="59">
        <f>($AN295-$AN296)*100</f>
        <v/>
      </c>
      <c r="DF295" s="59">
        <f>($AO295-$AO296)*100</f>
        <v/>
      </c>
      <c r="DG295" s="59">
        <f>($AP295-$AP296)*100</f>
        <v/>
      </c>
      <c r="DH295" s="59">
        <f>($AQ295-$AQ296)*100</f>
        <v/>
      </c>
      <c r="DI295" s="59">
        <f>($AR295-$AR296)*100</f>
        <v/>
      </c>
      <c r="DJ295" s="59">
        <f>($AS295-$AS296)*100</f>
        <v/>
      </c>
      <c r="DK295" s="59">
        <f>($AT295-$AT296)*100</f>
        <v/>
      </c>
      <c r="DL295" s="59">
        <f>($AU295-$AU296)*100</f>
        <v/>
      </c>
      <c r="DM295" s="59">
        <f>($AV295-$AV296)*100</f>
        <v/>
      </c>
      <c r="DN295" s="59">
        <f>($AW295-$AW296)*100</f>
        <v/>
      </c>
      <c r="DO295" s="59">
        <f>($AX295-$AX296)*100</f>
        <v/>
      </c>
      <c r="DP295" s="59">
        <f>($AY295-$AY296)*100</f>
        <v/>
      </c>
      <c r="DQ295" s="59">
        <f>($AZ295-$AZ296)*100</f>
        <v/>
      </c>
      <c r="DR295" s="59">
        <f>($BA295-$BA296)*100</f>
        <v/>
      </c>
      <c r="DS295" s="58">
        <f>IFERROR($N296/$N295-1,"")</f>
        <v/>
      </c>
      <c r="DT295" s="58">
        <f>IFERROR($O296/$O295-1,"")</f>
        <v/>
      </c>
      <c r="DU295" s="58">
        <f>IFERROR($P296/$P295-1,"")</f>
        <v/>
      </c>
      <c r="DV295" s="58">
        <f>IFERROR($Q296/$Q295-1,"")</f>
        <v/>
      </c>
      <c r="DW295" s="58">
        <f>IFERROR($R296/$R295-1,"")</f>
        <v/>
      </c>
      <c r="DX295" s="58">
        <f>IFERROR($S296/$S295-1,"")</f>
        <v/>
      </c>
      <c r="DY295" s="58">
        <f>IFERROR($T296/$T295-1,"")</f>
        <v/>
      </c>
      <c r="DZ295" s="58">
        <f>IFERROR($U296/$U295-1,"")</f>
        <v/>
      </c>
      <c r="EA295" s="58">
        <f>IFERROR($V296/$V295-1,"")</f>
        <v/>
      </c>
      <c r="EB295" s="58">
        <f>IFERROR($W296/$W295-1,"")</f>
        <v/>
      </c>
      <c r="EC295" s="58">
        <f>IFERROR($X296/$X295-1,"")</f>
        <v/>
      </c>
      <c r="ED295" s="58">
        <f>IFERROR($Y296/$Y295-1,"")</f>
        <v/>
      </c>
      <c r="EE295" s="58">
        <f>IFERROR($Z296/$Z295-1,"")</f>
        <v/>
      </c>
      <c r="EF295" s="58">
        <f>IFERROR($AA296/$AA295-1,"")</f>
        <v/>
      </c>
      <c r="EG295" s="58">
        <f>IFERROR($AB296/$AB295-1,"")</f>
        <v/>
      </c>
      <c r="EH295" s="58">
        <f>IFERROR($AC296/$AC295-1,"")</f>
        <v/>
      </c>
      <c r="EI295" s="58">
        <f>IFERROR($AD296/$AD295-1,"")</f>
        <v/>
      </c>
      <c r="EJ295" s="58">
        <f>IFERROR($AE296/$AE295-1,"")</f>
        <v/>
      </c>
      <c r="EK295" s="58">
        <f>IFERROR($AF296/$AF295-1,"")</f>
        <v/>
      </c>
      <c r="EL295" s="58">
        <f>IFERROR($AG296/$AG295-1,"")</f>
        <v/>
      </c>
      <c r="EM295" s="58">
        <f>IFERROR($BB295/$BB296-1,"")</f>
        <v/>
      </c>
      <c r="EN295" s="58">
        <f>IFERROR($BC295/$BC296-1,"")</f>
        <v/>
      </c>
      <c r="EO295" s="58">
        <f>IFERROR($BD295/$BD296-1,"")</f>
        <v/>
      </c>
      <c r="EP295" s="58">
        <f>IFERROR($BE295/$BE296-1,"")</f>
        <v/>
      </c>
      <c r="EQ295" s="58">
        <f>IFERROR($BF295/$BF296-1,"")</f>
        <v/>
      </c>
      <c r="ER295" s="58">
        <f>IFERROR($BG295/$BG296-1,"")</f>
        <v/>
      </c>
      <c r="ES295" s="58">
        <f>IFERROR($BH295/$BH296-1,"")</f>
        <v/>
      </c>
      <c r="ET295" s="58">
        <f>IFERROR($BI295/$BI296-1,"")</f>
        <v/>
      </c>
      <c r="EU295" s="58">
        <f>IFERROR($BJ295/$BJ296-1,"")</f>
        <v/>
      </c>
      <c r="EV295" s="58">
        <f>IFERROR($BK295/$BK296-1,"")</f>
        <v/>
      </c>
      <c r="EW295" s="58">
        <f>IFERROR($BL295/$BL296-1,"")</f>
        <v/>
      </c>
      <c r="EX295" s="58">
        <f>IFERROR($BM295/$BM296-1,"")</f>
        <v/>
      </c>
      <c r="EY295" s="58">
        <f>IFERROR($BN295/$BN296-1,"")</f>
        <v/>
      </c>
      <c r="EZ295" s="58">
        <f>IFERROR($BO295/$BO296-1,"")</f>
        <v/>
      </c>
      <c r="FA295" s="58">
        <f>IFERROR($BP295/$BP296-1,"")</f>
        <v/>
      </c>
      <c r="FB295" s="58">
        <f>IFERROR($BQ295/$BQ296-1,"")</f>
        <v/>
      </c>
      <c r="FC295" s="58">
        <f>IFERROR($BR295/$BR296-1,"")</f>
        <v/>
      </c>
      <c r="FD295" s="58">
        <f>IFERROR($BS295/$BS296-1,"")</f>
        <v/>
      </c>
      <c r="FE295" s="58">
        <f>IFERROR($BT295/$BT296-1,"")</f>
        <v/>
      </c>
      <c r="FF295" s="58">
        <f>IFERROR($BU295/$BU296-1,"")</f>
        <v/>
      </c>
      <c r="FG295" s="58">
        <f>IFERROR($BV295/$BV296-1,"")</f>
        <v/>
      </c>
      <c r="FH295" s="58">
        <f>IFERROR($BW295/$BW296-1,"")</f>
        <v/>
      </c>
      <c r="FI295" s="58">
        <f>IFERROR($BX295/$BX296-1,"")</f>
        <v/>
      </c>
      <c r="FJ295" s="59">
        <f>$BY295-$BY296</f>
        <v/>
      </c>
      <c r="FK295" s="59">
        <f>$BZ295-$BZ296</f>
        <v/>
      </c>
      <c r="FL295" s="59">
        <f>$CA295-$CA296</f>
        <v/>
      </c>
      <c r="FM295" s="59">
        <f>$CB295-$CB296</f>
        <v/>
      </c>
      <c r="FN295" s="59">
        <f>$CC295-$CC296</f>
        <v/>
      </c>
      <c r="FO295" s="59">
        <f>$CD295-$CD296</f>
        <v/>
      </c>
      <c r="FP295" s="59">
        <f>$CE295-$CE296</f>
        <v/>
      </c>
      <c r="FQ295" s="59">
        <f>$CF295-$CF296</f>
        <v/>
      </c>
      <c r="FR295" s="59">
        <f>$CG295-$CG296</f>
        <v/>
      </c>
      <c r="FS295" s="59">
        <f>$CH295-$CH296</f>
        <v/>
      </c>
      <c r="FT295" s="59">
        <f>$CI295-$CI296</f>
        <v/>
      </c>
      <c r="FU295" s="59">
        <f>$CJ295-$CJ296</f>
        <v/>
      </c>
      <c r="FV295" s="59">
        <f>$CK295-$CK296</f>
        <v/>
      </c>
      <c r="FW295" s="59">
        <f>$CL295-$CL296</f>
        <v/>
      </c>
      <c r="FX295" s="59">
        <f>$CM295-$CM296</f>
        <v/>
      </c>
      <c r="FY295" s="59">
        <f>$CN295-$CN296</f>
        <v/>
      </c>
      <c r="FZ295" s="59">
        <f>$CO295-$CO296</f>
        <v/>
      </c>
      <c r="GA295" s="59">
        <f>$CP295-$CP296</f>
        <v/>
      </c>
      <c r="GB295" s="59">
        <f>$CQ295-$CQ296</f>
        <v/>
      </c>
      <c r="GC295" s="59">
        <f>$CR295-$CR296</f>
        <v/>
      </c>
      <c r="GD295" s="59">
        <f>$CS295-$CS296</f>
        <v/>
      </c>
      <c r="GE295" s="59">
        <f>$CT295-$CT296</f>
        <v/>
      </c>
    </row>
    <row r="296">
      <c r="CU296" s="58">
        <f>IFERROR($B296/$B297-1,"")</f>
        <v/>
      </c>
      <c r="CV296" s="59">
        <f>($F296-$F297)*100</f>
        <v/>
      </c>
      <c r="CW296" s="59">
        <f>($E296-$E297)*100</f>
        <v/>
      </c>
      <c r="CX296" s="58">
        <f>IFERROR($K296/$K297-1,"")</f>
        <v/>
      </c>
      <c r="CY296" s="59">
        <f>($AH296-$AH297)*100</f>
        <v/>
      </c>
      <c r="CZ296" s="59">
        <f>($AI296-$AI297)*100</f>
        <v/>
      </c>
      <c r="DA296" s="59">
        <f>($AJ296-$AJ297)*100</f>
        <v/>
      </c>
      <c r="DB296" s="59">
        <f>($AK296-$AK297)*100</f>
        <v/>
      </c>
      <c r="DC296" s="59">
        <f>($AL296-$AL297)*100</f>
        <v/>
      </c>
      <c r="DD296" s="59">
        <f>($AM296-$AM297)*100</f>
        <v/>
      </c>
      <c r="DE296" s="59">
        <f>($AN296-$AN297)*100</f>
        <v/>
      </c>
      <c r="DF296" s="59">
        <f>($AO296-$AO297)*100</f>
        <v/>
      </c>
      <c r="DG296" s="59">
        <f>($AP296-$AP297)*100</f>
        <v/>
      </c>
      <c r="DH296" s="59">
        <f>($AQ296-$AQ297)*100</f>
        <v/>
      </c>
      <c r="DI296" s="59">
        <f>($AR296-$AR297)*100</f>
        <v/>
      </c>
      <c r="DJ296" s="59">
        <f>($AS296-$AS297)*100</f>
        <v/>
      </c>
      <c r="DK296" s="59">
        <f>($AT296-$AT297)*100</f>
        <v/>
      </c>
      <c r="DL296" s="59">
        <f>($AU296-$AU297)*100</f>
        <v/>
      </c>
      <c r="DM296" s="59">
        <f>($AV296-$AV297)*100</f>
        <v/>
      </c>
      <c r="DN296" s="59">
        <f>($AW296-$AW297)*100</f>
        <v/>
      </c>
      <c r="DO296" s="59">
        <f>($AX296-$AX297)*100</f>
        <v/>
      </c>
      <c r="DP296" s="59">
        <f>($AY296-$AY297)*100</f>
        <v/>
      </c>
      <c r="DQ296" s="59">
        <f>($AZ296-$AZ297)*100</f>
        <v/>
      </c>
      <c r="DR296" s="59">
        <f>($BA296-$BA297)*100</f>
        <v/>
      </c>
      <c r="DS296" s="58">
        <f>IFERROR($N297/$N296-1,"")</f>
        <v/>
      </c>
      <c r="DT296" s="58">
        <f>IFERROR($O297/$O296-1,"")</f>
        <v/>
      </c>
      <c r="DU296" s="58">
        <f>IFERROR($P297/$P296-1,"")</f>
        <v/>
      </c>
      <c r="DV296" s="58">
        <f>IFERROR($Q297/$Q296-1,"")</f>
        <v/>
      </c>
      <c r="DW296" s="58">
        <f>IFERROR($R297/$R296-1,"")</f>
        <v/>
      </c>
      <c r="DX296" s="58">
        <f>IFERROR($S297/$S296-1,"")</f>
        <v/>
      </c>
      <c r="DY296" s="58">
        <f>IFERROR($T297/$T296-1,"")</f>
        <v/>
      </c>
      <c r="DZ296" s="58">
        <f>IFERROR($U297/$U296-1,"")</f>
        <v/>
      </c>
      <c r="EA296" s="58">
        <f>IFERROR($V297/$V296-1,"")</f>
        <v/>
      </c>
      <c r="EB296" s="58">
        <f>IFERROR($W297/$W296-1,"")</f>
        <v/>
      </c>
      <c r="EC296" s="58">
        <f>IFERROR($X297/$X296-1,"")</f>
        <v/>
      </c>
      <c r="ED296" s="58">
        <f>IFERROR($Y297/$Y296-1,"")</f>
        <v/>
      </c>
      <c r="EE296" s="58">
        <f>IFERROR($Z297/$Z296-1,"")</f>
        <v/>
      </c>
      <c r="EF296" s="58">
        <f>IFERROR($AA297/$AA296-1,"")</f>
        <v/>
      </c>
      <c r="EG296" s="58">
        <f>IFERROR($AB297/$AB296-1,"")</f>
        <v/>
      </c>
      <c r="EH296" s="58">
        <f>IFERROR($AC297/$AC296-1,"")</f>
        <v/>
      </c>
      <c r="EI296" s="58">
        <f>IFERROR($AD297/$AD296-1,"")</f>
        <v/>
      </c>
      <c r="EJ296" s="58">
        <f>IFERROR($AE297/$AE296-1,"")</f>
        <v/>
      </c>
      <c r="EK296" s="58">
        <f>IFERROR($AF297/$AF296-1,"")</f>
        <v/>
      </c>
      <c r="EL296" s="58">
        <f>IFERROR($AG297/$AG296-1,"")</f>
        <v/>
      </c>
      <c r="EM296" s="58">
        <f>IFERROR($BB296/$BB297-1,"")</f>
        <v/>
      </c>
      <c r="EN296" s="58">
        <f>IFERROR($BC296/$BC297-1,"")</f>
        <v/>
      </c>
      <c r="EO296" s="58">
        <f>IFERROR($BD296/$BD297-1,"")</f>
        <v/>
      </c>
      <c r="EP296" s="58">
        <f>IFERROR($BE296/$BE297-1,"")</f>
        <v/>
      </c>
      <c r="EQ296" s="58">
        <f>IFERROR($BF296/$BF297-1,"")</f>
        <v/>
      </c>
      <c r="ER296" s="58">
        <f>IFERROR($BG296/$BG297-1,"")</f>
        <v/>
      </c>
      <c r="ES296" s="58">
        <f>IFERROR($BH296/$BH297-1,"")</f>
        <v/>
      </c>
      <c r="ET296" s="58">
        <f>IFERROR($BI296/$BI297-1,"")</f>
        <v/>
      </c>
      <c r="EU296" s="58">
        <f>IFERROR($BJ296/$BJ297-1,"")</f>
        <v/>
      </c>
      <c r="EV296" s="58">
        <f>IFERROR($BK296/$BK297-1,"")</f>
        <v/>
      </c>
      <c r="EW296" s="58">
        <f>IFERROR($BL296/$BL297-1,"")</f>
        <v/>
      </c>
      <c r="EX296" s="58">
        <f>IFERROR($BM296/$BM297-1,"")</f>
        <v/>
      </c>
      <c r="EY296" s="58">
        <f>IFERROR($BN296/$BN297-1,"")</f>
        <v/>
      </c>
      <c r="EZ296" s="58">
        <f>IFERROR($BO296/$BO297-1,"")</f>
        <v/>
      </c>
      <c r="FA296" s="58">
        <f>IFERROR($BP296/$BP297-1,"")</f>
        <v/>
      </c>
      <c r="FB296" s="58">
        <f>IFERROR($BQ296/$BQ297-1,"")</f>
        <v/>
      </c>
      <c r="FC296" s="58">
        <f>IFERROR($BR296/$BR297-1,"")</f>
        <v/>
      </c>
      <c r="FD296" s="58">
        <f>IFERROR($BS296/$BS297-1,"")</f>
        <v/>
      </c>
      <c r="FE296" s="58">
        <f>IFERROR($BT296/$BT297-1,"")</f>
        <v/>
      </c>
      <c r="FF296" s="58">
        <f>IFERROR($BU296/$BU297-1,"")</f>
        <v/>
      </c>
      <c r="FG296" s="58">
        <f>IFERROR($BV296/$BV297-1,"")</f>
        <v/>
      </c>
      <c r="FH296" s="58">
        <f>IFERROR($BW296/$BW297-1,"")</f>
        <v/>
      </c>
      <c r="FI296" s="58">
        <f>IFERROR($BX296/$BX297-1,"")</f>
        <v/>
      </c>
      <c r="FJ296" s="59">
        <f>$BY296-$BY297</f>
        <v/>
      </c>
      <c r="FK296" s="59">
        <f>$BZ296-$BZ297</f>
        <v/>
      </c>
      <c r="FL296" s="59">
        <f>$CA296-$CA297</f>
        <v/>
      </c>
      <c r="FM296" s="59">
        <f>$CB296-$CB297</f>
        <v/>
      </c>
      <c r="FN296" s="59">
        <f>$CC296-$CC297</f>
        <v/>
      </c>
      <c r="FO296" s="59">
        <f>$CD296-$CD297</f>
        <v/>
      </c>
      <c r="FP296" s="59">
        <f>$CE296-$CE297</f>
        <v/>
      </c>
      <c r="FQ296" s="59">
        <f>$CF296-$CF297</f>
        <v/>
      </c>
      <c r="FR296" s="59">
        <f>$CG296-$CG297</f>
        <v/>
      </c>
      <c r="FS296" s="59">
        <f>$CH296-$CH297</f>
        <v/>
      </c>
      <c r="FT296" s="59">
        <f>$CI296-$CI297</f>
        <v/>
      </c>
      <c r="FU296" s="59">
        <f>$CJ296-$CJ297</f>
        <v/>
      </c>
      <c r="FV296" s="59">
        <f>$CK296-$CK297</f>
        <v/>
      </c>
      <c r="FW296" s="59">
        <f>$CL296-$CL297</f>
        <v/>
      </c>
      <c r="FX296" s="59">
        <f>$CM296-$CM297</f>
        <v/>
      </c>
      <c r="FY296" s="59">
        <f>$CN296-$CN297</f>
        <v/>
      </c>
      <c r="FZ296" s="59">
        <f>$CO296-$CO297</f>
        <v/>
      </c>
      <c r="GA296" s="59">
        <f>$CP296-$CP297</f>
        <v/>
      </c>
      <c r="GB296" s="59">
        <f>$CQ296-$CQ297</f>
        <v/>
      </c>
      <c r="GC296" s="59">
        <f>$CR296-$CR297</f>
        <v/>
      </c>
      <c r="GD296" s="59">
        <f>$CS296-$CS297</f>
        <v/>
      </c>
      <c r="GE296" s="59">
        <f>$CT296-$CT297</f>
        <v/>
      </c>
    </row>
    <row r="297">
      <c r="CU297" s="58">
        <f>IFERROR($B297/$B298-1,"")</f>
        <v/>
      </c>
      <c r="CV297" s="59">
        <f>($F297-$F298)*100</f>
        <v/>
      </c>
      <c r="CW297" s="59">
        <f>($E297-$E298)*100</f>
        <v/>
      </c>
      <c r="CX297" s="58">
        <f>IFERROR($K297/$K298-1,"")</f>
        <v/>
      </c>
      <c r="CY297" s="59">
        <f>($AH297-$AH298)*100</f>
        <v/>
      </c>
      <c r="CZ297" s="59">
        <f>($AI297-$AI298)*100</f>
        <v/>
      </c>
      <c r="DA297" s="59">
        <f>($AJ297-$AJ298)*100</f>
        <v/>
      </c>
      <c r="DB297" s="59">
        <f>($AK297-$AK298)*100</f>
        <v/>
      </c>
      <c r="DC297" s="59">
        <f>($AL297-$AL298)*100</f>
        <v/>
      </c>
      <c r="DD297" s="59">
        <f>($AM297-$AM298)*100</f>
        <v/>
      </c>
      <c r="DE297" s="59">
        <f>($AN297-$AN298)*100</f>
        <v/>
      </c>
      <c r="DF297" s="59">
        <f>($AO297-$AO298)*100</f>
        <v/>
      </c>
      <c r="DG297" s="59">
        <f>($AP297-$AP298)*100</f>
        <v/>
      </c>
      <c r="DH297" s="59">
        <f>($AQ297-$AQ298)*100</f>
        <v/>
      </c>
      <c r="DI297" s="59">
        <f>($AR297-$AR298)*100</f>
        <v/>
      </c>
      <c r="DJ297" s="59">
        <f>($AS297-$AS298)*100</f>
        <v/>
      </c>
      <c r="DK297" s="59">
        <f>($AT297-$AT298)*100</f>
        <v/>
      </c>
      <c r="DL297" s="59">
        <f>($AU297-$AU298)*100</f>
        <v/>
      </c>
      <c r="DM297" s="59">
        <f>($AV297-$AV298)*100</f>
        <v/>
      </c>
      <c r="DN297" s="59">
        <f>($AW297-$AW298)*100</f>
        <v/>
      </c>
      <c r="DO297" s="59">
        <f>($AX297-$AX298)*100</f>
        <v/>
      </c>
      <c r="DP297" s="59">
        <f>($AY297-$AY298)*100</f>
        <v/>
      </c>
      <c r="DQ297" s="59">
        <f>($AZ297-$AZ298)*100</f>
        <v/>
      </c>
      <c r="DR297" s="59">
        <f>($BA297-$BA298)*100</f>
        <v/>
      </c>
      <c r="DS297" s="58">
        <f>IFERROR($N298/$N297-1,"")</f>
        <v/>
      </c>
      <c r="DT297" s="58">
        <f>IFERROR($O298/$O297-1,"")</f>
        <v/>
      </c>
      <c r="DU297" s="58">
        <f>IFERROR($P298/$P297-1,"")</f>
        <v/>
      </c>
      <c r="DV297" s="58">
        <f>IFERROR($Q298/$Q297-1,"")</f>
        <v/>
      </c>
      <c r="DW297" s="58">
        <f>IFERROR($R298/$R297-1,"")</f>
        <v/>
      </c>
      <c r="DX297" s="58">
        <f>IFERROR($S298/$S297-1,"")</f>
        <v/>
      </c>
      <c r="DY297" s="58">
        <f>IFERROR($T298/$T297-1,"")</f>
        <v/>
      </c>
      <c r="DZ297" s="58">
        <f>IFERROR($U298/$U297-1,"")</f>
        <v/>
      </c>
      <c r="EA297" s="58">
        <f>IFERROR($V298/$V297-1,"")</f>
        <v/>
      </c>
      <c r="EB297" s="58">
        <f>IFERROR($W298/$W297-1,"")</f>
        <v/>
      </c>
      <c r="EC297" s="58">
        <f>IFERROR($X298/$X297-1,"")</f>
        <v/>
      </c>
      <c r="ED297" s="58">
        <f>IFERROR($Y298/$Y297-1,"")</f>
        <v/>
      </c>
      <c r="EE297" s="58">
        <f>IFERROR($Z298/$Z297-1,"")</f>
        <v/>
      </c>
      <c r="EF297" s="58">
        <f>IFERROR($AA298/$AA297-1,"")</f>
        <v/>
      </c>
      <c r="EG297" s="58">
        <f>IFERROR($AB298/$AB297-1,"")</f>
        <v/>
      </c>
      <c r="EH297" s="58">
        <f>IFERROR($AC298/$AC297-1,"")</f>
        <v/>
      </c>
      <c r="EI297" s="58">
        <f>IFERROR($AD298/$AD297-1,"")</f>
        <v/>
      </c>
      <c r="EJ297" s="58">
        <f>IFERROR($AE298/$AE297-1,"")</f>
        <v/>
      </c>
      <c r="EK297" s="58">
        <f>IFERROR($AF298/$AF297-1,"")</f>
        <v/>
      </c>
      <c r="EL297" s="58">
        <f>IFERROR($AG298/$AG297-1,"")</f>
        <v/>
      </c>
      <c r="EM297" s="58">
        <f>IFERROR($BB297/$BB298-1,"")</f>
        <v/>
      </c>
      <c r="EN297" s="58">
        <f>IFERROR($BC297/$BC298-1,"")</f>
        <v/>
      </c>
      <c r="EO297" s="58">
        <f>IFERROR($BD297/$BD298-1,"")</f>
        <v/>
      </c>
      <c r="EP297" s="58">
        <f>IFERROR($BE297/$BE298-1,"")</f>
        <v/>
      </c>
      <c r="EQ297" s="58">
        <f>IFERROR($BF297/$BF298-1,"")</f>
        <v/>
      </c>
      <c r="ER297" s="58">
        <f>IFERROR($BG297/$BG298-1,"")</f>
        <v/>
      </c>
      <c r="ES297" s="58">
        <f>IFERROR($BH297/$BH298-1,"")</f>
        <v/>
      </c>
      <c r="ET297" s="58">
        <f>IFERROR($BI297/$BI298-1,"")</f>
        <v/>
      </c>
      <c r="EU297" s="58">
        <f>IFERROR($BJ297/$BJ298-1,"")</f>
        <v/>
      </c>
      <c r="EV297" s="58">
        <f>IFERROR($BK297/$BK298-1,"")</f>
        <v/>
      </c>
      <c r="EW297" s="58">
        <f>IFERROR($BL297/$BL298-1,"")</f>
        <v/>
      </c>
      <c r="EX297" s="58">
        <f>IFERROR($BM297/$BM298-1,"")</f>
        <v/>
      </c>
      <c r="EY297" s="58">
        <f>IFERROR($BN297/$BN298-1,"")</f>
        <v/>
      </c>
      <c r="EZ297" s="58">
        <f>IFERROR($BO297/$BO298-1,"")</f>
        <v/>
      </c>
      <c r="FA297" s="58">
        <f>IFERROR($BP297/$BP298-1,"")</f>
        <v/>
      </c>
      <c r="FB297" s="58">
        <f>IFERROR($BQ297/$BQ298-1,"")</f>
        <v/>
      </c>
      <c r="FC297" s="58">
        <f>IFERROR($BR297/$BR298-1,"")</f>
        <v/>
      </c>
      <c r="FD297" s="58">
        <f>IFERROR($BS297/$BS298-1,"")</f>
        <v/>
      </c>
      <c r="FE297" s="58">
        <f>IFERROR($BT297/$BT298-1,"")</f>
        <v/>
      </c>
      <c r="FF297" s="58">
        <f>IFERROR($BU297/$BU298-1,"")</f>
        <v/>
      </c>
      <c r="FG297" s="58">
        <f>IFERROR($BV297/$BV298-1,"")</f>
        <v/>
      </c>
      <c r="FH297" s="58">
        <f>IFERROR($BW297/$BW298-1,"")</f>
        <v/>
      </c>
      <c r="FI297" s="58">
        <f>IFERROR($BX297/$BX298-1,"")</f>
        <v/>
      </c>
      <c r="FJ297" s="59">
        <f>$BY297-$BY298</f>
        <v/>
      </c>
      <c r="FK297" s="59">
        <f>$BZ297-$BZ298</f>
        <v/>
      </c>
      <c r="FL297" s="59">
        <f>$CA297-$CA298</f>
        <v/>
      </c>
      <c r="FM297" s="59">
        <f>$CB297-$CB298</f>
        <v/>
      </c>
      <c r="FN297" s="59">
        <f>$CC297-$CC298</f>
        <v/>
      </c>
      <c r="FO297" s="59">
        <f>$CD297-$CD298</f>
        <v/>
      </c>
      <c r="FP297" s="59">
        <f>$CE297-$CE298</f>
        <v/>
      </c>
      <c r="FQ297" s="59">
        <f>$CF297-$CF298</f>
        <v/>
      </c>
      <c r="FR297" s="59">
        <f>$CG297-$CG298</f>
        <v/>
      </c>
      <c r="FS297" s="59">
        <f>$CH297-$CH298</f>
        <v/>
      </c>
      <c r="FT297" s="59">
        <f>$CI297-$CI298</f>
        <v/>
      </c>
      <c r="FU297" s="59">
        <f>$CJ297-$CJ298</f>
        <v/>
      </c>
      <c r="FV297" s="59">
        <f>$CK297-$CK298</f>
        <v/>
      </c>
      <c r="FW297" s="59">
        <f>$CL297-$CL298</f>
        <v/>
      </c>
      <c r="FX297" s="59">
        <f>$CM297-$CM298</f>
        <v/>
      </c>
      <c r="FY297" s="59">
        <f>$CN297-$CN298</f>
        <v/>
      </c>
      <c r="FZ297" s="59">
        <f>$CO297-$CO298</f>
        <v/>
      </c>
      <c r="GA297" s="59">
        <f>$CP297-$CP298</f>
        <v/>
      </c>
      <c r="GB297" s="59">
        <f>$CQ297-$CQ298</f>
        <v/>
      </c>
      <c r="GC297" s="59">
        <f>$CR297-$CR298</f>
        <v/>
      </c>
      <c r="GD297" s="59">
        <f>$CS297-$CS298</f>
        <v/>
      </c>
      <c r="GE297" s="59">
        <f>$CT297-$CT298</f>
        <v/>
      </c>
    </row>
    <row r="298">
      <c r="CU298" s="58">
        <f>IFERROR($B298/$B299-1,"")</f>
        <v/>
      </c>
      <c r="CV298" s="59">
        <f>($F298-$F299)*100</f>
        <v/>
      </c>
      <c r="CW298" s="59">
        <f>($E298-$E299)*100</f>
        <v/>
      </c>
      <c r="CX298" s="58">
        <f>IFERROR($K298/$K299-1,"")</f>
        <v/>
      </c>
      <c r="CY298" s="59">
        <f>($AH298-$AH299)*100</f>
        <v/>
      </c>
      <c r="CZ298" s="59">
        <f>($AI298-$AI299)*100</f>
        <v/>
      </c>
      <c r="DA298" s="59">
        <f>($AJ298-$AJ299)*100</f>
        <v/>
      </c>
      <c r="DB298" s="59">
        <f>($AK298-$AK299)*100</f>
        <v/>
      </c>
      <c r="DC298" s="59">
        <f>($AL298-$AL299)*100</f>
        <v/>
      </c>
      <c r="DD298" s="59">
        <f>($AM298-$AM299)*100</f>
        <v/>
      </c>
      <c r="DE298" s="59">
        <f>($AN298-$AN299)*100</f>
        <v/>
      </c>
      <c r="DF298" s="59">
        <f>($AO298-$AO299)*100</f>
        <v/>
      </c>
      <c r="DG298" s="59">
        <f>($AP298-$AP299)*100</f>
        <v/>
      </c>
      <c r="DH298" s="59">
        <f>($AQ298-$AQ299)*100</f>
        <v/>
      </c>
      <c r="DI298" s="59">
        <f>($AR298-$AR299)*100</f>
        <v/>
      </c>
      <c r="DJ298" s="59">
        <f>($AS298-$AS299)*100</f>
        <v/>
      </c>
      <c r="DK298" s="59">
        <f>($AT298-$AT299)*100</f>
        <v/>
      </c>
      <c r="DL298" s="59">
        <f>($AU298-$AU299)*100</f>
        <v/>
      </c>
      <c r="DM298" s="59">
        <f>($AV298-$AV299)*100</f>
        <v/>
      </c>
      <c r="DN298" s="59">
        <f>($AW298-$AW299)*100</f>
        <v/>
      </c>
      <c r="DO298" s="59">
        <f>($AX298-$AX299)*100</f>
        <v/>
      </c>
      <c r="DP298" s="59">
        <f>($AY298-$AY299)*100</f>
        <v/>
      </c>
      <c r="DQ298" s="59">
        <f>($AZ298-$AZ299)*100</f>
        <v/>
      </c>
      <c r="DR298" s="59">
        <f>($BA298-$BA299)*100</f>
        <v/>
      </c>
      <c r="DS298" s="58">
        <f>IFERROR($N299/$N298-1,"")</f>
        <v/>
      </c>
      <c r="DT298" s="58">
        <f>IFERROR($O299/$O298-1,"")</f>
        <v/>
      </c>
      <c r="DU298" s="58">
        <f>IFERROR($P299/$P298-1,"")</f>
        <v/>
      </c>
      <c r="DV298" s="58">
        <f>IFERROR($Q299/$Q298-1,"")</f>
        <v/>
      </c>
      <c r="DW298" s="58">
        <f>IFERROR($R299/$R298-1,"")</f>
        <v/>
      </c>
      <c r="DX298" s="58">
        <f>IFERROR($S299/$S298-1,"")</f>
        <v/>
      </c>
      <c r="DY298" s="58">
        <f>IFERROR($T299/$T298-1,"")</f>
        <v/>
      </c>
      <c r="DZ298" s="58">
        <f>IFERROR($U299/$U298-1,"")</f>
        <v/>
      </c>
      <c r="EA298" s="58">
        <f>IFERROR($V299/$V298-1,"")</f>
        <v/>
      </c>
      <c r="EB298" s="58">
        <f>IFERROR($W299/$W298-1,"")</f>
        <v/>
      </c>
      <c r="EC298" s="58">
        <f>IFERROR($X299/$X298-1,"")</f>
        <v/>
      </c>
      <c r="ED298" s="58">
        <f>IFERROR($Y299/$Y298-1,"")</f>
        <v/>
      </c>
      <c r="EE298" s="58">
        <f>IFERROR($Z299/$Z298-1,"")</f>
        <v/>
      </c>
      <c r="EF298" s="58">
        <f>IFERROR($AA299/$AA298-1,"")</f>
        <v/>
      </c>
      <c r="EG298" s="58">
        <f>IFERROR($AB299/$AB298-1,"")</f>
        <v/>
      </c>
      <c r="EH298" s="58">
        <f>IFERROR($AC299/$AC298-1,"")</f>
        <v/>
      </c>
      <c r="EI298" s="58">
        <f>IFERROR($AD299/$AD298-1,"")</f>
        <v/>
      </c>
      <c r="EJ298" s="58">
        <f>IFERROR($AE299/$AE298-1,"")</f>
        <v/>
      </c>
      <c r="EK298" s="58">
        <f>IFERROR($AF299/$AF298-1,"")</f>
        <v/>
      </c>
      <c r="EL298" s="58">
        <f>IFERROR($AG299/$AG298-1,"")</f>
        <v/>
      </c>
      <c r="EM298" s="58">
        <f>IFERROR($BB298/$BB299-1,"")</f>
        <v/>
      </c>
      <c r="EN298" s="58">
        <f>IFERROR($BC298/$BC299-1,"")</f>
        <v/>
      </c>
      <c r="EO298" s="58">
        <f>IFERROR($BD298/$BD299-1,"")</f>
        <v/>
      </c>
      <c r="EP298" s="58">
        <f>IFERROR($BE298/$BE299-1,"")</f>
        <v/>
      </c>
      <c r="EQ298" s="58">
        <f>IFERROR($BF298/$BF299-1,"")</f>
        <v/>
      </c>
      <c r="ER298" s="58">
        <f>IFERROR($BG298/$BG299-1,"")</f>
        <v/>
      </c>
      <c r="ES298" s="58">
        <f>IFERROR($BH298/$BH299-1,"")</f>
        <v/>
      </c>
      <c r="ET298" s="58">
        <f>IFERROR($BI298/$BI299-1,"")</f>
        <v/>
      </c>
      <c r="EU298" s="58">
        <f>IFERROR($BJ298/$BJ299-1,"")</f>
        <v/>
      </c>
      <c r="EV298" s="58">
        <f>IFERROR($BK298/$BK299-1,"")</f>
        <v/>
      </c>
      <c r="EW298" s="58">
        <f>IFERROR($BL298/$BL299-1,"")</f>
        <v/>
      </c>
      <c r="EX298" s="58">
        <f>IFERROR($BM298/$BM299-1,"")</f>
        <v/>
      </c>
      <c r="EY298" s="58">
        <f>IFERROR($BN298/$BN299-1,"")</f>
        <v/>
      </c>
      <c r="EZ298" s="58">
        <f>IFERROR($BO298/$BO299-1,"")</f>
        <v/>
      </c>
      <c r="FA298" s="58">
        <f>IFERROR($BP298/$BP299-1,"")</f>
        <v/>
      </c>
      <c r="FB298" s="58">
        <f>IFERROR($BQ298/$BQ299-1,"")</f>
        <v/>
      </c>
      <c r="FC298" s="58">
        <f>IFERROR($BR298/$BR299-1,"")</f>
        <v/>
      </c>
      <c r="FD298" s="58">
        <f>IFERROR($BS298/$BS299-1,"")</f>
        <v/>
      </c>
      <c r="FE298" s="58">
        <f>IFERROR($BT298/$BT299-1,"")</f>
        <v/>
      </c>
      <c r="FF298" s="58">
        <f>IFERROR($BU298/$BU299-1,"")</f>
        <v/>
      </c>
      <c r="FG298" s="58">
        <f>IFERROR($BV298/$BV299-1,"")</f>
        <v/>
      </c>
      <c r="FH298" s="58">
        <f>IFERROR($BW298/$BW299-1,"")</f>
        <v/>
      </c>
      <c r="FI298" s="58">
        <f>IFERROR($BX298/$BX299-1,"")</f>
        <v/>
      </c>
      <c r="FJ298" s="59">
        <f>$BY298-$BY299</f>
        <v/>
      </c>
      <c r="FK298" s="59">
        <f>$BZ298-$BZ299</f>
        <v/>
      </c>
      <c r="FL298" s="59">
        <f>$CA298-$CA299</f>
        <v/>
      </c>
      <c r="FM298" s="59">
        <f>$CB298-$CB299</f>
        <v/>
      </c>
      <c r="FN298" s="59">
        <f>$CC298-$CC299</f>
        <v/>
      </c>
      <c r="FO298" s="59">
        <f>$CD298-$CD299</f>
        <v/>
      </c>
      <c r="FP298" s="59">
        <f>$CE298-$CE299</f>
        <v/>
      </c>
      <c r="FQ298" s="59">
        <f>$CF298-$CF299</f>
        <v/>
      </c>
      <c r="FR298" s="59">
        <f>$CG298-$CG299</f>
        <v/>
      </c>
      <c r="FS298" s="59">
        <f>$CH298-$CH299</f>
        <v/>
      </c>
      <c r="FT298" s="59">
        <f>$CI298-$CI299</f>
        <v/>
      </c>
      <c r="FU298" s="59">
        <f>$CJ298-$CJ299</f>
        <v/>
      </c>
      <c r="FV298" s="59">
        <f>$CK298-$CK299</f>
        <v/>
      </c>
      <c r="FW298" s="59">
        <f>$CL298-$CL299</f>
        <v/>
      </c>
      <c r="FX298" s="59">
        <f>$CM298-$CM299</f>
        <v/>
      </c>
      <c r="FY298" s="59">
        <f>$CN298-$CN299</f>
        <v/>
      </c>
      <c r="FZ298" s="59">
        <f>$CO298-$CO299</f>
        <v/>
      </c>
      <c r="GA298" s="59">
        <f>$CP298-$CP299</f>
        <v/>
      </c>
      <c r="GB298" s="59">
        <f>$CQ298-$CQ299</f>
        <v/>
      </c>
      <c r="GC298" s="59">
        <f>$CR298-$CR299</f>
        <v/>
      </c>
      <c r="GD298" s="59">
        <f>$CS298-$CS299</f>
        <v/>
      </c>
      <c r="GE298" s="59">
        <f>$CT298-$CT299</f>
        <v/>
      </c>
    </row>
    <row r="299">
      <c r="CU299" s="58">
        <f>IFERROR($B299/$B300-1,"")</f>
        <v/>
      </c>
      <c r="CV299" s="59">
        <f>($F299-$F300)*100</f>
        <v/>
      </c>
      <c r="CW299" s="59">
        <f>($E299-$E300)*100</f>
        <v/>
      </c>
      <c r="CX299" s="58">
        <f>IFERROR($K299/$K300-1,"")</f>
        <v/>
      </c>
      <c r="CY299" s="59">
        <f>($AH299-$AH300)*100</f>
        <v/>
      </c>
      <c r="CZ299" s="59">
        <f>($AI299-$AI300)*100</f>
        <v/>
      </c>
      <c r="DA299" s="59">
        <f>($AJ299-$AJ300)*100</f>
        <v/>
      </c>
      <c r="DB299" s="59">
        <f>($AK299-$AK300)*100</f>
        <v/>
      </c>
      <c r="DC299" s="59">
        <f>($AL299-$AL300)*100</f>
        <v/>
      </c>
      <c r="DD299" s="59">
        <f>($AM299-$AM300)*100</f>
        <v/>
      </c>
      <c r="DE299" s="59">
        <f>($AN299-$AN300)*100</f>
        <v/>
      </c>
      <c r="DF299" s="59">
        <f>($AO299-$AO300)*100</f>
        <v/>
      </c>
      <c r="DG299" s="59">
        <f>($AP299-$AP300)*100</f>
        <v/>
      </c>
      <c r="DH299" s="59">
        <f>($AQ299-$AQ300)*100</f>
        <v/>
      </c>
      <c r="DI299" s="59">
        <f>($AR299-$AR300)*100</f>
        <v/>
      </c>
      <c r="DJ299" s="59">
        <f>($AS299-$AS300)*100</f>
        <v/>
      </c>
      <c r="DK299" s="59">
        <f>($AT299-$AT300)*100</f>
        <v/>
      </c>
      <c r="DL299" s="59">
        <f>($AU299-$AU300)*100</f>
        <v/>
      </c>
      <c r="DM299" s="59">
        <f>($AV299-$AV300)*100</f>
        <v/>
      </c>
      <c r="DN299" s="59">
        <f>($AW299-$AW300)*100</f>
        <v/>
      </c>
      <c r="DO299" s="59">
        <f>($AX299-$AX300)*100</f>
        <v/>
      </c>
      <c r="DP299" s="59">
        <f>($AY299-$AY300)*100</f>
        <v/>
      </c>
      <c r="DQ299" s="59">
        <f>($AZ299-$AZ300)*100</f>
        <v/>
      </c>
      <c r="DR299" s="59">
        <f>($BA299-$BA300)*100</f>
        <v/>
      </c>
      <c r="DS299" s="58">
        <f>IFERROR($N300/$N299-1,"")</f>
        <v/>
      </c>
      <c r="DT299" s="58">
        <f>IFERROR($O300/$O299-1,"")</f>
        <v/>
      </c>
      <c r="DU299" s="58">
        <f>IFERROR($P300/$P299-1,"")</f>
        <v/>
      </c>
      <c r="DV299" s="58">
        <f>IFERROR($Q300/$Q299-1,"")</f>
        <v/>
      </c>
      <c r="DW299" s="58">
        <f>IFERROR($R300/$R299-1,"")</f>
        <v/>
      </c>
      <c r="DX299" s="58">
        <f>IFERROR($S300/$S299-1,"")</f>
        <v/>
      </c>
      <c r="DY299" s="58">
        <f>IFERROR($T300/$T299-1,"")</f>
        <v/>
      </c>
      <c r="DZ299" s="58">
        <f>IFERROR($U300/$U299-1,"")</f>
        <v/>
      </c>
      <c r="EA299" s="58">
        <f>IFERROR($V300/$V299-1,"")</f>
        <v/>
      </c>
      <c r="EB299" s="58">
        <f>IFERROR($W300/$W299-1,"")</f>
        <v/>
      </c>
      <c r="EC299" s="58">
        <f>IFERROR($X300/$X299-1,"")</f>
        <v/>
      </c>
      <c r="ED299" s="58">
        <f>IFERROR($Y300/$Y299-1,"")</f>
        <v/>
      </c>
      <c r="EE299" s="58">
        <f>IFERROR($Z300/$Z299-1,"")</f>
        <v/>
      </c>
      <c r="EF299" s="58">
        <f>IFERROR($AA300/$AA299-1,"")</f>
        <v/>
      </c>
      <c r="EG299" s="58">
        <f>IFERROR($AB300/$AB299-1,"")</f>
        <v/>
      </c>
      <c r="EH299" s="58">
        <f>IFERROR($AC300/$AC299-1,"")</f>
        <v/>
      </c>
      <c r="EI299" s="58">
        <f>IFERROR($AD300/$AD299-1,"")</f>
        <v/>
      </c>
      <c r="EJ299" s="58">
        <f>IFERROR($AE300/$AE299-1,"")</f>
        <v/>
      </c>
      <c r="EK299" s="58">
        <f>IFERROR($AF300/$AF299-1,"")</f>
        <v/>
      </c>
      <c r="EL299" s="58">
        <f>IFERROR($AG300/$AG299-1,"")</f>
        <v/>
      </c>
      <c r="EM299" s="58">
        <f>IFERROR($BB299/$BB300-1,"")</f>
        <v/>
      </c>
      <c r="EN299" s="58">
        <f>IFERROR($BC299/$BC300-1,"")</f>
        <v/>
      </c>
      <c r="EO299" s="58">
        <f>IFERROR($BD299/$BD300-1,"")</f>
        <v/>
      </c>
      <c r="EP299" s="58">
        <f>IFERROR($BE299/$BE300-1,"")</f>
        <v/>
      </c>
      <c r="EQ299" s="58">
        <f>IFERROR($BF299/$BF300-1,"")</f>
        <v/>
      </c>
      <c r="ER299" s="58">
        <f>IFERROR($BG299/$BG300-1,"")</f>
        <v/>
      </c>
      <c r="ES299" s="58">
        <f>IFERROR($BH299/$BH300-1,"")</f>
        <v/>
      </c>
      <c r="ET299" s="58">
        <f>IFERROR($BI299/$BI300-1,"")</f>
        <v/>
      </c>
      <c r="EU299" s="58">
        <f>IFERROR($BJ299/$BJ300-1,"")</f>
        <v/>
      </c>
      <c r="EV299" s="58">
        <f>IFERROR($BK299/$BK300-1,"")</f>
        <v/>
      </c>
      <c r="EW299" s="58">
        <f>IFERROR($BL299/$BL300-1,"")</f>
        <v/>
      </c>
      <c r="EX299" s="58">
        <f>IFERROR($BM299/$BM300-1,"")</f>
        <v/>
      </c>
      <c r="EY299" s="58">
        <f>IFERROR($BN299/$BN300-1,"")</f>
        <v/>
      </c>
      <c r="EZ299" s="58">
        <f>IFERROR($BO299/$BO300-1,"")</f>
        <v/>
      </c>
      <c r="FA299" s="58">
        <f>IFERROR($BP299/$BP300-1,"")</f>
        <v/>
      </c>
      <c r="FB299" s="58">
        <f>IFERROR($BQ299/$BQ300-1,"")</f>
        <v/>
      </c>
      <c r="FC299" s="58">
        <f>IFERROR($BR299/$BR300-1,"")</f>
        <v/>
      </c>
      <c r="FD299" s="58">
        <f>IFERROR($BS299/$BS300-1,"")</f>
        <v/>
      </c>
      <c r="FE299" s="58">
        <f>IFERROR($BT299/$BT300-1,"")</f>
        <v/>
      </c>
      <c r="FF299" s="58">
        <f>IFERROR($BU299/$BU300-1,"")</f>
        <v/>
      </c>
      <c r="FG299" s="58">
        <f>IFERROR($BV299/$BV300-1,"")</f>
        <v/>
      </c>
      <c r="FH299" s="58">
        <f>IFERROR($BW299/$BW300-1,"")</f>
        <v/>
      </c>
      <c r="FI299" s="58">
        <f>IFERROR($BX299/$BX300-1,"")</f>
        <v/>
      </c>
      <c r="FJ299" s="59">
        <f>$BY299-$BY300</f>
        <v/>
      </c>
      <c r="FK299" s="59">
        <f>$BZ299-$BZ300</f>
        <v/>
      </c>
      <c r="FL299" s="59">
        <f>$CA299-$CA300</f>
        <v/>
      </c>
      <c r="FM299" s="59">
        <f>$CB299-$CB300</f>
        <v/>
      </c>
      <c r="FN299" s="59">
        <f>$CC299-$CC300</f>
        <v/>
      </c>
      <c r="FO299" s="59">
        <f>$CD299-$CD300</f>
        <v/>
      </c>
      <c r="FP299" s="59">
        <f>$CE299-$CE300</f>
        <v/>
      </c>
      <c r="FQ299" s="59">
        <f>$CF299-$CF300</f>
        <v/>
      </c>
      <c r="FR299" s="59">
        <f>$CG299-$CG300</f>
        <v/>
      </c>
      <c r="FS299" s="59">
        <f>$CH299-$CH300</f>
        <v/>
      </c>
      <c r="FT299" s="59">
        <f>$CI299-$CI300</f>
        <v/>
      </c>
      <c r="FU299" s="59">
        <f>$CJ299-$CJ300</f>
        <v/>
      </c>
      <c r="FV299" s="59">
        <f>$CK299-$CK300</f>
        <v/>
      </c>
      <c r="FW299" s="59">
        <f>$CL299-$CL300</f>
        <v/>
      </c>
      <c r="FX299" s="59">
        <f>$CM299-$CM300</f>
        <v/>
      </c>
      <c r="FY299" s="59">
        <f>$CN299-$CN300</f>
        <v/>
      </c>
      <c r="FZ299" s="59">
        <f>$CO299-$CO300</f>
        <v/>
      </c>
      <c r="GA299" s="59">
        <f>$CP299-$CP300</f>
        <v/>
      </c>
      <c r="GB299" s="59">
        <f>$CQ299-$CQ300</f>
        <v/>
      </c>
      <c r="GC299" s="59">
        <f>$CR299-$CR300</f>
        <v/>
      </c>
      <c r="GD299" s="59">
        <f>$CS299-$CS300</f>
        <v/>
      </c>
      <c r="GE299" s="59">
        <f>$CT299-$CT300</f>
        <v/>
      </c>
    </row>
    <row r="300">
      <c r="CU300" s="58">
        <f>IFERROR($B300/$B301-1,"")</f>
        <v/>
      </c>
      <c r="CV300" s="59">
        <f>($F300-$F301)*100</f>
        <v/>
      </c>
      <c r="CW300" s="59">
        <f>($E300-$E301)*100</f>
        <v/>
      </c>
      <c r="CX300" s="58">
        <f>IFERROR($K300/$K301-1,"")</f>
        <v/>
      </c>
      <c r="CY300" s="59">
        <f>($AH300-$AH301)*100</f>
        <v/>
      </c>
      <c r="CZ300" s="59">
        <f>($AI300-$AI301)*100</f>
        <v/>
      </c>
      <c r="DA300" s="59">
        <f>($AJ300-$AJ301)*100</f>
        <v/>
      </c>
      <c r="DB300" s="59">
        <f>($AK300-$AK301)*100</f>
        <v/>
      </c>
      <c r="DC300" s="59">
        <f>($AL300-$AL301)*100</f>
        <v/>
      </c>
      <c r="DD300" s="59">
        <f>($AM300-$AM301)*100</f>
        <v/>
      </c>
      <c r="DE300" s="59">
        <f>($AN300-$AN301)*100</f>
        <v/>
      </c>
      <c r="DF300" s="59">
        <f>($AO300-$AO301)*100</f>
        <v/>
      </c>
      <c r="DG300" s="59">
        <f>($AP300-$AP301)*100</f>
        <v/>
      </c>
      <c r="DH300" s="59">
        <f>($AQ300-$AQ301)*100</f>
        <v/>
      </c>
      <c r="DI300" s="59">
        <f>($AR300-$AR301)*100</f>
        <v/>
      </c>
      <c r="DJ300" s="59">
        <f>($AS300-$AS301)*100</f>
        <v/>
      </c>
      <c r="DK300" s="59">
        <f>($AT300-$AT301)*100</f>
        <v/>
      </c>
      <c r="DL300" s="59">
        <f>($AU300-$AU301)*100</f>
        <v/>
      </c>
      <c r="DM300" s="59">
        <f>($AV300-$AV301)*100</f>
        <v/>
      </c>
      <c r="DN300" s="59">
        <f>($AW300-$AW301)*100</f>
        <v/>
      </c>
      <c r="DO300" s="59">
        <f>($AX300-$AX301)*100</f>
        <v/>
      </c>
      <c r="DP300" s="59">
        <f>($AY300-$AY301)*100</f>
        <v/>
      </c>
      <c r="DQ300" s="59">
        <f>($AZ300-$AZ301)*100</f>
        <v/>
      </c>
      <c r="DR300" s="59">
        <f>($BA300-$BA301)*100</f>
        <v/>
      </c>
      <c r="DS300" s="58">
        <f>IFERROR($N301/$N300-1,"")</f>
        <v/>
      </c>
      <c r="DT300" s="58">
        <f>IFERROR($O301/$O300-1,"")</f>
        <v/>
      </c>
      <c r="DU300" s="58">
        <f>IFERROR($P301/$P300-1,"")</f>
        <v/>
      </c>
      <c r="DV300" s="58">
        <f>IFERROR($Q301/$Q300-1,"")</f>
        <v/>
      </c>
      <c r="DW300" s="58">
        <f>IFERROR($R301/$R300-1,"")</f>
        <v/>
      </c>
      <c r="DX300" s="58">
        <f>IFERROR($S301/$S300-1,"")</f>
        <v/>
      </c>
      <c r="DY300" s="58">
        <f>IFERROR($T301/$T300-1,"")</f>
        <v/>
      </c>
      <c r="DZ300" s="58">
        <f>IFERROR($U301/$U300-1,"")</f>
        <v/>
      </c>
      <c r="EA300" s="58">
        <f>IFERROR($V301/$V300-1,"")</f>
        <v/>
      </c>
      <c r="EB300" s="58">
        <f>IFERROR($W301/$W300-1,"")</f>
        <v/>
      </c>
      <c r="EC300" s="58">
        <f>IFERROR($X301/$X300-1,"")</f>
        <v/>
      </c>
      <c r="ED300" s="58">
        <f>IFERROR($Y301/$Y300-1,"")</f>
        <v/>
      </c>
      <c r="EE300" s="58">
        <f>IFERROR($Z301/$Z300-1,"")</f>
        <v/>
      </c>
      <c r="EF300" s="58">
        <f>IFERROR($AA301/$AA300-1,"")</f>
        <v/>
      </c>
      <c r="EG300" s="58">
        <f>IFERROR($AB301/$AB300-1,"")</f>
        <v/>
      </c>
      <c r="EH300" s="58">
        <f>IFERROR($AC301/$AC300-1,"")</f>
        <v/>
      </c>
      <c r="EI300" s="58">
        <f>IFERROR($AD301/$AD300-1,"")</f>
        <v/>
      </c>
      <c r="EJ300" s="58">
        <f>IFERROR($AE301/$AE300-1,"")</f>
        <v/>
      </c>
      <c r="EK300" s="58">
        <f>IFERROR($AF301/$AF300-1,"")</f>
        <v/>
      </c>
      <c r="EL300" s="58">
        <f>IFERROR($AG301/$AG300-1,"")</f>
        <v/>
      </c>
      <c r="EM300" s="58">
        <f>IFERROR($BB300/$BB301-1,"")</f>
        <v/>
      </c>
      <c r="EN300" s="58">
        <f>IFERROR($BC300/$BC301-1,"")</f>
        <v/>
      </c>
      <c r="EO300" s="58">
        <f>IFERROR($BD300/$BD301-1,"")</f>
        <v/>
      </c>
      <c r="EP300" s="58">
        <f>IFERROR($BE300/$BE301-1,"")</f>
        <v/>
      </c>
      <c r="EQ300" s="58">
        <f>IFERROR($BF300/$BF301-1,"")</f>
        <v/>
      </c>
      <c r="ER300" s="58">
        <f>IFERROR($BG300/$BG301-1,"")</f>
        <v/>
      </c>
      <c r="ES300" s="58">
        <f>IFERROR($BH300/$BH301-1,"")</f>
        <v/>
      </c>
      <c r="ET300" s="58">
        <f>IFERROR($BI300/$BI301-1,"")</f>
        <v/>
      </c>
      <c r="EU300" s="58">
        <f>IFERROR($BJ300/$BJ301-1,"")</f>
        <v/>
      </c>
      <c r="EV300" s="58">
        <f>IFERROR($BK300/$BK301-1,"")</f>
        <v/>
      </c>
      <c r="EW300" s="58">
        <f>IFERROR($BL300/$BL301-1,"")</f>
        <v/>
      </c>
      <c r="EX300" s="58">
        <f>IFERROR($BM300/$BM301-1,"")</f>
        <v/>
      </c>
      <c r="EY300" s="58">
        <f>IFERROR($BN300/$BN301-1,"")</f>
        <v/>
      </c>
      <c r="EZ300" s="58">
        <f>IFERROR($BO300/$BO301-1,"")</f>
        <v/>
      </c>
      <c r="FA300" s="58">
        <f>IFERROR($BP300/$BP301-1,"")</f>
        <v/>
      </c>
      <c r="FB300" s="58">
        <f>IFERROR($BQ300/$BQ301-1,"")</f>
        <v/>
      </c>
      <c r="FC300" s="58">
        <f>IFERROR($BR300/$BR301-1,"")</f>
        <v/>
      </c>
      <c r="FD300" s="58">
        <f>IFERROR($BS300/$BS301-1,"")</f>
        <v/>
      </c>
      <c r="FE300" s="58">
        <f>IFERROR($BT300/$BT301-1,"")</f>
        <v/>
      </c>
      <c r="FF300" s="58">
        <f>IFERROR($BU300/$BU301-1,"")</f>
        <v/>
      </c>
      <c r="FG300" s="58">
        <f>IFERROR($BV300/$BV301-1,"")</f>
        <v/>
      </c>
      <c r="FH300" s="58">
        <f>IFERROR($BW300/$BW301-1,"")</f>
        <v/>
      </c>
      <c r="FI300" s="58">
        <f>IFERROR($BX300/$BX301-1,"")</f>
        <v/>
      </c>
      <c r="FJ300" s="59">
        <f>$BY300-$BY301</f>
        <v/>
      </c>
      <c r="FK300" s="59">
        <f>$BZ300-$BZ301</f>
        <v/>
      </c>
      <c r="FL300" s="59">
        <f>$CA300-$CA301</f>
        <v/>
      </c>
      <c r="FM300" s="59">
        <f>$CB300-$CB301</f>
        <v/>
      </c>
      <c r="FN300" s="59">
        <f>$CC300-$CC301</f>
        <v/>
      </c>
      <c r="FO300" s="59">
        <f>$CD300-$CD301</f>
        <v/>
      </c>
      <c r="FP300" s="59">
        <f>$CE300-$CE301</f>
        <v/>
      </c>
      <c r="FQ300" s="59">
        <f>$CF300-$CF301</f>
        <v/>
      </c>
      <c r="FR300" s="59">
        <f>$CG300-$CG301</f>
        <v/>
      </c>
      <c r="FS300" s="59">
        <f>$CH300-$CH301</f>
        <v/>
      </c>
      <c r="FT300" s="59">
        <f>$CI300-$CI301</f>
        <v/>
      </c>
      <c r="FU300" s="59">
        <f>$CJ300-$CJ301</f>
        <v/>
      </c>
      <c r="FV300" s="59">
        <f>$CK300-$CK301</f>
        <v/>
      </c>
      <c r="FW300" s="59">
        <f>$CL300-$CL301</f>
        <v/>
      </c>
      <c r="FX300" s="59">
        <f>$CM300-$CM301</f>
        <v/>
      </c>
      <c r="FY300" s="59">
        <f>$CN300-$CN301</f>
        <v/>
      </c>
      <c r="FZ300" s="59">
        <f>$CO300-$CO301</f>
        <v/>
      </c>
      <c r="GA300" s="59">
        <f>$CP300-$CP301</f>
        <v/>
      </c>
      <c r="GB300" s="59">
        <f>$CQ300-$CQ301</f>
        <v/>
      </c>
      <c r="GC300" s="59">
        <f>$CR300-$CR301</f>
        <v/>
      </c>
      <c r="GD300" s="59">
        <f>$CS300-$CS301</f>
        <v/>
      </c>
      <c r="GE300" s="59">
        <f>$CT300-$CT301</f>
        <v/>
      </c>
    </row>
    <row r="301">
      <c r="CU301" s="58">
        <f>IFERROR($B301/$B302-1,"")</f>
        <v/>
      </c>
      <c r="CV301" s="59">
        <f>($F301-$F302)*100</f>
        <v/>
      </c>
      <c r="CW301" s="59">
        <f>($E301-$E302)*100</f>
        <v/>
      </c>
      <c r="CX301" s="58">
        <f>IFERROR($K301/$K302-1,"")</f>
        <v/>
      </c>
      <c r="CY301" s="59">
        <f>($AH301-$AH302)*100</f>
        <v/>
      </c>
      <c r="CZ301" s="59">
        <f>($AI301-$AI302)*100</f>
        <v/>
      </c>
      <c r="DA301" s="59">
        <f>($AJ301-$AJ302)*100</f>
        <v/>
      </c>
      <c r="DB301" s="59">
        <f>($AK301-$AK302)*100</f>
        <v/>
      </c>
      <c r="DC301" s="59">
        <f>($AL301-$AL302)*100</f>
        <v/>
      </c>
      <c r="DD301" s="59">
        <f>($AM301-$AM302)*100</f>
        <v/>
      </c>
      <c r="DE301" s="59">
        <f>($AN301-$AN302)*100</f>
        <v/>
      </c>
      <c r="DF301" s="59">
        <f>($AO301-$AO302)*100</f>
        <v/>
      </c>
      <c r="DG301" s="59">
        <f>($AP301-$AP302)*100</f>
        <v/>
      </c>
      <c r="DH301" s="59">
        <f>($AQ301-$AQ302)*100</f>
        <v/>
      </c>
      <c r="DI301" s="59">
        <f>($AR301-$AR302)*100</f>
        <v/>
      </c>
      <c r="DJ301" s="59">
        <f>($AS301-$AS302)*100</f>
        <v/>
      </c>
      <c r="DK301" s="59">
        <f>($AT301-$AT302)*100</f>
        <v/>
      </c>
      <c r="DL301" s="59">
        <f>($AU301-$AU302)*100</f>
        <v/>
      </c>
      <c r="DM301" s="59">
        <f>($AV301-$AV302)*100</f>
        <v/>
      </c>
      <c r="DN301" s="59">
        <f>($AW301-$AW302)*100</f>
        <v/>
      </c>
      <c r="DO301" s="59">
        <f>($AX301-$AX302)*100</f>
        <v/>
      </c>
      <c r="DP301" s="59">
        <f>($AY301-$AY302)*100</f>
        <v/>
      </c>
      <c r="DQ301" s="59">
        <f>($AZ301-$AZ302)*100</f>
        <v/>
      </c>
      <c r="DR301" s="59">
        <f>($BA301-$BA302)*100</f>
        <v/>
      </c>
      <c r="DS301" s="58">
        <f>IFERROR($N302/$N301-1,"")</f>
        <v/>
      </c>
      <c r="DT301" s="58">
        <f>IFERROR($O302/$O301-1,"")</f>
        <v/>
      </c>
      <c r="DU301" s="58">
        <f>IFERROR($P302/$P301-1,"")</f>
        <v/>
      </c>
      <c r="DV301" s="58">
        <f>IFERROR($Q302/$Q301-1,"")</f>
        <v/>
      </c>
      <c r="DW301" s="58">
        <f>IFERROR($R302/$R301-1,"")</f>
        <v/>
      </c>
      <c r="DX301" s="58">
        <f>IFERROR($S302/$S301-1,"")</f>
        <v/>
      </c>
      <c r="DY301" s="58">
        <f>IFERROR($T302/$T301-1,"")</f>
        <v/>
      </c>
      <c r="DZ301" s="58">
        <f>IFERROR($U302/$U301-1,"")</f>
        <v/>
      </c>
      <c r="EA301" s="58">
        <f>IFERROR($V302/$V301-1,"")</f>
        <v/>
      </c>
      <c r="EB301" s="58">
        <f>IFERROR($W302/$W301-1,"")</f>
        <v/>
      </c>
      <c r="EC301" s="58">
        <f>IFERROR($X302/$X301-1,"")</f>
        <v/>
      </c>
      <c r="ED301" s="58">
        <f>IFERROR($Y302/$Y301-1,"")</f>
        <v/>
      </c>
      <c r="EE301" s="58">
        <f>IFERROR($Z302/$Z301-1,"")</f>
        <v/>
      </c>
      <c r="EF301" s="58">
        <f>IFERROR($AA302/$AA301-1,"")</f>
        <v/>
      </c>
      <c r="EG301" s="58">
        <f>IFERROR($AB302/$AB301-1,"")</f>
        <v/>
      </c>
      <c r="EH301" s="58">
        <f>IFERROR($AC302/$AC301-1,"")</f>
        <v/>
      </c>
      <c r="EI301" s="58">
        <f>IFERROR($AD302/$AD301-1,"")</f>
        <v/>
      </c>
      <c r="EJ301" s="58">
        <f>IFERROR($AE302/$AE301-1,"")</f>
        <v/>
      </c>
      <c r="EK301" s="58">
        <f>IFERROR($AF302/$AF301-1,"")</f>
        <v/>
      </c>
      <c r="EL301" s="58">
        <f>IFERROR($AG302/$AG301-1,"")</f>
        <v/>
      </c>
      <c r="EM301" s="58">
        <f>IFERROR($BB301/$BB302-1,"")</f>
        <v/>
      </c>
      <c r="EN301" s="58">
        <f>IFERROR($BC301/$BC302-1,"")</f>
        <v/>
      </c>
      <c r="EO301" s="58">
        <f>IFERROR($BD301/$BD302-1,"")</f>
        <v/>
      </c>
      <c r="EP301" s="58">
        <f>IFERROR($BE301/$BE302-1,"")</f>
        <v/>
      </c>
      <c r="EQ301" s="58">
        <f>IFERROR($BF301/$BF302-1,"")</f>
        <v/>
      </c>
      <c r="ER301" s="58">
        <f>IFERROR($BG301/$BG302-1,"")</f>
        <v/>
      </c>
      <c r="ES301" s="58">
        <f>IFERROR($BH301/$BH302-1,"")</f>
        <v/>
      </c>
      <c r="ET301" s="58">
        <f>IFERROR($BI301/$BI302-1,"")</f>
        <v/>
      </c>
      <c r="EU301" s="58">
        <f>IFERROR($BJ301/$BJ302-1,"")</f>
        <v/>
      </c>
      <c r="EV301" s="58">
        <f>IFERROR($BK301/$BK302-1,"")</f>
        <v/>
      </c>
      <c r="EW301" s="58">
        <f>IFERROR($BL301/$BL302-1,"")</f>
        <v/>
      </c>
      <c r="EX301" s="58">
        <f>IFERROR($BM301/$BM302-1,"")</f>
        <v/>
      </c>
      <c r="EY301" s="58">
        <f>IFERROR($BN301/$BN302-1,"")</f>
        <v/>
      </c>
      <c r="EZ301" s="58">
        <f>IFERROR($BO301/$BO302-1,"")</f>
        <v/>
      </c>
      <c r="FA301" s="58">
        <f>IFERROR($BP301/$BP302-1,"")</f>
        <v/>
      </c>
      <c r="FB301" s="58">
        <f>IFERROR($BQ301/$BQ302-1,"")</f>
        <v/>
      </c>
      <c r="FC301" s="58">
        <f>IFERROR($BR301/$BR302-1,"")</f>
        <v/>
      </c>
      <c r="FD301" s="58">
        <f>IFERROR($BS301/$BS302-1,"")</f>
        <v/>
      </c>
      <c r="FE301" s="58">
        <f>IFERROR($BT301/$BT302-1,"")</f>
        <v/>
      </c>
      <c r="FF301" s="58">
        <f>IFERROR($BU301/$BU302-1,"")</f>
        <v/>
      </c>
      <c r="FG301" s="58">
        <f>IFERROR($BV301/$BV302-1,"")</f>
        <v/>
      </c>
      <c r="FH301" s="58">
        <f>IFERROR($BW301/$BW302-1,"")</f>
        <v/>
      </c>
      <c r="FI301" s="58">
        <f>IFERROR($BX301/$BX302-1,"")</f>
        <v/>
      </c>
      <c r="FJ301" s="59">
        <f>$BY301-$BY302</f>
        <v/>
      </c>
      <c r="FK301" s="59">
        <f>$BZ301-$BZ302</f>
        <v/>
      </c>
      <c r="FL301" s="59">
        <f>$CA301-$CA302</f>
        <v/>
      </c>
      <c r="FM301" s="59">
        <f>$CB301-$CB302</f>
        <v/>
      </c>
      <c r="FN301" s="59">
        <f>$CC301-$CC302</f>
        <v/>
      </c>
      <c r="FO301" s="59">
        <f>$CD301-$CD302</f>
        <v/>
      </c>
      <c r="FP301" s="59">
        <f>$CE301-$CE302</f>
        <v/>
      </c>
      <c r="FQ301" s="59">
        <f>$CF301-$CF302</f>
        <v/>
      </c>
      <c r="FR301" s="59">
        <f>$CG301-$CG302</f>
        <v/>
      </c>
      <c r="FS301" s="59">
        <f>$CH301-$CH302</f>
        <v/>
      </c>
      <c r="FT301" s="59">
        <f>$CI301-$CI302</f>
        <v/>
      </c>
      <c r="FU301" s="59">
        <f>$CJ301-$CJ302</f>
        <v/>
      </c>
      <c r="FV301" s="59">
        <f>$CK301-$CK302</f>
        <v/>
      </c>
      <c r="FW301" s="59">
        <f>$CL301-$CL302</f>
        <v/>
      </c>
      <c r="FX301" s="59">
        <f>$CM301-$CM302</f>
        <v/>
      </c>
      <c r="FY301" s="59">
        <f>$CN301-$CN302</f>
        <v/>
      </c>
      <c r="FZ301" s="59">
        <f>$CO301-$CO302</f>
        <v/>
      </c>
      <c r="GA301" s="59">
        <f>$CP301-$CP302</f>
        <v/>
      </c>
      <c r="GB301" s="59">
        <f>$CQ301-$CQ302</f>
        <v/>
      </c>
      <c r="GC301" s="59">
        <f>$CR301-$CR302</f>
        <v/>
      </c>
      <c r="GD301" s="59">
        <f>$CS301-$CS302</f>
        <v/>
      </c>
      <c r="GE301" s="59">
        <f>$CT301-$CT302</f>
        <v/>
      </c>
    </row>
    <row r="302">
      <c r="CU302" s="58">
        <f>IFERROR($B302/$B303-1,"")</f>
        <v/>
      </c>
      <c r="CV302" s="59">
        <f>($F302-$F303)*100</f>
        <v/>
      </c>
      <c r="CW302" s="59">
        <f>($E302-$E303)*100</f>
        <v/>
      </c>
      <c r="CX302" s="58">
        <f>IFERROR($K302/$K303-1,"")</f>
        <v/>
      </c>
      <c r="CY302" s="59">
        <f>($AH302-$AH303)*100</f>
        <v/>
      </c>
      <c r="CZ302" s="59">
        <f>($AI302-$AI303)*100</f>
        <v/>
      </c>
      <c r="DA302" s="59">
        <f>($AJ302-$AJ303)*100</f>
        <v/>
      </c>
      <c r="DB302" s="59">
        <f>($AK302-$AK303)*100</f>
        <v/>
      </c>
      <c r="DC302" s="59">
        <f>($AL302-$AL303)*100</f>
        <v/>
      </c>
      <c r="DD302" s="59">
        <f>($AM302-$AM303)*100</f>
        <v/>
      </c>
      <c r="DE302" s="59">
        <f>($AN302-$AN303)*100</f>
        <v/>
      </c>
      <c r="DF302" s="59">
        <f>($AO302-$AO303)*100</f>
        <v/>
      </c>
      <c r="DG302" s="59">
        <f>($AP302-$AP303)*100</f>
        <v/>
      </c>
      <c r="DH302" s="59">
        <f>($AQ302-$AQ303)*100</f>
        <v/>
      </c>
      <c r="DI302" s="59">
        <f>($AR302-$AR303)*100</f>
        <v/>
      </c>
      <c r="DJ302" s="59">
        <f>($AS302-$AS303)*100</f>
        <v/>
      </c>
      <c r="DK302" s="59">
        <f>($AT302-$AT303)*100</f>
        <v/>
      </c>
      <c r="DL302" s="59">
        <f>($AU302-$AU303)*100</f>
        <v/>
      </c>
      <c r="DM302" s="59">
        <f>($AV302-$AV303)*100</f>
        <v/>
      </c>
      <c r="DN302" s="59">
        <f>($AW302-$AW303)*100</f>
        <v/>
      </c>
      <c r="DO302" s="59">
        <f>($AX302-$AX303)*100</f>
        <v/>
      </c>
      <c r="DP302" s="59">
        <f>($AY302-$AY303)*100</f>
        <v/>
      </c>
      <c r="DQ302" s="59">
        <f>($AZ302-$AZ303)*100</f>
        <v/>
      </c>
      <c r="DR302" s="59">
        <f>($BA302-$BA303)*100</f>
        <v/>
      </c>
      <c r="DS302" s="58">
        <f>IFERROR($N303/$N302-1,"")</f>
        <v/>
      </c>
      <c r="DT302" s="58">
        <f>IFERROR($O303/$O302-1,"")</f>
        <v/>
      </c>
      <c r="DU302" s="58">
        <f>IFERROR($P303/$P302-1,"")</f>
        <v/>
      </c>
      <c r="DV302" s="58">
        <f>IFERROR($Q303/$Q302-1,"")</f>
        <v/>
      </c>
      <c r="DW302" s="58">
        <f>IFERROR($R303/$R302-1,"")</f>
        <v/>
      </c>
      <c r="DX302" s="58">
        <f>IFERROR($S303/$S302-1,"")</f>
        <v/>
      </c>
      <c r="DY302" s="58">
        <f>IFERROR($T303/$T302-1,"")</f>
        <v/>
      </c>
      <c r="DZ302" s="58">
        <f>IFERROR($U303/$U302-1,"")</f>
        <v/>
      </c>
      <c r="EA302" s="58">
        <f>IFERROR($V303/$V302-1,"")</f>
        <v/>
      </c>
      <c r="EB302" s="58">
        <f>IFERROR($W303/$W302-1,"")</f>
        <v/>
      </c>
      <c r="EC302" s="58">
        <f>IFERROR($X303/$X302-1,"")</f>
        <v/>
      </c>
      <c r="ED302" s="58">
        <f>IFERROR($Y303/$Y302-1,"")</f>
        <v/>
      </c>
      <c r="EE302" s="58">
        <f>IFERROR($Z303/$Z302-1,"")</f>
        <v/>
      </c>
      <c r="EF302" s="58">
        <f>IFERROR($AA303/$AA302-1,"")</f>
        <v/>
      </c>
      <c r="EG302" s="58">
        <f>IFERROR($AB303/$AB302-1,"")</f>
        <v/>
      </c>
      <c r="EH302" s="58">
        <f>IFERROR($AC303/$AC302-1,"")</f>
        <v/>
      </c>
      <c r="EI302" s="58">
        <f>IFERROR($AD303/$AD302-1,"")</f>
        <v/>
      </c>
      <c r="EJ302" s="58">
        <f>IFERROR($AE303/$AE302-1,"")</f>
        <v/>
      </c>
      <c r="EK302" s="58">
        <f>IFERROR($AF303/$AF302-1,"")</f>
        <v/>
      </c>
      <c r="EL302" s="58">
        <f>IFERROR($AG303/$AG302-1,"")</f>
        <v/>
      </c>
      <c r="EM302" s="58">
        <f>IFERROR($BB302/$BB303-1,"")</f>
        <v/>
      </c>
      <c r="EN302" s="58">
        <f>IFERROR($BC302/$BC303-1,"")</f>
        <v/>
      </c>
      <c r="EO302" s="58">
        <f>IFERROR($BD302/$BD303-1,"")</f>
        <v/>
      </c>
      <c r="EP302" s="58">
        <f>IFERROR($BE302/$BE303-1,"")</f>
        <v/>
      </c>
      <c r="EQ302" s="58">
        <f>IFERROR($BF302/$BF303-1,"")</f>
        <v/>
      </c>
      <c r="ER302" s="58">
        <f>IFERROR($BG302/$BG303-1,"")</f>
        <v/>
      </c>
      <c r="ES302" s="58">
        <f>IFERROR($BH302/$BH303-1,"")</f>
        <v/>
      </c>
      <c r="ET302" s="58">
        <f>IFERROR($BI302/$BI303-1,"")</f>
        <v/>
      </c>
      <c r="EU302" s="58">
        <f>IFERROR($BJ302/$BJ303-1,"")</f>
        <v/>
      </c>
      <c r="EV302" s="58">
        <f>IFERROR($BK302/$BK303-1,"")</f>
        <v/>
      </c>
      <c r="EW302" s="58">
        <f>IFERROR($BL302/$BL303-1,"")</f>
        <v/>
      </c>
      <c r="EX302" s="58">
        <f>IFERROR($BM302/$BM303-1,"")</f>
        <v/>
      </c>
      <c r="EY302" s="58">
        <f>IFERROR($BN302/$BN303-1,"")</f>
        <v/>
      </c>
      <c r="EZ302" s="58">
        <f>IFERROR($BO302/$BO303-1,"")</f>
        <v/>
      </c>
      <c r="FA302" s="58">
        <f>IFERROR($BP302/$BP303-1,"")</f>
        <v/>
      </c>
      <c r="FB302" s="58">
        <f>IFERROR($BQ302/$BQ303-1,"")</f>
        <v/>
      </c>
      <c r="FC302" s="58">
        <f>IFERROR($BR302/$BR303-1,"")</f>
        <v/>
      </c>
      <c r="FD302" s="58">
        <f>IFERROR($BS302/$BS303-1,"")</f>
        <v/>
      </c>
      <c r="FE302" s="58">
        <f>IFERROR($BT302/$BT303-1,"")</f>
        <v/>
      </c>
      <c r="FF302" s="58">
        <f>IFERROR($BU302/$BU303-1,"")</f>
        <v/>
      </c>
      <c r="FG302" s="58">
        <f>IFERROR($BV302/$BV303-1,"")</f>
        <v/>
      </c>
      <c r="FH302" s="58">
        <f>IFERROR($BW302/$BW303-1,"")</f>
        <v/>
      </c>
      <c r="FI302" s="58">
        <f>IFERROR($BX302/$BX303-1,"")</f>
        <v/>
      </c>
      <c r="FJ302" s="59">
        <f>$BY302-$BY303</f>
        <v/>
      </c>
      <c r="FK302" s="59">
        <f>$BZ302-$BZ303</f>
        <v/>
      </c>
      <c r="FL302" s="59">
        <f>$CA302-$CA303</f>
        <v/>
      </c>
      <c r="FM302" s="59">
        <f>$CB302-$CB303</f>
        <v/>
      </c>
      <c r="FN302" s="59">
        <f>$CC302-$CC303</f>
        <v/>
      </c>
      <c r="FO302" s="59">
        <f>$CD302-$CD303</f>
        <v/>
      </c>
      <c r="FP302" s="59">
        <f>$CE302-$CE303</f>
        <v/>
      </c>
      <c r="FQ302" s="59">
        <f>$CF302-$CF303</f>
        <v/>
      </c>
      <c r="FR302" s="59">
        <f>$CG302-$CG303</f>
        <v/>
      </c>
      <c r="FS302" s="59">
        <f>$CH302-$CH303</f>
        <v/>
      </c>
      <c r="FT302" s="59">
        <f>$CI302-$CI303</f>
        <v/>
      </c>
      <c r="FU302" s="59">
        <f>$CJ302-$CJ303</f>
        <v/>
      </c>
      <c r="FV302" s="59">
        <f>$CK302-$CK303</f>
        <v/>
      </c>
      <c r="FW302" s="59">
        <f>$CL302-$CL303</f>
        <v/>
      </c>
      <c r="FX302" s="59">
        <f>$CM302-$CM303</f>
        <v/>
      </c>
      <c r="FY302" s="59">
        <f>$CN302-$CN303</f>
        <v/>
      </c>
      <c r="FZ302" s="59">
        <f>$CO302-$CO303</f>
        <v/>
      </c>
      <c r="GA302" s="59">
        <f>$CP302-$CP303</f>
        <v/>
      </c>
      <c r="GB302" s="59">
        <f>$CQ302-$CQ303</f>
        <v/>
      </c>
      <c r="GC302" s="59">
        <f>$CR302-$CR303</f>
        <v/>
      </c>
      <c r="GD302" s="59">
        <f>$CS302-$CS303</f>
        <v/>
      </c>
      <c r="GE302" s="59">
        <f>$CT302-$CT303</f>
        <v/>
      </c>
    </row>
    <row r="303">
      <c r="CU303" s="58">
        <f>IFERROR($B303/$B304-1,"")</f>
        <v/>
      </c>
      <c r="CV303" s="59">
        <f>($F303-$F304)*100</f>
        <v/>
      </c>
      <c r="CW303" s="59">
        <f>($E303-$E304)*100</f>
        <v/>
      </c>
      <c r="CX303" s="58">
        <f>IFERROR($K303/$K304-1,"")</f>
        <v/>
      </c>
      <c r="CY303" s="59">
        <f>($AH303-$AH304)*100</f>
        <v/>
      </c>
      <c r="CZ303" s="59">
        <f>($AI303-$AI304)*100</f>
        <v/>
      </c>
      <c r="DA303" s="59">
        <f>($AJ303-$AJ304)*100</f>
        <v/>
      </c>
      <c r="DB303" s="59">
        <f>($AK303-$AK304)*100</f>
        <v/>
      </c>
      <c r="DC303" s="59">
        <f>($AL303-$AL304)*100</f>
        <v/>
      </c>
      <c r="DD303" s="59">
        <f>($AM303-$AM304)*100</f>
        <v/>
      </c>
      <c r="DE303" s="59">
        <f>($AN303-$AN304)*100</f>
        <v/>
      </c>
      <c r="DF303" s="59">
        <f>($AO303-$AO304)*100</f>
        <v/>
      </c>
      <c r="DG303" s="59">
        <f>($AP303-$AP304)*100</f>
        <v/>
      </c>
      <c r="DH303" s="59">
        <f>($AQ303-$AQ304)*100</f>
        <v/>
      </c>
      <c r="DI303" s="59">
        <f>($AR303-$AR304)*100</f>
        <v/>
      </c>
      <c r="DJ303" s="59">
        <f>($AS303-$AS304)*100</f>
        <v/>
      </c>
      <c r="DK303" s="59">
        <f>($AT303-$AT304)*100</f>
        <v/>
      </c>
      <c r="DL303" s="59">
        <f>($AU303-$AU304)*100</f>
        <v/>
      </c>
      <c r="DM303" s="59">
        <f>($AV303-$AV304)*100</f>
        <v/>
      </c>
      <c r="DN303" s="59">
        <f>($AW303-$AW304)*100</f>
        <v/>
      </c>
      <c r="DO303" s="59">
        <f>($AX303-$AX304)*100</f>
        <v/>
      </c>
      <c r="DP303" s="59">
        <f>($AY303-$AY304)*100</f>
        <v/>
      </c>
      <c r="DQ303" s="59">
        <f>($AZ303-$AZ304)*100</f>
        <v/>
      </c>
      <c r="DR303" s="59">
        <f>($BA303-$BA304)*100</f>
        <v/>
      </c>
      <c r="DS303" s="58">
        <f>IFERROR($N304/$N303-1,"")</f>
        <v/>
      </c>
      <c r="DT303" s="58">
        <f>IFERROR($O304/$O303-1,"")</f>
        <v/>
      </c>
      <c r="DU303" s="58">
        <f>IFERROR($P304/$P303-1,"")</f>
        <v/>
      </c>
      <c r="DV303" s="58">
        <f>IFERROR($Q304/$Q303-1,"")</f>
        <v/>
      </c>
      <c r="DW303" s="58">
        <f>IFERROR($R304/$R303-1,"")</f>
        <v/>
      </c>
      <c r="DX303" s="58">
        <f>IFERROR($S304/$S303-1,"")</f>
        <v/>
      </c>
      <c r="DY303" s="58">
        <f>IFERROR($T304/$T303-1,"")</f>
        <v/>
      </c>
      <c r="DZ303" s="58">
        <f>IFERROR($U304/$U303-1,"")</f>
        <v/>
      </c>
      <c r="EA303" s="58">
        <f>IFERROR($V304/$V303-1,"")</f>
        <v/>
      </c>
      <c r="EB303" s="58">
        <f>IFERROR($W304/$W303-1,"")</f>
        <v/>
      </c>
      <c r="EC303" s="58">
        <f>IFERROR($X304/$X303-1,"")</f>
        <v/>
      </c>
      <c r="ED303" s="58">
        <f>IFERROR($Y304/$Y303-1,"")</f>
        <v/>
      </c>
      <c r="EE303" s="58">
        <f>IFERROR($Z304/$Z303-1,"")</f>
        <v/>
      </c>
      <c r="EF303" s="58">
        <f>IFERROR($AA304/$AA303-1,"")</f>
        <v/>
      </c>
      <c r="EG303" s="58">
        <f>IFERROR($AB304/$AB303-1,"")</f>
        <v/>
      </c>
      <c r="EH303" s="58">
        <f>IFERROR($AC304/$AC303-1,"")</f>
        <v/>
      </c>
      <c r="EI303" s="58">
        <f>IFERROR($AD304/$AD303-1,"")</f>
        <v/>
      </c>
      <c r="EJ303" s="58">
        <f>IFERROR($AE304/$AE303-1,"")</f>
        <v/>
      </c>
      <c r="EK303" s="58">
        <f>IFERROR($AF304/$AF303-1,"")</f>
        <v/>
      </c>
      <c r="EL303" s="58">
        <f>IFERROR($AG304/$AG303-1,"")</f>
        <v/>
      </c>
      <c r="EM303" s="58">
        <f>IFERROR($BB303/$BB304-1,"")</f>
        <v/>
      </c>
      <c r="EN303" s="58">
        <f>IFERROR($BC303/$BC304-1,"")</f>
        <v/>
      </c>
      <c r="EO303" s="58">
        <f>IFERROR($BD303/$BD304-1,"")</f>
        <v/>
      </c>
      <c r="EP303" s="58">
        <f>IFERROR($BE303/$BE304-1,"")</f>
        <v/>
      </c>
      <c r="EQ303" s="58">
        <f>IFERROR($BF303/$BF304-1,"")</f>
        <v/>
      </c>
      <c r="ER303" s="58">
        <f>IFERROR($BG303/$BG304-1,"")</f>
        <v/>
      </c>
      <c r="ES303" s="58">
        <f>IFERROR($BH303/$BH304-1,"")</f>
        <v/>
      </c>
      <c r="ET303" s="58">
        <f>IFERROR($BI303/$BI304-1,"")</f>
        <v/>
      </c>
      <c r="EU303" s="58">
        <f>IFERROR($BJ303/$BJ304-1,"")</f>
        <v/>
      </c>
      <c r="EV303" s="58">
        <f>IFERROR($BK303/$BK304-1,"")</f>
        <v/>
      </c>
      <c r="EW303" s="58">
        <f>IFERROR($BL303/$BL304-1,"")</f>
        <v/>
      </c>
      <c r="EX303" s="58">
        <f>IFERROR($BM303/$BM304-1,"")</f>
        <v/>
      </c>
      <c r="EY303" s="58">
        <f>IFERROR($BN303/$BN304-1,"")</f>
        <v/>
      </c>
      <c r="EZ303" s="58">
        <f>IFERROR($BO303/$BO304-1,"")</f>
        <v/>
      </c>
      <c r="FA303" s="58">
        <f>IFERROR($BP303/$BP304-1,"")</f>
        <v/>
      </c>
      <c r="FB303" s="58">
        <f>IFERROR($BQ303/$BQ304-1,"")</f>
        <v/>
      </c>
      <c r="FC303" s="58">
        <f>IFERROR($BR303/$BR304-1,"")</f>
        <v/>
      </c>
      <c r="FD303" s="58">
        <f>IFERROR($BS303/$BS304-1,"")</f>
        <v/>
      </c>
      <c r="FE303" s="58">
        <f>IFERROR($BT303/$BT304-1,"")</f>
        <v/>
      </c>
      <c r="FF303" s="58">
        <f>IFERROR($BU303/$BU304-1,"")</f>
        <v/>
      </c>
      <c r="FG303" s="58">
        <f>IFERROR($BV303/$BV304-1,"")</f>
        <v/>
      </c>
      <c r="FH303" s="58">
        <f>IFERROR($BW303/$BW304-1,"")</f>
        <v/>
      </c>
      <c r="FI303" s="58">
        <f>IFERROR($BX303/$BX304-1,"")</f>
        <v/>
      </c>
      <c r="FJ303" s="59">
        <f>$BY303-$BY304</f>
        <v/>
      </c>
      <c r="FK303" s="59">
        <f>$BZ303-$BZ304</f>
        <v/>
      </c>
      <c r="FL303" s="59">
        <f>$CA303-$CA304</f>
        <v/>
      </c>
      <c r="FM303" s="59">
        <f>$CB303-$CB304</f>
        <v/>
      </c>
      <c r="FN303" s="59">
        <f>$CC303-$CC304</f>
        <v/>
      </c>
      <c r="FO303" s="59">
        <f>$CD303-$CD304</f>
        <v/>
      </c>
      <c r="FP303" s="59">
        <f>$CE303-$CE304</f>
        <v/>
      </c>
      <c r="FQ303" s="59">
        <f>$CF303-$CF304</f>
        <v/>
      </c>
      <c r="FR303" s="59">
        <f>$CG303-$CG304</f>
        <v/>
      </c>
      <c r="FS303" s="59">
        <f>$CH303-$CH304</f>
        <v/>
      </c>
      <c r="FT303" s="59">
        <f>$CI303-$CI304</f>
        <v/>
      </c>
      <c r="FU303" s="59">
        <f>$CJ303-$CJ304</f>
        <v/>
      </c>
      <c r="FV303" s="59">
        <f>$CK303-$CK304</f>
        <v/>
      </c>
      <c r="FW303" s="59">
        <f>$CL303-$CL304</f>
        <v/>
      </c>
      <c r="FX303" s="59">
        <f>$CM303-$CM304</f>
        <v/>
      </c>
      <c r="FY303" s="59">
        <f>$CN303-$CN304</f>
        <v/>
      </c>
      <c r="FZ303" s="59">
        <f>$CO303-$CO304</f>
        <v/>
      </c>
      <c r="GA303" s="59">
        <f>$CP303-$CP304</f>
        <v/>
      </c>
      <c r="GB303" s="59">
        <f>$CQ303-$CQ304</f>
        <v/>
      </c>
      <c r="GC303" s="59">
        <f>$CR303-$CR304</f>
        <v/>
      </c>
      <c r="GD303" s="59">
        <f>$CS303-$CS304</f>
        <v/>
      </c>
      <c r="GE303" s="59">
        <f>$CT303-$CT304</f>
        <v/>
      </c>
    </row>
    <row r="304">
      <c r="CU304" s="58">
        <f>IFERROR($B304/$B305-1,"")</f>
        <v/>
      </c>
      <c r="CV304" s="59">
        <f>($F304-$F305)*100</f>
        <v/>
      </c>
      <c r="CW304" s="59">
        <f>($E304-$E305)*100</f>
        <v/>
      </c>
      <c r="CX304" s="58">
        <f>IFERROR($K304/$K305-1,"")</f>
        <v/>
      </c>
      <c r="CY304" s="59">
        <f>($AH304-$AH305)*100</f>
        <v/>
      </c>
      <c r="CZ304" s="59">
        <f>($AI304-$AI305)*100</f>
        <v/>
      </c>
      <c r="DA304" s="59">
        <f>($AJ304-$AJ305)*100</f>
        <v/>
      </c>
      <c r="DB304" s="59">
        <f>($AK304-$AK305)*100</f>
        <v/>
      </c>
      <c r="DC304" s="59">
        <f>($AL304-$AL305)*100</f>
        <v/>
      </c>
      <c r="DD304" s="59">
        <f>($AM304-$AM305)*100</f>
        <v/>
      </c>
      <c r="DE304" s="59">
        <f>($AN304-$AN305)*100</f>
        <v/>
      </c>
      <c r="DF304" s="59">
        <f>($AO304-$AO305)*100</f>
        <v/>
      </c>
      <c r="DG304" s="59">
        <f>($AP304-$AP305)*100</f>
        <v/>
      </c>
      <c r="DH304" s="59">
        <f>($AQ304-$AQ305)*100</f>
        <v/>
      </c>
      <c r="DI304" s="59">
        <f>($AR304-$AR305)*100</f>
        <v/>
      </c>
      <c r="DJ304" s="59">
        <f>($AS304-$AS305)*100</f>
        <v/>
      </c>
      <c r="DK304" s="59">
        <f>($AT304-$AT305)*100</f>
        <v/>
      </c>
      <c r="DL304" s="59">
        <f>($AU304-$AU305)*100</f>
        <v/>
      </c>
      <c r="DM304" s="59">
        <f>($AV304-$AV305)*100</f>
        <v/>
      </c>
      <c r="DN304" s="59">
        <f>($AW304-$AW305)*100</f>
        <v/>
      </c>
      <c r="DO304" s="59">
        <f>($AX304-$AX305)*100</f>
        <v/>
      </c>
      <c r="DP304" s="59">
        <f>($AY304-$AY305)*100</f>
        <v/>
      </c>
      <c r="DQ304" s="59">
        <f>($AZ304-$AZ305)*100</f>
        <v/>
      </c>
      <c r="DR304" s="59">
        <f>($BA304-$BA305)*100</f>
        <v/>
      </c>
      <c r="DS304" s="58">
        <f>IFERROR($N305/$N304-1,"")</f>
        <v/>
      </c>
      <c r="DT304" s="58">
        <f>IFERROR($O305/$O304-1,"")</f>
        <v/>
      </c>
      <c r="DU304" s="58">
        <f>IFERROR($P305/$P304-1,"")</f>
        <v/>
      </c>
      <c r="DV304" s="58">
        <f>IFERROR($Q305/$Q304-1,"")</f>
        <v/>
      </c>
      <c r="DW304" s="58">
        <f>IFERROR($R305/$R304-1,"")</f>
        <v/>
      </c>
      <c r="DX304" s="58">
        <f>IFERROR($S305/$S304-1,"")</f>
        <v/>
      </c>
      <c r="DY304" s="58">
        <f>IFERROR($T305/$T304-1,"")</f>
        <v/>
      </c>
      <c r="DZ304" s="58">
        <f>IFERROR($U305/$U304-1,"")</f>
        <v/>
      </c>
      <c r="EA304" s="58">
        <f>IFERROR($V305/$V304-1,"")</f>
        <v/>
      </c>
      <c r="EB304" s="58">
        <f>IFERROR($W305/$W304-1,"")</f>
        <v/>
      </c>
      <c r="EC304" s="58">
        <f>IFERROR($X305/$X304-1,"")</f>
        <v/>
      </c>
      <c r="ED304" s="58">
        <f>IFERROR($Y305/$Y304-1,"")</f>
        <v/>
      </c>
      <c r="EE304" s="58">
        <f>IFERROR($Z305/$Z304-1,"")</f>
        <v/>
      </c>
      <c r="EF304" s="58">
        <f>IFERROR($AA305/$AA304-1,"")</f>
        <v/>
      </c>
      <c r="EG304" s="58">
        <f>IFERROR($AB305/$AB304-1,"")</f>
        <v/>
      </c>
      <c r="EH304" s="58">
        <f>IFERROR($AC305/$AC304-1,"")</f>
        <v/>
      </c>
      <c r="EI304" s="58">
        <f>IFERROR($AD305/$AD304-1,"")</f>
        <v/>
      </c>
      <c r="EJ304" s="58">
        <f>IFERROR($AE305/$AE304-1,"")</f>
        <v/>
      </c>
      <c r="EK304" s="58">
        <f>IFERROR($AF305/$AF304-1,"")</f>
        <v/>
      </c>
      <c r="EL304" s="58">
        <f>IFERROR($AG305/$AG304-1,"")</f>
        <v/>
      </c>
      <c r="EM304" s="58">
        <f>IFERROR($BB304/$BB305-1,"")</f>
        <v/>
      </c>
      <c r="EN304" s="58">
        <f>IFERROR($BC304/$BC305-1,"")</f>
        <v/>
      </c>
      <c r="EO304" s="58">
        <f>IFERROR($BD304/$BD305-1,"")</f>
        <v/>
      </c>
      <c r="EP304" s="58">
        <f>IFERROR($BE304/$BE305-1,"")</f>
        <v/>
      </c>
      <c r="EQ304" s="58">
        <f>IFERROR($BF304/$BF305-1,"")</f>
        <v/>
      </c>
      <c r="ER304" s="58">
        <f>IFERROR($BG304/$BG305-1,"")</f>
        <v/>
      </c>
      <c r="ES304" s="58">
        <f>IFERROR($BH304/$BH305-1,"")</f>
        <v/>
      </c>
      <c r="ET304" s="58">
        <f>IFERROR($BI304/$BI305-1,"")</f>
        <v/>
      </c>
      <c r="EU304" s="58">
        <f>IFERROR($BJ304/$BJ305-1,"")</f>
        <v/>
      </c>
      <c r="EV304" s="58">
        <f>IFERROR($BK304/$BK305-1,"")</f>
        <v/>
      </c>
      <c r="EW304" s="58">
        <f>IFERROR($BL304/$BL305-1,"")</f>
        <v/>
      </c>
      <c r="EX304" s="58">
        <f>IFERROR($BM304/$BM305-1,"")</f>
        <v/>
      </c>
      <c r="EY304" s="58">
        <f>IFERROR($BN304/$BN305-1,"")</f>
        <v/>
      </c>
      <c r="EZ304" s="58">
        <f>IFERROR($BO304/$BO305-1,"")</f>
        <v/>
      </c>
      <c r="FA304" s="58">
        <f>IFERROR($BP304/$BP305-1,"")</f>
        <v/>
      </c>
      <c r="FB304" s="58">
        <f>IFERROR($BQ304/$BQ305-1,"")</f>
        <v/>
      </c>
      <c r="FC304" s="58">
        <f>IFERROR($BR304/$BR305-1,"")</f>
        <v/>
      </c>
      <c r="FD304" s="58">
        <f>IFERROR($BS304/$BS305-1,"")</f>
        <v/>
      </c>
      <c r="FE304" s="58">
        <f>IFERROR($BT304/$BT305-1,"")</f>
        <v/>
      </c>
      <c r="FF304" s="58">
        <f>IFERROR($BU304/$BU305-1,"")</f>
        <v/>
      </c>
      <c r="FG304" s="58">
        <f>IFERROR($BV304/$BV305-1,"")</f>
        <v/>
      </c>
      <c r="FH304" s="58">
        <f>IFERROR($BW304/$BW305-1,"")</f>
        <v/>
      </c>
      <c r="FI304" s="58">
        <f>IFERROR($BX304/$BX305-1,"")</f>
        <v/>
      </c>
      <c r="FJ304" s="59">
        <f>$BY304-$BY305</f>
        <v/>
      </c>
      <c r="FK304" s="59">
        <f>$BZ304-$BZ305</f>
        <v/>
      </c>
      <c r="FL304" s="59">
        <f>$CA304-$CA305</f>
        <v/>
      </c>
      <c r="FM304" s="59">
        <f>$CB304-$CB305</f>
        <v/>
      </c>
      <c r="FN304" s="59">
        <f>$CC304-$CC305</f>
        <v/>
      </c>
      <c r="FO304" s="59">
        <f>$CD304-$CD305</f>
        <v/>
      </c>
      <c r="FP304" s="59">
        <f>$CE304-$CE305</f>
        <v/>
      </c>
      <c r="FQ304" s="59">
        <f>$CF304-$CF305</f>
        <v/>
      </c>
      <c r="FR304" s="59">
        <f>$CG304-$CG305</f>
        <v/>
      </c>
      <c r="FS304" s="59">
        <f>$CH304-$CH305</f>
        <v/>
      </c>
      <c r="FT304" s="59">
        <f>$CI304-$CI305</f>
        <v/>
      </c>
      <c r="FU304" s="59">
        <f>$CJ304-$CJ305</f>
        <v/>
      </c>
      <c r="FV304" s="59">
        <f>$CK304-$CK305</f>
        <v/>
      </c>
      <c r="FW304" s="59">
        <f>$CL304-$CL305</f>
        <v/>
      </c>
      <c r="FX304" s="59">
        <f>$CM304-$CM305</f>
        <v/>
      </c>
      <c r="FY304" s="59">
        <f>$CN304-$CN305</f>
        <v/>
      </c>
      <c r="FZ304" s="59">
        <f>$CO304-$CO305</f>
        <v/>
      </c>
      <c r="GA304" s="59">
        <f>$CP304-$CP305</f>
        <v/>
      </c>
      <c r="GB304" s="59">
        <f>$CQ304-$CQ305</f>
        <v/>
      </c>
      <c r="GC304" s="59">
        <f>$CR304-$CR305</f>
        <v/>
      </c>
      <c r="GD304" s="59">
        <f>$CS304-$CS305</f>
        <v/>
      </c>
      <c r="GE304" s="59">
        <f>$CT304-$CT305</f>
        <v/>
      </c>
    </row>
    <row r="305">
      <c r="CU305" s="58">
        <f>IFERROR($B305/$B306-1,"")</f>
        <v/>
      </c>
      <c r="CV305" s="59">
        <f>($F305-$F306)*100</f>
        <v/>
      </c>
      <c r="CW305" s="59">
        <f>($E305-$E306)*100</f>
        <v/>
      </c>
      <c r="CX305" s="58">
        <f>IFERROR($K305/$K306-1,"")</f>
        <v/>
      </c>
      <c r="CY305" s="59">
        <f>($AH305-$AH306)*100</f>
        <v/>
      </c>
      <c r="CZ305" s="59">
        <f>($AI305-$AI306)*100</f>
        <v/>
      </c>
      <c r="DA305" s="59">
        <f>($AJ305-$AJ306)*100</f>
        <v/>
      </c>
      <c r="DB305" s="59">
        <f>($AK305-$AK306)*100</f>
        <v/>
      </c>
      <c r="DC305" s="59">
        <f>($AL305-$AL306)*100</f>
        <v/>
      </c>
      <c r="DD305" s="59">
        <f>($AM305-$AM306)*100</f>
        <v/>
      </c>
      <c r="DE305" s="59">
        <f>($AN305-$AN306)*100</f>
        <v/>
      </c>
      <c r="DF305" s="59">
        <f>($AO305-$AO306)*100</f>
        <v/>
      </c>
      <c r="DG305" s="59">
        <f>($AP305-$AP306)*100</f>
        <v/>
      </c>
      <c r="DH305" s="59">
        <f>($AQ305-$AQ306)*100</f>
        <v/>
      </c>
      <c r="DI305" s="59">
        <f>($AR305-$AR306)*100</f>
        <v/>
      </c>
      <c r="DJ305" s="59">
        <f>($AS305-$AS306)*100</f>
        <v/>
      </c>
      <c r="DK305" s="59">
        <f>($AT305-$AT306)*100</f>
        <v/>
      </c>
      <c r="DL305" s="59">
        <f>($AU305-$AU306)*100</f>
        <v/>
      </c>
      <c r="DM305" s="59">
        <f>($AV305-$AV306)*100</f>
        <v/>
      </c>
      <c r="DN305" s="59">
        <f>($AW305-$AW306)*100</f>
        <v/>
      </c>
      <c r="DO305" s="59">
        <f>($AX305-$AX306)*100</f>
        <v/>
      </c>
      <c r="DP305" s="59">
        <f>($AY305-$AY306)*100</f>
        <v/>
      </c>
      <c r="DQ305" s="59">
        <f>($AZ305-$AZ306)*100</f>
        <v/>
      </c>
      <c r="DR305" s="59">
        <f>($BA305-$BA306)*100</f>
        <v/>
      </c>
      <c r="DS305" s="58">
        <f>IFERROR($N306/$N305-1,"")</f>
        <v/>
      </c>
      <c r="DT305" s="58">
        <f>IFERROR($O306/$O305-1,"")</f>
        <v/>
      </c>
      <c r="DU305" s="58">
        <f>IFERROR($P306/$P305-1,"")</f>
        <v/>
      </c>
      <c r="DV305" s="58">
        <f>IFERROR($Q306/$Q305-1,"")</f>
        <v/>
      </c>
      <c r="DW305" s="58">
        <f>IFERROR($R306/$R305-1,"")</f>
        <v/>
      </c>
      <c r="DX305" s="58">
        <f>IFERROR($S306/$S305-1,"")</f>
        <v/>
      </c>
      <c r="DY305" s="58">
        <f>IFERROR($T306/$T305-1,"")</f>
        <v/>
      </c>
      <c r="DZ305" s="58">
        <f>IFERROR($U306/$U305-1,"")</f>
        <v/>
      </c>
      <c r="EA305" s="58">
        <f>IFERROR($V306/$V305-1,"")</f>
        <v/>
      </c>
      <c r="EB305" s="58">
        <f>IFERROR($W306/$W305-1,"")</f>
        <v/>
      </c>
      <c r="EC305" s="58">
        <f>IFERROR($X306/$X305-1,"")</f>
        <v/>
      </c>
      <c r="ED305" s="58">
        <f>IFERROR($Y306/$Y305-1,"")</f>
        <v/>
      </c>
      <c r="EE305" s="58">
        <f>IFERROR($Z306/$Z305-1,"")</f>
        <v/>
      </c>
      <c r="EF305" s="58">
        <f>IFERROR($AA306/$AA305-1,"")</f>
        <v/>
      </c>
      <c r="EG305" s="58">
        <f>IFERROR($AB306/$AB305-1,"")</f>
        <v/>
      </c>
      <c r="EH305" s="58">
        <f>IFERROR($AC306/$AC305-1,"")</f>
        <v/>
      </c>
      <c r="EI305" s="58">
        <f>IFERROR($AD306/$AD305-1,"")</f>
        <v/>
      </c>
      <c r="EJ305" s="58">
        <f>IFERROR($AE306/$AE305-1,"")</f>
        <v/>
      </c>
      <c r="EK305" s="58">
        <f>IFERROR($AF306/$AF305-1,"")</f>
        <v/>
      </c>
      <c r="EL305" s="58">
        <f>IFERROR($AG306/$AG305-1,"")</f>
        <v/>
      </c>
      <c r="EM305" s="58">
        <f>IFERROR($BB305/$BB306-1,"")</f>
        <v/>
      </c>
      <c r="EN305" s="58">
        <f>IFERROR($BC305/$BC306-1,"")</f>
        <v/>
      </c>
      <c r="EO305" s="58">
        <f>IFERROR($BD305/$BD306-1,"")</f>
        <v/>
      </c>
      <c r="EP305" s="58">
        <f>IFERROR($BE305/$BE306-1,"")</f>
        <v/>
      </c>
      <c r="EQ305" s="58">
        <f>IFERROR($BF305/$BF306-1,"")</f>
        <v/>
      </c>
      <c r="ER305" s="58">
        <f>IFERROR($BG305/$BG306-1,"")</f>
        <v/>
      </c>
      <c r="ES305" s="58">
        <f>IFERROR($BH305/$BH306-1,"")</f>
        <v/>
      </c>
      <c r="ET305" s="58">
        <f>IFERROR($BI305/$BI306-1,"")</f>
        <v/>
      </c>
      <c r="EU305" s="58">
        <f>IFERROR($BJ305/$BJ306-1,"")</f>
        <v/>
      </c>
      <c r="EV305" s="58">
        <f>IFERROR($BK305/$BK306-1,"")</f>
        <v/>
      </c>
      <c r="EW305" s="58">
        <f>IFERROR($BL305/$BL306-1,"")</f>
        <v/>
      </c>
      <c r="EX305" s="58">
        <f>IFERROR($BM305/$BM306-1,"")</f>
        <v/>
      </c>
      <c r="EY305" s="58">
        <f>IFERROR($BN305/$BN306-1,"")</f>
        <v/>
      </c>
      <c r="EZ305" s="58">
        <f>IFERROR($BO305/$BO306-1,"")</f>
        <v/>
      </c>
      <c r="FA305" s="58">
        <f>IFERROR($BP305/$BP306-1,"")</f>
        <v/>
      </c>
      <c r="FB305" s="58">
        <f>IFERROR($BQ305/$BQ306-1,"")</f>
        <v/>
      </c>
      <c r="FC305" s="58">
        <f>IFERROR($BR305/$BR306-1,"")</f>
        <v/>
      </c>
      <c r="FD305" s="58">
        <f>IFERROR($BS305/$BS306-1,"")</f>
        <v/>
      </c>
      <c r="FE305" s="58">
        <f>IFERROR($BT305/$BT306-1,"")</f>
        <v/>
      </c>
      <c r="FF305" s="58">
        <f>IFERROR($BU305/$BU306-1,"")</f>
        <v/>
      </c>
      <c r="FG305" s="58">
        <f>IFERROR($BV305/$BV306-1,"")</f>
        <v/>
      </c>
      <c r="FH305" s="58">
        <f>IFERROR($BW305/$BW306-1,"")</f>
        <v/>
      </c>
      <c r="FI305" s="58">
        <f>IFERROR($BX305/$BX306-1,"")</f>
        <v/>
      </c>
      <c r="FJ305" s="59">
        <f>$BY305-$BY306</f>
        <v/>
      </c>
      <c r="FK305" s="59">
        <f>$BZ305-$BZ306</f>
        <v/>
      </c>
      <c r="FL305" s="59">
        <f>$CA305-$CA306</f>
        <v/>
      </c>
      <c r="FM305" s="59">
        <f>$CB305-$CB306</f>
        <v/>
      </c>
      <c r="FN305" s="59">
        <f>$CC305-$CC306</f>
        <v/>
      </c>
      <c r="FO305" s="59">
        <f>$CD305-$CD306</f>
        <v/>
      </c>
      <c r="FP305" s="59">
        <f>$CE305-$CE306</f>
        <v/>
      </c>
      <c r="FQ305" s="59">
        <f>$CF305-$CF306</f>
        <v/>
      </c>
      <c r="FR305" s="59">
        <f>$CG305-$CG306</f>
        <v/>
      </c>
      <c r="FS305" s="59">
        <f>$CH305-$CH306</f>
        <v/>
      </c>
      <c r="FT305" s="59">
        <f>$CI305-$CI306</f>
        <v/>
      </c>
      <c r="FU305" s="59">
        <f>$CJ305-$CJ306</f>
        <v/>
      </c>
      <c r="FV305" s="59">
        <f>$CK305-$CK306</f>
        <v/>
      </c>
      <c r="FW305" s="59">
        <f>$CL305-$CL306</f>
        <v/>
      </c>
      <c r="FX305" s="59">
        <f>$CM305-$CM306</f>
        <v/>
      </c>
      <c r="FY305" s="59">
        <f>$CN305-$CN306</f>
        <v/>
      </c>
      <c r="FZ305" s="59">
        <f>$CO305-$CO306</f>
        <v/>
      </c>
      <c r="GA305" s="59">
        <f>$CP305-$CP306</f>
        <v/>
      </c>
      <c r="GB305" s="59">
        <f>$CQ305-$CQ306</f>
        <v/>
      </c>
      <c r="GC305" s="59">
        <f>$CR305-$CR306</f>
        <v/>
      </c>
      <c r="GD305" s="59">
        <f>$CS305-$CS306</f>
        <v/>
      </c>
      <c r="GE305" s="59">
        <f>$CT305-$CT306</f>
        <v/>
      </c>
    </row>
    <row r="306">
      <c r="CU306" s="58">
        <f>IFERROR($B306/$B307-1,"")</f>
        <v/>
      </c>
      <c r="CV306" s="59">
        <f>($F306-$F307)*100</f>
        <v/>
      </c>
      <c r="CW306" s="59">
        <f>($E306-$E307)*100</f>
        <v/>
      </c>
      <c r="CX306" s="58">
        <f>IFERROR($K306/$K307-1,"")</f>
        <v/>
      </c>
      <c r="CY306" s="59">
        <f>($AH306-$AH307)*100</f>
        <v/>
      </c>
      <c r="CZ306" s="59">
        <f>($AI306-$AI307)*100</f>
        <v/>
      </c>
      <c r="DA306" s="59">
        <f>($AJ306-$AJ307)*100</f>
        <v/>
      </c>
      <c r="DB306" s="59">
        <f>($AK306-$AK307)*100</f>
        <v/>
      </c>
      <c r="DC306" s="59">
        <f>($AL306-$AL307)*100</f>
        <v/>
      </c>
      <c r="DD306" s="59">
        <f>($AM306-$AM307)*100</f>
        <v/>
      </c>
      <c r="DE306" s="59">
        <f>($AN306-$AN307)*100</f>
        <v/>
      </c>
      <c r="DF306" s="59">
        <f>($AO306-$AO307)*100</f>
        <v/>
      </c>
      <c r="DG306" s="59">
        <f>($AP306-$AP307)*100</f>
        <v/>
      </c>
      <c r="DH306" s="59">
        <f>($AQ306-$AQ307)*100</f>
        <v/>
      </c>
      <c r="DI306" s="59">
        <f>($AR306-$AR307)*100</f>
        <v/>
      </c>
      <c r="DJ306" s="59">
        <f>($AS306-$AS307)*100</f>
        <v/>
      </c>
      <c r="DK306" s="59">
        <f>($AT306-$AT307)*100</f>
        <v/>
      </c>
      <c r="DL306" s="59">
        <f>($AU306-$AU307)*100</f>
        <v/>
      </c>
      <c r="DM306" s="59">
        <f>($AV306-$AV307)*100</f>
        <v/>
      </c>
      <c r="DN306" s="59">
        <f>($AW306-$AW307)*100</f>
        <v/>
      </c>
      <c r="DO306" s="59">
        <f>($AX306-$AX307)*100</f>
        <v/>
      </c>
      <c r="DP306" s="59">
        <f>($AY306-$AY307)*100</f>
        <v/>
      </c>
      <c r="DQ306" s="59">
        <f>($AZ306-$AZ307)*100</f>
        <v/>
      </c>
      <c r="DR306" s="59">
        <f>($BA306-$BA307)*100</f>
        <v/>
      </c>
      <c r="DS306" s="58">
        <f>IFERROR($N307/$N306-1,"")</f>
        <v/>
      </c>
      <c r="DT306" s="58">
        <f>IFERROR($O307/$O306-1,"")</f>
        <v/>
      </c>
      <c r="DU306" s="58">
        <f>IFERROR($P307/$P306-1,"")</f>
        <v/>
      </c>
      <c r="DV306" s="58">
        <f>IFERROR($Q307/$Q306-1,"")</f>
        <v/>
      </c>
      <c r="DW306" s="58">
        <f>IFERROR($R307/$R306-1,"")</f>
        <v/>
      </c>
      <c r="DX306" s="58">
        <f>IFERROR($S307/$S306-1,"")</f>
        <v/>
      </c>
      <c r="DY306" s="58">
        <f>IFERROR($T307/$T306-1,"")</f>
        <v/>
      </c>
      <c r="DZ306" s="58">
        <f>IFERROR($U307/$U306-1,"")</f>
        <v/>
      </c>
      <c r="EA306" s="58">
        <f>IFERROR($V307/$V306-1,"")</f>
        <v/>
      </c>
      <c r="EB306" s="58">
        <f>IFERROR($W307/$W306-1,"")</f>
        <v/>
      </c>
      <c r="EC306" s="58">
        <f>IFERROR($X307/$X306-1,"")</f>
        <v/>
      </c>
      <c r="ED306" s="58">
        <f>IFERROR($Y307/$Y306-1,"")</f>
        <v/>
      </c>
      <c r="EE306" s="58">
        <f>IFERROR($Z307/$Z306-1,"")</f>
        <v/>
      </c>
      <c r="EF306" s="58">
        <f>IFERROR($AA307/$AA306-1,"")</f>
        <v/>
      </c>
      <c r="EG306" s="58">
        <f>IFERROR($AB307/$AB306-1,"")</f>
        <v/>
      </c>
      <c r="EH306" s="58">
        <f>IFERROR($AC307/$AC306-1,"")</f>
        <v/>
      </c>
      <c r="EI306" s="58">
        <f>IFERROR($AD307/$AD306-1,"")</f>
        <v/>
      </c>
      <c r="EJ306" s="58">
        <f>IFERROR($AE307/$AE306-1,"")</f>
        <v/>
      </c>
      <c r="EK306" s="58">
        <f>IFERROR($AF307/$AF306-1,"")</f>
        <v/>
      </c>
      <c r="EL306" s="58">
        <f>IFERROR($AG307/$AG306-1,"")</f>
        <v/>
      </c>
      <c r="EM306" s="58">
        <f>IFERROR($BB306/$BB307-1,"")</f>
        <v/>
      </c>
      <c r="EN306" s="58">
        <f>IFERROR($BC306/$BC307-1,"")</f>
        <v/>
      </c>
      <c r="EO306" s="58">
        <f>IFERROR($BD306/$BD307-1,"")</f>
        <v/>
      </c>
      <c r="EP306" s="58">
        <f>IFERROR($BE306/$BE307-1,"")</f>
        <v/>
      </c>
      <c r="EQ306" s="58">
        <f>IFERROR($BF306/$BF307-1,"")</f>
        <v/>
      </c>
      <c r="ER306" s="58">
        <f>IFERROR($BG306/$BG307-1,"")</f>
        <v/>
      </c>
      <c r="ES306" s="58">
        <f>IFERROR($BH306/$BH307-1,"")</f>
        <v/>
      </c>
      <c r="ET306" s="58">
        <f>IFERROR($BI306/$BI307-1,"")</f>
        <v/>
      </c>
      <c r="EU306" s="58">
        <f>IFERROR($BJ306/$BJ307-1,"")</f>
        <v/>
      </c>
      <c r="EV306" s="58">
        <f>IFERROR($BK306/$BK307-1,"")</f>
        <v/>
      </c>
      <c r="EW306" s="58">
        <f>IFERROR($BL306/$BL307-1,"")</f>
        <v/>
      </c>
      <c r="EX306" s="58">
        <f>IFERROR($BM306/$BM307-1,"")</f>
        <v/>
      </c>
      <c r="EY306" s="58">
        <f>IFERROR($BN306/$BN307-1,"")</f>
        <v/>
      </c>
      <c r="EZ306" s="58">
        <f>IFERROR($BO306/$BO307-1,"")</f>
        <v/>
      </c>
      <c r="FA306" s="58">
        <f>IFERROR($BP306/$BP307-1,"")</f>
        <v/>
      </c>
      <c r="FB306" s="58">
        <f>IFERROR($BQ306/$BQ307-1,"")</f>
        <v/>
      </c>
      <c r="FC306" s="58">
        <f>IFERROR($BR306/$BR307-1,"")</f>
        <v/>
      </c>
      <c r="FD306" s="58">
        <f>IFERROR($BS306/$BS307-1,"")</f>
        <v/>
      </c>
      <c r="FE306" s="58">
        <f>IFERROR($BT306/$BT307-1,"")</f>
        <v/>
      </c>
      <c r="FF306" s="58">
        <f>IFERROR($BU306/$BU307-1,"")</f>
        <v/>
      </c>
      <c r="FG306" s="58">
        <f>IFERROR($BV306/$BV307-1,"")</f>
        <v/>
      </c>
      <c r="FH306" s="58">
        <f>IFERROR($BW306/$BW307-1,"")</f>
        <v/>
      </c>
      <c r="FI306" s="58">
        <f>IFERROR($BX306/$BX307-1,"")</f>
        <v/>
      </c>
      <c r="FJ306" s="59">
        <f>$BY306-$BY307</f>
        <v/>
      </c>
      <c r="FK306" s="59">
        <f>$BZ306-$BZ307</f>
        <v/>
      </c>
      <c r="FL306" s="59">
        <f>$CA306-$CA307</f>
        <v/>
      </c>
      <c r="FM306" s="59">
        <f>$CB306-$CB307</f>
        <v/>
      </c>
      <c r="FN306" s="59">
        <f>$CC306-$CC307</f>
        <v/>
      </c>
      <c r="FO306" s="59">
        <f>$CD306-$CD307</f>
        <v/>
      </c>
      <c r="FP306" s="59">
        <f>$CE306-$CE307</f>
        <v/>
      </c>
      <c r="FQ306" s="59">
        <f>$CF306-$CF307</f>
        <v/>
      </c>
      <c r="FR306" s="59">
        <f>$CG306-$CG307</f>
        <v/>
      </c>
      <c r="FS306" s="59">
        <f>$CH306-$CH307</f>
        <v/>
      </c>
      <c r="FT306" s="59">
        <f>$CI306-$CI307</f>
        <v/>
      </c>
      <c r="FU306" s="59">
        <f>$CJ306-$CJ307</f>
        <v/>
      </c>
      <c r="FV306" s="59">
        <f>$CK306-$CK307</f>
        <v/>
      </c>
      <c r="FW306" s="59">
        <f>$CL306-$CL307</f>
        <v/>
      </c>
      <c r="FX306" s="59">
        <f>$CM306-$CM307</f>
        <v/>
      </c>
      <c r="FY306" s="59">
        <f>$CN306-$CN307</f>
        <v/>
      </c>
      <c r="FZ306" s="59">
        <f>$CO306-$CO307</f>
        <v/>
      </c>
      <c r="GA306" s="59">
        <f>$CP306-$CP307</f>
        <v/>
      </c>
      <c r="GB306" s="59">
        <f>$CQ306-$CQ307</f>
        <v/>
      </c>
      <c r="GC306" s="59">
        <f>$CR306-$CR307</f>
        <v/>
      </c>
      <c r="GD306" s="59">
        <f>$CS306-$CS307</f>
        <v/>
      </c>
      <c r="GE306" s="59">
        <f>$CT306-$CT307</f>
        <v/>
      </c>
    </row>
    <row r="307">
      <c r="CU307" s="58">
        <f>IFERROR($B307/$B308-1,"")</f>
        <v/>
      </c>
      <c r="CV307" s="59">
        <f>($F307-$F308)*100</f>
        <v/>
      </c>
      <c r="CW307" s="59">
        <f>($E307-$E308)*100</f>
        <v/>
      </c>
      <c r="CX307" s="58">
        <f>IFERROR($K307/$K308-1,"")</f>
        <v/>
      </c>
      <c r="CY307" s="59">
        <f>($AH307-$AH308)*100</f>
        <v/>
      </c>
      <c r="CZ307" s="59">
        <f>($AI307-$AI308)*100</f>
        <v/>
      </c>
      <c r="DA307" s="59">
        <f>($AJ307-$AJ308)*100</f>
        <v/>
      </c>
      <c r="DB307" s="59">
        <f>($AK307-$AK308)*100</f>
        <v/>
      </c>
      <c r="DC307" s="59">
        <f>($AL307-$AL308)*100</f>
        <v/>
      </c>
      <c r="DD307" s="59">
        <f>($AM307-$AM308)*100</f>
        <v/>
      </c>
      <c r="DE307" s="59">
        <f>($AN307-$AN308)*100</f>
        <v/>
      </c>
      <c r="DF307" s="59">
        <f>($AO307-$AO308)*100</f>
        <v/>
      </c>
      <c r="DG307" s="59">
        <f>($AP307-$AP308)*100</f>
        <v/>
      </c>
      <c r="DH307" s="59">
        <f>($AQ307-$AQ308)*100</f>
        <v/>
      </c>
      <c r="DI307" s="59">
        <f>($AR307-$AR308)*100</f>
        <v/>
      </c>
      <c r="DJ307" s="59">
        <f>($AS307-$AS308)*100</f>
        <v/>
      </c>
      <c r="DK307" s="59">
        <f>($AT307-$AT308)*100</f>
        <v/>
      </c>
      <c r="DL307" s="59">
        <f>($AU307-$AU308)*100</f>
        <v/>
      </c>
      <c r="DM307" s="59">
        <f>($AV307-$AV308)*100</f>
        <v/>
      </c>
      <c r="DN307" s="59">
        <f>($AW307-$AW308)*100</f>
        <v/>
      </c>
      <c r="DO307" s="59">
        <f>($AX307-$AX308)*100</f>
        <v/>
      </c>
      <c r="DP307" s="59">
        <f>($AY307-$AY308)*100</f>
        <v/>
      </c>
      <c r="DQ307" s="59">
        <f>($AZ307-$AZ308)*100</f>
        <v/>
      </c>
      <c r="DR307" s="59">
        <f>($BA307-$BA308)*100</f>
        <v/>
      </c>
      <c r="DS307" s="58">
        <f>IFERROR($N308/$N307-1,"")</f>
        <v/>
      </c>
      <c r="DT307" s="58">
        <f>IFERROR($O308/$O307-1,"")</f>
        <v/>
      </c>
      <c r="DU307" s="58">
        <f>IFERROR($P308/$P307-1,"")</f>
        <v/>
      </c>
      <c r="DV307" s="58">
        <f>IFERROR($Q308/$Q307-1,"")</f>
        <v/>
      </c>
      <c r="DW307" s="58">
        <f>IFERROR($R308/$R307-1,"")</f>
        <v/>
      </c>
      <c r="DX307" s="58">
        <f>IFERROR($S308/$S307-1,"")</f>
        <v/>
      </c>
      <c r="DY307" s="58">
        <f>IFERROR($T308/$T307-1,"")</f>
        <v/>
      </c>
      <c r="DZ307" s="58">
        <f>IFERROR($U308/$U307-1,"")</f>
        <v/>
      </c>
      <c r="EA307" s="58">
        <f>IFERROR($V308/$V307-1,"")</f>
        <v/>
      </c>
      <c r="EB307" s="58">
        <f>IFERROR($W308/$W307-1,"")</f>
        <v/>
      </c>
      <c r="EC307" s="58">
        <f>IFERROR($X308/$X307-1,"")</f>
        <v/>
      </c>
      <c r="ED307" s="58">
        <f>IFERROR($Y308/$Y307-1,"")</f>
        <v/>
      </c>
      <c r="EE307" s="58">
        <f>IFERROR($Z308/$Z307-1,"")</f>
        <v/>
      </c>
      <c r="EF307" s="58">
        <f>IFERROR($AA308/$AA307-1,"")</f>
        <v/>
      </c>
      <c r="EG307" s="58">
        <f>IFERROR($AB308/$AB307-1,"")</f>
        <v/>
      </c>
      <c r="EH307" s="58">
        <f>IFERROR($AC308/$AC307-1,"")</f>
        <v/>
      </c>
      <c r="EI307" s="58">
        <f>IFERROR($AD308/$AD307-1,"")</f>
        <v/>
      </c>
      <c r="EJ307" s="58">
        <f>IFERROR($AE308/$AE307-1,"")</f>
        <v/>
      </c>
      <c r="EK307" s="58">
        <f>IFERROR($AF308/$AF307-1,"")</f>
        <v/>
      </c>
      <c r="EL307" s="58">
        <f>IFERROR($AG308/$AG307-1,"")</f>
        <v/>
      </c>
      <c r="EM307" s="58">
        <f>IFERROR($BB307/$BB308-1,"")</f>
        <v/>
      </c>
      <c r="EN307" s="58">
        <f>IFERROR($BC307/$BC308-1,"")</f>
        <v/>
      </c>
      <c r="EO307" s="58">
        <f>IFERROR($BD307/$BD308-1,"")</f>
        <v/>
      </c>
      <c r="EP307" s="58">
        <f>IFERROR($BE307/$BE308-1,"")</f>
        <v/>
      </c>
      <c r="EQ307" s="58">
        <f>IFERROR($BF307/$BF308-1,"")</f>
        <v/>
      </c>
      <c r="ER307" s="58">
        <f>IFERROR($BG307/$BG308-1,"")</f>
        <v/>
      </c>
      <c r="ES307" s="58">
        <f>IFERROR($BH307/$BH308-1,"")</f>
        <v/>
      </c>
      <c r="ET307" s="58">
        <f>IFERROR($BI307/$BI308-1,"")</f>
        <v/>
      </c>
      <c r="EU307" s="58">
        <f>IFERROR($BJ307/$BJ308-1,"")</f>
        <v/>
      </c>
      <c r="EV307" s="58">
        <f>IFERROR($BK307/$BK308-1,"")</f>
        <v/>
      </c>
      <c r="EW307" s="58">
        <f>IFERROR($BL307/$BL308-1,"")</f>
        <v/>
      </c>
      <c r="EX307" s="58">
        <f>IFERROR($BM307/$BM308-1,"")</f>
        <v/>
      </c>
      <c r="EY307" s="58">
        <f>IFERROR($BN307/$BN308-1,"")</f>
        <v/>
      </c>
      <c r="EZ307" s="58">
        <f>IFERROR($BO307/$BO308-1,"")</f>
        <v/>
      </c>
      <c r="FA307" s="58">
        <f>IFERROR($BP307/$BP308-1,"")</f>
        <v/>
      </c>
      <c r="FB307" s="58">
        <f>IFERROR($BQ307/$BQ308-1,"")</f>
        <v/>
      </c>
      <c r="FC307" s="58">
        <f>IFERROR($BR307/$BR308-1,"")</f>
        <v/>
      </c>
      <c r="FD307" s="58">
        <f>IFERROR($BS307/$BS308-1,"")</f>
        <v/>
      </c>
      <c r="FE307" s="58">
        <f>IFERROR($BT307/$BT308-1,"")</f>
        <v/>
      </c>
      <c r="FF307" s="58">
        <f>IFERROR($BU307/$BU308-1,"")</f>
        <v/>
      </c>
      <c r="FG307" s="58">
        <f>IFERROR($BV307/$BV308-1,"")</f>
        <v/>
      </c>
      <c r="FH307" s="58">
        <f>IFERROR($BW307/$BW308-1,"")</f>
        <v/>
      </c>
      <c r="FI307" s="58">
        <f>IFERROR($BX307/$BX308-1,"")</f>
        <v/>
      </c>
      <c r="FJ307" s="59">
        <f>$BY307-$BY308</f>
        <v/>
      </c>
      <c r="FK307" s="59">
        <f>$BZ307-$BZ308</f>
        <v/>
      </c>
      <c r="FL307" s="59">
        <f>$CA307-$CA308</f>
        <v/>
      </c>
      <c r="FM307" s="59">
        <f>$CB307-$CB308</f>
        <v/>
      </c>
      <c r="FN307" s="59">
        <f>$CC307-$CC308</f>
        <v/>
      </c>
      <c r="FO307" s="59">
        <f>$CD307-$CD308</f>
        <v/>
      </c>
      <c r="FP307" s="59">
        <f>$CE307-$CE308</f>
        <v/>
      </c>
      <c r="FQ307" s="59">
        <f>$CF307-$CF308</f>
        <v/>
      </c>
      <c r="FR307" s="59">
        <f>$CG307-$CG308</f>
        <v/>
      </c>
      <c r="FS307" s="59">
        <f>$CH307-$CH308</f>
        <v/>
      </c>
      <c r="FT307" s="59">
        <f>$CI307-$CI308</f>
        <v/>
      </c>
      <c r="FU307" s="59">
        <f>$CJ307-$CJ308</f>
        <v/>
      </c>
      <c r="FV307" s="59">
        <f>$CK307-$CK308</f>
        <v/>
      </c>
      <c r="FW307" s="59">
        <f>$CL307-$CL308</f>
        <v/>
      </c>
      <c r="FX307" s="59">
        <f>$CM307-$CM308</f>
        <v/>
      </c>
      <c r="FY307" s="59">
        <f>$CN307-$CN308</f>
        <v/>
      </c>
      <c r="FZ307" s="59">
        <f>$CO307-$CO308</f>
        <v/>
      </c>
      <c r="GA307" s="59">
        <f>$CP307-$CP308</f>
        <v/>
      </c>
      <c r="GB307" s="59">
        <f>$CQ307-$CQ308</f>
        <v/>
      </c>
      <c r="GC307" s="59">
        <f>$CR307-$CR308</f>
        <v/>
      </c>
      <c r="GD307" s="59">
        <f>$CS307-$CS308</f>
        <v/>
      </c>
      <c r="GE307" s="59">
        <f>$CT307-$CT308</f>
        <v/>
      </c>
    </row>
    <row r="308">
      <c r="CU308" s="58">
        <f>IFERROR($B308/$B309-1,"")</f>
        <v/>
      </c>
      <c r="CV308" s="59">
        <f>($F308-$F309)*100</f>
        <v/>
      </c>
      <c r="CW308" s="59">
        <f>($E308-$E309)*100</f>
        <v/>
      </c>
      <c r="CX308" s="58">
        <f>IFERROR($K308/$K309-1,"")</f>
        <v/>
      </c>
      <c r="CY308" s="59">
        <f>($AH308-$AH309)*100</f>
        <v/>
      </c>
      <c r="CZ308" s="59">
        <f>($AI308-$AI309)*100</f>
        <v/>
      </c>
      <c r="DA308" s="59">
        <f>($AJ308-$AJ309)*100</f>
        <v/>
      </c>
      <c r="DB308" s="59">
        <f>($AK308-$AK309)*100</f>
        <v/>
      </c>
      <c r="DC308" s="59">
        <f>($AL308-$AL309)*100</f>
        <v/>
      </c>
      <c r="DD308" s="59">
        <f>($AM308-$AM309)*100</f>
        <v/>
      </c>
      <c r="DE308" s="59">
        <f>($AN308-$AN309)*100</f>
        <v/>
      </c>
      <c r="DF308" s="59">
        <f>($AO308-$AO309)*100</f>
        <v/>
      </c>
      <c r="DG308" s="59">
        <f>($AP308-$AP309)*100</f>
        <v/>
      </c>
      <c r="DH308" s="59">
        <f>($AQ308-$AQ309)*100</f>
        <v/>
      </c>
      <c r="DI308" s="59">
        <f>($AR308-$AR309)*100</f>
        <v/>
      </c>
      <c r="DJ308" s="59">
        <f>($AS308-$AS309)*100</f>
        <v/>
      </c>
      <c r="DK308" s="59">
        <f>($AT308-$AT309)*100</f>
        <v/>
      </c>
      <c r="DL308" s="59">
        <f>($AU308-$AU309)*100</f>
        <v/>
      </c>
      <c r="DM308" s="59">
        <f>($AV308-$AV309)*100</f>
        <v/>
      </c>
      <c r="DN308" s="59">
        <f>($AW308-$AW309)*100</f>
        <v/>
      </c>
      <c r="DO308" s="59">
        <f>($AX308-$AX309)*100</f>
        <v/>
      </c>
      <c r="DP308" s="59">
        <f>($AY308-$AY309)*100</f>
        <v/>
      </c>
      <c r="DQ308" s="59">
        <f>($AZ308-$AZ309)*100</f>
        <v/>
      </c>
      <c r="DR308" s="59">
        <f>($BA308-$BA309)*100</f>
        <v/>
      </c>
      <c r="DS308" s="58">
        <f>IFERROR($N309/$N308-1,"")</f>
        <v/>
      </c>
      <c r="DT308" s="58">
        <f>IFERROR($O309/$O308-1,"")</f>
        <v/>
      </c>
      <c r="DU308" s="58">
        <f>IFERROR($P309/$P308-1,"")</f>
        <v/>
      </c>
      <c r="DV308" s="58">
        <f>IFERROR($Q309/$Q308-1,"")</f>
        <v/>
      </c>
      <c r="DW308" s="58">
        <f>IFERROR($R309/$R308-1,"")</f>
        <v/>
      </c>
      <c r="DX308" s="58">
        <f>IFERROR($S309/$S308-1,"")</f>
        <v/>
      </c>
      <c r="DY308" s="58">
        <f>IFERROR($T309/$T308-1,"")</f>
        <v/>
      </c>
      <c r="DZ308" s="58">
        <f>IFERROR($U309/$U308-1,"")</f>
        <v/>
      </c>
      <c r="EA308" s="58">
        <f>IFERROR($V309/$V308-1,"")</f>
        <v/>
      </c>
      <c r="EB308" s="58">
        <f>IFERROR($W309/$W308-1,"")</f>
        <v/>
      </c>
      <c r="EC308" s="58">
        <f>IFERROR($X309/$X308-1,"")</f>
        <v/>
      </c>
      <c r="ED308" s="58">
        <f>IFERROR($Y309/$Y308-1,"")</f>
        <v/>
      </c>
      <c r="EE308" s="58">
        <f>IFERROR($Z309/$Z308-1,"")</f>
        <v/>
      </c>
      <c r="EF308" s="58">
        <f>IFERROR($AA309/$AA308-1,"")</f>
        <v/>
      </c>
      <c r="EG308" s="58">
        <f>IFERROR($AB309/$AB308-1,"")</f>
        <v/>
      </c>
      <c r="EH308" s="58">
        <f>IFERROR($AC309/$AC308-1,"")</f>
        <v/>
      </c>
      <c r="EI308" s="58">
        <f>IFERROR($AD309/$AD308-1,"")</f>
        <v/>
      </c>
      <c r="EJ308" s="58">
        <f>IFERROR($AE309/$AE308-1,"")</f>
        <v/>
      </c>
      <c r="EK308" s="58">
        <f>IFERROR($AF309/$AF308-1,"")</f>
        <v/>
      </c>
      <c r="EL308" s="58">
        <f>IFERROR($AG309/$AG308-1,"")</f>
        <v/>
      </c>
      <c r="EM308" s="58">
        <f>IFERROR($BB308/$BB309-1,"")</f>
        <v/>
      </c>
      <c r="EN308" s="58">
        <f>IFERROR($BC308/$BC309-1,"")</f>
        <v/>
      </c>
      <c r="EO308" s="58">
        <f>IFERROR($BD308/$BD309-1,"")</f>
        <v/>
      </c>
      <c r="EP308" s="58">
        <f>IFERROR($BE308/$BE309-1,"")</f>
        <v/>
      </c>
      <c r="EQ308" s="58">
        <f>IFERROR($BF308/$BF309-1,"")</f>
        <v/>
      </c>
      <c r="ER308" s="58">
        <f>IFERROR($BG308/$BG309-1,"")</f>
        <v/>
      </c>
      <c r="ES308" s="58">
        <f>IFERROR($BH308/$BH309-1,"")</f>
        <v/>
      </c>
      <c r="ET308" s="58">
        <f>IFERROR($BI308/$BI309-1,"")</f>
        <v/>
      </c>
      <c r="EU308" s="58">
        <f>IFERROR($BJ308/$BJ309-1,"")</f>
        <v/>
      </c>
      <c r="EV308" s="58">
        <f>IFERROR($BK308/$BK309-1,"")</f>
        <v/>
      </c>
      <c r="EW308" s="58">
        <f>IFERROR($BL308/$BL309-1,"")</f>
        <v/>
      </c>
      <c r="EX308" s="58">
        <f>IFERROR($BM308/$BM309-1,"")</f>
        <v/>
      </c>
      <c r="EY308" s="58">
        <f>IFERROR($BN308/$BN309-1,"")</f>
        <v/>
      </c>
      <c r="EZ308" s="58">
        <f>IFERROR($BO308/$BO309-1,"")</f>
        <v/>
      </c>
      <c r="FA308" s="58">
        <f>IFERROR($BP308/$BP309-1,"")</f>
        <v/>
      </c>
      <c r="FB308" s="58">
        <f>IFERROR($BQ308/$BQ309-1,"")</f>
        <v/>
      </c>
      <c r="FC308" s="58">
        <f>IFERROR($BR308/$BR309-1,"")</f>
        <v/>
      </c>
      <c r="FD308" s="58">
        <f>IFERROR($BS308/$BS309-1,"")</f>
        <v/>
      </c>
      <c r="FE308" s="58">
        <f>IFERROR($BT308/$BT309-1,"")</f>
        <v/>
      </c>
      <c r="FF308" s="58">
        <f>IFERROR($BU308/$BU309-1,"")</f>
        <v/>
      </c>
      <c r="FG308" s="58">
        <f>IFERROR($BV308/$BV309-1,"")</f>
        <v/>
      </c>
      <c r="FH308" s="58">
        <f>IFERROR($BW308/$BW309-1,"")</f>
        <v/>
      </c>
      <c r="FI308" s="58">
        <f>IFERROR($BX308/$BX309-1,"")</f>
        <v/>
      </c>
      <c r="FJ308" s="59">
        <f>$BY308-$BY309</f>
        <v/>
      </c>
      <c r="FK308" s="59">
        <f>$BZ308-$BZ309</f>
        <v/>
      </c>
      <c r="FL308" s="59">
        <f>$CA308-$CA309</f>
        <v/>
      </c>
      <c r="FM308" s="59">
        <f>$CB308-$CB309</f>
        <v/>
      </c>
      <c r="FN308" s="59">
        <f>$CC308-$CC309</f>
        <v/>
      </c>
      <c r="FO308" s="59">
        <f>$CD308-$CD309</f>
        <v/>
      </c>
      <c r="FP308" s="59">
        <f>$CE308-$CE309</f>
        <v/>
      </c>
      <c r="FQ308" s="59">
        <f>$CF308-$CF309</f>
        <v/>
      </c>
      <c r="FR308" s="59">
        <f>$CG308-$CG309</f>
        <v/>
      </c>
      <c r="FS308" s="59">
        <f>$CH308-$CH309</f>
        <v/>
      </c>
      <c r="FT308" s="59">
        <f>$CI308-$CI309</f>
        <v/>
      </c>
      <c r="FU308" s="59">
        <f>$CJ308-$CJ309</f>
        <v/>
      </c>
      <c r="FV308" s="59">
        <f>$CK308-$CK309</f>
        <v/>
      </c>
      <c r="FW308" s="59">
        <f>$CL308-$CL309</f>
        <v/>
      </c>
      <c r="FX308" s="59">
        <f>$CM308-$CM309</f>
        <v/>
      </c>
      <c r="FY308" s="59">
        <f>$CN308-$CN309</f>
        <v/>
      </c>
      <c r="FZ308" s="59">
        <f>$CO308-$CO309</f>
        <v/>
      </c>
      <c r="GA308" s="59">
        <f>$CP308-$CP309</f>
        <v/>
      </c>
      <c r="GB308" s="59">
        <f>$CQ308-$CQ309</f>
        <v/>
      </c>
      <c r="GC308" s="59">
        <f>$CR308-$CR309</f>
        <v/>
      </c>
      <c r="GD308" s="59">
        <f>$CS308-$CS309</f>
        <v/>
      </c>
      <c r="GE308" s="59">
        <f>$CT308-$CT309</f>
        <v/>
      </c>
    </row>
    <row r="309">
      <c r="CU309" s="58">
        <f>IFERROR($B309/$B310-1,"")</f>
        <v/>
      </c>
      <c r="CV309" s="59">
        <f>($F309-$F310)*100</f>
        <v/>
      </c>
      <c r="CW309" s="59">
        <f>($E309-$E310)*100</f>
        <v/>
      </c>
      <c r="CX309" s="58">
        <f>IFERROR($K309/$K310-1,"")</f>
        <v/>
      </c>
      <c r="CY309" s="59">
        <f>($AH309-$AH310)*100</f>
        <v/>
      </c>
      <c r="CZ309" s="59">
        <f>($AI309-$AI310)*100</f>
        <v/>
      </c>
      <c r="DA309" s="59">
        <f>($AJ309-$AJ310)*100</f>
        <v/>
      </c>
      <c r="DB309" s="59">
        <f>($AK309-$AK310)*100</f>
        <v/>
      </c>
      <c r="DC309" s="59">
        <f>($AL309-$AL310)*100</f>
        <v/>
      </c>
      <c r="DD309" s="59">
        <f>($AM309-$AM310)*100</f>
        <v/>
      </c>
      <c r="DE309" s="59">
        <f>($AN309-$AN310)*100</f>
        <v/>
      </c>
      <c r="DF309" s="59">
        <f>($AO309-$AO310)*100</f>
        <v/>
      </c>
      <c r="DG309" s="59">
        <f>($AP309-$AP310)*100</f>
        <v/>
      </c>
      <c r="DH309" s="59">
        <f>($AQ309-$AQ310)*100</f>
        <v/>
      </c>
      <c r="DI309" s="59">
        <f>($AR309-$AR310)*100</f>
        <v/>
      </c>
      <c r="DJ309" s="59">
        <f>($AS309-$AS310)*100</f>
        <v/>
      </c>
      <c r="DK309" s="59">
        <f>($AT309-$AT310)*100</f>
        <v/>
      </c>
      <c r="DL309" s="59">
        <f>($AU309-$AU310)*100</f>
        <v/>
      </c>
      <c r="DM309" s="59">
        <f>($AV309-$AV310)*100</f>
        <v/>
      </c>
      <c r="DN309" s="59">
        <f>($AW309-$AW310)*100</f>
        <v/>
      </c>
      <c r="DO309" s="59">
        <f>($AX309-$AX310)*100</f>
        <v/>
      </c>
      <c r="DP309" s="59">
        <f>($AY309-$AY310)*100</f>
        <v/>
      </c>
      <c r="DQ309" s="59">
        <f>($AZ309-$AZ310)*100</f>
        <v/>
      </c>
      <c r="DR309" s="59">
        <f>($BA309-$BA310)*100</f>
        <v/>
      </c>
      <c r="DS309" s="58">
        <f>IFERROR($N310/$N309-1,"")</f>
        <v/>
      </c>
      <c r="DT309" s="58">
        <f>IFERROR($O310/$O309-1,"")</f>
        <v/>
      </c>
      <c r="DU309" s="58">
        <f>IFERROR($P310/$P309-1,"")</f>
        <v/>
      </c>
      <c r="DV309" s="58">
        <f>IFERROR($Q310/$Q309-1,"")</f>
        <v/>
      </c>
      <c r="DW309" s="58">
        <f>IFERROR($R310/$R309-1,"")</f>
        <v/>
      </c>
      <c r="DX309" s="58">
        <f>IFERROR($S310/$S309-1,"")</f>
        <v/>
      </c>
      <c r="DY309" s="58">
        <f>IFERROR($T310/$T309-1,"")</f>
        <v/>
      </c>
      <c r="DZ309" s="58">
        <f>IFERROR($U310/$U309-1,"")</f>
        <v/>
      </c>
      <c r="EA309" s="58">
        <f>IFERROR($V310/$V309-1,"")</f>
        <v/>
      </c>
      <c r="EB309" s="58">
        <f>IFERROR($W310/$W309-1,"")</f>
        <v/>
      </c>
      <c r="EC309" s="58">
        <f>IFERROR($X310/$X309-1,"")</f>
        <v/>
      </c>
      <c r="ED309" s="58">
        <f>IFERROR($Y310/$Y309-1,"")</f>
        <v/>
      </c>
      <c r="EE309" s="58">
        <f>IFERROR($Z310/$Z309-1,"")</f>
        <v/>
      </c>
      <c r="EF309" s="58">
        <f>IFERROR($AA310/$AA309-1,"")</f>
        <v/>
      </c>
      <c r="EG309" s="58">
        <f>IFERROR($AB310/$AB309-1,"")</f>
        <v/>
      </c>
      <c r="EH309" s="58">
        <f>IFERROR($AC310/$AC309-1,"")</f>
        <v/>
      </c>
      <c r="EI309" s="58">
        <f>IFERROR($AD310/$AD309-1,"")</f>
        <v/>
      </c>
      <c r="EJ309" s="58">
        <f>IFERROR($AE310/$AE309-1,"")</f>
        <v/>
      </c>
      <c r="EK309" s="58">
        <f>IFERROR($AF310/$AF309-1,"")</f>
        <v/>
      </c>
      <c r="EL309" s="58">
        <f>IFERROR($AG310/$AG309-1,"")</f>
        <v/>
      </c>
      <c r="EM309" s="58">
        <f>IFERROR($BB309/$BB310-1,"")</f>
        <v/>
      </c>
      <c r="EN309" s="58">
        <f>IFERROR($BC309/$BC310-1,"")</f>
        <v/>
      </c>
      <c r="EO309" s="58">
        <f>IFERROR($BD309/$BD310-1,"")</f>
        <v/>
      </c>
      <c r="EP309" s="58">
        <f>IFERROR($BE309/$BE310-1,"")</f>
        <v/>
      </c>
      <c r="EQ309" s="58">
        <f>IFERROR($BF309/$BF310-1,"")</f>
        <v/>
      </c>
      <c r="ER309" s="58">
        <f>IFERROR($BG309/$BG310-1,"")</f>
        <v/>
      </c>
      <c r="ES309" s="58">
        <f>IFERROR($BH309/$BH310-1,"")</f>
        <v/>
      </c>
      <c r="ET309" s="58">
        <f>IFERROR($BI309/$BI310-1,"")</f>
        <v/>
      </c>
      <c r="EU309" s="58">
        <f>IFERROR($BJ309/$BJ310-1,"")</f>
        <v/>
      </c>
      <c r="EV309" s="58">
        <f>IFERROR($BK309/$BK310-1,"")</f>
        <v/>
      </c>
      <c r="EW309" s="58">
        <f>IFERROR($BL309/$BL310-1,"")</f>
        <v/>
      </c>
      <c r="EX309" s="58">
        <f>IFERROR($BM309/$BM310-1,"")</f>
        <v/>
      </c>
      <c r="EY309" s="58">
        <f>IFERROR($BN309/$BN310-1,"")</f>
        <v/>
      </c>
      <c r="EZ309" s="58">
        <f>IFERROR($BO309/$BO310-1,"")</f>
        <v/>
      </c>
      <c r="FA309" s="58">
        <f>IFERROR($BP309/$BP310-1,"")</f>
        <v/>
      </c>
      <c r="FB309" s="58">
        <f>IFERROR($BQ309/$BQ310-1,"")</f>
        <v/>
      </c>
      <c r="FC309" s="58">
        <f>IFERROR($BR309/$BR310-1,"")</f>
        <v/>
      </c>
      <c r="FD309" s="58">
        <f>IFERROR($BS309/$BS310-1,"")</f>
        <v/>
      </c>
      <c r="FE309" s="58">
        <f>IFERROR($BT309/$BT310-1,"")</f>
        <v/>
      </c>
      <c r="FF309" s="58">
        <f>IFERROR($BU309/$BU310-1,"")</f>
        <v/>
      </c>
      <c r="FG309" s="58">
        <f>IFERROR($BV309/$BV310-1,"")</f>
        <v/>
      </c>
      <c r="FH309" s="58">
        <f>IFERROR($BW309/$BW310-1,"")</f>
        <v/>
      </c>
      <c r="FI309" s="58">
        <f>IFERROR($BX309/$BX310-1,"")</f>
        <v/>
      </c>
      <c r="FJ309" s="59">
        <f>$BY309-$BY310</f>
        <v/>
      </c>
      <c r="FK309" s="59">
        <f>$BZ309-$BZ310</f>
        <v/>
      </c>
      <c r="FL309" s="59">
        <f>$CA309-$CA310</f>
        <v/>
      </c>
      <c r="FM309" s="59">
        <f>$CB309-$CB310</f>
        <v/>
      </c>
      <c r="FN309" s="59">
        <f>$CC309-$CC310</f>
        <v/>
      </c>
      <c r="FO309" s="59">
        <f>$CD309-$CD310</f>
        <v/>
      </c>
      <c r="FP309" s="59">
        <f>$CE309-$CE310</f>
        <v/>
      </c>
      <c r="FQ309" s="59">
        <f>$CF309-$CF310</f>
        <v/>
      </c>
      <c r="FR309" s="59">
        <f>$CG309-$CG310</f>
        <v/>
      </c>
      <c r="FS309" s="59">
        <f>$CH309-$CH310</f>
        <v/>
      </c>
      <c r="FT309" s="59">
        <f>$CI309-$CI310</f>
        <v/>
      </c>
      <c r="FU309" s="59">
        <f>$CJ309-$CJ310</f>
        <v/>
      </c>
      <c r="FV309" s="59">
        <f>$CK309-$CK310</f>
        <v/>
      </c>
      <c r="FW309" s="59">
        <f>$CL309-$CL310</f>
        <v/>
      </c>
      <c r="FX309" s="59">
        <f>$CM309-$CM310</f>
        <v/>
      </c>
      <c r="FY309" s="59">
        <f>$CN309-$CN310</f>
        <v/>
      </c>
      <c r="FZ309" s="59">
        <f>$CO309-$CO310</f>
        <v/>
      </c>
      <c r="GA309" s="59">
        <f>$CP309-$CP310</f>
        <v/>
      </c>
      <c r="GB309" s="59">
        <f>$CQ309-$CQ310</f>
        <v/>
      </c>
      <c r="GC309" s="59">
        <f>$CR309-$CR310</f>
        <v/>
      </c>
      <c r="GD309" s="59">
        <f>$CS309-$CS310</f>
        <v/>
      </c>
      <c r="GE309" s="59">
        <f>$CT309-$CT310</f>
        <v/>
      </c>
    </row>
    <row r="310">
      <c r="CU310" s="58">
        <f>IFERROR($B310/$B311-1,"")</f>
        <v/>
      </c>
      <c r="CV310" s="59">
        <f>($F310-$F311)*100</f>
        <v/>
      </c>
      <c r="CW310" s="59">
        <f>($E310-$E311)*100</f>
        <v/>
      </c>
      <c r="CX310" s="58">
        <f>IFERROR($K310/$K311-1,"")</f>
        <v/>
      </c>
      <c r="CY310" s="59">
        <f>($AH310-$AH311)*100</f>
        <v/>
      </c>
      <c r="CZ310" s="59">
        <f>($AI310-$AI311)*100</f>
        <v/>
      </c>
      <c r="DA310" s="59">
        <f>($AJ310-$AJ311)*100</f>
        <v/>
      </c>
      <c r="DB310" s="59">
        <f>($AK310-$AK311)*100</f>
        <v/>
      </c>
      <c r="DC310" s="59">
        <f>($AL310-$AL311)*100</f>
        <v/>
      </c>
      <c r="DD310" s="59">
        <f>($AM310-$AM311)*100</f>
        <v/>
      </c>
      <c r="DE310" s="59">
        <f>($AN310-$AN311)*100</f>
        <v/>
      </c>
      <c r="DF310" s="59">
        <f>($AO310-$AO311)*100</f>
        <v/>
      </c>
      <c r="DG310" s="59">
        <f>($AP310-$AP311)*100</f>
        <v/>
      </c>
      <c r="DH310" s="59">
        <f>($AQ310-$AQ311)*100</f>
        <v/>
      </c>
      <c r="DI310" s="59">
        <f>($AR310-$AR311)*100</f>
        <v/>
      </c>
      <c r="DJ310" s="59">
        <f>($AS310-$AS311)*100</f>
        <v/>
      </c>
      <c r="DK310" s="59">
        <f>($AT310-$AT311)*100</f>
        <v/>
      </c>
      <c r="DL310" s="59">
        <f>($AU310-$AU311)*100</f>
        <v/>
      </c>
      <c r="DM310" s="59">
        <f>($AV310-$AV311)*100</f>
        <v/>
      </c>
      <c r="DN310" s="59">
        <f>($AW310-$AW311)*100</f>
        <v/>
      </c>
      <c r="DO310" s="59">
        <f>($AX310-$AX311)*100</f>
        <v/>
      </c>
      <c r="DP310" s="59">
        <f>($AY310-$AY311)*100</f>
        <v/>
      </c>
      <c r="DQ310" s="59">
        <f>($AZ310-$AZ311)*100</f>
        <v/>
      </c>
      <c r="DR310" s="59">
        <f>($BA310-$BA311)*100</f>
        <v/>
      </c>
      <c r="DS310" s="58">
        <f>IFERROR($N311/$N310-1,"")</f>
        <v/>
      </c>
      <c r="DT310" s="58">
        <f>IFERROR($O311/$O310-1,"")</f>
        <v/>
      </c>
      <c r="DU310" s="58">
        <f>IFERROR($P311/$P310-1,"")</f>
        <v/>
      </c>
      <c r="DV310" s="58">
        <f>IFERROR($Q311/$Q310-1,"")</f>
        <v/>
      </c>
      <c r="DW310" s="58">
        <f>IFERROR($R311/$R310-1,"")</f>
        <v/>
      </c>
      <c r="DX310" s="58">
        <f>IFERROR($S311/$S310-1,"")</f>
        <v/>
      </c>
      <c r="DY310" s="58">
        <f>IFERROR($T311/$T310-1,"")</f>
        <v/>
      </c>
      <c r="DZ310" s="58">
        <f>IFERROR($U311/$U310-1,"")</f>
        <v/>
      </c>
      <c r="EA310" s="58">
        <f>IFERROR($V311/$V310-1,"")</f>
        <v/>
      </c>
      <c r="EB310" s="58">
        <f>IFERROR($W311/$W310-1,"")</f>
        <v/>
      </c>
      <c r="EC310" s="58">
        <f>IFERROR($X311/$X310-1,"")</f>
        <v/>
      </c>
      <c r="ED310" s="58">
        <f>IFERROR($Y311/$Y310-1,"")</f>
        <v/>
      </c>
      <c r="EE310" s="58">
        <f>IFERROR($Z311/$Z310-1,"")</f>
        <v/>
      </c>
      <c r="EF310" s="58">
        <f>IFERROR($AA311/$AA310-1,"")</f>
        <v/>
      </c>
      <c r="EG310" s="58">
        <f>IFERROR($AB311/$AB310-1,"")</f>
        <v/>
      </c>
      <c r="EH310" s="58">
        <f>IFERROR($AC311/$AC310-1,"")</f>
        <v/>
      </c>
      <c r="EI310" s="58">
        <f>IFERROR($AD311/$AD310-1,"")</f>
        <v/>
      </c>
      <c r="EJ310" s="58">
        <f>IFERROR($AE311/$AE310-1,"")</f>
        <v/>
      </c>
      <c r="EK310" s="58">
        <f>IFERROR($AF311/$AF310-1,"")</f>
        <v/>
      </c>
      <c r="EL310" s="58">
        <f>IFERROR($AG311/$AG310-1,"")</f>
        <v/>
      </c>
      <c r="EM310" s="58">
        <f>IFERROR($BB310/$BB311-1,"")</f>
        <v/>
      </c>
      <c r="EN310" s="58">
        <f>IFERROR($BC310/$BC311-1,"")</f>
        <v/>
      </c>
      <c r="EO310" s="58">
        <f>IFERROR($BD310/$BD311-1,"")</f>
        <v/>
      </c>
      <c r="EP310" s="58">
        <f>IFERROR($BE310/$BE311-1,"")</f>
        <v/>
      </c>
      <c r="EQ310" s="58">
        <f>IFERROR($BF310/$BF311-1,"")</f>
        <v/>
      </c>
      <c r="ER310" s="58">
        <f>IFERROR($BG310/$BG311-1,"")</f>
        <v/>
      </c>
      <c r="ES310" s="58">
        <f>IFERROR($BH310/$BH311-1,"")</f>
        <v/>
      </c>
      <c r="ET310" s="58">
        <f>IFERROR($BI310/$BI311-1,"")</f>
        <v/>
      </c>
      <c r="EU310" s="58">
        <f>IFERROR($BJ310/$BJ311-1,"")</f>
        <v/>
      </c>
      <c r="EV310" s="58">
        <f>IFERROR($BK310/$BK311-1,"")</f>
        <v/>
      </c>
      <c r="EW310" s="58">
        <f>IFERROR($BL310/$BL311-1,"")</f>
        <v/>
      </c>
      <c r="EX310" s="58">
        <f>IFERROR($BM310/$BM311-1,"")</f>
        <v/>
      </c>
      <c r="EY310" s="58">
        <f>IFERROR($BN310/$BN311-1,"")</f>
        <v/>
      </c>
      <c r="EZ310" s="58">
        <f>IFERROR($BO310/$BO311-1,"")</f>
        <v/>
      </c>
      <c r="FA310" s="58">
        <f>IFERROR($BP310/$BP311-1,"")</f>
        <v/>
      </c>
      <c r="FB310" s="58">
        <f>IFERROR($BQ310/$BQ311-1,"")</f>
        <v/>
      </c>
      <c r="FC310" s="58">
        <f>IFERROR($BR310/$BR311-1,"")</f>
        <v/>
      </c>
      <c r="FD310" s="58">
        <f>IFERROR($BS310/$BS311-1,"")</f>
        <v/>
      </c>
      <c r="FE310" s="58">
        <f>IFERROR($BT310/$BT311-1,"")</f>
        <v/>
      </c>
      <c r="FF310" s="58">
        <f>IFERROR($BU310/$BU311-1,"")</f>
        <v/>
      </c>
      <c r="FG310" s="58">
        <f>IFERROR($BV310/$BV311-1,"")</f>
        <v/>
      </c>
      <c r="FH310" s="58">
        <f>IFERROR($BW310/$BW311-1,"")</f>
        <v/>
      </c>
      <c r="FI310" s="58">
        <f>IFERROR($BX310/$BX311-1,"")</f>
        <v/>
      </c>
      <c r="FJ310" s="59">
        <f>$BY310-$BY311</f>
        <v/>
      </c>
      <c r="FK310" s="59">
        <f>$BZ310-$BZ311</f>
        <v/>
      </c>
      <c r="FL310" s="59">
        <f>$CA310-$CA311</f>
        <v/>
      </c>
      <c r="FM310" s="59">
        <f>$CB310-$CB311</f>
        <v/>
      </c>
      <c r="FN310" s="59">
        <f>$CC310-$CC311</f>
        <v/>
      </c>
      <c r="FO310" s="59">
        <f>$CD310-$CD311</f>
        <v/>
      </c>
      <c r="FP310" s="59">
        <f>$CE310-$CE311</f>
        <v/>
      </c>
      <c r="FQ310" s="59">
        <f>$CF310-$CF311</f>
        <v/>
      </c>
      <c r="FR310" s="59">
        <f>$CG310-$CG311</f>
        <v/>
      </c>
      <c r="FS310" s="59">
        <f>$CH310-$CH311</f>
        <v/>
      </c>
      <c r="FT310" s="59">
        <f>$CI310-$CI311</f>
        <v/>
      </c>
      <c r="FU310" s="59">
        <f>$CJ310-$CJ311</f>
        <v/>
      </c>
      <c r="FV310" s="59">
        <f>$CK310-$CK311</f>
        <v/>
      </c>
      <c r="FW310" s="59">
        <f>$CL310-$CL311</f>
        <v/>
      </c>
      <c r="FX310" s="59">
        <f>$CM310-$CM311</f>
        <v/>
      </c>
      <c r="FY310" s="59">
        <f>$CN310-$CN311</f>
        <v/>
      </c>
      <c r="FZ310" s="59">
        <f>$CO310-$CO311</f>
        <v/>
      </c>
      <c r="GA310" s="59">
        <f>$CP310-$CP311</f>
        <v/>
      </c>
      <c r="GB310" s="59">
        <f>$CQ310-$CQ311</f>
        <v/>
      </c>
      <c r="GC310" s="59">
        <f>$CR310-$CR311</f>
        <v/>
      </c>
      <c r="GD310" s="59">
        <f>$CS310-$CS311</f>
        <v/>
      </c>
      <c r="GE310" s="59">
        <f>$CT310-$CT311</f>
        <v/>
      </c>
    </row>
    <row r="311">
      <c r="CU311" s="58">
        <f>IFERROR($B311/$B312-1,"")</f>
        <v/>
      </c>
      <c r="CV311" s="59">
        <f>($F311-$F312)*100</f>
        <v/>
      </c>
      <c r="CW311" s="59">
        <f>($E311-$E312)*100</f>
        <v/>
      </c>
      <c r="CX311" s="58">
        <f>IFERROR($K311/$K312-1,"")</f>
        <v/>
      </c>
      <c r="CY311" s="59">
        <f>($AH311-$AH312)*100</f>
        <v/>
      </c>
      <c r="CZ311" s="59">
        <f>($AI311-$AI312)*100</f>
        <v/>
      </c>
      <c r="DA311" s="59">
        <f>($AJ311-$AJ312)*100</f>
        <v/>
      </c>
      <c r="DB311" s="59">
        <f>($AK311-$AK312)*100</f>
        <v/>
      </c>
      <c r="DC311" s="59">
        <f>($AL311-$AL312)*100</f>
        <v/>
      </c>
      <c r="DD311" s="59">
        <f>($AM311-$AM312)*100</f>
        <v/>
      </c>
      <c r="DE311" s="59">
        <f>($AN311-$AN312)*100</f>
        <v/>
      </c>
      <c r="DF311" s="59">
        <f>($AO311-$AO312)*100</f>
        <v/>
      </c>
      <c r="DG311" s="59">
        <f>($AP311-$AP312)*100</f>
        <v/>
      </c>
      <c r="DH311" s="59">
        <f>($AQ311-$AQ312)*100</f>
        <v/>
      </c>
      <c r="DI311" s="59">
        <f>($AR311-$AR312)*100</f>
        <v/>
      </c>
      <c r="DJ311" s="59">
        <f>($AS311-$AS312)*100</f>
        <v/>
      </c>
      <c r="DK311" s="59">
        <f>($AT311-$AT312)*100</f>
        <v/>
      </c>
      <c r="DL311" s="59">
        <f>($AU311-$AU312)*100</f>
        <v/>
      </c>
      <c r="DM311" s="59">
        <f>($AV311-$AV312)*100</f>
        <v/>
      </c>
      <c r="DN311" s="59">
        <f>($AW311-$AW312)*100</f>
        <v/>
      </c>
      <c r="DO311" s="59">
        <f>($AX311-$AX312)*100</f>
        <v/>
      </c>
      <c r="DP311" s="59">
        <f>($AY311-$AY312)*100</f>
        <v/>
      </c>
      <c r="DQ311" s="59">
        <f>($AZ311-$AZ312)*100</f>
        <v/>
      </c>
      <c r="DR311" s="59">
        <f>($BA311-$BA312)*100</f>
        <v/>
      </c>
      <c r="DS311" s="58">
        <f>IFERROR($N312/$N311-1,"")</f>
        <v/>
      </c>
      <c r="DT311" s="58">
        <f>IFERROR($O312/$O311-1,"")</f>
        <v/>
      </c>
      <c r="DU311" s="58">
        <f>IFERROR($P312/$P311-1,"")</f>
        <v/>
      </c>
      <c r="DV311" s="58">
        <f>IFERROR($Q312/$Q311-1,"")</f>
        <v/>
      </c>
      <c r="DW311" s="58">
        <f>IFERROR($R312/$R311-1,"")</f>
        <v/>
      </c>
      <c r="DX311" s="58">
        <f>IFERROR($S312/$S311-1,"")</f>
        <v/>
      </c>
      <c r="DY311" s="58">
        <f>IFERROR($T312/$T311-1,"")</f>
        <v/>
      </c>
      <c r="DZ311" s="58">
        <f>IFERROR($U312/$U311-1,"")</f>
        <v/>
      </c>
      <c r="EA311" s="58">
        <f>IFERROR($V312/$V311-1,"")</f>
        <v/>
      </c>
      <c r="EB311" s="58">
        <f>IFERROR($W312/$W311-1,"")</f>
        <v/>
      </c>
      <c r="EC311" s="58">
        <f>IFERROR($X312/$X311-1,"")</f>
        <v/>
      </c>
      <c r="ED311" s="58">
        <f>IFERROR($Y312/$Y311-1,"")</f>
        <v/>
      </c>
      <c r="EE311" s="58">
        <f>IFERROR($Z312/$Z311-1,"")</f>
        <v/>
      </c>
      <c r="EF311" s="58">
        <f>IFERROR($AA312/$AA311-1,"")</f>
        <v/>
      </c>
      <c r="EG311" s="58">
        <f>IFERROR($AB312/$AB311-1,"")</f>
        <v/>
      </c>
      <c r="EH311" s="58">
        <f>IFERROR($AC312/$AC311-1,"")</f>
        <v/>
      </c>
      <c r="EI311" s="58">
        <f>IFERROR($AD312/$AD311-1,"")</f>
        <v/>
      </c>
      <c r="EJ311" s="58">
        <f>IFERROR($AE312/$AE311-1,"")</f>
        <v/>
      </c>
      <c r="EK311" s="58">
        <f>IFERROR($AF312/$AF311-1,"")</f>
        <v/>
      </c>
      <c r="EL311" s="58">
        <f>IFERROR($AG312/$AG311-1,"")</f>
        <v/>
      </c>
      <c r="EM311" s="58">
        <f>IFERROR($BB311/$BB312-1,"")</f>
        <v/>
      </c>
      <c r="EN311" s="58">
        <f>IFERROR($BC311/$BC312-1,"")</f>
        <v/>
      </c>
      <c r="EO311" s="58">
        <f>IFERROR($BD311/$BD312-1,"")</f>
        <v/>
      </c>
      <c r="EP311" s="58">
        <f>IFERROR($BE311/$BE312-1,"")</f>
        <v/>
      </c>
      <c r="EQ311" s="58">
        <f>IFERROR($BF311/$BF312-1,"")</f>
        <v/>
      </c>
      <c r="ER311" s="58">
        <f>IFERROR($BG311/$BG312-1,"")</f>
        <v/>
      </c>
      <c r="ES311" s="58">
        <f>IFERROR($BH311/$BH312-1,"")</f>
        <v/>
      </c>
      <c r="ET311" s="58">
        <f>IFERROR($BI311/$BI312-1,"")</f>
        <v/>
      </c>
      <c r="EU311" s="58">
        <f>IFERROR($BJ311/$BJ312-1,"")</f>
        <v/>
      </c>
      <c r="EV311" s="58">
        <f>IFERROR($BK311/$BK312-1,"")</f>
        <v/>
      </c>
      <c r="EW311" s="58">
        <f>IFERROR($BL311/$BL312-1,"")</f>
        <v/>
      </c>
      <c r="EX311" s="58">
        <f>IFERROR($BM311/$BM312-1,"")</f>
        <v/>
      </c>
      <c r="EY311" s="58">
        <f>IFERROR($BN311/$BN312-1,"")</f>
        <v/>
      </c>
      <c r="EZ311" s="58">
        <f>IFERROR($BO311/$BO312-1,"")</f>
        <v/>
      </c>
      <c r="FA311" s="58">
        <f>IFERROR($BP311/$BP312-1,"")</f>
        <v/>
      </c>
      <c r="FB311" s="58">
        <f>IFERROR($BQ311/$BQ312-1,"")</f>
        <v/>
      </c>
      <c r="FC311" s="58">
        <f>IFERROR($BR311/$BR312-1,"")</f>
        <v/>
      </c>
      <c r="FD311" s="58">
        <f>IFERROR($BS311/$BS312-1,"")</f>
        <v/>
      </c>
      <c r="FE311" s="58">
        <f>IFERROR($BT311/$BT312-1,"")</f>
        <v/>
      </c>
      <c r="FF311" s="58">
        <f>IFERROR($BU311/$BU312-1,"")</f>
        <v/>
      </c>
      <c r="FG311" s="58">
        <f>IFERROR($BV311/$BV312-1,"")</f>
        <v/>
      </c>
      <c r="FH311" s="58">
        <f>IFERROR($BW311/$BW312-1,"")</f>
        <v/>
      </c>
      <c r="FI311" s="58">
        <f>IFERROR($BX311/$BX312-1,"")</f>
        <v/>
      </c>
      <c r="FJ311" s="59">
        <f>$BY311-$BY312</f>
        <v/>
      </c>
      <c r="FK311" s="59">
        <f>$BZ311-$BZ312</f>
        <v/>
      </c>
      <c r="FL311" s="59">
        <f>$CA311-$CA312</f>
        <v/>
      </c>
      <c r="FM311" s="59">
        <f>$CB311-$CB312</f>
        <v/>
      </c>
      <c r="FN311" s="59">
        <f>$CC311-$CC312</f>
        <v/>
      </c>
      <c r="FO311" s="59">
        <f>$CD311-$CD312</f>
        <v/>
      </c>
      <c r="FP311" s="59">
        <f>$CE311-$CE312</f>
        <v/>
      </c>
      <c r="FQ311" s="59">
        <f>$CF311-$CF312</f>
        <v/>
      </c>
      <c r="FR311" s="59">
        <f>$CG311-$CG312</f>
        <v/>
      </c>
      <c r="FS311" s="59">
        <f>$CH311-$CH312</f>
        <v/>
      </c>
      <c r="FT311" s="59">
        <f>$CI311-$CI312</f>
        <v/>
      </c>
      <c r="FU311" s="59">
        <f>$CJ311-$CJ312</f>
        <v/>
      </c>
      <c r="FV311" s="59">
        <f>$CK311-$CK312</f>
        <v/>
      </c>
      <c r="FW311" s="59">
        <f>$CL311-$CL312</f>
        <v/>
      </c>
      <c r="FX311" s="59">
        <f>$CM311-$CM312</f>
        <v/>
      </c>
      <c r="FY311" s="59">
        <f>$CN311-$CN312</f>
        <v/>
      </c>
      <c r="FZ311" s="59">
        <f>$CO311-$CO312</f>
        <v/>
      </c>
      <c r="GA311" s="59">
        <f>$CP311-$CP312</f>
        <v/>
      </c>
      <c r="GB311" s="59">
        <f>$CQ311-$CQ312</f>
        <v/>
      </c>
      <c r="GC311" s="59">
        <f>$CR311-$CR312</f>
        <v/>
      </c>
      <c r="GD311" s="59">
        <f>$CS311-$CS312</f>
        <v/>
      </c>
      <c r="GE311" s="59">
        <f>$CT311-$CT312</f>
        <v/>
      </c>
    </row>
    <row r="312">
      <c r="CU312" s="58">
        <f>IFERROR($B312/$B313-1,"")</f>
        <v/>
      </c>
      <c r="CV312" s="59">
        <f>($F312-$F313)*100</f>
        <v/>
      </c>
      <c r="CW312" s="59">
        <f>($E312-$E313)*100</f>
        <v/>
      </c>
      <c r="CX312" s="58">
        <f>IFERROR($K312/$K313-1,"")</f>
        <v/>
      </c>
      <c r="CY312" s="59">
        <f>($AH312-$AH313)*100</f>
        <v/>
      </c>
      <c r="CZ312" s="59">
        <f>($AI312-$AI313)*100</f>
        <v/>
      </c>
      <c r="DA312" s="59">
        <f>($AJ312-$AJ313)*100</f>
        <v/>
      </c>
      <c r="DB312" s="59">
        <f>($AK312-$AK313)*100</f>
        <v/>
      </c>
      <c r="DC312" s="59">
        <f>($AL312-$AL313)*100</f>
        <v/>
      </c>
      <c r="DD312" s="59">
        <f>($AM312-$AM313)*100</f>
        <v/>
      </c>
      <c r="DE312" s="59">
        <f>($AN312-$AN313)*100</f>
        <v/>
      </c>
      <c r="DF312" s="59">
        <f>($AO312-$AO313)*100</f>
        <v/>
      </c>
      <c r="DG312" s="59">
        <f>($AP312-$AP313)*100</f>
        <v/>
      </c>
      <c r="DH312" s="59">
        <f>($AQ312-$AQ313)*100</f>
        <v/>
      </c>
      <c r="DI312" s="59">
        <f>($AR312-$AR313)*100</f>
        <v/>
      </c>
      <c r="DJ312" s="59">
        <f>($AS312-$AS313)*100</f>
        <v/>
      </c>
      <c r="DK312" s="59">
        <f>($AT312-$AT313)*100</f>
        <v/>
      </c>
      <c r="DL312" s="59">
        <f>($AU312-$AU313)*100</f>
        <v/>
      </c>
      <c r="DM312" s="59">
        <f>($AV312-$AV313)*100</f>
        <v/>
      </c>
      <c r="DN312" s="59">
        <f>($AW312-$AW313)*100</f>
        <v/>
      </c>
      <c r="DO312" s="59">
        <f>($AX312-$AX313)*100</f>
        <v/>
      </c>
      <c r="DP312" s="59">
        <f>($AY312-$AY313)*100</f>
        <v/>
      </c>
      <c r="DQ312" s="59">
        <f>($AZ312-$AZ313)*100</f>
        <v/>
      </c>
      <c r="DR312" s="59">
        <f>($BA312-$BA313)*100</f>
        <v/>
      </c>
      <c r="DS312" s="58">
        <f>IFERROR($N313/$N312-1,"")</f>
        <v/>
      </c>
      <c r="DT312" s="58">
        <f>IFERROR($O313/$O312-1,"")</f>
        <v/>
      </c>
      <c r="DU312" s="58">
        <f>IFERROR($P313/$P312-1,"")</f>
        <v/>
      </c>
      <c r="DV312" s="58">
        <f>IFERROR($Q313/$Q312-1,"")</f>
        <v/>
      </c>
      <c r="DW312" s="58">
        <f>IFERROR($R313/$R312-1,"")</f>
        <v/>
      </c>
      <c r="DX312" s="58">
        <f>IFERROR($S313/$S312-1,"")</f>
        <v/>
      </c>
      <c r="DY312" s="58">
        <f>IFERROR($T313/$T312-1,"")</f>
        <v/>
      </c>
      <c r="DZ312" s="58">
        <f>IFERROR($U313/$U312-1,"")</f>
        <v/>
      </c>
      <c r="EA312" s="58">
        <f>IFERROR($V313/$V312-1,"")</f>
        <v/>
      </c>
      <c r="EB312" s="58">
        <f>IFERROR($W313/$W312-1,"")</f>
        <v/>
      </c>
      <c r="EC312" s="58">
        <f>IFERROR($X313/$X312-1,"")</f>
        <v/>
      </c>
      <c r="ED312" s="58">
        <f>IFERROR($Y313/$Y312-1,"")</f>
        <v/>
      </c>
      <c r="EE312" s="58">
        <f>IFERROR($Z313/$Z312-1,"")</f>
        <v/>
      </c>
      <c r="EF312" s="58">
        <f>IFERROR($AA313/$AA312-1,"")</f>
        <v/>
      </c>
      <c r="EG312" s="58">
        <f>IFERROR($AB313/$AB312-1,"")</f>
        <v/>
      </c>
      <c r="EH312" s="58">
        <f>IFERROR($AC313/$AC312-1,"")</f>
        <v/>
      </c>
      <c r="EI312" s="58">
        <f>IFERROR($AD313/$AD312-1,"")</f>
        <v/>
      </c>
      <c r="EJ312" s="58">
        <f>IFERROR($AE313/$AE312-1,"")</f>
        <v/>
      </c>
      <c r="EK312" s="58">
        <f>IFERROR($AF313/$AF312-1,"")</f>
        <v/>
      </c>
      <c r="EL312" s="58">
        <f>IFERROR($AG313/$AG312-1,"")</f>
        <v/>
      </c>
      <c r="EM312" s="58">
        <f>IFERROR($BB312/$BB313-1,"")</f>
        <v/>
      </c>
      <c r="EN312" s="58">
        <f>IFERROR($BC312/$BC313-1,"")</f>
        <v/>
      </c>
      <c r="EO312" s="58">
        <f>IFERROR($BD312/$BD313-1,"")</f>
        <v/>
      </c>
      <c r="EP312" s="58">
        <f>IFERROR($BE312/$BE313-1,"")</f>
        <v/>
      </c>
      <c r="EQ312" s="58">
        <f>IFERROR($BF312/$BF313-1,"")</f>
        <v/>
      </c>
      <c r="ER312" s="58">
        <f>IFERROR($BG312/$BG313-1,"")</f>
        <v/>
      </c>
      <c r="ES312" s="58">
        <f>IFERROR($BH312/$BH313-1,"")</f>
        <v/>
      </c>
      <c r="ET312" s="58">
        <f>IFERROR($BI312/$BI313-1,"")</f>
        <v/>
      </c>
      <c r="EU312" s="58">
        <f>IFERROR($BJ312/$BJ313-1,"")</f>
        <v/>
      </c>
      <c r="EV312" s="58">
        <f>IFERROR($BK312/$BK313-1,"")</f>
        <v/>
      </c>
      <c r="EW312" s="58">
        <f>IFERROR($BL312/$BL313-1,"")</f>
        <v/>
      </c>
      <c r="EX312" s="58">
        <f>IFERROR($BM312/$BM313-1,"")</f>
        <v/>
      </c>
      <c r="EY312" s="58">
        <f>IFERROR($BN312/$BN313-1,"")</f>
        <v/>
      </c>
      <c r="EZ312" s="58">
        <f>IFERROR($BO312/$BO313-1,"")</f>
        <v/>
      </c>
      <c r="FA312" s="58">
        <f>IFERROR($BP312/$BP313-1,"")</f>
        <v/>
      </c>
      <c r="FB312" s="58">
        <f>IFERROR($BQ312/$BQ313-1,"")</f>
        <v/>
      </c>
      <c r="FC312" s="58">
        <f>IFERROR($BR312/$BR313-1,"")</f>
        <v/>
      </c>
      <c r="FD312" s="58">
        <f>IFERROR($BS312/$BS313-1,"")</f>
        <v/>
      </c>
      <c r="FE312" s="58">
        <f>IFERROR($BT312/$BT313-1,"")</f>
        <v/>
      </c>
      <c r="FF312" s="58">
        <f>IFERROR($BU312/$BU313-1,"")</f>
        <v/>
      </c>
      <c r="FG312" s="58">
        <f>IFERROR($BV312/$BV313-1,"")</f>
        <v/>
      </c>
      <c r="FH312" s="58">
        <f>IFERROR($BW312/$BW313-1,"")</f>
        <v/>
      </c>
      <c r="FI312" s="58">
        <f>IFERROR($BX312/$BX313-1,"")</f>
        <v/>
      </c>
      <c r="FJ312" s="59">
        <f>$BY312-$BY313</f>
        <v/>
      </c>
      <c r="FK312" s="59">
        <f>$BZ312-$BZ313</f>
        <v/>
      </c>
      <c r="FL312" s="59">
        <f>$CA312-$CA313</f>
        <v/>
      </c>
      <c r="FM312" s="59">
        <f>$CB312-$CB313</f>
        <v/>
      </c>
      <c r="FN312" s="59">
        <f>$CC312-$CC313</f>
        <v/>
      </c>
      <c r="FO312" s="59">
        <f>$CD312-$CD313</f>
        <v/>
      </c>
      <c r="FP312" s="59">
        <f>$CE312-$CE313</f>
        <v/>
      </c>
      <c r="FQ312" s="59">
        <f>$CF312-$CF313</f>
        <v/>
      </c>
      <c r="FR312" s="59">
        <f>$CG312-$CG313</f>
        <v/>
      </c>
      <c r="FS312" s="59">
        <f>$CH312-$CH313</f>
        <v/>
      </c>
      <c r="FT312" s="59">
        <f>$CI312-$CI313</f>
        <v/>
      </c>
      <c r="FU312" s="59">
        <f>$CJ312-$CJ313</f>
        <v/>
      </c>
      <c r="FV312" s="59">
        <f>$CK312-$CK313</f>
        <v/>
      </c>
      <c r="FW312" s="59">
        <f>$CL312-$CL313</f>
        <v/>
      </c>
      <c r="FX312" s="59">
        <f>$CM312-$CM313</f>
        <v/>
      </c>
      <c r="FY312" s="59">
        <f>$CN312-$CN313</f>
        <v/>
      </c>
      <c r="FZ312" s="59">
        <f>$CO312-$CO313</f>
        <v/>
      </c>
      <c r="GA312" s="59">
        <f>$CP312-$CP313</f>
        <v/>
      </c>
      <c r="GB312" s="59">
        <f>$CQ312-$CQ313</f>
        <v/>
      </c>
      <c r="GC312" s="59">
        <f>$CR312-$CR313</f>
        <v/>
      </c>
      <c r="GD312" s="59">
        <f>$CS312-$CS313</f>
        <v/>
      </c>
      <c r="GE312" s="59">
        <f>$CT312-$CT313</f>
        <v/>
      </c>
    </row>
    <row r="313">
      <c r="CU313" s="58">
        <f>IFERROR($B313/$B314-1,"")</f>
        <v/>
      </c>
      <c r="CV313" s="59">
        <f>($F313-$F314)*100</f>
        <v/>
      </c>
      <c r="CW313" s="59">
        <f>($E313-$E314)*100</f>
        <v/>
      </c>
      <c r="CX313" s="58">
        <f>IFERROR($K313/$K314-1,"")</f>
        <v/>
      </c>
      <c r="CY313" s="59">
        <f>($AH313-$AH314)*100</f>
        <v/>
      </c>
      <c r="CZ313" s="59">
        <f>($AI313-$AI314)*100</f>
        <v/>
      </c>
      <c r="DA313" s="59">
        <f>($AJ313-$AJ314)*100</f>
        <v/>
      </c>
      <c r="DB313" s="59">
        <f>($AK313-$AK314)*100</f>
        <v/>
      </c>
      <c r="DC313" s="59">
        <f>($AL313-$AL314)*100</f>
        <v/>
      </c>
      <c r="DD313" s="59">
        <f>($AM313-$AM314)*100</f>
        <v/>
      </c>
      <c r="DE313" s="59">
        <f>($AN313-$AN314)*100</f>
        <v/>
      </c>
      <c r="DF313" s="59">
        <f>($AO313-$AO314)*100</f>
        <v/>
      </c>
      <c r="DG313" s="59">
        <f>($AP313-$AP314)*100</f>
        <v/>
      </c>
      <c r="DH313" s="59">
        <f>($AQ313-$AQ314)*100</f>
        <v/>
      </c>
      <c r="DI313" s="59">
        <f>($AR313-$AR314)*100</f>
        <v/>
      </c>
      <c r="DJ313" s="59">
        <f>($AS313-$AS314)*100</f>
        <v/>
      </c>
      <c r="DK313" s="59">
        <f>($AT313-$AT314)*100</f>
        <v/>
      </c>
      <c r="DL313" s="59">
        <f>($AU313-$AU314)*100</f>
        <v/>
      </c>
      <c r="DM313" s="59">
        <f>($AV313-$AV314)*100</f>
        <v/>
      </c>
      <c r="DN313" s="59">
        <f>($AW313-$AW314)*100</f>
        <v/>
      </c>
      <c r="DO313" s="59">
        <f>($AX313-$AX314)*100</f>
        <v/>
      </c>
      <c r="DP313" s="59">
        <f>($AY313-$AY314)*100</f>
        <v/>
      </c>
      <c r="DQ313" s="59">
        <f>($AZ313-$AZ314)*100</f>
        <v/>
      </c>
      <c r="DR313" s="59">
        <f>($BA313-$BA314)*100</f>
        <v/>
      </c>
      <c r="DS313" s="58">
        <f>IFERROR($N314/$N313-1,"")</f>
        <v/>
      </c>
      <c r="DT313" s="58">
        <f>IFERROR($O314/$O313-1,"")</f>
        <v/>
      </c>
      <c r="DU313" s="58">
        <f>IFERROR($P314/$P313-1,"")</f>
        <v/>
      </c>
      <c r="DV313" s="58">
        <f>IFERROR($Q314/$Q313-1,"")</f>
        <v/>
      </c>
      <c r="DW313" s="58">
        <f>IFERROR($R314/$R313-1,"")</f>
        <v/>
      </c>
      <c r="DX313" s="58">
        <f>IFERROR($S314/$S313-1,"")</f>
        <v/>
      </c>
      <c r="DY313" s="58">
        <f>IFERROR($T314/$T313-1,"")</f>
        <v/>
      </c>
      <c r="DZ313" s="58">
        <f>IFERROR($U314/$U313-1,"")</f>
        <v/>
      </c>
      <c r="EA313" s="58">
        <f>IFERROR($V314/$V313-1,"")</f>
        <v/>
      </c>
      <c r="EB313" s="58">
        <f>IFERROR($W314/$W313-1,"")</f>
        <v/>
      </c>
      <c r="EC313" s="58">
        <f>IFERROR($X314/$X313-1,"")</f>
        <v/>
      </c>
      <c r="ED313" s="58">
        <f>IFERROR($Y314/$Y313-1,"")</f>
        <v/>
      </c>
      <c r="EE313" s="58">
        <f>IFERROR($Z314/$Z313-1,"")</f>
        <v/>
      </c>
      <c r="EF313" s="58">
        <f>IFERROR($AA314/$AA313-1,"")</f>
        <v/>
      </c>
      <c r="EG313" s="58">
        <f>IFERROR($AB314/$AB313-1,"")</f>
        <v/>
      </c>
      <c r="EH313" s="58">
        <f>IFERROR($AC314/$AC313-1,"")</f>
        <v/>
      </c>
      <c r="EI313" s="58">
        <f>IFERROR($AD314/$AD313-1,"")</f>
        <v/>
      </c>
      <c r="EJ313" s="58">
        <f>IFERROR($AE314/$AE313-1,"")</f>
        <v/>
      </c>
      <c r="EK313" s="58">
        <f>IFERROR($AF314/$AF313-1,"")</f>
        <v/>
      </c>
      <c r="EL313" s="58">
        <f>IFERROR($AG314/$AG313-1,"")</f>
        <v/>
      </c>
      <c r="EM313" s="58">
        <f>IFERROR($BB313/$BB314-1,"")</f>
        <v/>
      </c>
      <c r="EN313" s="58">
        <f>IFERROR($BC313/$BC314-1,"")</f>
        <v/>
      </c>
      <c r="EO313" s="58">
        <f>IFERROR($BD313/$BD314-1,"")</f>
        <v/>
      </c>
      <c r="EP313" s="58">
        <f>IFERROR($BE313/$BE314-1,"")</f>
        <v/>
      </c>
      <c r="EQ313" s="58">
        <f>IFERROR($BF313/$BF314-1,"")</f>
        <v/>
      </c>
      <c r="ER313" s="58">
        <f>IFERROR($BG313/$BG314-1,"")</f>
        <v/>
      </c>
      <c r="ES313" s="58">
        <f>IFERROR($BH313/$BH314-1,"")</f>
        <v/>
      </c>
      <c r="ET313" s="58">
        <f>IFERROR($BI313/$BI314-1,"")</f>
        <v/>
      </c>
      <c r="EU313" s="58">
        <f>IFERROR($BJ313/$BJ314-1,"")</f>
        <v/>
      </c>
      <c r="EV313" s="58">
        <f>IFERROR($BK313/$BK314-1,"")</f>
        <v/>
      </c>
      <c r="EW313" s="58">
        <f>IFERROR($BL313/$BL314-1,"")</f>
        <v/>
      </c>
      <c r="EX313" s="58">
        <f>IFERROR($BM313/$BM314-1,"")</f>
        <v/>
      </c>
      <c r="EY313" s="58">
        <f>IFERROR($BN313/$BN314-1,"")</f>
        <v/>
      </c>
      <c r="EZ313" s="58">
        <f>IFERROR($BO313/$BO314-1,"")</f>
        <v/>
      </c>
      <c r="FA313" s="58">
        <f>IFERROR($BP313/$BP314-1,"")</f>
        <v/>
      </c>
      <c r="FB313" s="58">
        <f>IFERROR($BQ313/$BQ314-1,"")</f>
        <v/>
      </c>
      <c r="FC313" s="58">
        <f>IFERROR($BR313/$BR314-1,"")</f>
        <v/>
      </c>
      <c r="FD313" s="58">
        <f>IFERROR($BS313/$BS314-1,"")</f>
        <v/>
      </c>
      <c r="FE313" s="58">
        <f>IFERROR($BT313/$BT314-1,"")</f>
        <v/>
      </c>
      <c r="FF313" s="58">
        <f>IFERROR($BU313/$BU314-1,"")</f>
        <v/>
      </c>
      <c r="FG313" s="58">
        <f>IFERROR($BV313/$BV314-1,"")</f>
        <v/>
      </c>
      <c r="FH313" s="58">
        <f>IFERROR($BW313/$BW314-1,"")</f>
        <v/>
      </c>
      <c r="FI313" s="58">
        <f>IFERROR($BX313/$BX314-1,"")</f>
        <v/>
      </c>
      <c r="FJ313" s="59">
        <f>$BY313-$BY314</f>
        <v/>
      </c>
      <c r="FK313" s="59">
        <f>$BZ313-$BZ314</f>
        <v/>
      </c>
      <c r="FL313" s="59">
        <f>$CA313-$CA314</f>
        <v/>
      </c>
      <c r="FM313" s="59">
        <f>$CB313-$CB314</f>
        <v/>
      </c>
      <c r="FN313" s="59">
        <f>$CC313-$CC314</f>
        <v/>
      </c>
      <c r="FO313" s="59">
        <f>$CD313-$CD314</f>
        <v/>
      </c>
      <c r="FP313" s="59">
        <f>$CE313-$CE314</f>
        <v/>
      </c>
      <c r="FQ313" s="59">
        <f>$CF313-$CF314</f>
        <v/>
      </c>
      <c r="FR313" s="59">
        <f>$CG313-$CG314</f>
        <v/>
      </c>
      <c r="FS313" s="59">
        <f>$CH313-$CH314</f>
        <v/>
      </c>
      <c r="FT313" s="59">
        <f>$CI313-$CI314</f>
        <v/>
      </c>
      <c r="FU313" s="59">
        <f>$CJ313-$CJ314</f>
        <v/>
      </c>
      <c r="FV313" s="59">
        <f>$CK313-$CK314</f>
        <v/>
      </c>
      <c r="FW313" s="59">
        <f>$CL313-$CL314</f>
        <v/>
      </c>
      <c r="FX313" s="59">
        <f>$CM313-$CM314</f>
        <v/>
      </c>
      <c r="FY313" s="59">
        <f>$CN313-$CN314</f>
        <v/>
      </c>
      <c r="FZ313" s="59">
        <f>$CO313-$CO314</f>
        <v/>
      </c>
      <c r="GA313" s="59">
        <f>$CP313-$CP314</f>
        <v/>
      </c>
      <c r="GB313" s="59">
        <f>$CQ313-$CQ314</f>
        <v/>
      </c>
      <c r="GC313" s="59">
        <f>$CR313-$CR314</f>
        <v/>
      </c>
      <c r="GD313" s="59">
        <f>$CS313-$CS314</f>
        <v/>
      </c>
      <c r="GE313" s="59">
        <f>$CT313-$CT314</f>
        <v/>
      </c>
    </row>
    <row r="314">
      <c r="CU314" s="58">
        <f>IFERROR($B314/$B315-1,"")</f>
        <v/>
      </c>
      <c r="CV314" s="59">
        <f>($F314-$F315)*100</f>
        <v/>
      </c>
      <c r="CW314" s="59">
        <f>($E314-$E315)*100</f>
        <v/>
      </c>
      <c r="CX314" s="58">
        <f>IFERROR($K314/$K315-1,"")</f>
        <v/>
      </c>
      <c r="CY314" s="59">
        <f>($AH314-$AH315)*100</f>
        <v/>
      </c>
      <c r="CZ314" s="59">
        <f>($AI314-$AI315)*100</f>
        <v/>
      </c>
      <c r="DA314" s="59">
        <f>($AJ314-$AJ315)*100</f>
        <v/>
      </c>
      <c r="DB314" s="59">
        <f>($AK314-$AK315)*100</f>
        <v/>
      </c>
      <c r="DC314" s="59">
        <f>($AL314-$AL315)*100</f>
        <v/>
      </c>
      <c r="DD314" s="59">
        <f>($AM314-$AM315)*100</f>
        <v/>
      </c>
      <c r="DE314" s="59">
        <f>($AN314-$AN315)*100</f>
        <v/>
      </c>
      <c r="DF314" s="59">
        <f>($AO314-$AO315)*100</f>
        <v/>
      </c>
      <c r="DG314" s="59">
        <f>($AP314-$AP315)*100</f>
        <v/>
      </c>
      <c r="DH314" s="59">
        <f>($AQ314-$AQ315)*100</f>
        <v/>
      </c>
      <c r="DI314" s="59">
        <f>($AR314-$AR315)*100</f>
        <v/>
      </c>
      <c r="DJ314" s="59">
        <f>($AS314-$AS315)*100</f>
        <v/>
      </c>
      <c r="DK314" s="59">
        <f>($AT314-$AT315)*100</f>
        <v/>
      </c>
      <c r="DL314" s="59">
        <f>($AU314-$AU315)*100</f>
        <v/>
      </c>
      <c r="DM314" s="59">
        <f>($AV314-$AV315)*100</f>
        <v/>
      </c>
      <c r="DN314" s="59">
        <f>($AW314-$AW315)*100</f>
        <v/>
      </c>
      <c r="DO314" s="59">
        <f>($AX314-$AX315)*100</f>
        <v/>
      </c>
      <c r="DP314" s="59">
        <f>($AY314-$AY315)*100</f>
        <v/>
      </c>
      <c r="DQ314" s="59">
        <f>($AZ314-$AZ315)*100</f>
        <v/>
      </c>
      <c r="DR314" s="59">
        <f>($BA314-$BA315)*100</f>
        <v/>
      </c>
      <c r="DS314" s="58">
        <f>IFERROR($N315/$N314-1,"")</f>
        <v/>
      </c>
      <c r="DT314" s="58">
        <f>IFERROR($O315/$O314-1,"")</f>
        <v/>
      </c>
      <c r="DU314" s="58">
        <f>IFERROR($P315/$P314-1,"")</f>
        <v/>
      </c>
      <c r="DV314" s="58">
        <f>IFERROR($Q315/$Q314-1,"")</f>
        <v/>
      </c>
      <c r="DW314" s="58">
        <f>IFERROR($R315/$R314-1,"")</f>
        <v/>
      </c>
      <c r="DX314" s="58">
        <f>IFERROR($S315/$S314-1,"")</f>
        <v/>
      </c>
      <c r="DY314" s="58">
        <f>IFERROR($T315/$T314-1,"")</f>
        <v/>
      </c>
      <c r="DZ314" s="58">
        <f>IFERROR($U315/$U314-1,"")</f>
        <v/>
      </c>
      <c r="EA314" s="58">
        <f>IFERROR($V315/$V314-1,"")</f>
        <v/>
      </c>
      <c r="EB314" s="58">
        <f>IFERROR($W315/$W314-1,"")</f>
        <v/>
      </c>
      <c r="EC314" s="58">
        <f>IFERROR($X315/$X314-1,"")</f>
        <v/>
      </c>
      <c r="ED314" s="58">
        <f>IFERROR($Y315/$Y314-1,"")</f>
        <v/>
      </c>
      <c r="EE314" s="58">
        <f>IFERROR($Z315/$Z314-1,"")</f>
        <v/>
      </c>
      <c r="EF314" s="58">
        <f>IFERROR($AA315/$AA314-1,"")</f>
        <v/>
      </c>
      <c r="EG314" s="58">
        <f>IFERROR($AB315/$AB314-1,"")</f>
        <v/>
      </c>
      <c r="EH314" s="58">
        <f>IFERROR($AC315/$AC314-1,"")</f>
        <v/>
      </c>
      <c r="EI314" s="58">
        <f>IFERROR($AD315/$AD314-1,"")</f>
        <v/>
      </c>
      <c r="EJ314" s="58">
        <f>IFERROR($AE315/$AE314-1,"")</f>
        <v/>
      </c>
      <c r="EK314" s="58">
        <f>IFERROR($AF315/$AF314-1,"")</f>
        <v/>
      </c>
      <c r="EL314" s="58">
        <f>IFERROR($AG315/$AG314-1,"")</f>
        <v/>
      </c>
      <c r="EM314" s="58">
        <f>IFERROR($BB314/$BB315-1,"")</f>
        <v/>
      </c>
      <c r="EN314" s="58">
        <f>IFERROR($BC314/$BC315-1,"")</f>
        <v/>
      </c>
      <c r="EO314" s="58">
        <f>IFERROR($BD314/$BD315-1,"")</f>
        <v/>
      </c>
      <c r="EP314" s="58">
        <f>IFERROR($BE314/$BE315-1,"")</f>
        <v/>
      </c>
      <c r="EQ314" s="58">
        <f>IFERROR($BF314/$BF315-1,"")</f>
        <v/>
      </c>
      <c r="ER314" s="58">
        <f>IFERROR($BG314/$BG315-1,"")</f>
        <v/>
      </c>
      <c r="ES314" s="58">
        <f>IFERROR($BH314/$BH315-1,"")</f>
        <v/>
      </c>
      <c r="ET314" s="58">
        <f>IFERROR($BI314/$BI315-1,"")</f>
        <v/>
      </c>
      <c r="EU314" s="58">
        <f>IFERROR($BJ314/$BJ315-1,"")</f>
        <v/>
      </c>
      <c r="EV314" s="58">
        <f>IFERROR($BK314/$BK315-1,"")</f>
        <v/>
      </c>
      <c r="EW314" s="58">
        <f>IFERROR($BL314/$BL315-1,"")</f>
        <v/>
      </c>
      <c r="EX314" s="58">
        <f>IFERROR($BM314/$BM315-1,"")</f>
        <v/>
      </c>
      <c r="EY314" s="58">
        <f>IFERROR($BN314/$BN315-1,"")</f>
        <v/>
      </c>
      <c r="EZ314" s="58">
        <f>IFERROR($BO314/$BO315-1,"")</f>
        <v/>
      </c>
      <c r="FA314" s="58">
        <f>IFERROR($BP314/$BP315-1,"")</f>
        <v/>
      </c>
      <c r="FB314" s="58">
        <f>IFERROR($BQ314/$BQ315-1,"")</f>
        <v/>
      </c>
      <c r="FC314" s="58">
        <f>IFERROR($BR314/$BR315-1,"")</f>
        <v/>
      </c>
      <c r="FD314" s="58">
        <f>IFERROR($BS314/$BS315-1,"")</f>
        <v/>
      </c>
      <c r="FE314" s="58">
        <f>IFERROR($BT314/$BT315-1,"")</f>
        <v/>
      </c>
      <c r="FF314" s="58">
        <f>IFERROR($BU314/$BU315-1,"")</f>
        <v/>
      </c>
      <c r="FG314" s="58">
        <f>IFERROR($BV314/$BV315-1,"")</f>
        <v/>
      </c>
      <c r="FH314" s="58">
        <f>IFERROR($BW314/$BW315-1,"")</f>
        <v/>
      </c>
      <c r="FI314" s="58">
        <f>IFERROR($BX314/$BX315-1,"")</f>
        <v/>
      </c>
      <c r="FJ314" s="59">
        <f>$BY314-$BY315</f>
        <v/>
      </c>
      <c r="FK314" s="59">
        <f>$BZ314-$BZ315</f>
        <v/>
      </c>
      <c r="FL314" s="59">
        <f>$CA314-$CA315</f>
        <v/>
      </c>
      <c r="FM314" s="59">
        <f>$CB314-$CB315</f>
        <v/>
      </c>
      <c r="FN314" s="59">
        <f>$CC314-$CC315</f>
        <v/>
      </c>
      <c r="FO314" s="59">
        <f>$CD314-$CD315</f>
        <v/>
      </c>
      <c r="FP314" s="59">
        <f>$CE314-$CE315</f>
        <v/>
      </c>
      <c r="FQ314" s="59">
        <f>$CF314-$CF315</f>
        <v/>
      </c>
      <c r="FR314" s="59">
        <f>$CG314-$CG315</f>
        <v/>
      </c>
      <c r="FS314" s="59">
        <f>$CH314-$CH315</f>
        <v/>
      </c>
      <c r="FT314" s="59">
        <f>$CI314-$CI315</f>
        <v/>
      </c>
      <c r="FU314" s="59">
        <f>$CJ314-$CJ315</f>
        <v/>
      </c>
      <c r="FV314" s="59">
        <f>$CK314-$CK315</f>
        <v/>
      </c>
      <c r="FW314" s="59">
        <f>$CL314-$CL315</f>
        <v/>
      </c>
      <c r="FX314" s="59">
        <f>$CM314-$CM315</f>
        <v/>
      </c>
      <c r="FY314" s="59">
        <f>$CN314-$CN315</f>
        <v/>
      </c>
      <c r="FZ314" s="59">
        <f>$CO314-$CO315</f>
        <v/>
      </c>
      <c r="GA314" s="59">
        <f>$CP314-$CP315</f>
        <v/>
      </c>
      <c r="GB314" s="59">
        <f>$CQ314-$CQ315</f>
        <v/>
      </c>
      <c r="GC314" s="59">
        <f>$CR314-$CR315</f>
        <v/>
      </c>
      <c r="GD314" s="59">
        <f>$CS314-$CS315</f>
        <v/>
      </c>
      <c r="GE314" s="59">
        <f>$CT314-$CT315</f>
        <v/>
      </c>
    </row>
    <row r="315">
      <c r="CU315" s="58">
        <f>IFERROR($B315/$B316-1,"")</f>
        <v/>
      </c>
      <c r="CV315" s="59">
        <f>($F315-$F316)*100</f>
        <v/>
      </c>
      <c r="CW315" s="59">
        <f>($E315-$E316)*100</f>
        <v/>
      </c>
      <c r="CX315" s="58">
        <f>IFERROR($K315/$K316-1,"")</f>
        <v/>
      </c>
      <c r="CY315" s="59">
        <f>($AH315-$AH316)*100</f>
        <v/>
      </c>
      <c r="CZ315" s="59">
        <f>($AI315-$AI316)*100</f>
        <v/>
      </c>
      <c r="DA315" s="59">
        <f>($AJ315-$AJ316)*100</f>
        <v/>
      </c>
      <c r="DB315" s="59">
        <f>($AK315-$AK316)*100</f>
        <v/>
      </c>
      <c r="DC315" s="59">
        <f>($AL315-$AL316)*100</f>
        <v/>
      </c>
      <c r="DD315" s="59">
        <f>($AM315-$AM316)*100</f>
        <v/>
      </c>
      <c r="DE315" s="59">
        <f>($AN315-$AN316)*100</f>
        <v/>
      </c>
      <c r="DF315" s="59">
        <f>($AO315-$AO316)*100</f>
        <v/>
      </c>
      <c r="DG315" s="59">
        <f>($AP315-$AP316)*100</f>
        <v/>
      </c>
      <c r="DH315" s="59">
        <f>($AQ315-$AQ316)*100</f>
        <v/>
      </c>
      <c r="DI315" s="59">
        <f>($AR315-$AR316)*100</f>
        <v/>
      </c>
      <c r="DJ315" s="59">
        <f>($AS315-$AS316)*100</f>
        <v/>
      </c>
      <c r="DK315" s="59">
        <f>($AT315-$AT316)*100</f>
        <v/>
      </c>
      <c r="DL315" s="59">
        <f>($AU315-$AU316)*100</f>
        <v/>
      </c>
      <c r="DM315" s="59">
        <f>($AV315-$AV316)*100</f>
        <v/>
      </c>
      <c r="DN315" s="59">
        <f>($AW315-$AW316)*100</f>
        <v/>
      </c>
      <c r="DO315" s="59">
        <f>($AX315-$AX316)*100</f>
        <v/>
      </c>
      <c r="DP315" s="59">
        <f>($AY315-$AY316)*100</f>
        <v/>
      </c>
      <c r="DQ315" s="59">
        <f>($AZ315-$AZ316)*100</f>
        <v/>
      </c>
      <c r="DR315" s="59">
        <f>($BA315-$BA316)*100</f>
        <v/>
      </c>
      <c r="DS315" s="58">
        <f>IFERROR($N316/$N315-1,"")</f>
        <v/>
      </c>
      <c r="DT315" s="58">
        <f>IFERROR($O316/$O315-1,"")</f>
        <v/>
      </c>
      <c r="DU315" s="58">
        <f>IFERROR($P316/$P315-1,"")</f>
        <v/>
      </c>
      <c r="DV315" s="58">
        <f>IFERROR($Q316/$Q315-1,"")</f>
        <v/>
      </c>
      <c r="DW315" s="58">
        <f>IFERROR($R316/$R315-1,"")</f>
        <v/>
      </c>
      <c r="DX315" s="58">
        <f>IFERROR($S316/$S315-1,"")</f>
        <v/>
      </c>
      <c r="DY315" s="58">
        <f>IFERROR($T316/$T315-1,"")</f>
        <v/>
      </c>
      <c r="DZ315" s="58">
        <f>IFERROR($U316/$U315-1,"")</f>
        <v/>
      </c>
      <c r="EA315" s="58">
        <f>IFERROR($V316/$V315-1,"")</f>
        <v/>
      </c>
      <c r="EB315" s="58">
        <f>IFERROR($W316/$W315-1,"")</f>
        <v/>
      </c>
      <c r="EC315" s="58">
        <f>IFERROR($X316/$X315-1,"")</f>
        <v/>
      </c>
      <c r="ED315" s="58">
        <f>IFERROR($Y316/$Y315-1,"")</f>
        <v/>
      </c>
      <c r="EE315" s="58">
        <f>IFERROR($Z316/$Z315-1,"")</f>
        <v/>
      </c>
      <c r="EF315" s="58">
        <f>IFERROR($AA316/$AA315-1,"")</f>
        <v/>
      </c>
      <c r="EG315" s="58">
        <f>IFERROR($AB316/$AB315-1,"")</f>
        <v/>
      </c>
      <c r="EH315" s="58">
        <f>IFERROR($AC316/$AC315-1,"")</f>
        <v/>
      </c>
      <c r="EI315" s="58">
        <f>IFERROR($AD316/$AD315-1,"")</f>
        <v/>
      </c>
      <c r="EJ315" s="58">
        <f>IFERROR($AE316/$AE315-1,"")</f>
        <v/>
      </c>
      <c r="EK315" s="58">
        <f>IFERROR($AF316/$AF315-1,"")</f>
        <v/>
      </c>
      <c r="EL315" s="58">
        <f>IFERROR($AG316/$AG315-1,"")</f>
        <v/>
      </c>
      <c r="EM315" s="58">
        <f>IFERROR($BB315/$BB316-1,"")</f>
        <v/>
      </c>
      <c r="EN315" s="58">
        <f>IFERROR($BC315/$BC316-1,"")</f>
        <v/>
      </c>
      <c r="EO315" s="58">
        <f>IFERROR($BD315/$BD316-1,"")</f>
        <v/>
      </c>
      <c r="EP315" s="58">
        <f>IFERROR($BE315/$BE316-1,"")</f>
        <v/>
      </c>
      <c r="EQ315" s="58">
        <f>IFERROR($BF315/$BF316-1,"")</f>
        <v/>
      </c>
      <c r="ER315" s="58">
        <f>IFERROR($BG315/$BG316-1,"")</f>
        <v/>
      </c>
      <c r="ES315" s="58">
        <f>IFERROR($BH315/$BH316-1,"")</f>
        <v/>
      </c>
      <c r="ET315" s="58">
        <f>IFERROR($BI315/$BI316-1,"")</f>
        <v/>
      </c>
      <c r="EU315" s="58">
        <f>IFERROR($BJ315/$BJ316-1,"")</f>
        <v/>
      </c>
      <c r="EV315" s="58">
        <f>IFERROR($BK315/$BK316-1,"")</f>
        <v/>
      </c>
      <c r="EW315" s="58">
        <f>IFERROR($BL315/$BL316-1,"")</f>
        <v/>
      </c>
      <c r="EX315" s="58">
        <f>IFERROR($BM315/$BM316-1,"")</f>
        <v/>
      </c>
      <c r="EY315" s="58">
        <f>IFERROR($BN315/$BN316-1,"")</f>
        <v/>
      </c>
      <c r="EZ315" s="58">
        <f>IFERROR($BO315/$BO316-1,"")</f>
        <v/>
      </c>
      <c r="FA315" s="58">
        <f>IFERROR($BP315/$BP316-1,"")</f>
        <v/>
      </c>
      <c r="FB315" s="58">
        <f>IFERROR($BQ315/$BQ316-1,"")</f>
        <v/>
      </c>
      <c r="FC315" s="58">
        <f>IFERROR($BR315/$BR316-1,"")</f>
        <v/>
      </c>
      <c r="FD315" s="58">
        <f>IFERROR($BS315/$BS316-1,"")</f>
        <v/>
      </c>
      <c r="FE315" s="58">
        <f>IFERROR($BT315/$BT316-1,"")</f>
        <v/>
      </c>
      <c r="FF315" s="58">
        <f>IFERROR($BU315/$BU316-1,"")</f>
        <v/>
      </c>
      <c r="FG315" s="58">
        <f>IFERROR($BV315/$BV316-1,"")</f>
        <v/>
      </c>
      <c r="FH315" s="58">
        <f>IFERROR($BW315/$BW316-1,"")</f>
        <v/>
      </c>
      <c r="FI315" s="58">
        <f>IFERROR($BX315/$BX316-1,"")</f>
        <v/>
      </c>
      <c r="FJ315" s="59">
        <f>$BY315-$BY316</f>
        <v/>
      </c>
      <c r="FK315" s="59">
        <f>$BZ315-$BZ316</f>
        <v/>
      </c>
      <c r="FL315" s="59">
        <f>$CA315-$CA316</f>
        <v/>
      </c>
      <c r="FM315" s="59">
        <f>$CB315-$CB316</f>
        <v/>
      </c>
      <c r="FN315" s="59">
        <f>$CC315-$CC316</f>
        <v/>
      </c>
      <c r="FO315" s="59">
        <f>$CD315-$CD316</f>
        <v/>
      </c>
      <c r="FP315" s="59">
        <f>$CE315-$CE316</f>
        <v/>
      </c>
      <c r="FQ315" s="59">
        <f>$CF315-$CF316</f>
        <v/>
      </c>
      <c r="FR315" s="59">
        <f>$CG315-$CG316</f>
        <v/>
      </c>
      <c r="FS315" s="59">
        <f>$CH315-$CH316</f>
        <v/>
      </c>
      <c r="FT315" s="59">
        <f>$CI315-$CI316</f>
        <v/>
      </c>
      <c r="FU315" s="59">
        <f>$CJ315-$CJ316</f>
        <v/>
      </c>
      <c r="FV315" s="59">
        <f>$CK315-$CK316</f>
        <v/>
      </c>
      <c r="FW315" s="59">
        <f>$CL315-$CL316</f>
        <v/>
      </c>
      <c r="FX315" s="59">
        <f>$CM315-$CM316</f>
        <v/>
      </c>
      <c r="FY315" s="59">
        <f>$CN315-$CN316</f>
        <v/>
      </c>
      <c r="FZ315" s="59">
        <f>$CO315-$CO316</f>
        <v/>
      </c>
      <c r="GA315" s="59">
        <f>$CP315-$CP316</f>
        <v/>
      </c>
      <c r="GB315" s="59">
        <f>$CQ315-$CQ316</f>
        <v/>
      </c>
      <c r="GC315" s="59">
        <f>$CR315-$CR316</f>
        <v/>
      </c>
      <c r="GD315" s="59">
        <f>$CS315-$CS316</f>
        <v/>
      </c>
      <c r="GE315" s="59">
        <f>$CT315-$CT316</f>
        <v/>
      </c>
    </row>
    <row r="316">
      <c r="CU316" s="58">
        <f>IFERROR($B316/$B317-1,"")</f>
        <v/>
      </c>
      <c r="CV316" s="59">
        <f>($F316-$F317)*100</f>
        <v/>
      </c>
      <c r="CW316" s="59">
        <f>($E316-$E317)*100</f>
        <v/>
      </c>
      <c r="CX316" s="58">
        <f>IFERROR($K316/$K317-1,"")</f>
        <v/>
      </c>
      <c r="CY316" s="59">
        <f>($AH316-$AH317)*100</f>
        <v/>
      </c>
      <c r="CZ316" s="59">
        <f>($AI316-$AI317)*100</f>
        <v/>
      </c>
      <c r="DA316" s="59">
        <f>($AJ316-$AJ317)*100</f>
        <v/>
      </c>
      <c r="DB316" s="59">
        <f>($AK316-$AK317)*100</f>
        <v/>
      </c>
      <c r="DC316" s="59">
        <f>($AL316-$AL317)*100</f>
        <v/>
      </c>
      <c r="DD316" s="59">
        <f>($AM316-$AM317)*100</f>
        <v/>
      </c>
      <c r="DE316" s="59">
        <f>($AN316-$AN317)*100</f>
        <v/>
      </c>
      <c r="DF316" s="59">
        <f>($AO316-$AO317)*100</f>
        <v/>
      </c>
      <c r="DG316" s="59">
        <f>($AP316-$AP317)*100</f>
        <v/>
      </c>
      <c r="DH316" s="59">
        <f>($AQ316-$AQ317)*100</f>
        <v/>
      </c>
      <c r="DI316" s="59">
        <f>($AR316-$AR317)*100</f>
        <v/>
      </c>
      <c r="DJ316" s="59">
        <f>($AS316-$AS317)*100</f>
        <v/>
      </c>
      <c r="DK316" s="59">
        <f>($AT316-$AT317)*100</f>
        <v/>
      </c>
      <c r="DL316" s="59">
        <f>($AU316-$AU317)*100</f>
        <v/>
      </c>
      <c r="DM316" s="59">
        <f>($AV316-$AV317)*100</f>
        <v/>
      </c>
      <c r="DN316" s="59">
        <f>($AW316-$AW317)*100</f>
        <v/>
      </c>
      <c r="DO316" s="59">
        <f>($AX316-$AX317)*100</f>
        <v/>
      </c>
      <c r="DP316" s="59">
        <f>($AY316-$AY317)*100</f>
        <v/>
      </c>
      <c r="DQ316" s="59">
        <f>($AZ316-$AZ317)*100</f>
        <v/>
      </c>
      <c r="DR316" s="59">
        <f>($BA316-$BA317)*100</f>
        <v/>
      </c>
      <c r="DS316" s="58">
        <f>IFERROR($N317/$N316-1,"")</f>
        <v/>
      </c>
      <c r="DT316" s="58">
        <f>IFERROR($O317/$O316-1,"")</f>
        <v/>
      </c>
      <c r="DU316" s="58">
        <f>IFERROR($P317/$P316-1,"")</f>
        <v/>
      </c>
      <c r="DV316" s="58">
        <f>IFERROR($Q317/$Q316-1,"")</f>
        <v/>
      </c>
      <c r="DW316" s="58">
        <f>IFERROR($R317/$R316-1,"")</f>
        <v/>
      </c>
      <c r="DX316" s="58">
        <f>IFERROR($S317/$S316-1,"")</f>
        <v/>
      </c>
      <c r="DY316" s="58">
        <f>IFERROR($T317/$T316-1,"")</f>
        <v/>
      </c>
      <c r="DZ316" s="58">
        <f>IFERROR($U317/$U316-1,"")</f>
        <v/>
      </c>
      <c r="EA316" s="58">
        <f>IFERROR($V317/$V316-1,"")</f>
        <v/>
      </c>
      <c r="EB316" s="58">
        <f>IFERROR($W317/$W316-1,"")</f>
        <v/>
      </c>
      <c r="EC316" s="58">
        <f>IFERROR($X317/$X316-1,"")</f>
        <v/>
      </c>
      <c r="ED316" s="58">
        <f>IFERROR($Y317/$Y316-1,"")</f>
        <v/>
      </c>
      <c r="EE316" s="58">
        <f>IFERROR($Z317/$Z316-1,"")</f>
        <v/>
      </c>
      <c r="EF316" s="58">
        <f>IFERROR($AA317/$AA316-1,"")</f>
        <v/>
      </c>
      <c r="EG316" s="58">
        <f>IFERROR($AB317/$AB316-1,"")</f>
        <v/>
      </c>
      <c r="EH316" s="58">
        <f>IFERROR($AC317/$AC316-1,"")</f>
        <v/>
      </c>
      <c r="EI316" s="58">
        <f>IFERROR($AD317/$AD316-1,"")</f>
        <v/>
      </c>
      <c r="EJ316" s="58">
        <f>IFERROR($AE317/$AE316-1,"")</f>
        <v/>
      </c>
      <c r="EK316" s="58">
        <f>IFERROR($AF317/$AF316-1,"")</f>
        <v/>
      </c>
      <c r="EL316" s="58">
        <f>IFERROR($AG317/$AG316-1,"")</f>
        <v/>
      </c>
      <c r="EM316" s="58">
        <f>IFERROR($BB316/$BB317-1,"")</f>
        <v/>
      </c>
      <c r="EN316" s="58">
        <f>IFERROR($BC316/$BC317-1,"")</f>
        <v/>
      </c>
      <c r="EO316" s="58">
        <f>IFERROR($BD316/$BD317-1,"")</f>
        <v/>
      </c>
      <c r="EP316" s="58">
        <f>IFERROR($BE316/$BE317-1,"")</f>
        <v/>
      </c>
      <c r="EQ316" s="58">
        <f>IFERROR($BF316/$BF317-1,"")</f>
        <v/>
      </c>
      <c r="ER316" s="58">
        <f>IFERROR($BG316/$BG317-1,"")</f>
        <v/>
      </c>
      <c r="ES316" s="58">
        <f>IFERROR($BH316/$BH317-1,"")</f>
        <v/>
      </c>
      <c r="ET316" s="58">
        <f>IFERROR($BI316/$BI317-1,"")</f>
        <v/>
      </c>
      <c r="EU316" s="58">
        <f>IFERROR($BJ316/$BJ317-1,"")</f>
        <v/>
      </c>
      <c r="EV316" s="58">
        <f>IFERROR($BK316/$BK317-1,"")</f>
        <v/>
      </c>
      <c r="EW316" s="58">
        <f>IFERROR($BL316/$BL317-1,"")</f>
        <v/>
      </c>
      <c r="EX316" s="58">
        <f>IFERROR($BM316/$BM317-1,"")</f>
        <v/>
      </c>
      <c r="EY316" s="58">
        <f>IFERROR($BN316/$BN317-1,"")</f>
        <v/>
      </c>
      <c r="EZ316" s="58">
        <f>IFERROR($BO316/$BO317-1,"")</f>
        <v/>
      </c>
      <c r="FA316" s="58">
        <f>IFERROR($BP316/$BP317-1,"")</f>
        <v/>
      </c>
      <c r="FB316" s="58">
        <f>IFERROR($BQ316/$BQ317-1,"")</f>
        <v/>
      </c>
      <c r="FC316" s="58">
        <f>IFERROR($BR316/$BR317-1,"")</f>
        <v/>
      </c>
      <c r="FD316" s="58">
        <f>IFERROR($BS316/$BS317-1,"")</f>
        <v/>
      </c>
      <c r="FE316" s="58">
        <f>IFERROR($BT316/$BT317-1,"")</f>
        <v/>
      </c>
      <c r="FF316" s="58">
        <f>IFERROR($BU316/$BU317-1,"")</f>
        <v/>
      </c>
      <c r="FG316" s="58">
        <f>IFERROR($BV316/$BV317-1,"")</f>
        <v/>
      </c>
      <c r="FH316" s="58">
        <f>IFERROR($BW316/$BW317-1,"")</f>
        <v/>
      </c>
      <c r="FI316" s="58">
        <f>IFERROR($BX316/$BX317-1,"")</f>
        <v/>
      </c>
      <c r="FJ316" s="59">
        <f>$BY316-$BY317</f>
        <v/>
      </c>
      <c r="FK316" s="59">
        <f>$BZ316-$BZ317</f>
        <v/>
      </c>
      <c r="FL316" s="59">
        <f>$CA316-$CA317</f>
        <v/>
      </c>
      <c r="FM316" s="59">
        <f>$CB316-$CB317</f>
        <v/>
      </c>
      <c r="FN316" s="59">
        <f>$CC316-$CC317</f>
        <v/>
      </c>
      <c r="FO316" s="59">
        <f>$CD316-$CD317</f>
        <v/>
      </c>
      <c r="FP316" s="59">
        <f>$CE316-$CE317</f>
        <v/>
      </c>
      <c r="FQ316" s="59">
        <f>$CF316-$CF317</f>
        <v/>
      </c>
      <c r="FR316" s="59">
        <f>$CG316-$CG317</f>
        <v/>
      </c>
      <c r="FS316" s="59">
        <f>$CH316-$CH317</f>
        <v/>
      </c>
      <c r="FT316" s="59">
        <f>$CI316-$CI317</f>
        <v/>
      </c>
      <c r="FU316" s="59">
        <f>$CJ316-$CJ317</f>
        <v/>
      </c>
      <c r="FV316" s="59">
        <f>$CK316-$CK317</f>
        <v/>
      </c>
      <c r="FW316" s="59">
        <f>$CL316-$CL317</f>
        <v/>
      </c>
      <c r="FX316" s="59">
        <f>$CM316-$CM317</f>
        <v/>
      </c>
      <c r="FY316" s="59">
        <f>$CN316-$CN317</f>
        <v/>
      </c>
      <c r="FZ316" s="59">
        <f>$CO316-$CO317</f>
        <v/>
      </c>
      <c r="GA316" s="59">
        <f>$CP316-$CP317</f>
        <v/>
      </c>
      <c r="GB316" s="59">
        <f>$CQ316-$CQ317</f>
        <v/>
      </c>
      <c r="GC316" s="59">
        <f>$CR316-$CR317</f>
        <v/>
      </c>
      <c r="GD316" s="59">
        <f>$CS316-$CS317</f>
        <v/>
      </c>
      <c r="GE316" s="59">
        <f>$CT316-$CT317</f>
        <v/>
      </c>
    </row>
    <row r="317">
      <c r="CU317" s="58">
        <f>IFERROR($B317/$B318-1,"")</f>
        <v/>
      </c>
      <c r="CV317" s="59">
        <f>($F317-$F318)*100</f>
        <v/>
      </c>
      <c r="CW317" s="59">
        <f>($E317-$E318)*100</f>
        <v/>
      </c>
      <c r="CX317" s="58">
        <f>IFERROR($K317/$K318-1,"")</f>
        <v/>
      </c>
      <c r="CY317" s="59">
        <f>($AH317-$AH318)*100</f>
        <v/>
      </c>
      <c r="CZ317" s="59">
        <f>($AI317-$AI318)*100</f>
        <v/>
      </c>
      <c r="DA317" s="59">
        <f>($AJ317-$AJ318)*100</f>
        <v/>
      </c>
      <c r="DB317" s="59">
        <f>($AK317-$AK318)*100</f>
        <v/>
      </c>
      <c r="DC317" s="59">
        <f>($AL317-$AL318)*100</f>
        <v/>
      </c>
      <c r="DD317" s="59">
        <f>($AM317-$AM318)*100</f>
        <v/>
      </c>
      <c r="DE317" s="59">
        <f>($AN317-$AN318)*100</f>
        <v/>
      </c>
      <c r="DF317" s="59">
        <f>($AO317-$AO318)*100</f>
        <v/>
      </c>
      <c r="DG317" s="59">
        <f>($AP317-$AP318)*100</f>
        <v/>
      </c>
      <c r="DH317" s="59">
        <f>($AQ317-$AQ318)*100</f>
        <v/>
      </c>
      <c r="DI317" s="59">
        <f>($AR317-$AR318)*100</f>
        <v/>
      </c>
      <c r="DJ317" s="59">
        <f>($AS317-$AS318)*100</f>
        <v/>
      </c>
      <c r="DK317" s="59">
        <f>($AT317-$AT318)*100</f>
        <v/>
      </c>
      <c r="DL317" s="59">
        <f>($AU317-$AU318)*100</f>
        <v/>
      </c>
      <c r="DM317" s="59">
        <f>($AV317-$AV318)*100</f>
        <v/>
      </c>
      <c r="DN317" s="59">
        <f>($AW317-$AW318)*100</f>
        <v/>
      </c>
      <c r="DO317" s="59">
        <f>($AX317-$AX318)*100</f>
        <v/>
      </c>
      <c r="DP317" s="59">
        <f>($AY317-$AY318)*100</f>
        <v/>
      </c>
      <c r="DQ317" s="59">
        <f>($AZ317-$AZ318)*100</f>
        <v/>
      </c>
      <c r="DR317" s="59">
        <f>($BA317-$BA318)*100</f>
        <v/>
      </c>
      <c r="DS317" s="58">
        <f>IFERROR($N318/$N317-1,"")</f>
        <v/>
      </c>
      <c r="DT317" s="58">
        <f>IFERROR($O318/$O317-1,"")</f>
        <v/>
      </c>
      <c r="DU317" s="58">
        <f>IFERROR($P318/$P317-1,"")</f>
        <v/>
      </c>
      <c r="DV317" s="58">
        <f>IFERROR($Q318/$Q317-1,"")</f>
        <v/>
      </c>
      <c r="DW317" s="58">
        <f>IFERROR($R318/$R317-1,"")</f>
        <v/>
      </c>
      <c r="DX317" s="58">
        <f>IFERROR($S318/$S317-1,"")</f>
        <v/>
      </c>
      <c r="DY317" s="58">
        <f>IFERROR($T318/$T317-1,"")</f>
        <v/>
      </c>
      <c r="DZ317" s="58">
        <f>IFERROR($U318/$U317-1,"")</f>
        <v/>
      </c>
      <c r="EA317" s="58">
        <f>IFERROR($V318/$V317-1,"")</f>
        <v/>
      </c>
      <c r="EB317" s="58">
        <f>IFERROR($W318/$W317-1,"")</f>
        <v/>
      </c>
      <c r="EC317" s="58">
        <f>IFERROR($X318/$X317-1,"")</f>
        <v/>
      </c>
      <c r="ED317" s="58">
        <f>IFERROR($Y318/$Y317-1,"")</f>
        <v/>
      </c>
      <c r="EE317" s="58">
        <f>IFERROR($Z318/$Z317-1,"")</f>
        <v/>
      </c>
      <c r="EF317" s="58">
        <f>IFERROR($AA318/$AA317-1,"")</f>
        <v/>
      </c>
      <c r="EG317" s="58">
        <f>IFERROR($AB318/$AB317-1,"")</f>
        <v/>
      </c>
      <c r="EH317" s="58">
        <f>IFERROR($AC318/$AC317-1,"")</f>
        <v/>
      </c>
      <c r="EI317" s="58">
        <f>IFERROR($AD318/$AD317-1,"")</f>
        <v/>
      </c>
      <c r="EJ317" s="58">
        <f>IFERROR($AE318/$AE317-1,"")</f>
        <v/>
      </c>
      <c r="EK317" s="58">
        <f>IFERROR($AF318/$AF317-1,"")</f>
        <v/>
      </c>
      <c r="EL317" s="58">
        <f>IFERROR($AG318/$AG317-1,"")</f>
        <v/>
      </c>
      <c r="EM317" s="58">
        <f>IFERROR($BB317/$BB318-1,"")</f>
        <v/>
      </c>
      <c r="EN317" s="58">
        <f>IFERROR($BC317/$BC318-1,"")</f>
        <v/>
      </c>
      <c r="EO317" s="58">
        <f>IFERROR($BD317/$BD318-1,"")</f>
        <v/>
      </c>
      <c r="EP317" s="58">
        <f>IFERROR($BE317/$BE318-1,"")</f>
        <v/>
      </c>
      <c r="EQ317" s="58">
        <f>IFERROR($BF317/$BF318-1,"")</f>
        <v/>
      </c>
      <c r="ER317" s="58">
        <f>IFERROR($BG317/$BG318-1,"")</f>
        <v/>
      </c>
      <c r="ES317" s="58">
        <f>IFERROR($BH317/$BH318-1,"")</f>
        <v/>
      </c>
      <c r="ET317" s="58">
        <f>IFERROR($BI317/$BI318-1,"")</f>
        <v/>
      </c>
      <c r="EU317" s="58">
        <f>IFERROR($BJ317/$BJ318-1,"")</f>
        <v/>
      </c>
      <c r="EV317" s="58">
        <f>IFERROR($BK317/$BK318-1,"")</f>
        <v/>
      </c>
      <c r="EW317" s="58">
        <f>IFERROR($BL317/$BL318-1,"")</f>
        <v/>
      </c>
      <c r="EX317" s="58">
        <f>IFERROR($BM317/$BM318-1,"")</f>
        <v/>
      </c>
      <c r="EY317" s="58">
        <f>IFERROR($BN317/$BN318-1,"")</f>
        <v/>
      </c>
      <c r="EZ317" s="58">
        <f>IFERROR($BO317/$BO318-1,"")</f>
        <v/>
      </c>
      <c r="FA317" s="58">
        <f>IFERROR($BP317/$BP318-1,"")</f>
        <v/>
      </c>
      <c r="FB317" s="58">
        <f>IFERROR($BQ317/$BQ318-1,"")</f>
        <v/>
      </c>
      <c r="FC317" s="58">
        <f>IFERROR($BR317/$BR318-1,"")</f>
        <v/>
      </c>
      <c r="FD317" s="58">
        <f>IFERROR($BS317/$BS318-1,"")</f>
        <v/>
      </c>
      <c r="FE317" s="58">
        <f>IFERROR($BT317/$BT318-1,"")</f>
        <v/>
      </c>
      <c r="FF317" s="58">
        <f>IFERROR($BU317/$BU318-1,"")</f>
        <v/>
      </c>
      <c r="FG317" s="58">
        <f>IFERROR($BV317/$BV318-1,"")</f>
        <v/>
      </c>
      <c r="FH317" s="58">
        <f>IFERROR($BW317/$BW318-1,"")</f>
        <v/>
      </c>
      <c r="FI317" s="58">
        <f>IFERROR($BX317/$BX318-1,"")</f>
        <v/>
      </c>
      <c r="FJ317" s="59">
        <f>$BY317-$BY318</f>
        <v/>
      </c>
      <c r="FK317" s="59">
        <f>$BZ317-$BZ318</f>
        <v/>
      </c>
      <c r="FL317" s="59">
        <f>$CA317-$CA318</f>
        <v/>
      </c>
      <c r="FM317" s="59">
        <f>$CB317-$CB318</f>
        <v/>
      </c>
      <c r="FN317" s="59">
        <f>$CC317-$CC318</f>
        <v/>
      </c>
      <c r="FO317" s="59">
        <f>$CD317-$CD318</f>
        <v/>
      </c>
      <c r="FP317" s="59">
        <f>$CE317-$CE318</f>
        <v/>
      </c>
      <c r="FQ317" s="59">
        <f>$CF317-$CF318</f>
        <v/>
      </c>
      <c r="FR317" s="59">
        <f>$CG317-$CG318</f>
        <v/>
      </c>
      <c r="FS317" s="59">
        <f>$CH317-$CH318</f>
        <v/>
      </c>
      <c r="FT317" s="59">
        <f>$CI317-$CI318</f>
        <v/>
      </c>
      <c r="FU317" s="59">
        <f>$CJ317-$CJ318</f>
        <v/>
      </c>
      <c r="FV317" s="59">
        <f>$CK317-$CK318</f>
        <v/>
      </c>
      <c r="FW317" s="59">
        <f>$CL317-$CL318</f>
        <v/>
      </c>
      <c r="FX317" s="59">
        <f>$CM317-$CM318</f>
        <v/>
      </c>
      <c r="FY317" s="59">
        <f>$CN317-$CN318</f>
        <v/>
      </c>
      <c r="FZ317" s="59">
        <f>$CO317-$CO318</f>
        <v/>
      </c>
      <c r="GA317" s="59">
        <f>$CP317-$CP318</f>
        <v/>
      </c>
      <c r="GB317" s="59">
        <f>$CQ317-$CQ318</f>
        <v/>
      </c>
      <c r="GC317" s="59">
        <f>$CR317-$CR318</f>
        <v/>
      </c>
      <c r="GD317" s="59">
        <f>$CS317-$CS318</f>
        <v/>
      </c>
      <c r="GE317" s="59">
        <f>$CT317-$CT318</f>
        <v/>
      </c>
    </row>
    <row r="318">
      <c r="CU318" s="58">
        <f>IFERROR($B318/$B319-1,"")</f>
        <v/>
      </c>
      <c r="CV318" s="59">
        <f>($F318-$F319)*100</f>
        <v/>
      </c>
      <c r="CW318" s="59">
        <f>($E318-$E319)*100</f>
        <v/>
      </c>
      <c r="CX318" s="58">
        <f>IFERROR($K318/$K319-1,"")</f>
        <v/>
      </c>
      <c r="CY318" s="59">
        <f>($AH318-$AH319)*100</f>
        <v/>
      </c>
      <c r="CZ318" s="59">
        <f>($AI318-$AI319)*100</f>
        <v/>
      </c>
      <c r="DA318" s="59">
        <f>($AJ318-$AJ319)*100</f>
        <v/>
      </c>
      <c r="DB318" s="59">
        <f>($AK318-$AK319)*100</f>
        <v/>
      </c>
      <c r="DC318" s="59">
        <f>($AL318-$AL319)*100</f>
        <v/>
      </c>
      <c r="DD318" s="59">
        <f>($AM318-$AM319)*100</f>
        <v/>
      </c>
      <c r="DE318" s="59">
        <f>($AN318-$AN319)*100</f>
        <v/>
      </c>
      <c r="DF318" s="59">
        <f>($AO318-$AO319)*100</f>
        <v/>
      </c>
      <c r="DG318" s="59">
        <f>($AP318-$AP319)*100</f>
        <v/>
      </c>
      <c r="DH318" s="59">
        <f>($AQ318-$AQ319)*100</f>
        <v/>
      </c>
      <c r="DI318" s="59">
        <f>($AR318-$AR319)*100</f>
        <v/>
      </c>
      <c r="DJ318" s="59">
        <f>($AS318-$AS319)*100</f>
        <v/>
      </c>
      <c r="DK318" s="59">
        <f>($AT318-$AT319)*100</f>
        <v/>
      </c>
      <c r="DL318" s="59">
        <f>($AU318-$AU319)*100</f>
        <v/>
      </c>
      <c r="DM318" s="59">
        <f>($AV318-$AV319)*100</f>
        <v/>
      </c>
      <c r="DN318" s="59">
        <f>($AW318-$AW319)*100</f>
        <v/>
      </c>
      <c r="DO318" s="59">
        <f>($AX318-$AX319)*100</f>
        <v/>
      </c>
      <c r="DP318" s="59">
        <f>($AY318-$AY319)*100</f>
        <v/>
      </c>
      <c r="DQ318" s="59">
        <f>($AZ318-$AZ319)*100</f>
        <v/>
      </c>
      <c r="DR318" s="59">
        <f>($BA318-$BA319)*100</f>
        <v/>
      </c>
      <c r="DS318" s="58">
        <f>IFERROR($N319/$N318-1,"")</f>
        <v/>
      </c>
      <c r="DT318" s="58">
        <f>IFERROR($O319/$O318-1,"")</f>
        <v/>
      </c>
      <c r="DU318" s="58">
        <f>IFERROR($P319/$P318-1,"")</f>
        <v/>
      </c>
      <c r="DV318" s="58">
        <f>IFERROR($Q319/$Q318-1,"")</f>
        <v/>
      </c>
      <c r="DW318" s="58">
        <f>IFERROR($R319/$R318-1,"")</f>
        <v/>
      </c>
      <c r="DX318" s="58">
        <f>IFERROR($S319/$S318-1,"")</f>
        <v/>
      </c>
      <c r="DY318" s="58">
        <f>IFERROR($T319/$T318-1,"")</f>
        <v/>
      </c>
      <c r="DZ318" s="58">
        <f>IFERROR($U319/$U318-1,"")</f>
        <v/>
      </c>
      <c r="EA318" s="58">
        <f>IFERROR($V319/$V318-1,"")</f>
        <v/>
      </c>
      <c r="EB318" s="58">
        <f>IFERROR($W319/$W318-1,"")</f>
        <v/>
      </c>
      <c r="EC318" s="58">
        <f>IFERROR($X319/$X318-1,"")</f>
        <v/>
      </c>
      <c r="ED318" s="58">
        <f>IFERROR($Y319/$Y318-1,"")</f>
        <v/>
      </c>
      <c r="EE318" s="58">
        <f>IFERROR($Z319/$Z318-1,"")</f>
        <v/>
      </c>
      <c r="EF318" s="58">
        <f>IFERROR($AA319/$AA318-1,"")</f>
        <v/>
      </c>
      <c r="EG318" s="58">
        <f>IFERROR($AB319/$AB318-1,"")</f>
        <v/>
      </c>
      <c r="EH318" s="58">
        <f>IFERROR($AC319/$AC318-1,"")</f>
        <v/>
      </c>
      <c r="EI318" s="58">
        <f>IFERROR($AD319/$AD318-1,"")</f>
        <v/>
      </c>
      <c r="EJ318" s="58">
        <f>IFERROR($AE319/$AE318-1,"")</f>
        <v/>
      </c>
      <c r="EK318" s="58">
        <f>IFERROR($AF319/$AF318-1,"")</f>
        <v/>
      </c>
      <c r="EL318" s="58">
        <f>IFERROR($AG319/$AG318-1,"")</f>
        <v/>
      </c>
      <c r="EM318" s="58">
        <f>IFERROR($BB318/$BB319-1,"")</f>
        <v/>
      </c>
      <c r="EN318" s="58">
        <f>IFERROR($BC318/$BC319-1,"")</f>
        <v/>
      </c>
      <c r="EO318" s="58">
        <f>IFERROR($BD318/$BD319-1,"")</f>
        <v/>
      </c>
      <c r="EP318" s="58">
        <f>IFERROR($BE318/$BE319-1,"")</f>
        <v/>
      </c>
      <c r="EQ318" s="58">
        <f>IFERROR($BF318/$BF319-1,"")</f>
        <v/>
      </c>
      <c r="ER318" s="58">
        <f>IFERROR($BG318/$BG319-1,"")</f>
        <v/>
      </c>
      <c r="ES318" s="58">
        <f>IFERROR($BH318/$BH319-1,"")</f>
        <v/>
      </c>
      <c r="ET318" s="58">
        <f>IFERROR($BI318/$BI319-1,"")</f>
        <v/>
      </c>
      <c r="EU318" s="58">
        <f>IFERROR($BJ318/$BJ319-1,"")</f>
        <v/>
      </c>
      <c r="EV318" s="58">
        <f>IFERROR($BK318/$BK319-1,"")</f>
        <v/>
      </c>
      <c r="EW318" s="58">
        <f>IFERROR($BL318/$BL319-1,"")</f>
        <v/>
      </c>
      <c r="EX318" s="58">
        <f>IFERROR($BM318/$BM319-1,"")</f>
        <v/>
      </c>
      <c r="EY318" s="58">
        <f>IFERROR($BN318/$BN319-1,"")</f>
        <v/>
      </c>
      <c r="EZ318" s="58">
        <f>IFERROR($BO318/$BO319-1,"")</f>
        <v/>
      </c>
      <c r="FA318" s="58">
        <f>IFERROR($BP318/$BP319-1,"")</f>
        <v/>
      </c>
      <c r="FB318" s="58">
        <f>IFERROR($BQ318/$BQ319-1,"")</f>
        <v/>
      </c>
      <c r="FC318" s="58">
        <f>IFERROR($BR318/$BR319-1,"")</f>
        <v/>
      </c>
      <c r="FD318" s="58">
        <f>IFERROR($BS318/$BS319-1,"")</f>
        <v/>
      </c>
      <c r="FE318" s="58">
        <f>IFERROR($BT318/$BT319-1,"")</f>
        <v/>
      </c>
      <c r="FF318" s="58">
        <f>IFERROR($BU318/$BU319-1,"")</f>
        <v/>
      </c>
      <c r="FG318" s="58">
        <f>IFERROR($BV318/$BV319-1,"")</f>
        <v/>
      </c>
      <c r="FH318" s="58">
        <f>IFERROR($BW318/$BW319-1,"")</f>
        <v/>
      </c>
      <c r="FI318" s="58">
        <f>IFERROR($BX318/$BX319-1,"")</f>
        <v/>
      </c>
      <c r="FJ318" s="59">
        <f>$BY318-$BY319</f>
        <v/>
      </c>
      <c r="FK318" s="59">
        <f>$BZ318-$BZ319</f>
        <v/>
      </c>
      <c r="FL318" s="59">
        <f>$CA318-$CA319</f>
        <v/>
      </c>
      <c r="FM318" s="59">
        <f>$CB318-$CB319</f>
        <v/>
      </c>
      <c r="FN318" s="59">
        <f>$CC318-$CC319</f>
        <v/>
      </c>
      <c r="FO318" s="59">
        <f>$CD318-$CD319</f>
        <v/>
      </c>
      <c r="FP318" s="59">
        <f>$CE318-$CE319</f>
        <v/>
      </c>
      <c r="FQ318" s="59">
        <f>$CF318-$CF319</f>
        <v/>
      </c>
      <c r="FR318" s="59">
        <f>$CG318-$CG319</f>
        <v/>
      </c>
      <c r="FS318" s="59">
        <f>$CH318-$CH319</f>
        <v/>
      </c>
      <c r="FT318" s="59">
        <f>$CI318-$CI319</f>
        <v/>
      </c>
      <c r="FU318" s="59">
        <f>$CJ318-$CJ319</f>
        <v/>
      </c>
      <c r="FV318" s="59">
        <f>$CK318-$CK319</f>
        <v/>
      </c>
      <c r="FW318" s="59">
        <f>$CL318-$CL319</f>
        <v/>
      </c>
      <c r="FX318" s="59">
        <f>$CM318-$CM319</f>
        <v/>
      </c>
      <c r="FY318" s="59">
        <f>$CN318-$CN319</f>
        <v/>
      </c>
      <c r="FZ318" s="59">
        <f>$CO318-$CO319</f>
        <v/>
      </c>
      <c r="GA318" s="59">
        <f>$CP318-$CP319</f>
        <v/>
      </c>
      <c r="GB318" s="59">
        <f>$CQ318-$CQ319</f>
        <v/>
      </c>
      <c r="GC318" s="59">
        <f>$CR318-$CR319</f>
        <v/>
      </c>
      <c r="GD318" s="59">
        <f>$CS318-$CS319</f>
        <v/>
      </c>
      <c r="GE318" s="59">
        <f>$CT318-$CT319</f>
        <v/>
      </c>
    </row>
    <row r="319">
      <c r="CU319" s="58">
        <f>IFERROR($B319/$B320-1,"")</f>
        <v/>
      </c>
      <c r="CV319" s="59">
        <f>($F319-$F320)*100</f>
        <v/>
      </c>
      <c r="CW319" s="59">
        <f>($E319-$E320)*100</f>
        <v/>
      </c>
      <c r="CX319" s="58">
        <f>IFERROR($K319/$K320-1,"")</f>
        <v/>
      </c>
      <c r="CY319" s="59">
        <f>($AH319-$AH320)*100</f>
        <v/>
      </c>
      <c r="CZ319" s="59">
        <f>($AI319-$AI320)*100</f>
        <v/>
      </c>
      <c r="DA319" s="59">
        <f>($AJ319-$AJ320)*100</f>
        <v/>
      </c>
      <c r="DB319" s="59">
        <f>($AK319-$AK320)*100</f>
        <v/>
      </c>
      <c r="DC319" s="59">
        <f>($AL319-$AL320)*100</f>
        <v/>
      </c>
      <c r="DD319" s="59">
        <f>($AM319-$AM320)*100</f>
        <v/>
      </c>
      <c r="DE319" s="59">
        <f>($AN319-$AN320)*100</f>
        <v/>
      </c>
      <c r="DF319" s="59">
        <f>($AO319-$AO320)*100</f>
        <v/>
      </c>
      <c r="DG319" s="59">
        <f>($AP319-$AP320)*100</f>
        <v/>
      </c>
      <c r="DH319" s="59">
        <f>($AQ319-$AQ320)*100</f>
        <v/>
      </c>
      <c r="DI319" s="59">
        <f>($AR319-$AR320)*100</f>
        <v/>
      </c>
      <c r="DJ319" s="59">
        <f>($AS319-$AS320)*100</f>
        <v/>
      </c>
      <c r="DK319" s="59">
        <f>($AT319-$AT320)*100</f>
        <v/>
      </c>
      <c r="DL319" s="59">
        <f>($AU319-$AU320)*100</f>
        <v/>
      </c>
      <c r="DM319" s="59">
        <f>($AV319-$AV320)*100</f>
        <v/>
      </c>
      <c r="DN319" s="59">
        <f>($AW319-$AW320)*100</f>
        <v/>
      </c>
      <c r="DO319" s="59">
        <f>($AX319-$AX320)*100</f>
        <v/>
      </c>
      <c r="DP319" s="59">
        <f>($AY319-$AY320)*100</f>
        <v/>
      </c>
      <c r="DQ319" s="59">
        <f>($AZ319-$AZ320)*100</f>
        <v/>
      </c>
      <c r="DR319" s="59">
        <f>($BA319-$BA320)*100</f>
        <v/>
      </c>
      <c r="DS319" s="58">
        <f>IFERROR($N320/$N319-1,"")</f>
        <v/>
      </c>
      <c r="DT319" s="58">
        <f>IFERROR($O320/$O319-1,"")</f>
        <v/>
      </c>
      <c r="DU319" s="58">
        <f>IFERROR($P320/$P319-1,"")</f>
        <v/>
      </c>
      <c r="DV319" s="58">
        <f>IFERROR($Q320/$Q319-1,"")</f>
        <v/>
      </c>
      <c r="DW319" s="58">
        <f>IFERROR($R320/$R319-1,"")</f>
        <v/>
      </c>
      <c r="DX319" s="58">
        <f>IFERROR($S320/$S319-1,"")</f>
        <v/>
      </c>
      <c r="DY319" s="58">
        <f>IFERROR($T320/$T319-1,"")</f>
        <v/>
      </c>
      <c r="DZ319" s="58">
        <f>IFERROR($U320/$U319-1,"")</f>
        <v/>
      </c>
      <c r="EA319" s="58">
        <f>IFERROR($V320/$V319-1,"")</f>
        <v/>
      </c>
      <c r="EB319" s="58">
        <f>IFERROR($W320/$W319-1,"")</f>
        <v/>
      </c>
      <c r="EC319" s="58">
        <f>IFERROR($X320/$X319-1,"")</f>
        <v/>
      </c>
      <c r="ED319" s="58">
        <f>IFERROR($Y320/$Y319-1,"")</f>
        <v/>
      </c>
      <c r="EE319" s="58">
        <f>IFERROR($Z320/$Z319-1,"")</f>
        <v/>
      </c>
      <c r="EF319" s="58">
        <f>IFERROR($AA320/$AA319-1,"")</f>
        <v/>
      </c>
      <c r="EG319" s="58">
        <f>IFERROR($AB320/$AB319-1,"")</f>
        <v/>
      </c>
      <c r="EH319" s="58">
        <f>IFERROR($AC320/$AC319-1,"")</f>
        <v/>
      </c>
      <c r="EI319" s="58">
        <f>IFERROR($AD320/$AD319-1,"")</f>
        <v/>
      </c>
      <c r="EJ319" s="58">
        <f>IFERROR($AE320/$AE319-1,"")</f>
        <v/>
      </c>
      <c r="EK319" s="58">
        <f>IFERROR($AF320/$AF319-1,"")</f>
        <v/>
      </c>
      <c r="EL319" s="58">
        <f>IFERROR($AG320/$AG319-1,"")</f>
        <v/>
      </c>
      <c r="EM319" s="58">
        <f>IFERROR($BB319/$BB320-1,"")</f>
        <v/>
      </c>
      <c r="EN319" s="58">
        <f>IFERROR($BC319/$BC320-1,"")</f>
        <v/>
      </c>
      <c r="EO319" s="58">
        <f>IFERROR($BD319/$BD320-1,"")</f>
        <v/>
      </c>
      <c r="EP319" s="58">
        <f>IFERROR($BE319/$BE320-1,"")</f>
        <v/>
      </c>
      <c r="EQ319" s="58">
        <f>IFERROR($BF319/$BF320-1,"")</f>
        <v/>
      </c>
      <c r="ER319" s="58">
        <f>IFERROR($BG319/$BG320-1,"")</f>
        <v/>
      </c>
      <c r="ES319" s="58">
        <f>IFERROR($BH319/$BH320-1,"")</f>
        <v/>
      </c>
      <c r="ET319" s="58">
        <f>IFERROR($BI319/$BI320-1,"")</f>
        <v/>
      </c>
      <c r="EU319" s="58">
        <f>IFERROR($BJ319/$BJ320-1,"")</f>
        <v/>
      </c>
      <c r="EV319" s="58">
        <f>IFERROR($BK319/$BK320-1,"")</f>
        <v/>
      </c>
      <c r="EW319" s="58">
        <f>IFERROR($BL319/$BL320-1,"")</f>
        <v/>
      </c>
      <c r="EX319" s="58">
        <f>IFERROR($BM319/$BM320-1,"")</f>
        <v/>
      </c>
      <c r="EY319" s="58">
        <f>IFERROR($BN319/$BN320-1,"")</f>
        <v/>
      </c>
      <c r="EZ319" s="58">
        <f>IFERROR($BO319/$BO320-1,"")</f>
        <v/>
      </c>
      <c r="FA319" s="58">
        <f>IFERROR($BP319/$BP320-1,"")</f>
        <v/>
      </c>
      <c r="FB319" s="58">
        <f>IFERROR($BQ319/$BQ320-1,"")</f>
        <v/>
      </c>
      <c r="FC319" s="58">
        <f>IFERROR($BR319/$BR320-1,"")</f>
        <v/>
      </c>
      <c r="FD319" s="58">
        <f>IFERROR($BS319/$BS320-1,"")</f>
        <v/>
      </c>
      <c r="FE319" s="58">
        <f>IFERROR($BT319/$BT320-1,"")</f>
        <v/>
      </c>
      <c r="FF319" s="58">
        <f>IFERROR($BU319/$BU320-1,"")</f>
        <v/>
      </c>
      <c r="FG319" s="58">
        <f>IFERROR($BV319/$BV320-1,"")</f>
        <v/>
      </c>
      <c r="FH319" s="58">
        <f>IFERROR($BW319/$BW320-1,"")</f>
        <v/>
      </c>
      <c r="FI319" s="58">
        <f>IFERROR($BX319/$BX320-1,"")</f>
        <v/>
      </c>
      <c r="FJ319" s="59">
        <f>$BY319-$BY320</f>
        <v/>
      </c>
      <c r="FK319" s="59">
        <f>$BZ319-$BZ320</f>
        <v/>
      </c>
      <c r="FL319" s="59">
        <f>$CA319-$CA320</f>
        <v/>
      </c>
      <c r="FM319" s="59">
        <f>$CB319-$CB320</f>
        <v/>
      </c>
      <c r="FN319" s="59">
        <f>$CC319-$CC320</f>
        <v/>
      </c>
      <c r="FO319" s="59">
        <f>$CD319-$CD320</f>
        <v/>
      </c>
      <c r="FP319" s="59">
        <f>$CE319-$CE320</f>
        <v/>
      </c>
      <c r="FQ319" s="59">
        <f>$CF319-$CF320</f>
        <v/>
      </c>
      <c r="FR319" s="59">
        <f>$CG319-$CG320</f>
        <v/>
      </c>
      <c r="FS319" s="59">
        <f>$CH319-$CH320</f>
        <v/>
      </c>
      <c r="FT319" s="59">
        <f>$CI319-$CI320</f>
        <v/>
      </c>
      <c r="FU319" s="59">
        <f>$CJ319-$CJ320</f>
        <v/>
      </c>
      <c r="FV319" s="59">
        <f>$CK319-$CK320</f>
        <v/>
      </c>
      <c r="FW319" s="59">
        <f>$CL319-$CL320</f>
        <v/>
      </c>
      <c r="FX319" s="59">
        <f>$CM319-$CM320</f>
        <v/>
      </c>
      <c r="FY319" s="59">
        <f>$CN319-$CN320</f>
        <v/>
      </c>
      <c r="FZ319" s="59">
        <f>$CO319-$CO320</f>
        <v/>
      </c>
      <c r="GA319" s="59">
        <f>$CP319-$CP320</f>
        <v/>
      </c>
      <c r="GB319" s="59">
        <f>$CQ319-$CQ320</f>
        <v/>
      </c>
      <c r="GC319" s="59">
        <f>$CR319-$CR320</f>
        <v/>
      </c>
      <c r="GD319" s="59">
        <f>$CS319-$CS320</f>
        <v/>
      </c>
      <c r="GE319" s="59">
        <f>$CT319-$CT320</f>
        <v/>
      </c>
    </row>
    <row r="320">
      <c r="CU320" s="58">
        <f>IFERROR($B320/$B321-1,"")</f>
        <v/>
      </c>
      <c r="CV320" s="59">
        <f>($F320-$F321)*100</f>
        <v/>
      </c>
      <c r="CW320" s="59">
        <f>($E320-$E321)*100</f>
        <v/>
      </c>
      <c r="CX320" s="58">
        <f>IFERROR($K320/$K321-1,"")</f>
        <v/>
      </c>
      <c r="CY320" s="59">
        <f>($AH320-$AH321)*100</f>
        <v/>
      </c>
      <c r="CZ320" s="59">
        <f>($AI320-$AI321)*100</f>
        <v/>
      </c>
      <c r="DA320" s="59">
        <f>($AJ320-$AJ321)*100</f>
        <v/>
      </c>
      <c r="DB320" s="59">
        <f>($AK320-$AK321)*100</f>
        <v/>
      </c>
      <c r="DC320" s="59">
        <f>($AL320-$AL321)*100</f>
        <v/>
      </c>
      <c r="DD320" s="59">
        <f>($AM320-$AM321)*100</f>
        <v/>
      </c>
      <c r="DE320" s="59">
        <f>($AN320-$AN321)*100</f>
        <v/>
      </c>
      <c r="DF320" s="59">
        <f>($AO320-$AO321)*100</f>
        <v/>
      </c>
      <c r="DG320" s="59">
        <f>($AP320-$AP321)*100</f>
        <v/>
      </c>
      <c r="DH320" s="59">
        <f>($AQ320-$AQ321)*100</f>
        <v/>
      </c>
      <c r="DI320" s="59">
        <f>($AR320-$AR321)*100</f>
        <v/>
      </c>
      <c r="DJ320" s="59">
        <f>($AS320-$AS321)*100</f>
        <v/>
      </c>
      <c r="DK320" s="59">
        <f>($AT320-$AT321)*100</f>
        <v/>
      </c>
      <c r="DL320" s="59">
        <f>($AU320-$AU321)*100</f>
        <v/>
      </c>
      <c r="DM320" s="59">
        <f>($AV320-$AV321)*100</f>
        <v/>
      </c>
      <c r="DN320" s="59">
        <f>($AW320-$AW321)*100</f>
        <v/>
      </c>
      <c r="DO320" s="59">
        <f>($AX320-$AX321)*100</f>
        <v/>
      </c>
      <c r="DP320" s="59">
        <f>($AY320-$AY321)*100</f>
        <v/>
      </c>
      <c r="DQ320" s="59">
        <f>($AZ320-$AZ321)*100</f>
        <v/>
      </c>
      <c r="DR320" s="59">
        <f>($BA320-$BA321)*100</f>
        <v/>
      </c>
      <c r="DS320" s="58">
        <f>IFERROR($N321/$N320-1,"")</f>
        <v/>
      </c>
      <c r="DT320" s="58">
        <f>IFERROR($O321/$O320-1,"")</f>
        <v/>
      </c>
      <c r="DU320" s="58">
        <f>IFERROR($P321/$P320-1,"")</f>
        <v/>
      </c>
      <c r="DV320" s="58">
        <f>IFERROR($Q321/$Q320-1,"")</f>
        <v/>
      </c>
      <c r="DW320" s="58">
        <f>IFERROR($R321/$R320-1,"")</f>
        <v/>
      </c>
      <c r="DX320" s="58">
        <f>IFERROR($S321/$S320-1,"")</f>
        <v/>
      </c>
      <c r="DY320" s="58">
        <f>IFERROR($T321/$T320-1,"")</f>
        <v/>
      </c>
      <c r="DZ320" s="58">
        <f>IFERROR($U321/$U320-1,"")</f>
        <v/>
      </c>
      <c r="EA320" s="58">
        <f>IFERROR($V321/$V320-1,"")</f>
        <v/>
      </c>
      <c r="EB320" s="58">
        <f>IFERROR($W321/$W320-1,"")</f>
        <v/>
      </c>
      <c r="EC320" s="58">
        <f>IFERROR($X321/$X320-1,"")</f>
        <v/>
      </c>
      <c r="ED320" s="58">
        <f>IFERROR($Y321/$Y320-1,"")</f>
        <v/>
      </c>
      <c r="EE320" s="58">
        <f>IFERROR($Z321/$Z320-1,"")</f>
        <v/>
      </c>
      <c r="EF320" s="58">
        <f>IFERROR($AA321/$AA320-1,"")</f>
        <v/>
      </c>
      <c r="EG320" s="58">
        <f>IFERROR($AB321/$AB320-1,"")</f>
        <v/>
      </c>
      <c r="EH320" s="58">
        <f>IFERROR($AC321/$AC320-1,"")</f>
        <v/>
      </c>
      <c r="EI320" s="58">
        <f>IFERROR($AD321/$AD320-1,"")</f>
        <v/>
      </c>
      <c r="EJ320" s="58">
        <f>IFERROR($AE321/$AE320-1,"")</f>
        <v/>
      </c>
      <c r="EK320" s="58">
        <f>IFERROR($AF321/$AF320-1,"")</f>
        <v/>
      </c>
      <c r="EL320" s="58">
        <f>IFERROR($AG321/$AG320-1,"")</f>
        <v/>
      </c>
      <c r="EM320" s="58">
        <f>IFERROR($BB320/$BB321-1,"")</f>
        <v/>
      </c>
      <c r="EN320" s="58">
        <f>IFERROR($BC320/$BC321-1,"")</f>
        <v/>
      </c>
      <c r="EO320" s="58">
        <f>IFERROR($BD320/$BD321-1,"")</f>
        <v/>
      </c>
      <c r="EP320" s="58">
        <f>IFERROR($BE320/$BE321-1,"")</f>
        <v/>
      </c>
      <c r="EQ320" s="58">
        <f>IFERROR($BF320/$BF321-1,"")</f>
        <v/>
      </c>
      <c r="ER320" s="58">
        <f>IFERROR($BG320/$BG321-1,"")</f>
        <v/>
      </c>
      <c r="ES320" s="58">
        <f>IFERROR($BH320/$BH321-1,"")</f>
        <v/>
      </c>
      <c r="ET320" s="58">
        <f>IFERROR($BI320/$BI321-1,"")</f>
        <v/>
      </c>
      <c r="EU320" s="58">
        <f>IFERROR($BJ320/$BJ321-1,"")</f>
        <v/>
      </c>
      <c r="EV320" s="58">
        <f>IFERROR($BK320/$BK321-1,"")</f>
        <v/>
      </c>
      <c r="EW320" s="58">
        <f>IFERROR($BL320/$BL321-1,"")</f>
        <v/>
      </c>
      <c r="EX320" s="58">
        <f>IFERROR($BM320/$BM321-1,"")</f>
        <v/>
      </c>
      <c r="EY320" s="58">
        <f>IFERROR($BN320/$BN321-1,"")</f>
        <v/>
      </c>
      <c r="EZ320" s="58">
        <f>IFERROR($BO320/$BO321-1,"")</f>
        <v/>
      </c>
      <c r="FA320" s="58">
        <f>IFERROR($BP320/$BP321-1,"")</f>
        <v/>
      </c>
      <c r="FB320" s="58">
        <f>IFERROR($BQ320/$BQ321-1,"")</f>
        <v/>
      </c>
      <c r="FC320" s="58">
        <f>IFERROR($BR320/$BR321-1,"")</f>
        <v/>
      </c>
      <c r="FD320" s="58">
        <f>IFERROR($BS320/$BS321-1,"")</f>
        <v/>
      </c>
      <c r="FE320" s="58">
        <f>IFERROR($BT320/$BT321-1,"")</f>
        <v/>
      </c>
      <c r="FF320" s="58">
        <f>IFERROR($BU320/$BU321-1,"")</f>
        <v/>
      </c>
      <c r="FG320" s="58">
        <f>IFERROR($BV320/$BV321-1,"")</f>
        <v/>
      </c>
      <c r="FH320" s="58">
        <f>IFERROR($BW320/$BW321-1,"")</f>
        <v/>
      </c>
      <c r="FI320" s="58">
        <f>IFERROR($BX320/$BX321-1,"")</f>
        <v/>
      </c>
      <c r="FJ320" s="59">
        <f>$BY320-$BY321</f>
        <v/>
      </c>
      <c r="FK320" s="59">
        <f>$BZ320-$BZ321</f>
        <v/>
      </c>
      <c r="FL320" s="59">
        <f>$CA320-$CA321</f>
        <v/>
      </c>
      <c r="FM320" s="59">
        <f>$CB320-$CB321</f>
        <v/>
      </c>
      <c r="FN320" s="59">
        <f>$CC320-$CC321</f>
        <v/>
      </c>
      <c r="FO320" s="59">
        <f>$CD320-$CD321</f>
        <v/>
      </c>
      <c r="FP320" s="59">
        <f>$CE320-$CE321</f>
        <v/>
      </c>
      <c r="FQ320" s="59">
        <f>$CF320-$CF321</f>
        <v/>
      </c>
      <c r="FR320" s="59">
        <f>$CG320-$CG321</f>
        <v/>
      </c>
      <c r="FS320" s="59">
        <f>$CH320-$CH321</f>
        <v/>
      </c>
      <c r="FT320" s="59">
        <f>$CI320-$CI321</f>
        <v/>
      </c>
      <c r="FU320" s="59">
        <f>$CJ320-$CJ321</f>
        <v/>
      </c>
      <c r="FV320" s="59">
        <f>$CK320-$CK321</f>
        <v/>
      </c>
      <c r="FW320" s="59">
        <f>$CL320-$CL321</f>
        <v/>
      </c>
      <c r="FX320" s="59">
        <f>$CM320-$CM321</f>
        <v/>
      </c>
      <c r="FY320" s="59">
        <f>$CN320-$CN321</f>
        <v/>
      </c>
      <c r="FZ320" s="59">
        <f>$CO320-$CO321</f>
        <v/>
      </c>
      <c r="GA320" s="59">
        <f>$CP320-$CP321</f>
        <v/>
      </c>
      <c r="GB320" s="59">
        <f>$CQ320-$CQ321</f>
        <v/>
      </c>
      <c r="GC320" s="59">
        <f>$CR320-$CR321</f>
        <v/>
      </c>
      <c r="GD320" s="59">
        <f>$CS320-$CS321</f>
        <v/>
      </c>
      <c r="GE320" s="59">
        <f>$CT320-$CT321</f>
        <v/>
      </c>
    </row>
    <row r="321">
      <c r="CU321" s="58">
        <f>IFERROR($B321/$B322-1,"")</f>
        <v/>
      </c>
      <c r="CV321" s="59">
        <f>($F321-$F322)*100</f>
        <v/>
      </c>
      <c r="CW321" s="59">
        <f>($E321-$E322)*100</f>
        <v/>
      </c>
      <c r="CX321" s="58">
        <f>IFERROR($K321/$K322-1,"")</f>
        <v/>
      </c>
      <c r="CY321" s="59">
        <f>($AH321-$AH322)*100</f>
        <v/>
      </c>
      <c r="CZ321" s="59">
        <f>($AI321-$AI322)*100</f>
        <v/>
      </c>
      <c r="DA321" s="59">
        <f>($AJ321-$AJ322)*100</f>
        <v/>
      </c>
      <c r="DB321" s="59">
        <f>($AK321-$AK322)*100</f>
        <v/>
      </c>
      <c r="DC321" s="59">
        <f>($AL321-$AL322)*100</f>
        <v/>
      </c>
      <c r="DD321" s="59">
        <f>($AM321-$AM322)*100</f>
        <v/>
      </c>
      <c r="DE321" s="59">
        <f>($AN321-$AN322)*100</f>
        <v/>
      </c>
      <c r="DF321" s="59">
        <f>($AO321-$AO322)*100</f>
        <v/>
      </c>
      <c r="DG321" s="59">
        <f>($AP321-$AP322)*100</f>
        <v/>
      </c>
      <c r="DH321" s="59">
        <f>($AQ321-$AQ322)*100</f>
        <v/>
      </c>
      <c r="DI321" s="59">
        <f>($AR321-$AR322)*100</f>
        <v/>
      </c>
      <c r="DJ321" s="59">
        <f>($AS321-$AS322)*100</f>
        <v/>
      </c>
      <c r="DK321" s="59">
        <f>($AT321-$AT322)*100</f>
        <v/>
      </c>
      <c r="DL321" s="59">
        <f>($AU321-$AU322)*100</f>
        <v/>
      </c>
      <c r="DM321" s="59">
        <f>($AV321-$AV322)*100</f>
        <v/>
      </c>
      <c r="DN321" s="59">
        <f>($AW321-$AW322)*100</f>
        <v/>
      </c>
      <c r="DO321" s="59">
        <f>($AX321-$AX322)*100</f>
        <v/>
      </c>
      <c r="DP321" s="59">
        <f>($AY321-$AY322)*100</f>
        <v/>
      </c>
      <c r="DQ321" s="59">
        <f>($AZ321-$AZ322)*100</f>
        <v/>
      </c>
      <c r="DR321" s="59">
        <f>($BA321-$BA322)*100</f>
        <v/>
      </c>
      <c r="DS321" s="58">
        <f>IFERROR($N322/$N321-1,"")</f>
        <v/>
      </c>
      <c r="DT321" s="58">
        <f>IFERROR($O322/$O321-1,"")</f>
        <v/>
      </c>
      <c r="DU321" s="58">
        <f>IFERROR($P322/$P321-1,"")</f>
        <v/>
      </c>
      <c r="DV321" s="58">
        <f>IFERROR($Q322/$Q321-1,"")</f>
        <v/>
      </c>
      <c r="DW321" s="58">
        <f>IFERROR($R322/$R321-1,"")</f>
        <v/>
      </c>
      <c r="DX321" s="58">
        <f>IFERROR($S322/$S321-1,"")</f>
        <v/>
      </c>
      <c r="DY321" s="58">
        <f>IFERROR($T322/$T321-1,"")</f>
        <v/>
      </c>
      <c r="DZ321" s="58">
        <f>IFERROR($U322/$U321-1,"")</f>
        <v/>
      </c>
      <c r="EA321" s="58">
        <f>IFERROR($V322/$V321-1,"")</f>
        <v/>
      </c>
      <c r="EB321" s="58">
        <f>IFERROR($W322/$W321-1,"")</f>
        <v/>
      </c>
      <c r="EC321" s="58">
        <f>IFERROR($X322/$X321-1,"")</f>
        <v/>
      </c>
      <c r="ED321" s="58">
        <f>IFERROR($Y322/$Y321-1,"")</f>
        <v/>
      </c>
      <c r="EE321" s="58">
        <f>IFERROR($Z322/$Z321-1,"")</f>
        <v/>
      </c>
      <c r="EF321" s="58">
        <f>IFERROR($AA322/$AA321-1,"")</f>
        <v/>
      </c>
      <c r="EG321" s="58">
        <f>IFERROR($AB322/$AB321-1,"")</f>
        <v/>
      </c>
      <c r="EH321" s="58">
        <f>IFERROR($AC322/$AC321-1,"")</f>
        <v/>
      </c>
      <c r="EI321" s="58">
        <f>IFERROR($AD322/$AD321-1,"")</f>
        <v/>
      </c>
      <c r="EJ321" s="58">
        <f>IFERROR($AE322/$AE321-1,"")</f>
        <v/>
      </c>
      <c r="EK321" s="58">
        <f>IFERROR($AF322/$AF321-1,"")</f>
        <v/>
      </c>
      <c r="EL321" s="58">
        <f>IFERROR($AG322/$AG321-1,"")</f>
        <v/>
      </c>
      <c r="EM321" s="58">
        <f>IFERROR($BB321/$BB322-1,"")</f>
        <v/>
      </c>
      <c r="EN321" s="58">
        <f>IFERROR($BC321/$BC322-1,"")</f>
        <v/>
      </c>
      <c r="EO321" s="58">
        <f>IFERROR($BD321/$BD322-1,"")</f>
        <v/>
      </c>
      <c r="EP321" s="58">
        <f>IFERROR($BE321/$BE322-1,"")</f>
        <v/>
      </c>
      <c r="EQ321" s="58">
        <f>IFERROR($BF321/$BF322-1,"")</f>
        <v/>
      </c>
      <c r="ER321" s="58">
        <f>IFERROR($BG321/$BG322-1,"")</f>
        <v/>
      </c>
      <c r="ES321" s="58">
        <f>IFERROR($BH321/$BH322-1,"")</f>
        <v/>
      </c>
      <c r="ET321" s="58">
        <f>IFERROR($BI321/$BI322-1,"")</f>
        <v/>
      </c>
      <c r="EU321" s="58">
        <f>IFERROR($BJ321/$BJ322-1,"")</f>
        <v/>
      </c>
      <c r="EV321" s="58">
        <f>IFERROR($BK321/$BK322-1,"")</f>
        <v/>
      </c>
      <c r="EW321" s="58">
        <f>IFERROR($BL321/$BL322-1,"")</f>
        <v/>
      </c>
      <c r="EX321" s="58">
        <f>IFERROR($BM321/$BM322-1,"")</f>
        <v/>
      </c>
      <c r="EY321" s="58">
        <f>IFERROR($BN321/$BN322-1,"")</f>
        <v/>
      </c>
      <c r="EZ321" s="58">
        <f>IFERROR($BO321/$BO322-1,"")</f>
        <v/>
      </c>
      <c r="FA321" s="58">
        <f>IFERROR($BP321/$BP322-1,"")</f>
        <v/>
      </c>
      <c r="FB321" s="58">
        <f>IFERROR($BQ321/$BQ322-1,"")</f>
        <v/>
      </c>
      <c r="FC321" s="58">
        <f>IFERROR($BR321/$BR322-1,"")</f>
        <v/>
      </c>
      <c r="FD321" s="58">
        <f>IFERROR($BS321/$BS322-1,"")</f>
        <v/>
      </c>
      <c r="FE321" s="58">
        <f>IFERROR($BT321/$BT322-1,"")</f>
        <v/>
      </c>
      <c r="FF321" s="58">
        <f>IFERROR($BU321/$BU322-1,"")</f>
        <v/>
      </c>
      <c r="FG321" s="58">
        <f>IFERROR($BV321/$BV322-1,"")</f>
        <v/>
      </c>
      <c r="FH321" s="58">
        <f>IFERROR($BW321/$BW322-1,"")</f>
        <v/>
      </c>
      <c r="FI321" s="58">
        <f>IFERROR($BX321/$BX322-1,"")</f>
        <v/>
      </c>
      <c r="FJ321" s="59">
        <f>$BY321-$BY322</f>
        <v/>
      </c>
      <c r="FK321" s="59">
        <f>$BZ321-$BZ322</f>
        <v/>
      </c>
      <c r="FL321" s="59">
        <f>$CA321-$CA322</f>
        <v/>
      </c>
      <c r="FM321" s="59">
        <f>$CB321-$CB322</f>
        <v/>
      </c>
      <c r="FN321" s="59">
        <f>$CC321-$CC322</f>
        <v/>
      </c>
      <c r="FO321" s="59">
        <f>$CD321-$CD322</f>
        <v/>
      </c>
      <c r="FP321" s="59">
        <f>$CE321-$CE322</f>
        <v/>
      </c>
      <c r="FQ321" s="59">
        <f>$CF321-$CF322</f>
        <v/>
      </c>
      <c r="FR321" s="59">
        <f>$CG321-$CG322</f>
        <v/>
      </c>
      <c r="FS321" s="59">
        <f>$CH321-$CH322</f>
        <v/>
      </c>
      <c r="FT321" s="59">
        <f>$CI321-$CI322</f>
        <v/>
      </c>
      <c r="FU321" s="59">
        <f>$CJ321-$CJ322</f>
        <v/>
      </c>
      <c r="FV321" s="59">
        <f>$CK321-$CK322</f>
        <v/>
      </c>
      <c r="FW321" s="59">
        <f>$CL321-$CL322</f>
        <v/>
      </c>
      <c r="FX321" s="59">
        <f>$CM321-$CM322</f>
        <v/>
      </c>
      <c r="FY321" s="59">
        <f>$CN321-$CN322</f>
        <v/>
      </c>
      <c r="FZ321" s="59">
        <f>$CO321-$CO322</f>
        <v/>
      </c>
      <c r="GA321" s="59">
        <f>$CP321-$CP322</f>
        <v/>
      </c>
      <c r="GB321" s="59">
        <f>$CQ321-$CQ322</f>
        <v/>
      </c>
      <c r="GC321" s="59">
        <f>$CR321-$CR322</f>
        <v/>
      </c>
      <c r="GD321" s="59">
        <f>$CS321-$CS322</f>
        <v/>
      </c>
      <c r="GE321" s="59">
        <f>$CT321-$CT322</f>
        <v/>
      </c>
    </row>
    <row r="322">
      <c r="CU322" s="58">
        <f>IFERROR($B322/$B323-1,"")</f>
        <v/>
      </c>
      <c r="CV322" s="59">
        <f>($F322-$F323)*100</f>
        <v/>
      </c>
      <c r="CW322" s="59">
        <f>($E322-$E323)*100</f>
        <v/>
      </c>
      <c r="CX322" s="58">
        <f>IFERROR($K322/$K323-1,"")</f>
        <v/>
      </c>
      <c r="CY322" s="59">
        <f>($AH322-$AH323)*100</f>
        <v/>
      </c>
      <c r="CZ322" s="59">
        <f>($AI322-$AI323)*100</f>
        <v/>
      </c>
      <c r="DA322" s="59">
        <f>($AJ322-$AJ323)*100</f>
        <v/>
      </c>
      <c r="DB322" s="59">
        <f>($AK322-$AK323)*100</f>
        <v/>
      </c>
      <c r="DC322" s="59">
        <f>($AL322-$AL323)*100</f>
        <v/>
      </c>
      <c r="DD322" s="59">
        <f>($AM322-$AM323)*100</f>
        <v/>
      </c>
      <c r="DE322" s="59">
        <f>($AN322-$AN323)*100</f>
        <v/>
      </c>
      <c r="DF322" s="59">
        <f>($AO322-$AO323)*100</f>
        <v/>
      </c>
      <c r="DG322" s="59">
        <f>($AP322-$AP323)*100</f>
        <v/>
      </c>
      <c r="DH322" s="59">
        <f>($AQ322-$AQ323)*100</f>
        <v/>
      </c>
      <c r="DI322" s="59">
        <f>($AR322-$AR323)*100</f>
        <v/>
      </c>
      <c r="DJ322" s="59">
        <f>($AS322-$AS323)*100</f>
        <v/>
      </c>
      <c r="DK322" s="59">
        <f>($AT322-$AT323)*100</f>
        <v/>
      </c>
      <c r="DL322" s="59">
        <f>($AU322-$AU323)*100</f>
        <v/>
      </c>
      <c r="DM322" s="59">
        <f>($AV322-$AV323)*100</f>
        <v/>
      </c>
      <c r="DN322" s="59">
        <f>($AW322-$AW323)*100</f>
        <v/>
      </c>
      <c r="DO322" s="59">
        <f>($AX322-$AX323)*100</f>
        <v/>
      </c>
      <c r="DP322" s="59">
        <f>($AY322-$AY323)*100</f>
        <v/>
      </c>
      <c r="DQ322" s="59">
        <f>($AZ322-$AZ323)*100</f>
        <v/>
      </c>
      <c r="DR322" s="59">
        <f>($BA322-$BA323)*100</f>
        <v/>
      </c>
      <c r="DS322" s="58">
        <f>IFERROR($N323/$N322-1,"")</f>
        <v/>
      </c>
      <c r="DT322" s="58">
        <f>IFERROR($O323/$O322-1,"")</f>
        <v/>
      </c>
      <c r="DU322" s="58">
        <f>IFERROR($P323/$P322-1,"")</f>
        <v/>
      </c>
      <c r="DV322" s="58">
        <f>IFERROR($Q323/$Q322-1,"")</f>
        <v/>
      </c>
      <c r="DW322" s="58">
        <f>IFERROR($R323/$R322-1,"")</f>
        <v/>
      </c>
      <c r="DX322" s="58">
        <f>IFERROR($S323/$S322-1,"")</f>
        <v/>
      </c>
      <c r="DY322" s="58">
        <f>IFERROR($T323/$T322-1,"")</f>
        <v/>
      </c>
      <c r="DZ322" s="58">
        <f>IFERROR($U323/$U322-1,"")</f>
        <v/>
      </c>
      <c r="EA322" s="58">
        <f>IFERROR($V323/$V322-1,"")</f>
        <v/>
      </c>
      <c r="EB322" s="58">
        <f>IFERROR($W323/$W322-1,"")</f>
        <v/>
      </c>
      <c r="EC322" s="58">
        <f>IFERROR($X323/$X322-1,"")</f>
        <v/>
      </c>
      <c r="ED322" s="58">
        <f>IFERROR($Y323/$Y322-1,"")</f>
        <v/>
      </c>
      <c r="EE322" s="58">
        <f>IFERROR($Z323/$Z322-1,"")</f>
        <v/>
      </c>
      <c r="EF322" s="58">
        <f>IFERROR($AA323/$AA322-1,"")</f>
        <v/>
      </c>
      <c r="EG322" s="58">
        <f>IFERROR($AB323/$AB322-1,"")</f>
        <v/>
      </c>
      <c r="EH322" s="58">
        <f>IFERROR($AC323/$AC322-1,"")</f>
        <v/>
      </c>
      <c r="EI322" s="58">
        <f>IFERROR($AD323/$AD322-1,"")</f>
        <v/>
      </c>
      <c r="EJ322" s="58">
        <f>IFERROR($AE323/$AE322-1,"")</f>
        <v/>
      </c>
      <c r="EK322" s="58">
        <f>IFERROR($AF323/$AF322-1,"")</f>
        <v/>
      </c>
      <c r="EL322" s="58">
        <f>IFERROR($AG323/$AG322-1,"")</f>
        <v/>
      </c>
      <c r="EM322" s="58">
        <f>IFERROR($BB322/$BB323-1,"")</f>
        <v/>
      </c>
      <c r="EN322" s="58">
        <f>IFERROR($BC322/$BC323-1,"")</f>
        <v/>
      </c>
      <c r="EO322" s="58">
        <f>IFERROR($BD322/$BD323-1,"")</f>
        <v/>
      </c>
      <c r="EP322" s="58">
        <f>IFERROR($BE322/$BE323-1,"")</f>
        <v/>
      </c>
      <c r="EQ322" s="58">
        <f>IFERROR($BF322/$BF323-1,"")</f>
        <v/>
      </c>
      <c r="ER322" s="58">
        <f>IFERROR($BG322/$BG323-1,"")</f>
        <v/>
      </c>
      <c r="ES322" s="58">
        <f>IFERROR($BH322/$BH323-1,"")</f>
        <v/>
      </c>
      <c r="ET322" s="58">
        <f>IFERROR($BI322/$BI323-1,"")</f>
        <v/>
      </c>
      <c r="EU322" s="58">
        <f>IFERROR($BJ322/$BJ323-1,"")</f>
        <v/>
      </c>
      <c r="EV322" s="58">
        <f>IFERROR($BK322/$BK323-1,"")</f>
        <v/>
      </c>
      <c r="EW322" s="58">
        <f>IFERROR($BL322/$BL323-1,"")</f>
        <v/>
      </c>
      <c r="EX322" s="58">
        <f>IFERROR($BM322/$BM323-1,"")</f>
        <v/>
      </c>
      <c r="EY322" s="58">
        <f>IFERROR($BN322/$BN323-1,"")</f>
        <v/>
      </c>
      <c r="EZ322" s="58">
        <f>IFERROR($BO322/$BO323-1,"")</f>
        <v/>
      </c>
      <c r="FA322" s="58">
        <f>IFERROR($BP322/$BP323-1,"")</f>
        <v/>
      </c>
      <c r="FB322" s="58">
        <f>IFERROR($BQ322/$BQ323-1,"")</f>
        <v/>
      </c>
      <c r="FC322" s="58">
        <f>IFERROR($BR322/$BR323-1,"")</f>
        <v/>
      </c>
      <c r="FD322" s="58">
        <f>IFERROR($BS322/$BS323-1,"")</f>
        <v/>
      </c>
      <c r="FE322" s="58">
        <f>IFERROR($BT322/$BT323-1,"")</f>
        <v/>
      </c>
      <c r="FF322" s="58">
        <f>IFERROR($BU322/$BU323-1,"")</f>
        <v/>
      </c>
      <c r="FG322" s="58">
        <f>IFERROR($BV322/$BV323-1,"")</f>
        <v/>
      </c>
      <c r="FH322" s="58">
        <f>IFERROR($BW322/$BW323-1,"")</f>
        <v/>
      </c>
      <c r="FI322" s="58">
        <f>IFERROR($BX322/$BX323-1,"")</f>
        <v/>
      </c>
      <c r="FJ322" s="59">
        <f>$BY322-$BY323</f>
        <v/>
      </c>
      <c r="FK322" s="59">
        <f>$BZ322-$BZ323</f>
        <v/>
      </c>
      <c r="FL322" s="59">
        <f>$CA322-$CA323</f>
        <v/>
      </c>
      <c r="FM322" s="59">
        <f>$CB322-$CB323</f>
        <v/>
      </c>
      <c r="FN322" s="59">
        <f>$CC322-$CC323</f>
        <v/>
      </c>
      <c r="FO322" s="59">
        <f>$CD322-$CD323</f>
        <v/>
      </c>
      <c r="FP322" s="59">
        <f>$CE322-$CE323</f>
        <v/>
      </c>
      <c r="FQ322" s="59">
        <f>$CF322-$CF323</f>
        <v/>
      </c>
      <c r="FR322" s="59">
        <f>$CG322-$CG323</f>
        <v/>
      </c>
      <c r="FS322" s="59">
        <f>$CH322-$CH323</f>
        <v/>
      </c>
      <c r="FT322" s="59">
        <f>$CI322-$CI323</f>
        <v/>
      </c>
      <c r="FU322" s="59">
        <f>$CJ322-$CJ323</f>
        <v/>
      </c>
      <c r="FV322" s="59">
        <f>$CK322-$CK323</f>
        <v/>
      </c>
      <c r="FW322" s="59">
        <f>$CL322-$CL323</f>
        <v/>
      </c>
      <c r="FX322" s="59">
        <f>$CM322-$CM323</f>
        <v/>
      </c>
      <c r="FY322" s="59">
        <f>$CN322-$CN323</f>
        <v/>
      </c>
      <c r="FZ322" s="59">
        <f>$CO322-$CO323</f>
        <v/>
      </c>
      <c r="GA322" s="59">
        <f>$CP322-$CP323</f>
        <v/>
      </c>
      <c r="GB322" s="59">
        <f>$CQ322-$CQ323</f>
        <v/>
      </c>
      <c r="GC322" s="59">
        <f>$CR322-$CR323</f>
        <v/>
      </c>
      <c r="GD322" s="59">
        <f>$CS322-$CS323</f>
        <v/>
      </c>
      <c r="GE322" s="59">
        <f>$CT322-$CT323</f>
        <v/>
      </c>
    </row>
    <row r="323">
      <c r="CU323" s="58">
        <f>IFERROR($B323/$B324-1,"")</f>
        <v/>
      </c>
      <c r="CV323" s="59">
        <f>($F323-$F324)*100</f>
        <v/>
      </c>
      <c r="CW323" s="59">
        <f>($E323-$E324)*100</f>
        <v/>
      </c>
      <c r="CX323" s="58">
        <f>IFERROR($K323/$K324-1,"")</f>
        <v/>
      </c>
      <c r="CY323" s="59">
        <f>($AH323-$AH324)*100</f>
        <v/>
      </c>
      <c r="CZ323" s="59">
        <f>($AI323-$AI324)*100</f>
        <v/>
      </c>
      <c r="DA323" s="59">
        <f>($AJ323-$AJ324)*100</f>
        <v/>
      </c>
      <c r="DB323" s="59">
        <f>($AK323-$AK324)*100</f>
        <v/>
      </c>
      <c r="DC323" s="59">
        <f>($AL323-$AL324)*100</f>
        <v/>
      </c>
      <c r="DD323" s="59">
        <f>($AM323-$AM324)*100</f>
        <v/>
      </c>
      <c r="DE323" s="59">
        <f>($AN323-$AN324)*100</f>
        <v/>
      </c>
      <c r="DF323" s="59">
        <f>($AO323-$AO324)*100</f>
        <v/>
      </c>
      <c r="DG323" s="59">
        <f>($AP323-$AP324)*100</f>
        <v/>
      </c>
      <c r="DH323" s="59">
        <f>($AQ323-$AQ324)*100</f>
        <v/>
      </c>
      <c r="DI323" s="59">
        <f>($AR323-$AR324)*100</f>
        <v/>
      </c>
      <c r="DJ323" s="59">
        <f>($AS323-$AS324)*100</f>
        <v/>
      </c>
      <c r="DK323" s="59">
        <f>($AT323-$AT324)*100</f>
        <v/>
      </c>
      <c r="DL323" s="59">
        <f>($AU323-$AU324)*100</f>
        <v/>
      </c>
      <c r="DM323" s="59">
        <f>($AV323-$AV324)*100</f>
        <v/>
      </c>
      <c r="DN323" s="59">
        <f>($AW323-$AW324)*100</f>
        <v/>
      </c>
      <c r="DO323" s="59">
        <f>($AX323-$AX324)*100</f>
        <v/>
      </c>
      <c r="DP323" s="59">
        <f>($AY323-$AY324)*100</f>
        <v/>
      </c>
      <c r="DQ323" s="59">
        <f>($AZ323-$AZ324)*100</f>
        <v/>
      </c>
      <c r="DR323" s="59">
        <f>($BA323-$BA324)*100</f>
        <v/>
      </c>
      <c r="DS323" s="58">
        <f>IFERROR($N324/$N323-1,"")</f>
        <v/>
      </c>
      <c r="DT323" s="58">
        <f>IFERROR($O324/$O323-1,"")</f>
        <v/>
      </c>
      <c r="DU323" s="58">
        <f>IFERROR($P324/$P323-1,"")</f>
        <v/>
      </c>
      <c r="DV323" s="58">
        <f>IFERROR($Q324/$Q323-1,"")</f>
        <v/>
      </c>
      <c r="DW323" s="58">
        <f>IFERROR($R324/$R323-1,"")</f>
        <v/>
      </c>
      <c r="DX323" s="58">
        <f>IFERROR($S324/$S323-1,"")</f>
        <v/>
      </c>
      <c r="DY323" s="58">
        <f>IFERROR($T324/$T323-1,"")</f>
        <v/>
      </c>
      <c r="DZ323" s="58">
        <f>IFERROR($U324/$U323-1,"")</f>
        <v/>
      </c>
      <c r="EA323" s="58">
        <f>IFERROR($V324/$V323-1,"")</f>
        <v/>
      </c>
      <c r="EB323" s="58">
        <f>IFERROR($W324/$W323-1,"")</f>
        <v/>
      </c>
      <c r="EC323" s="58">
        <f>IFERROR($X324/$X323-1,"")</f>
        <v/>
      </c>
      <c r="ED323" s="58">
        <f>IFERROR($Y324/$Y323-1,"")</f>
        <v/>
      </c>
      <c r="EE323" s="58">
        <f>IFERROR($Z324/$Z323-1,"")</f>
        <v/>
      </c>
      <c r="EF323" s="58">
        <f>IFERROR($AA324/$AA323-1,"")</f>
        <v/>
      </c>
      <c r="EG323" s="58">
        <f>IFERROR($AB324/$AB323-1,"")</f>
        <v/>
      </c>
      <c r="EH323" s="58">
        <f>IFERROR($AC324/$AC323-1,"")</f>
        <v/>
      </c>
      <c r="EI323" s="58">
        <f>IFERROR($AD324/$AD323-1,"")</f>
        <v/>
      </c>
      <c r="EJ323" s="58">
        <f>IFERROR($AE324/$AE323-1,"")</f>
        <v/>
      </c>
      <c r="EK323" s="58">
        <f>IFERROR($AF324/$AF323-1,"")</f>
        <v/>
      </c>
      <c r="EL323" s="58">
        <f>IFERROR($AG324/$AG323-1,"")</f>
        <v/>
      </c>
      <c r="EM323" s="58">
        <f>IFERROR($BB323/$BB324-1,"")</f>
        <v/>
      </c>
      <c r="EN323" s="58">
        <f>IFERROR($BC323/$BC324-1,"")</f>
        <v/>
      </c>
      <c r="EO323" s="58">
        <f>IFERROR($BD323/$BD324-1,"")</f>
        <v/>
      </c>
      <c r="EP323" s="58">
        <f>IFERROR($BE323/$BE324-1,"")</f>
        <v/>
      </c>
      <c r="EQ323" s="58">
        <f>IFERROR($BF323/$BF324-1,"")</f>
        <v/>
      </c>
      <c r="ER323" s="58">
        <f>IFERROR($BG323/$BG324-1,"")</f>
        <v/>
      </c>
      <c r="ES323" s="58">
        <f>IFERROR($BH323/$BH324-1,"")</f>
        <v/>
      </c>
      <c r="ET323" s="58">
        <f>IFERROR($BI323/$BI324-1,"")</f>
        <v/>
      </c>
      <c r="EU323" s="58">
        <f>IFERROR($BJ323/$BJ324-1,"")</f>
        <v/>
      </c>
      <c r="EV323" s="58">
        <f>IFERROR($BK323/$BK324-1,"")</f>
        <v/>
      </c>
      <c r="EW323" s="58">
        <f>IFERROR($BL323/$BL324-1,"")</f>
        <v/>
      </c>
      <c r="EX323" s="58">
        <f>IFERROR($BM323/$BM324-1,"")</f>
        <v/>
      </c>
      <c r="EY323" s="58">
        <f>IFERROR($BN323/$BN324-1,"")</f>
        <v/>
      </c>
      <c r="EZ323" s="58">
        <f>IFERROR($BO323/$BO324-1,"")</f>
        <v/>
      </c>
      <c r="FA323" s="58">
        <f>IFERROR($BP323/$BP324-1,"")</f>
        <v/>
      </c>
      <c r="FB323" s="58">
        <f>IFERROR($BQ323/$BQ324-1,"")</f>
        <v/>
      </c>
      <c r="FC323" s="58">
        <f>IFERROR($BR323/$BR324-1,"")</f>
        <v/>
      </c>
      <c r="FD323" s="58">
        <f>IFERROR($BS323/$BS324-1,"")</f>
        <v/>
      </c>
      <c r="FE323" s="58">
        <f>IFERROR($BT323/$BT324-1,"")</f>
        <v/>
      </c>
      <c r="FF323" s="58">
        <f>IFERROR($BU323/$BU324-1,"")</f>
        <v/>
      </c>
      <c r="FG323" s="58">
        <f>IFERROR($BV323/$BV324-1,"")</f>
        <v/>
      </c>
      <c r="FH323" s="58">
        <f>IFERROR($BW323/$BW324-1,"")</f>
        <v/>
      </c>
      <c r="FI323" s="58">
        <f>IFERROR($BX323/$BX324-1,"")</f>
        <v/>
      </c>
      <c r="FJ323" s="59">
        <f>$BY323-$BY324</f>
        <v/>
      </c>
      <c r="FK323" s="59">
        <f>$BZ323-$BZ324</f>
        <v/>
      </c>
      <c r="FL323" s="59">
        <f>$CA323-$CA324</f>
        <v/>
      </c>
      <c r="FM323" s="59">
        <f>$CB323-$CB324</f>
        <v/>
      </c>
      <c r="FN323" s="59">
        <f>$CC323-$CC324</f>
        <v/>
      </c>
      <c r="FO323" s="59">
        <f>$CD323-$CD324</f>
        <v/>
      </c>
      <c r="FP323" s="59">
        <f>$CE323-$CE324</f>
        <v/>
      </c>
      <c r="FQ323" s="59">
        <f>$CF323-$CF324</f>
        <v/>
      </c>
      <c r="FR323" s="59">
        <f>$CG323-$CG324</f>
        <v/>
      </c>
      <c r="FS323" s="59">
        <f>$CH323-$CH324</f>
        <v/>
      </c>
      <c r="FT323" s="59">
        <f>$CI323-$CI324</f>
        <v/>
      </c>
      <c r="FU323" s="59">
        <f>$CJ323-$CJ324</f>
        <v/>
      </c>
      <c r="FV323" s="59">
        <f>$CK323-$CK324</f>
        <v/>
      </c>
      <c r="FW323" s="59">
        <f>$CL323-$CL324</f>
        <v/>
      </c>
      <c r="FX323" s="59">
        <f>$CM323-$CM324</f>
        <v/>
      </c>
      <c r="FY323" s="59">
        <f>$CN323-$CN324</f>
        <v/>
      </c>
      <c r="FZ323" s="59">
        <f>$CO323-$CO324</f>
        <v/>
      </c>
      <c r="GA323" s="59">
        <f>$CP323-$CP324</f>
        <v/>
      </c>
      <c r="GB323" s="59">
        <f>$CQ323-$CQ324</f>
        <v/>
      </c>
      <c r="GC323" s="59">
        <f>$CR323-$CR324</f>
        <v/>
      </c>
      <c r="GD323" s="59">
        <f>$CS323-$CS324</f>
        <v/>
      </c>
      <c r="GE323" s="59">
        <f>$CT323-$CT324</f>
        <v/>
      </c>
    </row>
    <row r="324">
      <c r="CU324" s="58">
        <f>IFERROR($B324/$B325-1,"")</f>
        <v/>
      </c>
      <c r="CV324" s="59">
        <f>($F324-$F325)*100</f>
        <v/>
      </c>
      <c r="CW324" s="59">
        <f>($E324-$E325)*100</f>
        <v/>
      </c>
      <c r="CX324" s="58">
        <f>IFERROR($K324/$K325-1,"")</f>
        <v/>
      </c>
      <c r="CY324" s="59">
        <f>($AH324-$AH325)*100</f>
        <v/>
      </c>
      <c r="CZ324" s="59">
        <f>($AI324-$AI325)*100</f>
        <v/>
      </c>
      <c r="DA324" s="59">
        <f>($AJ324-$AJ325)*100</f>
        <v/>
      </c>
      <c r="DB324" s="59">
        <f>($AK324-$AK325)*100</f>
        <v/>
      </c>
      <c r="DC324" s="59">
        <f>($AL324-$AL325)*100</f>
        <v/>
      </c>
      <c r="DD324" s="59">
        <f>($AM324-$AM325)*100</f>
        <v/>
      </c>
      <c r="DE324" s="59">
        <f>($AN324-$AN325)*100</f>
        <v/>
      </c>
      <c r="DF324" s="59">
        <f>($AO324-$AO325)*100</f>
        <v/>
      </c>
      <c r="DG324" s="59">
        <f>($AP324-$AP325)*100</f>
        <v/>
      </c>
      <c r="DH324" s="59">
        <f>($AQ324-$AQ325)*100</f>
        <v/>
      </c>
      <c r="DI324" s="59">
        <f>($AR324-$AR325)*100</f>
        <v/>
      </c>
      <c r="DJ324" s="59">
        <f>($AS324-$AS325)*100</f>
        <v/>
      </c>
      <c r="DK324" s="59">
        <f>($AT324-$AT325)*100</f>
        <v/>
      </c>
      <c r="DL324" s="59">
        <f>($AU324-$AU325)*100</f>
        <v/>
      </c>
      <c r="DM324" s="59">
        <f>($AV324-$AV325)*100</f>
        <v/>
      </c>
      <c r="DN324" s="59">
        <f>($AW324-$AW325)*100</f>
        <v/>
      </c>
      <c r="DO324" s="59">
        <f>($AX324-$AX325)*100</f>
        <v/>
      </c>
      <c r="DP324" s="59">
        <f>($AY324-$AY325)*100</f>
        <v/>
      </c>
      <c r="DQ324" s="59">
        <f>($AZ324-$AZ325)*100</f>
        <v/>
      </c>
      <c r="DR324" s="59">
        <f>($BA324-$BA325)*100</f>
        <v/>
      </c>
      <c r="DS324" s="58">
        <f>IFERROR($N325/$N324-1,"")</f>
        <v/>
      </c>
      <c r="DT324" s="58">
        <f>IFERROR($O325/$O324-1,"")</f>
        <v/>
      </c>
      <c r="DU324" s="58">
        <f>IFERROR($P325/$P324-1,"")</f>
        <v/>
      </c>
      <c r="DV324" s="58">
        <f>IFERROR($Q325/$Q324-1,"")</f>
        <v/>
      </c>
      <c r="DW324" s="58">
        <f>IFERROR($R325/$R324-1,"")</f>
        <v/>
      </c>
      <c r="DX324" s="58">
        <f>IFERROR($S325/$S324-1,"")</f>
        <v/>
      </c>
      <c r="DY324" s="58">
        <f>IFERROR($T325/$T324-1,"")</f>
        <v/>
      </c>
      <c r="DZ324" s="58">
        <f>IFERROR($U325/$U324-1,"")</f>
        <v/>
      </c>
      <c r="EA324" s="58">
        <f>IFERROR($V325/$V324-1,"")</f>
        <v/>
      </c>
      <c r="EB324" s="58">
        <f>IFERROR($W325/$W324-1,"")</f>
        <v/>
      </c>
      <c r="EC324" s="58">
        <f>IFERROR($X325/$X324-1,"")</f>
        <v/>
      </c>
      <c r="ED324" s="58">
        <f>IFERROR($Y325/$Y324-1,"")</f>
        <v/>
      </c>
      <c r="EE324" s="58">
        <f>IFERROR($Z325/$Z324-1,"")</f>
        <v/>
      </c>
      <c r="EF324" s="58">
        <f>IFERROR($AA325/$AA324-1,"")</f>
        <v/>
      </c>
      <c r="EG324" s="58">
        <f>IFERROR($AB325/$AB324-1,"")</f>
        <v/>
      </c>
      <c r="EH324" s="58">
        <f>IFERROR($AC325/$AC324-1,"")</f>
        <v/>
      </c>
      <c r="EI324" s="58">
        <f>IFERROR($AD325/$AD324-1,"")</f>
        <v/>
      </c>
      <c r="EJ324" s="58">
        <f>IFERROR($AE325/$AE324-1,"")</f>
        <v/>
      </c>
      <c r="EK324" s="58">
        <f>IFERROR($AF325/$AF324-1,"")</f>
        <v/>
      </c>
      <c r="EL324" s="58">
        <f>IFERROR($AG325/$AG324-1,"")</f>
        <v/>
      </c>
      <c r="EM324" s="58">
        <f>IFERROR($BB324/$BB325-1,"")</f>
        <v/>
      </c>
      <c r="EN324" s="58">
        <f>IFERROR($BC324/$BC325-1,"")</f>
        <v/>
      </c>
      <c r="EO324" s="58">
        <f>IFERROR($BD324/$BD325-1,"")</f>
        <v/>
      </c>
      <c r="EP324" s="58">
        <f>IFERROR($BE324/$BE325-1,"")</f>
        <v/>
      </c>
      <c r="EQ324" s="58">
        <f>IFERROR($BF324/$BF325-1,"")</f>
        <v/>
      </c>
      <c r="ER324" s="58">
        <f>IFERROR($BG324/$BG325-1,"")</f>
        <v/>
      </c>
      <c r="ES324" s="58">
        <f>IFERROR($BH324/$BH325-1,"")</f>
        <v/>
      </c>
      <c r="ET324" s="58">
        <f>IFERROR($BI324/$BI325-1,"")</f>
        <v/>
      </c>
      <c r="EU324" s="58">
        <f>IFERROR($BJ324/$BJ325-1,"")</f>
        <v/>
      </c>
      <c r="EV324" s="58">
        <f>IFERROR($BK324/$BK325-1,"")</f>
        <v/>
      </c>
      <c r="EW324" s="58">
        <f>IFERROR($BL324/$BL325-1,"")</f>
        <v/>
      </c>
      <c r="EX324" s="58">
        <f>IFERROR($BM324/$BM325-1,"")</f>
        <v/>
      </c>
      <c r="EY324" s="58">
        <f>IFERROR($BN324/$BN325-1,"")</f>
        <v/>
      </c>
      <c r="EZ324" s="58">
        <f>IFERROR($BO324/$BO325-1,"")</f>
        <v/>
      </c>
      <c r="FA324" s="58">
        <f>IFERROR($BP324/$BP325-1,"")</f>
        <v/>
      </c>
      <c r="FB324" s="58">
        <f>IFERROR($BQ324/$BQ325-1,"")</f>
        <v/>
      </c>
      <c r="FC324" s="58">
        <f>IFERROR($BR324/$BR325-1,"")</f>
        <v/>
      </c>
      <c r="FD324" s="58">
        <f>IFERROR($BS324/$BS325-1,"")</f>
        <v/>
      </c>
      <c r="FE324" s="58">
        <f>IFERROR($BT324/$BT325-1,"")</f>
        <v/>
      </c>
      <c r="FF324" s="58">
        <f>IFERROR($BU324/$BU325-1,"")</f>
        <v/>
      </c>
      <c r="FG324" s="58">
        <f>IFERROR($BV324/$BV325-1,"")</f>
        <v/>
      </c>
      <c r="FH324" s="58">
        <f>IFERROR($BW324/$BW325-1,"")</f>
        <v/>
      </c>
      <c r="FI324" s="58">
        <f>IFERROR($BX324/$BX325-1,"")</f>
        <v/>
      </c>
      <c r="FJ324" s="59">
        <f>$BY324-$BY325</f>
        <v/>
      </c>
      <c r="FK324" s="59">
        <f>$BZ324-$BZ325</f>
        <v/>
      </c>
      <c r="FL324" s="59">
        <f>$CA324-$CA325</f>
        <v/>
      </c>
      <c r="FM324" s="59">
        <f>$CB324-$CB325</f>
        <v/>
      </c>
      <c r="FN324" s="59">
        <f>$CC324-$CC325</f>
        <v/>
      </c>
      <c r="FO324" s="59">
        <f>$CD324-$CD325</f>
        <v/>
      </c>
      <c r="FP324" s="59">
        <f>$CE324-$CE325</f>
        <v/>
      </c>
      <c r="FQ324" s="59">
        <f>$CF324-$CF325</f>
        <v/>
      </c>
      <c r="FR324" s="59">
        <f>$CG324-$CG325</f>
        <v/>
      </c>
      <c r="FS324" s="59">
        <f>$CH324-$CH325</f>
        <v/>
      </c>
      <c r="FT324" s="59">
        <f>$CI324-$CI325</f>
        <v/>
      </c>
      <c r="FU324" s="59">
        <f>$CJ324-$CJ325</f>
        <v/>
      </c>
      <c r="FV324" s="59">
        <f>$CK324-$CK325</f>
        <v/>
      </c>
      <c r="FW324" s="59">
        <f>$CL324-$CL325</f>
        <v/>
      </c>
      <c r="FX324" s="59">
        <f>$CM324-$CM325</f>
        <v/>
      </c>
      <c r="FY324" s="59">
        <f>$CN324-$CN325</f>
        <v/>
      </c>
      <c r="FZ324" s="59">
        <f>$CO324-$CO325</f>
        <v/>
      </c>
      <c r="GA324" s="59">
        <f>$CP324-$CP325</f>
        <v/>
      </c>
      <c r="GB324" s="59">
        <f>$CQ324-$CQ325</f>
        <v/>
      </c>
      <c r="GC324" s="59">
        <f>$CR324-$CR325</f>
        <v/>
      </c>
      <c r="GD324" s="59">
        <f>$CS324-$CS325</f>
        <v/>
      </c>
      <c r="GE324" s="59">
        <f>$CT324-$CT325</f>
        <v/>
      </c>
    </row>
    <row r="325">
      <c r="CU325" s="58">
        <f>IFERROR($B325/$B326-1,"")</f>
        <v/>
      </c>
      <c r="CV325" s="59">
        <f>($F325-$F326)*100</f>
        <v/>
      </c>
      <c r="CW325" s="59">
        <f>($E325-$E326)*100</f>
        <v/>
      </c>
      <c r="CX325" s="58">
        <f>IFERROR($K325/$K326-1,"")</f>
        <v/>
      </c>
      <c r="CY325" s="59">
        <f>($AH325-$AH326)*100</f>
        <v/>
      </c>
      <c r="CZ325" s="59">
        <f>($AI325-$AI326)*100</f>
        <v/>
      </c>
      <c r="DA325" s="59">
        <f>($AJ325-$AJ326)*100</f>
        <v/>
      </c>
      <c r="DB325" s="59">
        <f>($AK325-$AK326)*100</f>
        <v/>
      </c>
      <c r="DC325" s="59">
        <f>($AL325-$AL326)*100</f>
        <v/>
      </c>
      <c r="DD325" s="59">
        <f>($AM325-$AM326)*100</f>
        <v/>
      </c>
      <c r="DE325" s="59">
        <f>($AN325-$AN326)*100</f>
        <v/>
      </c>
      <c r="DF325" s="59">
        <f>($AO325-$AO326)*100</f>
        <v/>
      </c>
      <c r="DG325" s="59">
        <f>($AP325-$AP326)*100</f>
        <v/>
      </c>
      <c r="DH325" s="59">
        <f>($AQ325-$AQ326)*100</f>
        <v/>
      </c>
      <c r="DI325" s="59">
        <f>($AR325-$AR326)*100</f>
        <v/>
      </c>
      <c r="DJ325" s="59">
        <f>($AS325-$AS326)*100</f>
        <v/>
      </c>
      <c r="DK325" s="59">
        <f>($AT325-$AT326)*100</f>
        <v/>
      </c>
      <c r="DL325" s="59">
        <f>($AU325-$AU326)*100</f>
        <v/>
      </c>
      <c r="DM325" s="59">
        <f>($AV325-$AV326)*100</f>
        <v/>
      </c>
      <c r="DN325" s="59">
        <f>($AW325-$AW326)*100</f>
        <v/>
      </c>
      <c r="DO325" s="59">
        <f>($AX325-$AX326)*100</f>
        <v/>
      </c>
      <c r="DP325" s="59">
        <f>($AY325-$AY326)*100</f>
        <v/>
      </c>
      <c r="DQ325" s="59">
        <f>($AZ325-$AZ326)*100</f>
        <v/>
      </c>
      <c r="DR325" s="59">
        <f>($BA325-$BA326)*100</f>
        <v/>
      </c>
      <c r="DS325" s="58">
        <f>IFERROR($N326/$N325-1,"")</f>
        <v/>
      </c>
      <c r="DT325" s="58">
        <f>IFERROR($O326/$O325-1,"")</f>
        <v/>
      </c>
      <c r="DU325" s="58">
        <f>IFERROR($P326/$P325-1,"")</f>
        <v/>
      </c>
      <c r="DV325" s="58">
        <f>IFERROR($Q326/$Q325-1,"")</f>
        <v/>
      </c>
      <c r="DW325" s="58">
        <f>IFERROR($R326/$R325-1,"")</f>
        <v/>
      </c>
      <c r="DX325" s="58">
        <f>IFERROR($S326/$S325-1,"")</f>
        <v/>
      </c>
      <c r="DY325" s="58">
        <f>IFERROR($T326/$T325-1,"")</f>
        <v/>
      </c>
      <c r="DZ325" s="58">
        <f>IFERROR($U326/$U325-1,"")</f>
        <v/>
      </c>
      <c r="EA325" s="58">
        <f>IFERROR($V326/$V325-1,"")</f>
        <v/>
      </c>
      <c r="EB325" s="58">
        <f>IFERROR($W326/$W325-1,"")</f>
        <v/>
      </c>
      <c r="EC325" s="58">
        <f>IFERROR($X326/$X325-1,"")</f>
        <v/>
      </c>
      <c r="ED325" s="58">
        <f>IFERROR($Y326/$Y325-1,"")</f>
        <v/>
      </c>
      <c r="EE325" s="58">
        <f>IFERROR($Z326/$Z325-1,"")</f>
        <v/>
      </c>
      <c r="EF325" s="58">
        <f>IFERROR($AA326/$AA325-1,"")</f>
        <v/>
      </c>
      <c r="EG325" s="58">
        <f>IFERROR($AB326/$AB325-1,"")</f>
        <v/>
      </c>
      <c r="EH325" s="58">
        <f>IFERROR($AC326/$AC325-1,"")</f>
        <v/>
      </c>
      <c r="EI325" s="58">
        <f>IFERROR($AD326/$AD325-1,"")</f>
        <v/>
      </c>
      <c r="EJ325" s="58">
        <f>IFERROR($AE326/$AE325-1,"")</f>
        <v/>
      </c>
      <c r="EK325" s="58">
        <f>IFERROR($AF326/$AF325-1,"")</f>
        <v/>
      </c>
      <c r="EL325" s="58">
        <f>IFERROR($AG326/$AG325-1,"")</f>
        <v/>
      </c>
      <c r="EM325" s="58">
        <f>IFERROR($BB325/$BB326-1,"")</f>
        <v/>
      </c>
      <c r="EN325" s="58">
        <f>IFERROR($BC325/$BC326-1,"")</f>
        <v/>
      </c>
      <c r="EO325" s="58">
        <f>IFERROR($BD325/$BD326-1,"")</f>
        <v/>
      </c>
      <c r="EP325" s="58">
        <f>IFERROR($BE325/$BE326-1,"")</f>
        <v/>
      </c>
      <c r="EQ325" s="58">
        <f>IFERROR($BF325/$BF326-1,"")</f>
        <v/>
      </c>
      <c r="ER325" s="58">
        <f>IFERROR($BG325/$BG326-1,"")</f>
        <v/>
      </c>
      <c r="ES325" s="58">
        <f>IFERROR($BH325/$BH326-1,"")</f>
        <v/>
      </c>
      <c r="ET325" s="58">
        <f>IFERROR($BI325/$BI326-1,"")</f>
        <v/>
      </c>
      <c r="EU325" s="58">
        <f>IFERROR($BJ325/$BJ326-1,"")</f>
        <v/>
      </c>
      <c r="EV325" s="58">
        <f>IFERROR($BK325/$BK326-1,"")</f>
        <v/>
      </c>
      <c r="EW325" s="58">
        <f>IFERROR($BL325/$BL326-1,"")</f>
        <v/>
      </c>
      <c r="EX325" s="58">
        <f>IFERROR($BM325/$BM326-1,"")</f>
        <v/>
      </c>
      <c r="EY325" s="58">
        <f>IFERROR($BN325/$BN326-1,"")</f>
        <v/>
      </c>
      <c r="EZ325" s="58">
        <f>IFERROR($BO325/$BO326-1,"")</f>
        <v/>
      </c>
      <c r="FA325" s="58">
        <f>IFERROR($BP325/$BP326-1,"")</f>
        <v/>
      </c>
      <c r="FB325" s="58">
        <f>IFERROR($BQ325/$BQ326-1,"")</f>
        <v/>
      </c>
      <c r="FC325" s="58">
        <f>IFERROR($BR325/$BR326-1,"")</f>
        <v/>
      </c>
      <c r="FD325" s="58">
        <f>IFERROR($BS325/$BS326-1,"")</f>
        <v/>
      </c>
      <c r="FE325" s="58">
        <f>IFERROR($BT325/$BT326-1,"")</f>
        <v/>
      </c>
      <c r="FF325" s="58">
        <f>IFERROR($BU325/$BU326-1,"")</f>
        <v/>
      </c>
      <c r="FG325" s="58">
        <f>IFERROR($BV325/$BV326-1,"")</f>
        <v/>
      </c>
      <c r="FH325" s="58">
        <f>IFERROR($BW325/$BW326-1,"")</f>
        <v/>
      </c>
      <c r="FI325" s="58">
        <f>IFERROR($BX325/$BX326-1,"")</f>
        <v/>
      </c>
      <c r="FJ325" s="59">
        <f>$BY325-$BY326</f>
        <v/>
      </c>
      <c r="FK325" s="59">
        <f>$BZ325-$BZ326</f>
        <v/>
      </c>
      <c r="FL325" s="59">
        <f>$CA325-$CA326</f>
        <v/>
      </c>
      <c r="FM325" s="59">
        <f>$CB325-$CB326</f>
        <v/>
      </c>
      <c r="FN325" s="59">
        <f>$CC325-$CC326</f>
        <v/>
      </c>
      <c r="FO325" s="59">
        <f>$CD325-$CD326</f>
        <v/>
      </c>
      <c r="FP325" s="59">
        <f>$CE325-$CE326</f>
        <v/>
      </c>
      <c r="FQ325" s="59">
        <f>$CF325-$CF326</f>
        <v/>
      </c>
      <c r="FR325" s="59">
        <f>$CG325-$CG326</f>
        <v/>
      </c>
      <c r="FS325" s="59">
        <f>$CH325-$CH326</f>
        <v/>
      </c>
      <c r="FT325" s="59">
        <f>$CI325-$CI326</f>
        <v/>
      </c>
      <c r="FU325" s="59">
        <f>$CJ325-$CJ326</f>
        <v/>
      </c>
      <c r="FV325" s="59">
        <f>$CK325-$CK326</f>
        <v/>
      </c>
      <c r="FW325" s="59">
        <f>$CL325-$CL326</f>
        <v/>
      </c>
      <c r="FX325" s="59">
        <f>$CM325-$CM326</f>
        <v/>
      </c>
      <c r="FY325" s="59">
        <f>$CN325-$CN326</f>
        <v/>
      </c>
      <c r="FZ325" s="59">
        <f>$CO325-$CO326</f>
        <v/>
      </c>
      <c r="GA325" s="59">
        <f>$CP325-$CP326</f>
        <v/>
      </c>
      <c r="GB325" s="59">
        <f>$CQ325-$CQ326</f>
        <v/>
      </c>
      <c r="GC325" s="59">
        <f>$CR325-$CR326</f>
        <v/>
      </c>
      <c r="GD325" s="59">
        <f>$CS325-$CS326</f>
        <v/>
      </c>
      <c r="GE325" s="59">
        <f>$CT325-$CT326</f>
        <v/>
      </c>
    </row>
    <row r="326">
      <c r="CU326" s="58">
        <f>IFERROR($B326/$B327-1,"")</f>
        <v/>
      </c>
      <c r="CV326" s="59">
        <f>($F326-$F327)*100</f>
        <v/>
      </c>
      <c r="CW326" s="59">
        <f>($E326-$E327)*100</f>
        <v/>
      </c>
      <c r="CX326" s="58">
        <f>IFERROR($K326/$K327-1,"")</f>
        <v/>
      </c>
      <c r="CY326" s="59">
        <f>($AH326-$AH327)*100</f>
        <v/>
      </c>
      <c r="CZ326" s="59">
        <f>($AI326-$AI327)*100</f>
        <v/>
      </c>
      <c r="DA326" s="59">
        <f>($AJ326-$AJ327)*100</f>
        <v/>
      </c>
      <c r="DB326" s="59">
        <f>($AK326-$AK327)*100</f>
        <v/>
      </c>
      <c r="DC326" s="59">
        <f>($AL326-$AL327)*100</f>
        <v/>
      </c>
      <c r="DD326" s="59">
        <f>($AM326-$AM327)*100</f>
        <v/>
      </c>
      <c r="DE326" s="59">
        <f>($AN326-$AN327)*100</f>
        <v/>
      </c>
      <c r="DF326" s="59">
        <f>($AO326-$AO327)*100</f>
        <v/>
      </c>
      <c r="DG326" s="59">
        <f>($AP326-$AP327)*100</f>
        <v/>
      </c>
      <c r="DH326" s="59">
        <f>($AQ326-$AQ327)*100</f>
        <v/>
      </c>
      <c r="DI326" s="59">
        <f>($AR326-$AR327)*100</f>
        <v/>
      </c>
      <c r="DJ326" s="59">
        <f>($AS326-$AS327)*100</f>
        <v/>
      </c>
      <c r="DK326" s="59">
        <f>($AT326-$AT327)*100</f>
        <v/>
      </c>
      <c r="DL326" s="59">
        <f>($AU326-$AU327)*100</f>
        <v/>
      </c>
      <c r="DM326" s="59">
        <f>($AV326-$AV327)*100</f>
        <v/>
      </c>
      <c r="DN326" s="59">
        <f>($AW326-$AW327)*100</f>
        <v/>
      </c>
      <c r="DO326" s="59">
        <f>($AX326-$AX327)*100</f>
        <v/>
      </c>
      <c r="DP326" s="59">
        <f>($AY326-$AY327)*100</f>
        <v/>
      </c>
      <c r="DQ326" s="59">
        <f>($AZ326-$AZ327)*100</f>
        <v/>
      </c>
      <c r="DR326" s="59">
        <f>($BA326-$BA327)*100</f>
        <v/>
      </c>
      <c r="DS326" s="58">
        <f>IFERROR($N327/$N326-1,"")</f>
        <v/>
      </c>
      <c r="DT326" s="58">
        <f>IFERROR($O327/$O326-1,"")</f>
        <v/>
      </c>
      <c r="DU326" s="58">
        <f>IFERROR($P327/$P326-1,"")</f>
        <v/>
      </c>
      <c r="DV326" s="58">
        <f>IFERROR($Q327/$Q326-1,"")</f>
        <v/>
      </c>
      <c r="DW326" s="58">
        <f>IFERROR($R327/$R326-1,"")</f>
        <v/>
      </c>
      <c r="DX326" s="58">
        <f>IFERROR($S327/$S326-1,"")</f>
        <v/>
      </c>
      <c r="DY326" s="58">
        <f>IFERROR($T327/$T326-1,"")</f>
        <v/>
      </c>
      <c r="DZ326" s="58">
        <f>IFERROR($U327/$U326-1,"")</f>
        <v/>
      </c>
      <c r="EA326" s="58">
        <f>IFERROR($V327/$V326-1,"")</f>
        <v/>
      </c>
      <c r="EB326" s="58">
        <f>IFERROR($W327/$W326-1,"")</f>
        <v/>
      </c>
      <c r="EC326" s="58">
        <f>IFERROR($X327/$X326-1,"")</f>
        <v/>
      </c>
      <c r="ED326" s="58">
        <f>IFERROR($Y327/$Y326-1,"")</f>
        <v/>
      </c>
      <c r="EE326" s="58">
        <f>IFERROR($Z327/$Z326-1,"")</f>
        <v/>
      </c>
      <c r="EF326" s="58">
        <f>IFERROR($AA327/$AA326-1,"")</f>
        <v/>
      </c>
      <c r="EG326" s="58">
        <f>IFERROR($AB327/$AB326-1,"")</f>
        <v/>
      </c>
      <c r="EH326" s="58">
        <f>IFERROR($AC327/$AC326-1,"")</f>
        <v/>
      </c>
      <c r="EI326" s="58">
        <f>IFERROR($AD327/$AD326-1,"")</f>
        <v/>
      </c>
      <c r="EJ326" s="58">
        <f>IFERROR($AE327/$AE326-1,"")</f>
        <v/>
      </c>
      <c r="EK326" s="58">
        <f>IFERROR($AF327/$AF326-1,"")</f>
        <v/>
      </c>
      <c r="EL326" s="58">
        <f>IFERROR($AG327/$AG326-1,"")</f>
        <v/>
      </c>
      <c r="EM326" s="58">
        <f>IFERROR($BB326/$BB327-1,"")</f>
        <v/>
      </c>
      <c r="EN326" s="58">
        <f>IFERROR($BC326/$BC327-1,"")</f>
        <v/>
      </c>
      <c r="EO326" s="58">
        <f>IFERROR($BD326/$BD327-1,"")</f>
        <v/>
      </c>
      <c r="EP326" s="58">
        <f>IFERROR($BE326/$BE327-1,"")</f>
        <v/>
      </c>
      <c r="EQ326" s="58">
        <f>IFERROR($BF326/$BF327-1,"")</f>
        <v/>
      </c>
      <c r="ER326" s="58">
        <f>IFERROR($BG326/$BG327-1,"")</f>
        <v/>
      </c>
      <c r="ES326" s="58">
        <f>IFERROR($BH326/$BH327-1,"")</f>
        <v/>
      </c>
      <c r="ET326" s="58">
        <f>IFERROR($BI326/$BI327-1,"")</f>
        <v/>
      </c>
      <c r="EU326" s="58">
        <f>IFERROR($BJ326/$BJ327-1,"")</f>
        <v/>
      </c>
      <c r="EV326" s="58">
        <f>IFERROR($BK326/$BK327-1,"")</f>
        <v/>
      </c>
      <c r="EW326" s="58">
        <f>IFERROR($BL326/$BL327-1,"")</f>
        <v/>
      </c>
      <c r="EX326" s="58">
        <f>IFERROR($BM326/$BM327-1,"")</f>
        <v/>
      </c>
      <c r="EY326" s="58">
        <f>IFERROR($BN326/$BN327-1,"")</f>
        <v/>
      </c>
      <c r="EZ326" s="58">
        <f>IFERROR($BO326/$BO327-1,"")</f>
        <v/>
      </c>
      <c r="FA326" s="58">
        <f>IFERROR($BP326/$BP327-1,"")</f>
        <v/>
      </c>
      <c r="FB326" s="58">
        <f>IFERROR($BQ326/$BQ327-1,"")</f>
        <v/>
      </c>
      <c r="FC326" s="58">
        <f>IFERROR($BR326/$BR327-1,"")</f>
        <v/>
      </c>
      <c r="FD326" s="58">
        <f>IFERROR($BS326/$BS327-1,"")</f>
        <v/>
      </c>
      <c r="FE326" s="58">
        <f>IFERROR($BT326/$BT327-1,"")</f>
        <v/>
      </c>
      <c r="FF326" s="58">
        <f>IFERROR($BU326/$BU327-1,"")</f>
        <v/>
      </c>
      <c r="FG326" s="58">
        <f>IFERROR($BV326/$BV327-1,"")</f>
        <v/>
      </c>
      <c r="FH326" s="58">
        <f>IFERROR($BW326/$BW327-1,"")</f>
        <v/>
      </c>
      <c r="FI326" s="58">
        <f>IFERROR($BX326/$BX327-1,"")</f>
        <v/>
      </c>
      <c r="FJ326" s="59">
        <f>$BY326-$BY327</f>
        <v/>
      </c>
      <c r="FK326" s="59">
        <f>$BZ326-$BZ327</f>
        <v/>
      </c>
      <c r="FL326" s="59">
        <f>$CA326-$CA327</f>
        <v/>
      </c>
      <c r="FM326" s="59">
        <f>$CB326-$CB327</f>
        <v/>
      </c>
      <c r="FN326" s="59">
        <f>$CC326-$CC327</f>
        <v/>
      </c>
      <c r="FO326" s="59">
        <f>$CD326-$CD327</f>
        <v/>
      </c>
      <c r="FP326" s="59">
        <f>$CE326-$CE327</f>
        <v/>
      </c>
      <c r="FQ326" s="59">
        <f>$CF326-$CF327</f>
        <v/>
      </c>
      <c r="FR326" s="59">
        <f>$CG326-$CG327</f>
        <v/>
      </c>
      <c r="FS326" s="59">
        <f>$CH326-$CH327</f>
        <v/>
      </c>
      <c r="FT326" s="59">
        <f>$CI326-$CI327</f>
        <v/>
      </c>
      <c r="FU326" s="59">
        <f>$CJ326-$CJ327</f>
        <v/>
      </c>
      <c r="FV326" s="59">
        <f>$CK326-$CK327</f>
        <v/>
      </c>
      <c r="FW326" s="59">
        <f>$CL326-$CL327</f>
        <v/>
      </c>
      <c r="FX326" s="59">
        <f>$CM326-$CM327</f>
        <v/>
      </c>
      <c r="FY326" s="59">
        <f>$CN326-$CN327</f>
        <v/>
      </c>
      <c r="FZ326" s="59">
        <f>$CO326-$CO327</f>
        <v/>
      </c>
      <c r="GA326" s="59">
        <f>$CP326-$CP327</f>
        <v/>
      </c>
      <c r="GB326" s="59">
        <f>$CQ326-$CQ327</f>
        <v/>
      </c>
      <c r="GC326" s="59">
        <f>$CR326-$CR327</f>
        <v/>
      </c>
      <c r="GD326" s="59">
        <f>$CS326-$CS327</f>
        <v/>
      </c>
      <c r="GE326" s="59">
        <f>$CT326-$CT327</f>
        <v/>
      </c>
    </row>
    <row r="327">
      <c r="CU327" s="58">
        <f>IFERROR($B327/$B328-1,"")</f>
        <v/>
      </c>
      <c r="CV327" s="59">
        <f>($F327-$F328)*100</f>
        <v/>
      </c>
      <c r="CW327" s="59">
        <f>($E327-$E328)*100</f>
        <v/>
      </c>
      <c r="CX327" s="58">
        <f>IFERROR($K327/$K328-1,"")</f>
        <v/>
      </c>
      <c r="CY327" s="59">
        <f>($AH327-$AH328)*100</f>
        <v/>
      </c>
      <c r="CZ327" s="59">
        <f>($AI327-$AI328)*100</f>
        <v/>
      </c>
      <c r="DA327" s="59">
        <f>($AJ327-$AJ328)*100</f>
        <v/>
      </c>
      <c r="DB327" s="59">
        <f>($AK327-$AK328)*100</f>
        <v/>
      </c>
      <c r="DC327" s="59">
        <f>($AL327-$AL328)*100</f>
        <v/>
      </c>
      <c r="DD327" s="59">
        <f>($AM327-$AM328)*100</f>
        <v/>
      </c>
      <c r="DE327" s="59">
        <f>($AN327-$AN328)*100</f>
        <v/>
      </c>
      <c r="DF327" s="59">
        <f>($AO327-$AO328)*100</f>
        <v/>
      </c>
      <c r="DG327" s="59">
        <f>($AP327-$AP328)*100</f>
        <v/>
      </c>
      <c r="DH327" s="59">
        <f>($AQ327-$AQ328)*100</f>
        <v/>
      </c>
      <c r="DI327" s="59">
        <f>($AR327-$AR328)*100</f>
        <v/>
      </c>
      <c r="DJ327" s="59">
        <f>($AS327-$AS328)*100</f>
        <v/>
      </c>
      <c r="DK327" s="59">
        <f>($AT327-$AT328)*100</f>
        <v/>
      </c>
      <c r="DL327" s="59">
        <f>($AU327-$AU328)*100</f>
        <v/>
      </c>
      <c r="DM327" s="59">
        <f>($AV327-$AV328)*100</f>
        <v/>
      </c>
      <c r="DN327" s="59">
        <f>($AW327-$AW328)*100</f>
        <v/>
      </c>
      <c r="DO327" s="59">
        <f>($AX327-$AX328)*100</f>
        <v/>
      </c>
      <c r="DP327" s="59">
        <f>($AY327-$AY328)*100</f>
        <v/>
      </c>
      <c r="DQ327" s="59">
        <f>($AZ327-$AZ328)*100</f>
        <v/>
      </c>
      <c r="DR327" s="59">
        <f>($BA327-$BA328)*100</f>
        <v/>
      </c>
      <c r="DS327" s="58">
        <f>IFERROR($N328/$N327-1,"")</f>
        <v/>
      </c>
      <c r="DT327" s="58">
        <f>IFERROR($O328/$O327-1,"")</f>
        <v/>
      </c>
      <c r="DU327" s="58">
        <f>IFERROR($P328/$P327-1,"")</f>
        <v/>
      </c>
      <c r="DV327" s="58">
        <f>IFERROR($Q328/$Q327-1,"")</f>
        <v/>
      </c>
      <c r="DW327" s="58">
        <f>IFERROR($R328/$R327-1,"")</f>
        <v/>
      </c>
      <c r="DX327" s="58">
        <f>IFERROR($S328/$S327-1,"")</f>
        <v/>
      </c>
      <c r="DY327" s="58">
        <f>IFERROR($T328/$T327-1,"")</f>
        <v/>
      </c>
      <c r="DZ327" s="58">
        <f>IFERROR($U328/$U327-1,"")</f>
        <v/>
      </c>
      <c r="EA327" s="58">
        <f>IFERROR($V328/$V327-1,"")</f>
        <v/>
      </c>
      <c r="EB327" s="58">
        <f>IFERROR($W328/$W327-1,"")</f>
        <v/>
      </c>
      <c r="EC327" s="58">
        <f>IFERROR($X328/$X327-1,"")</f>
        <v/>
      </c>
      <c r="ED327" s="58">
        <f>IFERROR($Y328/$Y327-1,"")</f>
        <v/>
      </c>
      <c r="EE327" s="58">
        <f>IFERROR($Z328/$Z327-1,"")</f>
        <v/>
      </c>
      <c r="EF327" s="58">
        <f>IFERROR($AA328/$AA327-1,"")</f>
        <v/>
      </c>
      <c r="EG327" s="58">
        <f>IFERROR($AB328/$AB327-1,"")</f>
        <v/>
      </c>
      <c r="EH327" s="58">
        <f>IFERROR($AC328/$AC327-1,"")</f>
        <v/>
      </c>
      <c r="EI327" s="58">
        <f>IFERROR($AD328/$AD327-1,"")</f>
        <v/>
      </c>
      <c r="EJ327" s="58">
        <f>IFERROR($AE328/$AE327-1,"")</f>
        <v/>
      </c>
      <c r="EK327" s="58">
        <f>IFERROR($AF328/$AF327-1,"")</f>
        <v/>
      </c>
      <c r="EL327" s="58">
        <f>IFERROR($AG328/$AG327-1,"")</f>
        <v/>
      </c>
      <c r="EM327" s="58">
        <f>IFERROR($BB327/$BB328-1,"")</f>
        <v/>
      </c>
      <c r="EN327" s="58">
        <f>IFERROR($BC327/$BC328-1,"")</f>
        <v/>
      </c>
      <c r="EO327" s="58">
        <f>IFERROR($BD327/$BD328-1,"")</f>
        <v/>
      </c>
      <c r="EP327" s="58">
        <f>IFERROR($BE327/$BE328-1,"")</f>
        <v/>
      </c>
      <c r="EQ327" s="58">
        <f>IFERROR($BF327/$BF328-1,"")</f>
        <v/>
      </c>
      <c r="ER327" s="58">
        <f>IFERROR($BG327/$BG328-1,"")</f>
        <v/>
      </c>
      <c r="ES327" s="58">
        <f>IFERROR($BH327/$BH328-1,"")</f>
        <v/>
      </c>
      <c r="ET327" s="58">
        <f>IFERROR($BI327/$BI328-1,"")</f>
        <v/>
      </c>
      <c r="EU327" s="58">
        <f>IFERROR($BJ327/$BJ328-1,"")</f>
        <v/>
      </c>
      <c r="EV327" s="58">
        <f>IFERROR($BK327/$BK328-1,"")</f>
        <v/>
      </c>
      <c r="EW327" s="58">
        <f>IFERROR($BL327/$BL328-1,"")</f>
        <v/>
      </c>
      <c r="EX327" s="58">
        <f>IFERROR($BM327/$BM328-1,"")</f>
        <v/>
      </c>
      <c r="EY327" s="58">
        <f>IFERROR($BN327/$BN328-1,"")</f>
        <v/>
      </c>
      <c r="EZ327" s="58">
        <f>IFERROR($BO327/$BO328-1,"")</f>
        <v/>
      </c>
      <c r="FA327" s="58">
        <f>IFERROR($BP327/$BP328-1,"")</f>
        <v/>
      </c>
      <c r="FB327" s="58">
        <f>IFERROR($BQ327/$BQ328-1,"")</f>
        <v/>
      </c>
      <c r="FC327" s="58">
        <f>IFERROR($BR327/$BR328-1,"")</f>
        <v/>
      </c>
      <c r="FD327" s="58">
        <f>IFERROR($BS327/$BS328-1,"")</f>
        <v/>
      </c>
      <c r="FE327" s="58">
        <f>IFERROR($BT327/$BT328-1,"")</f>
        <v/>
      </c>
      <c r="FF327" s="58">
        <f>IFERROR($BU327/$BU328-1,"")</f>
        <v/>
      </c>
      <c r="FG327" s="58">
        <f>IFERROR($BV327/$BV328-1,"")</f>
        <v/>
      </c>
      <c r="FH327" s="58">
        <f>IFERROR($BW327/$BW328-1,"")</f>
        <v/>
      </c>
      <c r="FI327" s="58">
        <f>IFERROR($BX327/$BX328-1,"")</f>
        <v/>
      </c>
      <c r="FJ327" s="59">
        <f>$BY327-$BY328</f>
        <v/>
      </c>
      <c r="FK327" s="59">
        <f>$BZ327-$BZ328</f>
        <v/>
      </c>
      <c r="FL327" s="59">
        <f>$CA327-$CA328</f>
        <v/>
      </c>
      <c r="FM327" s="59">
        <f>$CB327-$CB328</f>
        <v/>
      </c>
      <c r="FN327" s="59">
        <f>$CC327-$CC328</f>
        <v/>
      </c>
      <c r="FO327" s="59">
        <f>$CD327-$CD328</f>
        <v/>
      </c>
      <c r="FP327" s="59">
        <f>$CE327-$CE328</f>
        <v/>
      </c>
      <c r="FQ327" s="59">
        <f>$CF327-$CF328</f>
        <v/>
      </c>
      <c r="FR327" s="59">
        <f>$CG327-$CG328</f>
        <v/>
      </c>
      <c r="FS327" s="59">
        <f>$CH327-$CH328</f>
        <v/>
      </c>
      <c r="FT327" s="59">
        <f>$CI327-$CI328</f>
        <v/>
      </c>
      <c r="FU327" s="59">
        <f>$CJ327-$CJ328</f>
        <v/>
      </c>
      <c r="FV327" s="59">
        <f>$CK327-$CK328</f>
        <v/>
      </c>
      <c r="FW327" s="59">
        <f>$CL327-$CL328</f>
        <v/>
      </c>
      <c r="FX327" s="59">
        <f>$CM327-$CM328</f>
        <v/>
      </c>
      <c r="FY327" s="59">
        <f>$CN327-$CN328</f>
        <v/>
      </c>
      <c r="FZ327" s="59">
        <f>$CO327-$CO328</f>
        <v/>
      </c>
      <c r="GA327" s="59">
        <f>$CP327-$CP328</f>
        <v/>
      </c>
      <c r="GB327" s="59">
        <f>$CQ327-$CQ328</f>
        <v/>
      </c>
      <c r="GC327" s="59">
        <f>$CR327-$CR328</f>
        <v/>
      </c>
      <c r="GD327" s="59">
        <f>$CS327-$CS328</f>
        <v/>
      </c>
      <c r="GE327" s="59">
        <f>$CT327-$CT328</f>
        <v/>
      </c>
    </row>
    <row r="328">
      <c r="CU328" s="58">
        <f>IFERROR($B328/$B329-1,"")</f>
        <v/>
      </c>
      <c r="CV328" s="59">
        <f>($F328-$F329)*100</f>
        <v/>
      </c>
      <c r="CW328" s="59">
        <f>($E328-$E329)*100</f>
        <v/>
      </c>
      <c r="CX328" s="58">
        <f>IFERROR($K328/$K329-1,"")</f>
        <v/>
      </c>
      <c r="CY328" s="59">
        <f>($AH328-$AH329)*100</f>
        <v/>
      </c>
      <c r="CZ328" s="59">
        <f>($AI328-$AI329)*100</f>
        <v/>
      </c>
      <c r="DA328" s="59">
        <f>($AJ328-$AJ329)*100</f>
        <v/>
      </c>
      <c r="DB328" s="59">
        <f>($AK328-$AK329)*100</f>
        <v/>
      </c>
      <c r="DC328" s="59">
        <f>($AL328-$AL329)*100</f>
        <v/>
      </c>
      <c r="DD328" s="59">
        <f>($AM328-$AM329)*100</f>
        <v/>
      </c>
      <c r="DE328" s="59">
        <f>($AN328-$AN329)*100</f>
        <v/>
      </c>
      <c r="DF328" s="59">
        <f>($AO328-$AO329)*100</f>
        <v/>
      </c>
      <c r="DG328" s="59">
        <f>($AP328-$AP329)*100</f>
        <v/>
      </c>
      <c r="DH328" s="59">
        <f>($AQ328-$AQ329)*100</f>
        <v/>
      </c>
      <c r="DI328" s="59">
        <f>($AR328-$AR329)*100</f>
        <v/>
      </c>
      <c r="DJ328" s="59">
        <f>($AS328-$AS329)*100</f>
        <v/>
      </c>
      <c r="DK328" s="59">
        <f>($AT328-$AT329)*100</f>
        <v/>
      </c>
      <c r="DL328" s="59">
        <f>($AU328-$AU329)*100</f>
        <v/>
      </c>
      <c r="DM328" s="59">
        <f>($AV328-$AV329)*100</f>
        <v/>
      </c>
      <c r="DN328" s="59">
        <f>($AW328-$AW329)*100</f>
        <v/>
      </c>
      <c r="DO328" s="59">
        <f>($AX328-$AX329)*100</f>
        <v/>
      </c>
      <c r="DP328" s="59">
        <f>($AY328-$AY329)*100</f>
        <v/>
      </c>
      <c r="DQ328" s="59">
        <f>($AZ328-$AZ329)*100</f>
        <v/>
      </c>
      <c r="DR328" s="59">
        <f>($BA328-$BA329)*100</f>
        <v/>
      </c>
      <c r="DS328" s="58">
        <f>IFERROR($N329/$N328-1,"")</f>
        <v/>
      </c>
      <c r="DT328" s="58">
        <f>IFERROR($O329/$O328-1,"")</f>
        <v/>
      </c>
      <c r="DU328" s="58">
        <f>IFERROR($P329/$P328-1,"")</f>
        <v/>
      </c>
      <c r="DV328" s="58">
        <f>IFERROR($Q329/$Q328-1,"")</f>
        <v/>
      </c>
      <c r="DW328" s="58">
        <f>IFERROR($R329/$R328-1,"")</f>
        <v/>
      </c>
      <c r="DX328" s="58">
        <f>IFERROR($S329/$S328-1,"")</f>
        <v/>
      </c>
      <c r="DY328" s="58">
        <f>IFERROR($T329/$T328-1,"")</f>
        <v/>
      </c>
      <c r="DZ328" s="58">
        <f>IFERROR($U329/$U328-1,"")</f>
        <v/>
      </c>
      <c r="EA328" s="58">
        <f>IFERROR($V329/$V328-1,"")</f>
        <v/>
      </c>
      <c r="EB328" s="58">
        <f>IFERROR($W329/$W328-1,"")</f>
        <v/>
      </c>
      <c r="EC328" s="58">
        <f>IFERROR($X329/$X328-1,"")</f>
        <v/>
      </c>
      <c r="ED328" s="58">
        <f>IFERROR($Y329/$Y328-1,"")</f>
        <v/>
      </c>
      <c r="EE328" s="58">
        <f>IFERROR($Z329/$Z328-1,"")</f>
        <v/>
      </c>
      <c r="EF328" s="58">
        <f>IFERROR($AA329/$AA328-1,"")</f>
        <v/>
      </c>
      <c r="EG328" s="58">
        <f>IFERROR($AB329/$AB328-1,"")</f>
        <v/>
      </c>
      <c r="EH328" s="58">
        <f>IFERROR($AC329/$AC328-1,"")</f>
        <v/>
      </c>
      <c r="EI328" s="58">
        <f>IFERROR($AD329/$AD328-1,"")</f>
        <v/>
      </c>
      <c r="EJ328" s="58">
        <f>IFERROR($AE329/$AE328-1,"")</f>
        <v/>
      </c>
      <c r="EK328" s="58">
        <f>IFERROR($AF329/$AF328-1,"")</f>
        <v/>
      </c>
      <c r="EL328" s="58">
        <f>IFERROR($AG329/$AG328-1,"")</f>
        <v/>
      </c>
      <c r="EM328" s="58">
        <f>IFERROR($BB328/$BB329-1,"")</f>
        <v/>
      </c>
      <c r="EN328" s="58">
        <f>IFERROR($BC328/$BC329-1,"")</f>
        <v/>
      </c>
      <c r="EO328" s="58">
        <f>IFERROR($BD328/$BD329-1,"")</f>
        <v/>
      </c>
      <c r="EP328" s="58">
        <f>IFERROR($BE328/$BE329-1,"")</f>
        <v/>
      </c>
      <c r="EQ328" s="58">
        <f>IFERROR($BF328/$BF329-1,"")</f>
        <v/>
      </c>
      <c r="ER328" s="58">
        <f>IFERROR($BG328/$BG329-1,"")</f>
        <v/>
      </c>
      <c r="ES328" s="58">
        <f>IFERROR($BH328/$BH329-1,"")</f>
        <v/>
      </c>
      <c r="ET328" s="58">
        <f>IFERROR($BI328/$BI329-1,"")</f>
        <v/>
      </c>
      <c r="EU328" s="58">
        <f>IFERROR($BJ328/$BJ329-1,"")</f>
        <v/>
      </c>
      <c r="EV328" s="58">
        <f>IFERROR($BK328/$BK329-1,"")</f>
        <v/>
      </c>
      <c r="EW328" s="58">
        <f>IFERROR($BL328/$BL329-1,"")</f>
        <v/>
      </c>
      <c r="EX328" s="58">
        <f>IFERROR($BM328/$BM329-1,"")</f>
        <v/>
      </c>
      <c r="EY328" s="58">
        <f>IFERROR($BN328/$BN329-1,"")</f>
        <v/>
      </c>
      <c r="EZ328" s="58">
        <f>IFERROR($BO328/$BO329-1,"")</f>
        <v/>
      </c>
      <c r="FA328" s="58">
        <f>IFERROR($BP328/$BP329-1,"")</f>
        <v/>
      </c>
      <c r="FB328" s="58">
        <f>IFERROR($BQ328/$BQ329-1,"")</f>
        <v/>
      </c>
      <c r="FC328" s="58">
        <f>IFERROR($BR328/$BR329-1,"")</f>
        <v/>
      </c>
      <c r="FD328" s="58">
        <f>IFERROR($BS328/$BS329-1,"")</f>
        <v/>
      </c>
      <c r="FE328" s="58">
        <f>IFERROR($BT328/$BT329-1,"")</f>
        <v/>
      </c>
      <c r="FF328" s="58">
        <f>IFERROR($BU328/$BU329-1,"")</f>
        <v/>
      </c>
      <c r="FG328" s="58">
        <f>IFERROR($BV328/$BV329-1,"")</f>
        <v/>
      </c>
      <c r="FH328" s="58">
        <f>IFERROR($BW328/$BW329-1,"")</f>
        <v/>
      </c>
      <c r="FI328" s="58">
        <f>IFERROR($BX328/$BX329-1,"")</f>
        <v/>
      </c>
      <c r="FJ328" s="59">
        <f>$BY328-$BY329</f>
        <v/>
      </c>
      <c r="FK328" s="59">
        <f>$BZ328-$BZ329</f>
        <v/>
      </c>
      <c r="FL328" s="59">
        <f>$CA328-$CA329</f>
        <v/>
      </c>
      <c r="FM328" s="59">
        <f>$CB328-$CB329</f>
        <v/>
      </c>
      <c r="FN328" s="59">
        <f>$CC328-$CC329</f>
        <v/>
      </c>
      <c r="FO328" s="59">
        <f>$CD328-$CD329</f>
        <v/>
      </c>
      <c r="FP328" s="59">
        <f>$CE328-$CE329</f>
        <v/>
      </c>
      <c r="FQ328" s="59">
        <f>$CF328-$CF329</f>
        <v/>
      </c>
      <c r="FR328" s="59">
        <f>$CG328-$CG329</f>
        <v/>
      </c>
      <c r="FS328" s="59">
        <f>$CH328-$CH329</f>
        <v/>
      </c>
      <c r="FT328" s="59">
        <f>$CI328-$CI329</f>
        <v/>
      </c>
      <c r="FU328" s="59">
        <f>$CJ328-$CJ329</f>
        <v/>
      </c>
      <c r="FV328" s="59">
        <f>$CK328-$CK329</f>
        <v/>
      </c>
      <c r="FW328" s="59">
        <f>$CL328-$CL329</f>
        <v/>
      </c>
      <c r="FX328" s="59">
        <f>$CM328-$CM329</f>
        <v/>
      </c>
      <c r="FY328" s="59">
        <f>$CN328-$CN329</f>
        <v/>
      </c>
      <c r="FZ328" s="59">
        <f>$CO328-$CO329</f>
        <v/>
      </c>
      <c r="GA328" s="59">
        <f>$CP328-$CP329</f>
        <v/>
      </c>
      <c r="GB328" s="59">
        <f>$CQ328-$CQ329</f>
        <v/>
      </c>
      <c r="GC328" s="59">
        <f>$CR328-$CR329</f>
        <v/>
      </c>
      <c r="GD328" s="59">
        <f>$CS328-$CS329</f>
        <v/>
      </c>
      <c r="GE328" s="59">
        <f>$CT328-$CT329</f>
        <v/>
      </c>
    </row>
    <row r="329">
      <c r="CU329" s="58">
        <f>IFERROR($B329/$B330-1,"")</f>
        <v/>
      </c>
      <c r="CV329" s="59">
        <f>($F329-$F330)*100</f>
        <v/>
      </c>
      <c r="CW329" s="59">
        <f>($E329-$E330)*100</f>
        <v/>
      </c>
      <c r="CX329" s="58">
        <f>IFERROR($K329/$K330-1,"")</f>
        <v/>
      </c>
      <c r="CY329" s="59">
        <f>($AH329-$AH330)*100</f>
        <v/>
      </c>
      <c r="CZ329" s="59">
        <f>($AI329-$AI330)*100</f>
        <v/>
      </c>
      <c r="DA329" s="59">
        <f>($AJ329-$AJ330)*100</f>
        <v/>
      </c>
      <c r="DB329" s="59">
        <f>($AK329-$AK330)*100</f>
        <v/>
      </c>
      <c r="DC329" s="59">
        <f>($AL329-$AL330)*100</f>
        <v/>
      </c>
      <c r="DD329" s="59">
        <f>($AM329-$AM330)*100</f>
        <v/>
      </c>
      <c r="DE329" s="59">
        <f>($AN329-$AN330)*100</f>
        <v/>
      </c>
      <c r="DF329" s="59">
        <f>($AO329-$AO330)*100</f>
        <v/>
      </c>
      <c r="DG329" s="59">
        <f>($AP329-$AP330)*100</f>
        <v/>
      </c>
      <c r="DH329" s="59">
        <f>($AQ329-$AQ330)*100</f>
        <v/>
      </c>
      <c r="DI329" s="59">
        <f>($AR329-$AR330)*100</f>
        <v/>
      </c>
      <c r="DJ329" s="59">
        <f>($AS329-$AS330)*100</f>
        <v/>
      </c>
      <c r="DK329" s="59">
        <f>($AT329-$AT330)*100</f>
        <v/>
      </c>
      <c r="DL329" s="59">
        <f>($AU329-$AU330)*100</f>
        <v/>
      </c>
      <c r="DM329" s="59">
        <f>($AV329-$AV330)*100</f>
        <v/>
      </c>
      <c r="DN329" s="59">
        <f>($AW329-$AW330)*100</f>
        <v/>
      </c>
      <c r="DO329" s="59">
        <f>($AX329-$AX330)*100</f>
        <v/>
      </c>
      <c r="DP329" s="59">
        <f>($AY329-$AY330)*100</f>
        <v/>
      </c>
      <c r="DQ329" s="59">
        <f>($AZ329-$AZ330)*100</f>
        <v/>
      </c>
      <c r="DR329" s="59">
        <f>($BA329-$BA330)*100</f>
        <v/>
      </c>
      <c r="DS329" s="58">
        <f>IFERROR($N330/$N329-1,"")</f>
        <v/>
      </c>
      <c r="DT329" s="58">
        <f>IFERROR($O330/$O329-1,"")</f>
        <v/>
      </c>
      <c r="DU329" s="58">
        <f>IFERROR($P330/$P329-1,"")</f>
        <v/>
      </c>
      <c r="DV329" s="58">
        <f>IFERROR($Q330/$Q329-1,"")</f>
        <v/>
      </c>
      <c r="DW329" s="58">
        <f>IFERROR($R330/$R329-1,"")</f>
        <v/>
      </c>
      <c r="DX329" s="58">
        <f>IFERROR($S330/$S329-1,"")</f>
        <v/>
      </c>
      <c r="DY329" s="58">
        <f>IFERROR($T330/$T329-1,"")</f>
        <v/>
      </c>
      <c r="DZ329" s="58">
        <f>IFERROR($U330/$U329-1,"")</f>
        <v/>
      </c>
      <c r="EA329" s="58">
        <f>IFERROR($V330/$V329-1,"")</f>
        <v/>
      </c>
      <c r="EB329" s="58">
        <f>IFERROR($W330/$W329-1,"")</f>
        <v/>
      </c>
      <c r="EC329" s="58">
        <f>IFERROR($X330/$X329-1,"")</f>
        <v/>
      </c>
      <c r="ED329" s="58">
        <f>IFERROR($Y330/$Y329-1,"")</f>
        <v/>
      </c>
      <c r="EE329" s="58">
        <f>IFERROR($Z330/$Z329-1,"")</f>
        <v/>
      </c>
      <c r="EF329" s="58">
        <f>IFERROR($AA330/$AA329-1,"")</f>
        <v/>
      </c>
      <c r="EG329" s="58">
        <f>IFERROR($AB330/$AB329-1,"")</f>
        <v/>
      </c>
      <c r="EH329" s="58">
        <f>IFERROR($AC330/$AC329-1,"")</f>
        <v/>
      </c>
      <c r="EI329" s="58">
        <f>IFERROR($AD330/$AD329-1,"")</f>
        <v/>
      </c>
      <c r="EJ329" s="58">
        <f>IFERROR($AE330/$AE329-1,"")</f>
        <v/>
      </c>
      <c r="EK329" s="58">
        <f>IFERROR($AF330/$AF329-1,"")</f>
        <v/>
      </c>
      <c r="EL329" s="58">
        <f>IFERROR($AG330/$AG329-1,"")</f>
        <v/>
      </c>
      <c r="EM329" s="58">
        <f>IFERROR($BB329/$BB330-1,"")</f>
        <v/>
      </c>
      <c r="EN329" s="58">
        <f>IFERROR($BC329/$BC330-1,"")</f>
        <v/>
      </c>
      <c r="EO329" s="58">
        <f>IFERROR($BD329/$BD330-1,"")</f>
        <v/>
      </c>
      <c r="EP329" s="58">
        <f>IFERROR($BE329/$BE330-1,"")</f>
        <v/>
      </c>
      <c r="EQ329" s="58">
        <f>IFERROR($BF329/$BF330-1,"")</f>
        <v/>
      </c>
      <c r="ER329" s="58">
        <f>IFERROR($BG329/$BG330-1,"")</f>
        <v/>
      </c>
      <c r="ES329" s="58">
        <f>IFERROR($BH329/$BH330-1,"")</f>
        <v/>
      </c>
      <c r="ET329" s="58">
        <f>IFERROR($BI329/$BI330-1,"")</f>
        <v/>
      </c>
      <c r="EU329" s="58">
        <f>IFERROR($BJ329/$BJ330-1,"")</f>
        <v/>
      </c>
      <c r="EV329" s="58">
        <f>IFERROR($BK329/$BK330-1,"")</f>
        <v/>
      </c>
      <c r="EW329" s="58">
        <f>IFERROR($BL329/$BL330-1,"")</f>
        <v/>
      </c>
      <c r="EX329" s="58">
        <f>IFERROR($BM329/$BM330-1,"")</f>
        <v/>
      </c>
      <c r="EY329" s="58">
        <f>IFERROR($BN329/$BN330-1,"")</f>
        <v/>
      </c>
      <c r="EZ329" s="58">
        <f>IFERROR($BO329/$BO330-1,"")</f>
        <v/>
      </c>
      <c r="FA329" s="58">
        <f>IFERROR($BP329/$BP330-1,"")</f>
        <v/>
      </c>
      <c r="FB329" s="58">
        <f>IFERROR($BQ329/$BQ330-1,"")</f>
        <v/>
      </c>
      <c r="FC329" s="58">
        <f>IFERROR($BR329/$BR330-1,"")</f>
        <v/>
      </c>
      <c r="FD329" s="58">
        <f>IFERROR($BS329/$BS330-1,"")</f>
        <v/>
      </c>
      <c r="FE329" s="58">
        <f>IFERROR($BT329/$BT330-1,"")</f>
        <v/>
      </c>
      <c r="FF329" s="58">
        <f>IFERROR($BU329/$BU330-1,"")</f>
        <v/>
      </c>
      <c r="FG329" s="58">
        <f>IFERROR($BV329/$BV330-1,"")</f>
        <v/>
      </c>
      <c r="FH329" s="58">
        <f>IFERROR($BW329/$BW330-1,"")</f>
        <v/>
      </c>
      <c r="FI329" s="58">
        <f>IFERROR($BX329/$BX330-1,"")</f>
        <v/>
      </c>
      <c r="FJ329" s="59">
        <f>$BY329-$BY330</f>
        <v/>
      </c>
      <c r="FK329" s="59">
        <f>$BZ329-$BZ330</f>
        <v/>
      </c>
      <c r="FL329" s="59">
        <f>$CA329-$CA330</f>
        <v/>
      </c>
      <c r="FM329" s="59">
        <f>$CB329-$CB330</f>
        <v/>
      </c>
      <c r="FN329" s="59">
        <f>$CC329-$CC330</f>
        <v/>
      </c>
      <c r="FO329" s="59">
        <f>$CD329-$CD330</f>
        <v/>
      </c>
      <c r="FP329" s="59">
        <f>$CE329-$CE330</f>
        <v/>
      </c>
      <c r="FQ329" s="59">
        <f>$CF329-$CF330</f>
        <v/>
      </c>
      <c r="FR329" s="59">
        <f>$CG329-$CG330</f>
        <v/>
      </c>
      <c r="FS329" s="59">
        <f>$CH329-$CH330</f>
        <v/>
      </c>
      <c r="FT329" s="59">
        <f>$CI329-$CI330</f>
        <v/>
      </c>
      <c r="FU329" s="59">
        <f>$CJ329-$CJ330</f>
        <v/>
      </c>
      <c r="FV329" s="59">
        <f>$CK329-$CK330</f>
        <v/>
      </c>
      <c r="FW329" s="59">
        <f>$CL329-$CL330</f>
        <v/>
      </c>
      <c r="FX329" s="59">
        <f>$CM329-$CM330</f>
        <v/>
      </c>
      <c r="FY329" s="59">
        <f>$CN329-$CN330</f>
        <v/>
      </c>
      <c r="FZ329" s="59">
        <f>$CO329-$CO330</f>
        <v/>
      </c>
      <c r="GA329" s="59">
        <f>$CP329-$CP330</f>
        <v/>
      </c>
      <c r="GB329" s="59">
        <f>$CQ329-$CQ330</f>
        <v/>
      </c>
      <c r="GC329" s="59">
        <f>$CR329-$CR330</f>
        <v/>
      </c>
      <c r="GD329" s="59">
        <f>$CS329-$CS330</f>
        <v/>
      </c>
      <c r="GE329" s="59">
        <f>$CT329-$CT330</f>
        <v/>
      </c>
    </row>
    <row r="330">
      <c r="CU330" s="58">
        <f>IFERROR($B330/$B331-1,"")</f>
        <v/>
      </c>
      <c r="CV330" s="59">
        <f>($F330-$F331)*100</f>
        <v/>
      </c>
      <c r="CW330" s="59">
        <f>($E330-$E331)*100</f>
        <v/>
      </c>
      <c r="CX330" s="58">
        <f>IFERROR($K330/$K331-1,"")</f>
        <v/>
      </c>
      <c r="CY330" s="59">
        <f>($AH330-$AH331)*100</f>
        <v/>
      </c>
      <c r="CZ330" s="59">
        <f>($AI330-$AI331)*100</f>
        <v/>
      </c>
      <c r="DA330" s="59">
        <f>($AJ330-$AJ331)*100</f>
        <v/>
      </c>
      <c r="DB330" s="59">
        <f>($AK330-$AK331)*100</f>
        <v/>
      </c>
      <c r="DC330" s="59">
        <f>($AL330-$AL331)*100</f>
        <v/>
      </c>
      <c r="DD330" s="59">
        <f>($AM330-$AM331)*100</f>
        <v/>
      </c>
      <c r="DE330" s="59">
        <f>($AN330-$AN331)*100</f>
        <v/>
      </c>
      <c r="DF330" s="59">
        <f>($AO330-$AO331)*100</f>
        <v/>
      </c>
      <c r="DG330" s="59">
        <f>($AP330-$AP331)*100</f>
        <v/>
      </c>
      <c r="DH330" s="59">
        <f>($AQ330-$AQ331)*100</f>
        <v/>
      </c>
      <c r="DI330" s="59">
        <f>($AR330-$AR331)*100</f>
        <v/>
      </c>
      <c r="DJ330" s="59">
        <f>($AS330-$AS331)*100</f>
        <v/>
      </c>
      <c r="DK330" s="59">
        <f>($AT330-$AT331)*100</f>
        <v/>
      </c>
      <c r="DL330" s="59">
        <f>($AU330-$AU331)*100</f>
        <v/>
      </c>
      <c r="DM330" s="59">
        <f>($AV330-$AV331)*100</f>
        <v/>
      </c>
      <c r="DN330" s="59">
        <f>($AW330-$AW331)*100</f>
        <v/>
      </c>
      <c r="DO330" s="59">
        <f>($AX330-$AX331)*100</f>
        <v/>
      </c>
      <c r="DP330" s="59">
        <f>($AY330-$AY331)*100</f>
        <v/>
      </c>
      <c r="DQ330" s="59">
        <f>($AZ330-$AZ331)*100</f>
        <v/>
      </c>
      <c r="DR330" s="59">
        <f>($BA330-$BA331)*100</f>
        <v/>
      </c>
      <c r="DS330" s="58">
        <f>IFERROR($N331/$N330-1,"")</f>
        <v/>
      </c>
      <c r="DT330" s="58">
        <f>IFERROR($O331/$O330-1,"")</f>
        <v/>
      </c>
      <c r="DU330" s="58">
        <f>IFERROR($P331/$P330-1,"")</f>
        <v/>
      </c>
      <c r="DV330" s="58">
        <f>IFERROR($Q331/$Q330-1,"")</f>
        <v/>
      </c>
      <c r="DW330" s="58">
        <f>IFERROR($R331/$R330-1,"")</f>
        <v/>
      </c>
      <c r="DX330" s="58">
        <f>IFERROR($S331/$S330-1,"")</f>
        <v/>
      </c>
      <c r="DY330" s="58">
        <f>IFERROR($T331/$T330-1,"")</f>
        <v/>
      </c>
      <c r="DZ330" s="58">
        <f>IFERROR($U331/$U330-1,"")</f>
        <v/>
      </c>
      <c r="EA330" s="58">
        <f>IFERROR($V331/$V330-1,"")</f>
        <v/>
      </c>
      <c r="EB330" s="58">
        <f>IFERROR($W331/$W330-1,"")</f>
        <v/>
      </c>
      <c r="EC330" s="58">
        <f>IFERROR($X331/$X330-1,"")</f>
        <v/>
      </c>
      <c r="ED330" s="58">
        <f>IFERROR($Y331/$Y330-1,"")</f>
        <v/>
      </c>
      <c r="EE330" s="58">
        <f>IFERROR($Z331/$Z330-1,"")</f>
        <v/>
      </c>
      <c r="EF330" s="58">
        <f>IFERROR($AA331/$AA330-1,"")</f>
        <v/>
      </c>
      <c r="EG330" s="58">
        <f>IFERROR($AB331/$AB330-1,"")</f>
        <v/>
      </c>
      <c r="EH330" s="58">
        <f>IFERROR($AC331/$AC330-1,"")</f>
        <v/>
      </c>
      <c r="EI330" s="58">
        <f>IFERROR($AD331/$AD330-1,"")</f>
        <v/>
      </c>
      <c r="EJ330" s="58">
        <f>IFERROR($AE331/$AE330-1,"")</f>
        <v/>
      </c>
      <c r="EK330" s="58">
        <f>IFERROR($AF331/$AF330-1,"")</f>
        <v/>
      </c>
      <c r="EL330" s="58">
        <f>IFERROR($AG331/$AG330-1,"")</f>
        <v/>
      </c>
      <c r="EM330" s="58">
        <f>IFERROR($BB330/$BB331-1,"")</f>
        <v/>
      </c>
      <c r="EN330" s="58">
        <f>IFERROR($BC330/$BC331-1,"")</f>
        <v/>
      </c>
      <c r="EO330" s="58">
        <f>IFERROR($BD330/$BD331-1,"")</f>
        <v/>
      </c>
      <c r="EP330" s="58">
        <f>IFERROR($BE330/$BE331-1,"")</f>
        <v/>
      </c>
      <c r="EQ330" s="58">
        <f>IFERROR($BF330/$BF331-1,"")</f>
        <v/>
      </c>
      <c r="ER330" s="58">
        <f>IFERROR($BG330/$BG331-1,"")</f>
        <v/>
      </c>
      <c r="ES330" s="58">
        <f>IFERROR($BH330/$BH331-1,"")</f>
        <v/>
      </c>
      <c r="ET330" s="58">
        <f>IFERROR($BI330/$BI331-1,"")</f>
        <v/>
      </c>
      <c r="EU330" s="58">
        <f>IFERROR($BJ330/$BJ331-1,"")</f>
        <v/>
      </c>
      <c r="EV330" s="58">
        <f>IFERROR($BK330/$BK331-1,"")</f>
        <v/>
      </c>
      <c r="EW330" s="58">
        <f>IFERROR($BL330/$BL331-1,"")</f>
        <v/>
      </c>
      <c r="EX330" s="58">
        <f>IFERROR($BM330/$BM331-1,"")</f>
        <v/>
      </c>
      <c r="EY330" s="58">
        <f>IFERROR($BN330/$BN331-1,"")</f>
        <v/>
      </c>
      <c r="EZ330" s="58">
        <f>IFERROR($BO330/$BO331-1,"")</f>
        <v/>
      </c>
      <c r="FA330" s="58">
        <f>IFERROR($BP330/$BP331-1,"")</f>
        <v/>
      </c>
      <c r="FB330" s="58">
        <f>IFERROR($BQ330/$BQ331-1,"")</f>
        <v/>
      </c>
      <c r="FC330" s="58">
        <f>IFERROR($BR330/$BR331-1,"")</f>
        <v/>
      </c>
      <c r="FD330" s="58">
        <f>IFERROR($BS330/$BS331-1,"")</f>
        <v/>
      </c>
      <c r="FE330" s="58">
        <f>IFERROR($BT330/$BT331-1,"")</f>
        <v/>
      </c>
      <c r="FF330" s="58">
        <f>IFERROR($BU330/$BU331-1,"")</f>
        <v/>
      </c>
      <c r="FG330" s="58">
        <f>IFERROR($BV330/$BV331-1,"")</f>
        <v/>
      </c>
      <c r="FH330" s="58">
        <f>IFERROR($BW330/$BW331-1,"")</f>
        <v/>
      </c>
      <c r="FI330" s="58">
        <f>IFERROR($BX330/$BX331-1,"")</f>
        <v/>
      </c>
      <c r="FJ330" s="59">
        <f>$BY330-$BY331</f>
        <v/>
      </c>
      <c r="FK330" s="59">
        <f>$BZ330-$BZ331</f>
        <v/>
      </c>
      <c r="FL330" s="59">
        <f>$CA330-$CA331</f>
        <v/>
      </c>
      <c r="FM330" s="59">
        <f>$CB330-$CB331</f>
        <v/>
      </c>
      <c r="FN330" s="59">
        <f>$CC330-$CC331</f>
        <v/>
      </c>
      <c r="FO330" s="59">
        <f>$CD330-$CD331</f>
        <v/>
      </c>
      <c r="FP330" s="59">
        <f>$CE330-$CE331</f>
        <v/>
      </c>
      <c r="FQ330" s="59">
        <f>$CF330-$CF331</f>
        <v/>
      </c>
      <c r="FR330" s="59">
        <f>$CG330-$CG331</f>
        <v/>
      </c>
      <c r="FS330" s="59">
        <f>$CH330-$CH331</f>
        <v/>
      </c>
      <c r="FT330" s="59">
        <f>$CI330-$CI331</f>
        <v/>
      </c>
      <c r="FU330" s="59">
        <f>$CJ330-$CJ331</f>
        <v/>
      </c>
      <c r="FV330" s="59">
        <f>$CK330-$CK331</f>
        <v/>
      </c>
      <c r="FW330" s="59">
        <f>$CL330-$CL331</f>
        <v/>
      </c>
      <c r="FX330" s="59">
        <f>$CM330-$CM331</f>
        <v/>
      </c>
      <c r="FY330" s="59">
        <f>$CN330-$CN331</f>
        <v/>
      </c>
      <c r="FZ330" s="59">
        <f>$CO330-$CO331</f>
        <v/>
      </c>
      <c r="GA330" s="59">
        <f>$CP330-$CP331</f>
        <v/>
      </c>
      <c r="GB330" s="59">
        <f>$CQ330-$CQ331</f>
        <v/>
      </c>
      <c r="GC330" s="59">
        <f>$CR330-$CR331</f>
        <v/>
      </c>
      <c r="GD330" s="59">
        <f>$CS330-$CS331</f>
        <v/>
      </c>
      <c r="GE330" s="59">
        <f>$CT330-$CT331</f>
        <v/>
      </c>
    </row>
    <row r="331">
      <c r="CU331" s="58">
        <f>IFERROR($B331/$B332-1,"")</f>
        <v/>
      </c>
      <c r="CV331" s="59">
        <f>($F331-$F332)*100</f>
        <v/>
      </c>
      <c r="CW331" s="59">
        <f>($E331-$E332)*100</f>
        <v/>
      </c>
      <c r="CX331" s="58">
        <f>IFERROR($K331/$K332-1,"")</f>
        <v/>
      </c>
      <c r="CY331" s="59">
        <f>($AH331-$AH332)*100</f>
        <v/>
      </c>
      <c r="CZ331" s="59">
        <f>($AI331-$AI332)*100</f>
        <v/>
      </c>
      <c r="DA331" s="59">
        <f>($AJ331-$AJ332)*100</f>
        <v/>
      </c>
      <c r="DB331" s="59">
        <f>($AK331-$AK332)*100</f>
        <v/>
      </c>
      <c r="DC331" s="59">
        <f>($AL331-$AL332)*100</f>
        <v/>
      </c>
      <c r="DD331" s="59">
        <f>($AM331-$AM332)*100</f>
        <v/>
      </c>
      <c r="DE331" s="59">
        <f>($AN331-$AN332)*100</f>
        <v/>
      </c>
      <c r="DF331" s="59">
        <f>($AO331-$AO332)*100</f>
        <v/>
      </c>
      <c r="DG331" s="59">
        <f>($AP331-$AP332)*100</f>
        <v/>
      </c>
      <c r="DH331" s="59">
        <f>($AQ331-$AQ332)*100</f>
        <v/>
      </c>
      <c r="DI331" s="59">
        <f>($AR331-$AR332)*100</f>
        <v/>
      </c>
      <c r="DJ331" s="59">
        <f>($AS331-$AS332)*100</f>
        <v/>
      </c>
      <c r="DK331" s="59">
        <f>($AT331-$AT332)*100</f>
        <v/>
      </c>
      <c r="DL331" s="59">
        <f>($AU331-$AU332)*100</f>
        <v/>
      </c>
      <c r="DM331" s="59">
        <f>($AV331-$AV332)*100</f>
        <v/>
      </c>
      <c r="DN331" s="59">
        <f>($AW331-$AW332)*100</f>
        <v/>
      </c>
      <c r="DO331" s="59">
        <f>($AX331-$AX332)*100</f>
        <v/>
      </c>
      <c r="DP331" s="59">
        <f>($AY331-$AY332)*100</f>
        <v/>
      </c>
      <c r="DQ331" s="59">
        <f>($AZ331-$AZ332)*100</f>
        <v/>
      </c>
      <c r="DR331" s="59">
        <f>($BA331-$BA332)*100</f>
        <v/>
      </c>
      <c r="DS331" s="58">
        <f>IFERROR($N332/$N331-1,"")</f>
        <v/>
      </c>
      <c r="DT331" s="58">
        <f>IFERROR($O332/$O331-1,"")</f>
        <v/>
      </c>
      <c r="DU331" s="58">
        <f>IFERROR($P332/$P331-1,"")</f>
        <v/>
      </c>
      <c r="DV331" s="58">
        <f>IFERROR($Q332/$Q331-1,"")</f>
        <v/>
      </c>
      <c r="DW331" s="58">
        <f>IFERROR($R332/$R331-1,"")</f>
        <v/>
      </c>
      <c r="DX331" s="58">
        <f>IFERROR($S332/$S331-1,"")</f>
        <v/>
      </c>
      <c r="DY331" s="58">
        <f>IFERROR($T332/$T331-1,"")</f>
        <v/>
      </c>
      <c r="DZ331" s="58">
        <f>IFERROR($U332/$U331-1,"")</f>
        <v/>
      </c>
      <c r="EA331" s="58">
        <f>IFERROR($V332/$V331-1,"")</f>
        <v/>
      </c>
      <c r="EB331" s="58">
        <f>IFERROR($W332/$W331-1,"")</f>
        <v/>
      </c>
      <c r="EC331" s="58">
        <f>IFERROR($X332/$X331-1,"")</f>
        <v/>
      </c>
      <c r="ED331" s="58">
        <f>IFERROR($Y332/$Y331-1,"")</f>
        <v/>
      </c>
      <c r="EE331" s="58">
        <f>IFERROR($Z332/$Z331-1,"")</f>
        <v/>
      </c>
      <c r="EF331" s="58">
        <f>IFERROR($AA332/$AA331-1,"")</f>
        <v/>
      </c>
      <c r="EG331" s="58">
        <f>IFERROR($AB332/$AB331-1,"")</f>
        <v/>
      </c>
      <c r="EH331" s="58">
        <f>IFERROR($AC332/$AC331-1,"")</f>
        <v/>
      </c>
      <c r="EI331" s="58">
        <f>IFERROR($AD332/$AD331-1,"")</f>
        <v/>
      </c>
      <c r="EJ331" s="58">
        <f>IFERROR($AE332/$AE331-1,"")</f>
        <v/>
      </c>
      <c r="EK331" s="58">
        <f>IFERROR($AF332/$AF331-1,"")</f>
        <v/>
      </c>
      <c r="EL331" s="58">
        <f>IFERROR($AG332/$AG331-1,"")</f>
        <v/>
      </c>
      <c r="EM331" s="58">
        <f>IFERROR($BB331/$BB332-1,"")</f>
        <v/>
      </c>
      <c r="EN331" s="58">
        <f>IFERROR($BC331/$BC332-1,"")</f>
        <v/>
      </c>
      <c r="EO331" s="58">
        <f>IFERROR($BD331/$BD332-1,"")</f>
        <v/>
      </c>
      <c r="EP331" s="58">
        <f>IFERROR($BE331/$BE332-1,"")</f>
        <v/>
      </c>
      <c r="EQ331" s="58">
        <f>IFERROR($BF331/$BF332-1,"")</f>
        <v/>
      </c>
      <c r="ER331" s="58">
        <f>IFERROR($BG331/$BG332-1,"")</f>
        <v/>
      </c>
      <c r="ES331" s="58">
        <f>IFERROR($BH331/$BH332-1,"")</f>
        <v/>
      </c>
      <c r="ET331" s="58">
        <f>IFERROR($BI331/$BI332-1,"")</f>
        <v/>
      </c>
      <c r="EU331" s="58">
        <f>IFERROR($BJ331/$BJ332-1,"")</f>
        <v/>
      </c>
      <c r="EV331" s="58">
        <f>IFERROR($BK331/$BK332-1,"")</f>
        <v/>
      </c>
      <c r="EW331" s="58">
        <f>IFERROR($BL331/$BL332-1,"")</f>
        <v/>
      </c>
      <c r="EX331" s="58">
        <f>IFERROR($BM331/$BM332-1,"")</f>
        <v/>
      </c>
      <c r="EY331" s="58">
        <f>IFERROR($BN331/$BN332-1,"")</f>
        <v/>
      </c>
      <c r="EZ331" s="58">
        <f>IFERROR($BO331/$BO332-1,"")</f>
        <v/>
      </c>
      <c r="FA331" s="58">
        <f>IFERROR($BP331/$BP332-1,"")</f>
        <v/>
      </c>
      <c r="FB331" s="58">
        <f>IFERROR($BQ331/$BQ332-1,"")</f>
        <v/>
      </c>
      <c r="FC331" s="58">
        <f>IFERROR($BR331/$BR332-1,"")</f>
        <v/>
      </c>
      <c r="FD331" s="58">
        <f>IFERROR($BS331/$BS332-1,"")</f>
        <v/>
      </c>
      <c r="FE331" s="58">
        <f>IFERROR($BT331/$BT332-1,"")</f>
        <v/>
      </c>
      <c r="FF331" s="58">
        <f>IFERROR($BU331/$BU332-1,"")</f>
        <v/>
      </c>
      <c r="FG331" s="58">
        <f>IFERROR($BV331/$BV332-1,"")</f>
        <v/>
      </c>
      <c r="FH331" s="58">
        <f>IFERROR($BW331/$BW332-1,"")</f>
        <v/>
      </c>
      <c r="FI331" s="58">
        <f>IFERROR($BX331/$BX332-1,"")</f>
        <v/>
      </c>
      <c r="FJ331" s="59">
        <f>$BY331-$BY332</f>
        <v/>
      </c>
      <c r="FK331" s="59">
        <f>$BZ331-$BZ332</f>
        <v/>
      </c>
      <c r="FL331" s="59">
        <f>$CA331-$CA332</f>
        <v/>
      </c>
      <c r="FM331" s="59">
        <f>$CB331-$CB332</f>
        <v/>
      </c>
      <c r="FN331" s="59">
        <f>$CC331-$CC332</f>
        <v/>
      </c>
      <c r="FO331" s="59">
        <f>$CD331-$CD332</f>
        <v/>
      </c>
      <c r="FP331" s="59">
        <f>$CE331-$CE332</f>
        <v/>
      </c>
      <c r="FQ331" s="59">
        <f>$CF331-$CF332</f>
        <v/>
      </c>
      <c r="FR331" s="59">
        <f>$CG331-$CG332</f>
        <v/>
      </c>
      <c r="FS331" s="59">
        <f>$CH331-$CH332</f>
        <v/>
      </c>
      <c r="FT331" s="59">
        <f>$CI331-$CI332</f>
        <v/>
      </c>
      <c r="FU331" s="59">
        <f>$CJ331-$CJ332</f>
        <v/>
      </c>
      <c r="FV331" s="59">
        <f>$CK331-$CK332</f>
        <v/>
      </c>
      <c r="FW331" s="59">
        <f>$CL331-$CL332</f>
        <v/>
      </c>
      <c r="FX331" s="59">
        <f>$CM331-$CM332</f>
        <v/>
      </c>
      <c r="FY331" s="59">
        <f>$CN331-$CN332</f>
        <v/>
      </c>
      <c r="FZ331" s="59">
        <f>$CO331-$CO332</f>
        <v/>
      </c>
      <c r="GA331" s="59">
        <f>$CP331-$CP332</f>
        <v/>
      </c>
      <c r="GB331" s="59">
        <f>$CQ331-$CQ332</f>
        <v/>
      </c>
      <c r="GC331" s="59">
        <f>$CR331-$CR332</f>
        <v/>
      </c>
      <c r="GD331" s="59">
        <f>$CS331-$CS332</f>
        <v/>
      </c>
      <c r="GE331" s="59">
        <f>$CT331-$CT332</f>
        <v/>
      </c>
    </row>
    <row r="332">
      <c r="CU332" s="58">
        <f>IFERROR($B332/$B333-1,"")</f>
        <v/>
      </c>
      <c r="CV332" s="59">
        <f>($F332-$F333)*100</f>
        <v/>
      </c>
      <c r="CW332" s="59">
        <f>($E332-$E333)*100</f>
        <v/>
      </c>
      <c r="CX332" s="58">
        <f>IFERROR($K332/$K333-1,"")</f>
        <v/>
      </c>
      <c r="CY332" s="59">
        <f>($AH332-$AH333)*100</f>
        <v/>
      </c>
      <c r="CZ332" s="59">
        <f>($AI332-$AI333)*100</f>
        <v/>
      </c>
      <c r="DA332" s="59">
        <f>($AJ332-$AJ333)*100</f>
        <v/>
      </c>
      <c r="DB332" s="59">
        <f>($AK332-$AK333)*100</f>
        <v/>
      </c>
      <c r="DC332" s="59">
        <f>($AL332-$AL333)*100</f>
        <v/>
      </c>
      <c r="DD332" s="59">
        <f>($AM332-$AM333)*100</f>
        <v/>
      </c>
      <c r="DE332" s="59">
        <f>($AN332-$AN333)*100</f>
        <v/>
      </c>
      <c r="DF332" s="59">
        <f>($AO332-$AO333)*100</f>
        <v/>
      </c>
      <c r="DG332" s="59">
        <f>($AP332-$AP333)*100</f>
        <v/>
      </c>
      <c r="DH332" s="59">
        <f>($AQ332-$AQ333)*100</f>
        <v/>
      </c>
      <c r="DI332" s="59">
        <f>($AR332-$AR333)*100</f>
        <v/>
      </c>
      <c r="DJ332" s="59">
        <f>($AS332-$AS333)*100</f>
        <v/>
      </c>
      <c r="DK332" s="59">
        <f>($AT332-$AT333)*100</f>
        <v/>
      </c>
      <c r="DL332" s="59">
        <f>($AU332-$AU333)*100</f>
        <v/>
      </c>
      <c r="DM332" s="59">
        <f>($AV332-$AV333)*100</f>
        <v/>
      </c>
      <c r="DN332" s="59">
        <f>($AW332-$AW333)*100</f>
        <v/>
      </c>
      <c r="DO332" s="59">
        <f>($AX332-$AX333)*100</f>
        <v/>
      </c>
      <c r="DP332" s="59">
        <f>($AY332-$AY333)*100</f>
        <v/>
      </c>
      <c r="DQ332" s="59">
        <f>($AZ332-$AZ333)*100</f>
        <v/>
      </c>
      <c r="DR332" s="59">
        <f>($BA332-$BA333)*100</f>
        <v/>
      </c>
      <c r="DS332" s="58">
        <f>IFERROR($N333/$N332-1,"")</f>
        <v/>
      </c>
      <c r="DT332" s="58">
        <f>IFERROR($O333/$O332-1,"")</f>
        <v/>
      </c>
      <c r="DU332" s="58">
        <f>IFERROR($P333/$P332-1,"")</f>
        <v/>
      </c>
      <c r="DV332" s="58">
        <f>IFERROR($Q333/$Q332-1,"")</f>
        <v/>
      </c>
      <c r="DW332" s="58">
        <f>IFERROR($R333/$R332-1,"")</f>
        <v/>
      </c>
      <c r="DX332" s="58">
        <f>IFERROR($S333/$S332-1,"")</f>
        <v/>
      </c>
      <c r="DY332" s="58">
        <f>IFERROR($T333/$T332-1,"")</f>
        <v/>
      </c>
      <c r="DZ332" s="58">
        <f>IFERROR($U333/$U332-1,"")</f>
        <v/>
      </c>
      <c r="EA332" s="58">
        <f>IFERROR($V333/$V332-1,"")</f>
        <v/>
      </c>
      <c r="EB332" s="58">
        <f>IFERROR($W333/$W332-1,"")</f>
        <v/>
      </c>
      <c r="EC332" s="58">
        <f>IFERROR($X333/$X332-1,"")</f>
        <v/>
      </c>
      <c r="ED332" s="58">
        <f>IFERROR($Y333/$Y332-1,"")</f>
        <v/>
      </c>
      <c r="EE332" s="58">
        <f>IFERROR($Z333/$Z332-1,"")</f>
        <v/>
      </c>
      <c r="EF332" s="58">
        <f>IFERROR($AA333/$AA332-1,"")</f>
        <v/>
      </c>
      <c r="EG332" s="58">
        <f>IFERROR($AB333/$AB332-1,"")</f>
        <v/>
      </c>
      <c r="EH332" s="58">
        <f>IFERROR($AC333/$AC332-1,"")</f>
        <v/>
      </c>
      <c r="EI332" s="58">
        <f>IFERROR($AD333/$AD332-1,"")</f>
        <v/>
      </c>
      <c r="EJ332" s="58">
        <f>IFERROR($AE333/$AE332-1,"")</f>
        <v/>
      </c>
      <c r="EK332" s="58">
        <f>IFERROR($AF333/$AF332-1,"")</f>
        <v/>
      </c>
      <c r="EL332" s="58">
        <f>IFERROR($AG333/$AG332-1,"")</f>
        <v/>
      </c>
      <c r="EM332" s="58">
        <f>IFERROR($BB332/$BB333-1,"")</f>
        <v/>
      </c>
      <c r="EN332" s="58">
        <f>IFERROR($BC332/$BC333-1,"")</f>
        <v/>
      </c>
      <c r="EO332" s="58">
        <f>IFERROR($BD332/$BD333-1,"")</f>
        <v/>
      </c>
      <c r="EP332" s="58">
        <f>IFERROR($BE332/$BE333-1,"")</f>
        <v/>
      </c>
      <c r="EQ332" s="58">
        <f>IFERROR($BF332/$BF333-1,"")</f>
        <v/>
      </c>
      <c r="ER332" s="58">
        <f>IFERROR($BG332/$BG333-1,"")</f>
        <v/>
      </c>
      <c r="ES332" s="58">
        <f>IFERROR($BH332/$BH333-1,"")</f>
        <v/>
      </c>
      <c r="ET332" s="58">
        <f>IFERROR($BI332/$BI333-1,"")</f>
        <v/>
      </c>
      <c r="EU332" s="58">
        <f>IFERROR($BJ332/$BJ333-1,"")</f>
        <v/>
      </c>
      <c r="EV332" s="58">
        <f>IFERROR($BK332/$BK333-1,"")</f>
        <v/>
      </c>
      <c r="EW332" s="58">
        <f>IFERROR($BL332/$BL333-1,"")</f>
        <v/>
      </c>
      <c r="EX332" s="58">
        <f>IFERROR($BM332/$BM333-1,"")</f>
        <v/>
      </c>
      <c r="EY332" s="58">
        <f>IFERROR($BN332/$BN333-1,"")</f>
        <v/>
      </c>
      <c r="EZ332" s="58">
        <f>IFERROR($BO332/$BO333-1,"")</f>
        <v/>
      </c>
      <c r="FA332" s="58">
        <f>IFERROR($BP332/$BP333-1,"")</f>
        <v/>
      </c>
      <c r="FB332" s="58">
        <f>IFERROR($BQ332/$BQ333-1,"")</f>
        <v/>
      </c>
      <c r="FC332" s="58">
        <f>IFERROR($BR332/$BR333-1,"")</f>
        <v/>
      </c>
      <c r="FD332" s="58">
        <f>IFERROR($BS332/$BS333-1,"")</f>
        <v/>
      </c>
      <c r="FE332" s="58">
        <f>IFERROR($BT332/$BT333-1,"")</f>
        <v/>
      </c>
      <c r="FF332" s="58">
        <f>IFERROR($BU332/$BU333-1,"")</f>
        <v/>
      </c>
      <c r="FG332" s="58">
        <f>IFERROR($BV332/$BV333-1,"")</f>
        <v/>
      </c>
      <c r="FH332" s="58">
        <f>IFERROR($BW332/$BW333-1,"")</f>
        <v/>
      </c>
      <c r="FI332" s="58">
        <f>IFERROR($BX332/$BX333-1,"")</f>
        <v/>
      </c>
      <c r="FJ332" s="59">
        <f>$BY332-$BY333</f>
        <v/>
      </c>
      <c r="FK332" s="59">
        <f>$BZ332-$BZ333</f>
        <v/>
      </c>
      <c r="FL332" s="59">
        <f>$CA332-$CA333</f>
        <v/>
      </c>
      <c r="FM332" s="59">
        <f>$CB332-$CB333</f>
        <v/>
      </c>
      <c r="FN332" s="59">
        <f>$CC332-$CC333</f>
        <v/>
      </c>
      <c r="FO332" s="59">
        <f>$CD332-$CD333</f>
        <v/>
      </c>
      <c r="FP332" s="59">
        <f>$CE332-$CE333</f>
        <v/>
      </c>
      <c r="FQ332" s="59">
        <f>$CF332-$CF333</f>
        <v/>
      </c>
      <c r="FR332" s="59">
        <f>$CG332-$CG333</f>
        <v/>
      </c>
      <c r="FS332" s="59">
        <f>$CH332-$CH333</f>
        <v/>
      </c>
      <c r="FT332" s="59">
        <f>$CI332-$CI333</f>
        <v/>
      </c>
      <c r="FU332" s="59">
        <f>$CJ332-$CJ333</f>
        <v/>
      </c>
      <c r="FV332" s="59">
        <f>$CK332-$CK333</f>
        <v/>
      </c>
      <c r="FW332" s="59">
        <f>$CL332-$CL333</f>
        <v/>
      </c>
      <c r="FX332" s="59">
        <f>$CM332-$CM333</f>
        <v/>
      </c>
      <c r="FY332" s="59">
        <f>$CN332-$CN333</f>
        <v/>
      </c>
      <c r="FZ332" s="59">
        <f>$CO332-$CO333</f>
        <v/>
      </c>
      <c r="GA332" s="59">
        <f>$CP332-$CP333</f>
        <v/>
      </c>
      <c r="GB332" s="59">
        <f>$CQ332-$CQ333</f>
        <v/>
      </c>
      <c r="GC332" s="59">
        <f>$CR332-$CR333</f>
        <v/>
      </c>
      <c r="GD332" s="59">
        <f>$CS332-$CS333</f>
        <v/>
      </c>
      <c r="GE332" s="59">
        <f>$CT332-$CT333</f>
        <v/>
      </c>
    </row>
    <row r="333">
      <c r="CU333" s="58">
        <f>IFERROR($B333/$B334-1,"")</f>
        <v/>
      </c>
      <c r="CV333" s="59">
        <f>($F333-$F334)*100</f>
        <v/>
      </c>
      <c r="CW333" s="59">
        <f>($E333-$E334)*100</f>
        <v/>
      </c>
      <c r="CX333" s="58">
        <f>IFERROR($K333/$K334-1,"")</f>
        <v/>
      </c>
      <c r="CY333" s="59">
        <f>($AH333-$AH334)*100</f>
        <v/>
      </c>
      <c r="CZ333" s="59">
        <f>($AI333-$AI334)*100</f>
        <v/>
      </c>
      <c r="DA333" s="59">
        <f>($AJ333-$AJ334)*100</f>
        <v/>
      </c>
      <c r="DB333" s="59">
        <f>($AK333-$AK334)*100</f>
        <v/>
      </c>
      <c r="DC333" s="59">
        <f>($AL333-$AL334)*100</f>
        <v/>
      </c>
      <c r="DD333" s="59">
        <f>($AM333-$AM334)*100</f>
        <v/>
      </c>
      <c r="DE333" s="59">
        <f>($AN333-$AN334)*100</f>
        <v/>
      </c>
      <c r="DF333" s="59">
        <f>($AO333-$AO334)*100</f>
        <v/>
      </c>
      <c r="DG333" s="59">
        <f>($AP333-$AP334)*100</f>
        <v/>
      </c>
      <c r="DH333" s="59">
        <f>($AQ333-$AQ334)*100</f>
        <v/>
      </c>
      <c r="DI333" s="59">
        <f>($AR333-$AR334)*100</f>
        <v/>
      </c>
      <c r="DJ333" s="59">
        <f>($AS333-$AS334)*100</f>
        <v/>
      </c>
      <c r="DK333" s="59">
        <f>($AT333-$AT334)*100</f>
        <v/>
      </c>
      <c r="DL333" s="59">
        <f>($AU333-$AU334)*100</f>
        <v/>
      </c>
      <c r="DM333" s="59">
        <f>($AV333-$AV334)*100</f>
        <v/>
      </c>
      <c r="DN333" s="59">
        <f>($AW333-$AW334)*100</f>
        <v/>
      </c>
      <c r="DO333" s="59">
        <f>($AX333-$AX334)*100</f>
        <v/>
      </c>
      <c r="DP333" s="59">
        <f>($AY333-$AY334)*100</f>
        <v/>
      </c>
      <c r="DQ333" s="59">
        <f>($AZ333-$AZ334)*100</f>
        <v/>
      </c>
      <c r="DR333" s="59">
        <f>($BA333-$BA334)*100</f>
        <v/>
      </c>
      <c r="DS333" s="58">
        <f>IFERROR($N334/$N333-1,"")</f>
        <v/>
      </c>
      <c r="DT333" s="58">
        <f>IFERROR($O334/$O333-1,"")</f>
        <v/>
      </c>
      <c r="DU333" s="58">
        <f>IFERROR($P334/$P333-1,"")</f>
        <v/>
      </c>
      <c r="DV333" s="58">
        <f>IFERROR($Q334/$Q333-1,"")</f>
        <v/>
      </c>
      <c r="DW333" s="58">
        <f>IFERROR($R334/$R333-1,"")</f>
        <v/>
      </c>
      <c r="DX333" s="58">
        <f>IFERROR($S334/$S333-1,"")</f>
        <v/>
      </c>
      <c r="DY333" s="58">
        <f>IFERROR($T334/$T333-1,"")</f>
        <v/>
      </c>
      <c r="DZ333" s="58">
        <f>IFERROR($U334/$U333-1,"")</f>
        <v/>
      </c>
      <c r="EA333" s="58">
        <f>IFERROR($V334/$V333-1,"")</f>
        <v/>
      </c>
      <c r="EB333" s="58">
        <f>IFERROR($W334/$W333-1,"")</f>
        <v/>
      </c>
      <c r="EC333" s="58">
        <f>IFERROR($X334/$X333-1,"")</f>
        <v/>
      </c>
      <c r="ED333" s="58">
        <f>IFERROR($Y334/$Y333-1,"")</f>
        <v/>
      </c>
      <c r="EE333" s="58">
        <f>IFERROR($Z334/$Z333-1,"")</f>
        <v/>
      </c>
      <c r="EF333" s="58">
        <f>IFERROR($AA334/$AA333-1,"")</f>
        <v/>
      </c>
      <c r="EG333" s="58">
        <f>IFERROR($AB334/$AB333-1,"")</f>
        <v/>
      </c>
      <c r="EH333" s="58">
        <f>IFERROR($AC334/$AC333-1,"")</f>
        <v/>
      </c>
      <c r="EI333" s="58">
        <f>IFERROR($AD334/$AD333-1,"")</f>
        <v/>
      </c>
      <c r="EJ333" s="58">
        <f>IFERROR($AE334/$AE333-1,"")</f>
        <v/>
      </c>
      <c r="EK333" s="58">
        <f>IFERROR($AF334/$AF333-1,"")</f>
        <v/>
      </c>
      <c r="EL333" s="58">
        <f>IFERROR($AG334/$AG333-1,"")</f>
        <v/>
      </c>
      <c r="EM333" s="58">
        <f>IFERROR($BB333/$BB334-1,"")</f>
        <v/>
      </c>
      <c r="EN333" s="58">
        <f>IFERROR($BC333/$BC334-1,"")</f>
        <v/>
      </c>
      <c r="EO333" s="58">
        <f>IFERROR($BD333/$BD334-1,"")</f>
        <v/>
      </c>
      <c r="EP333" s="58">
        <f>IFERROR($BE333/$BE334-1,"")</f>
        <v/>
      </c>
      <c r="EQ333" s="58">
        <f>IFERROR($BF333/$BF334-1,"")</f>
        <v/>
      </c>
      <c r="ER333" s="58">
        <f>IFERROR($BG333/$BG334-1,"")</f>
        <v/>
      </c>
      <c r="ES333" s="58">
        <f>IFERROR($BH333/$BH334-1,"")</f>
        <v/>
      </c>
      <c r="ET333" s="58">
        <f>IFERROR($BI333/$BI334-1,"")</f>
        <v/>
      </c>
      <c r="EU333" s="58">
        <f>IFERROR($BJ333/$BJ334-1,"")</f>
        <v/>
      </c>
      <c r="EV333" s="58">
        <f>IFERROR($BK333/$BK334-1,"")</f>
        <v/>
      </c>
      <c r="EW333" s="58">
        <f>IFERROR($BL333/$BL334-1,"")</f>
        <v/>
      </c>
      <c r="EX333" s="58">
        <f>IFERROR($BM333/$BM334-1,"")</f>
        <v/>
      </c>
      <c r="EY333" s="58">
        <f>IFERROR($BN333/$BN334-1,"")</f>
        <v/>
      </c>
      <c r="EZ333" s="58">
        <f>IFERROR($BO333/$BO334-1,"")</f>
        <v/>
      </c>
      <c r="FA333" s="58">
        <f>IFERROR($BP333/$BP334-1,"")</f>
        <v/>
      </c>
      <c r="FB333" s="58">
        <f>IFERROR($BQ333/$BQ334-1,"")</f>
        <v/>
      </c>
      <c r="FC333" s="58">
        <f>IFERROR($BR333/$BR334-1,"")</f>
        <v/>
      </c>
      <c r="FD333" s="58">
        <f>IFERROR($BS333/$BS334-1,"")</f>
        <v/>
      </c>
      <c r="FE333" s="58">
        <f>IFERROR($BT333/$BT334-1,"")</f>
        <v/>
      </c>
      <c r="FF333" s="58">
        <f>IFERROR($BU333/$BU334-1,"")</f>
        <v/>
      </c>
      <c r="FG333" s="58">
        <f>IFERROR($BV333/$BV334-1,"")</f>
        <v/>
      </c>
      <c r="FH333" s="58">
        <f>IFERROR($BW333/$BW334-1,"")</f>
        <v/>
      </c>
      <c r="FI333" s="58">
        <f>IFERROR($BX333/$BX334-1,"")</f>
        <v/>
      </c>
      <c r="FJ333" s="59">
        <f>$BY333-$BY334</f>
        <v/>
      </c>
      <c r="FK333" s="59">
        <f>$BZ333-$BZ334</f>
        <v/>
      </c>
      <c r="FL333" s="59">
        <f>$CA333-$CA334</f>
        <v/>
      </c>
      <c r="FM333" s="59">
        <f>$CB333-$CB334</f>
        <v/>
      </c>
      <c r="FN333" s="59">
        <f>$CC333-$CC334</f>
        <v/>
      </c>
      <c r="FO333" s="59">
        <f>$CD333-$CD334</f>
        <v/>
      </c>
      <c r="FP333" s="59">
        <f>$CE333-$CE334</f>
        <v/>
      </c>
      <c r="FQ333" s="59">
        <f>$CF333-$CF334</f>
        <v/>
      </c>
      <c r="FR333" s="59">
        <f>$CG333-$CG334</f>
        <v/>
      </c>
      <c r="FS333" s="59">
        <f>$CH333-$CH334</f>
        <v/>
      </c>
      <c r="FT333" s="59">
        <f>$CI333-$CI334</f>
        <v/>
      </c>
      <c r="FU333" s="59">
        <f>$CJ333-$CJ334</f>
        <v/>
      </c>
      <c r="FV333" s="59">
        <f>$CK333-$CK334</f>
        <v/>
      </c>
      <c r="FW333" s="59">
        <f>$CL333-$CL334</f>
        <v/>
      </c>
      <c r="FX333" s="59">
        <f>$CM333-$CM334</f>
        <v/>
      </c>
      <c r="FY333" s="59">
        <f>$CN333-$CN334</f>
        <v/>
      </c>
      <c r="FZ333" s="59">
        <f>$CO333-$CO334</f>
        <v/>
      </c>
      <c r="GA333" s="59">
        <f>$CP333-$CP334</f>
        <v/>
      </c>
      <c r="GB333" s="59">
        <f>$CQ333-$CQ334</f>
        <v/>
      </c>
      <c r="GC333" s="59">
        <f>$CR333-$CR334</f>
        <v/>
      </c>
      <c r="GD333" s="59">
        <f>$CS333-$CS334</f>
        <v/>
      </c>
      <c r="GE333" s="59">
        <f>$CT333-$CT334</f>
        <v/>
      </c>
    </row>
    <row r="334">
      <c r="CU334" s="58">
        <f>IFERROR($B334/$B335-1,"")</f>
        <v/>
      </c>
      <c r="CV334" s="59">
        <f>($F334-$F335)*100</f>
        <v/>
      </c>
      <c r="CW334" s="59">
        <f>($E334-$E335)*100</f>
        <v/>
      </c>
      <c r="CX334" s="58">
        <f>IFERROR($K334/$K335-1,"")</f>
        <v/>
      </c>
      <c r="CY334" s="59">
        <f>($AH334-$AH335)*100</f>
        <v/>
      </c>
      <c r="CZ334" s="59">
        <f>($AI334-$AI335)*100</f>
        <v/>
      </c>
      <c r="DA334" s="59">
        <f>($AJ334-$AJ335)*100</f>
        <v/>
      </c>
      <c r="DB334" s="59">
        <f>($AK334-$AK335)*100</f>
        <v/>
      </c>
      <c r="DC334" s="59">
        <f>($AL334-$AL335)*100</f>
        <v/>
      </c>
      <c r="DD334" s="59">
        <f>($AM334-$AM335)*100</f>
        <v/>
      </c>
      <c r="DE334" s="59">
        <f>($AN334-$AN335)*100</f>
        <v/>
      </c>
      <c r="DF334" s="59">
        <f>($AO334-$AO335)*100</f>
        <v/>
      </c>
      <c r="DG334" s="59">
        <f>($AP334-$AP335)*100</f>
        <v/>
      </c>
      <c r="DH334" s="59">
        <f>($AQ334-$AQ335)*100</f>
        <v/>
      </c>
      <c r="DI334" s="59">
        <f>($AR334-$AR335)*100</f>
        <v/>
      </c>
      <c r="DJ334" s="59">
        <f>($AS334-$AS335)*100</f>
        <v/>
      </c>
      <c r="DK334" s="59">
        <f>($AT334-$AT335)*100</f>
        <v/>
      </c>
      <c r="DL334" s="59">
        <f>($AU334-$AU335)*100</f>
        <v/>
      </c>
      <c r="DM334" s="59">
        <f>($AV334-$AV335)*100</f>
        <v/>
      </c>
      <c r="DN334" s="59">
        <f>($AW334-$AW335)*100</f>
        <v/>
      </c>
      <c r="DO334" s="59">
        <f>($AX334-$AX335)*100</f>
        <v/>
      </c>
      <c r="DP334" s="59">
        <f>($AY334-$AY335)*100</f>
        <v/>
      </c>
      <c r="DQ334" s="59">
        <f>($AZ334-$AZ335)*100</f>
        <v/>
      </c>
      <c r="DR334" s="59">
        <f>($BA334-$BA335)*100</f>
        <v/>
      </c>
      <c r="DS334" s="58">
        <f>IFERROR($N335/$N334-1,"")</f>
        <v/>
      </c>
      <c r="DT334" s="58">
        <f>IFERROR($O335/$O334-1,"")</f>
        <v/>
      </c>
      <c r="DU334" s="58">
        <f>IFERROR($P335/$P334-1,"")</f>
        <v/>
      </c>
      <c r="DV334" s="58">
        <f>IFERROR($Q335/$Q334-1,"")</f>
        <v/>
      </c>
      <c r="DW334" s="58">
        <f>IFERROR($R335/$R334-1,"")</f>
        <v/>
      </c>
      <c r="DX334" s="58">
        <f>IFERROR($S335/$S334-1,"")</f>
        <v/>
      </c>
      <c r="DY334" s="58">
        <f>IFERROR($T335/$T334-1,"")</f>
        <v/>
      </c>
      <c r="DZ334" s="58">
        <f>IFERROR($U335/$U334-1,"")</f>
        <v/>
      </c>
      <c r="EA334" s="58">
        <f>IFERROR($V335/$V334-1,"")</f>
        <v/>
      </c>
      <c r="EB334" s="58">
        <f>IFERROR($W335/$W334-1,"")</f>
        <v/>
      </c>
      <c r="EC334" s="58">
        <f>IFERROR($X335/$X334-1,"")</f>
        <v/>
      </c>
      <c r="ED334" s="58">
        <f>IFERROR($Y335/$Y334-1,"")</f>
        <v/>
      </c>
      <c r="EE334" s="58">
        <f>IFERROR($Z335/$Z334-1,"")</f>
        <v/>
      </c>
      <c r="EF334" s="58">
        <f>IFERROR($AA335/$AA334-1,"")</f>
        <v/>
      </c>
      <c r="EG334" s="58">
        <f>IFERROR($AB335/$AB334-1,"")</f>
        <v/>
      </c>
      <c r="EH334" s="58">
        <f>IFERROR($AC335/$AC334-1,"")</f>
        <v/>
      </c>
      <c r="EI334" s="58">
        <f>IFERROR($AD335/$AD334-1,"")</f>
        <v/>
      </c>
      <c r="EJ334" s="58">
        <f>IFERROR($AE335/$AE334-1,"")</f>
        <v/>
      </c>
      <c r="EK334" s="58">
        <f>IFERROR($AF335/$AF334-1,"")</f>
        <v/>
      </c>
      <c r="EL334" s="58">
        <f>IFERROR($AG335/$AG334-1,"")</f>
        <v/>
      </c>
      <c r="EM334" s="58">
        <f>IFERROR($BB334/$BB335-1,"")</f>
        <v/>
      </c>
      <c r="EN334" s="58">
        <f>IFERROR($BC334/$BC335-1,"")</f>
        <v/>
      </c>
      <c r="EO334" s="58">
        <f>IFERROR($BD334/$BD335-1,"")</f>
        <v/>
      </c>
      <c r="EP334" s="58">
        <f>IFERROR($BE334/$BE335-1,"")</f>
        <v/>
      </c>
      <c r="EQ334" s="58">
        <f>IFERROR($BF334/$BF335-1,"")</f>
        <v/>
      </c>
      <c r="ER334" s="58">
        <f>IFERROR($BG334/$BG335-1,"")</f>
        <v/>
      </c>
      <c r="ES334" s="58">
        <f>IFERROR($BH334/$BH335-1,"")</f>
        <v/>
      </c>
      <c r="ET334" s="58">
        <f>IFERROR($BI334/$BI335-1,"")</f>
        <v/>
      </c>
      <c r="EU334" s="58">
        <f>IFERROR($BJ334/$BJ335-1,"")</f>
        <v/>
      </c>
      <c r="EV334" s="58">
        <f>IFERROR($BK334/$BK335-1,"")</f>
        <v/>
      </c>
      <c r="EW334" s="58">
        <f>IFERROR($BL334/$BL335-1,"")</f>
        <v/>
      </c>
      <c r="EX334" s="58">
        <f>IFERROR($BM334/$BM335-1,"")</f>
        <v/>
      </c>
      <c r="EY334" s="58">
        <f>IFERROR($BN334/$BN335-1,"")</f>
        <v/>
      </c>
      <c r="EZ334" s="58">
        <f>IFERROR($BO334/$BO335-1,"")</f>
        <v/>
      </c>
      <c r="FA334" s="58">
        <f>IFERROR($BP334/$BP335-1,"")</f>
        <v/>
      </c>
      <c r="FB334" s="58">
        <f>IFERROR($BQ334/$BQ335-1,"")</f>
        <v/>
      </c>
      <c r="FC334" s="58">
        <f>IFERROR($BR334/$BR335-1,"")</f>
        <v/>
      </c>
      <c r="FD334" s="58">
        <f>IFERROR($BS334/$BS335-1,"")</f>
        <v/>
      </c>
      <c r="FE334" s="58">
        <f>IFERROR($BT334/$BT335-1,"")</f>
        <v/>
      </c>
      <c r="FF334" s="58">
        <f>IFERROR($BU334/$BU335-1,"")</f>
        <v/>
      </c>
      <c r="FG334" s="58">
        <f>IFERROR($BV334/$BV335-1,"")</f>
        <v/>
      </c>
      <c r="FH334" s="58">
        <f>IFERROR($BW334/$BW335-1,"")</f>
        <v/>
      </c>
      <c r="FI334" s="58">
        <f>IFERROR($BX334/$BX335-1,"")</f>
        <v/>
      </c>
      <c r="FJ334" s="59">
        <f>$BY334-$BY335</f>
        <v/>
      </c>
      <c r="FK334" s="59">
        <f>$BZ334-$BZ335</f>
        <v/>
      </c>
      <c r="FL334" s="59">
        <f>$CA334-$CA335</f>
        <v/>
      </c>
      <c r="FM334" s="59">
        <f>$CB334-$CB335</f>
        <v/>
      </c>
      <c r="FN334" s="59">
        <f>$CC334-$CC335</f>
        <v/>
      </c>
      <c r="FO334" s="59">
        <f>$CD334-$CD335</f>
        <v/>
      </c>
      <c r="FP334" s="59">
        <f>$CE334-$CE335</f>
        <v/>
      </c>
      <c r="FQ334" s="59">
        <f>$CF334-$CF335</f>
        <v/>
      </c>
      <c r="FR334" s="59">
        <f>$CG334-$CG335</f>
        <v/>
      </c>
      <c r="FS334" s="59">
        <f>$CH334-$CH335</f>
        <v/>
      </c>
      <c r="FT334" s="59">
        <f>$CI334-$CI335</f>
        <v/>
      </c>
      <c r="FU334" s="59">
        <f>$CJ334-$CJ335</f>
        <v/>
      </c>
      <c r="FV334" s="59">
        <f>$CK334-$CK335</f>
        <v/>
      </c>
      <c r="FW334" s="59">
        <f>$CL334-$CL335</f>
        <v/>
      </c>
      <c r="FX334" s="59">
        <f>$CM334-$CM335</f>
        <v/>
      </c>
      <c r="FY334" s="59">
        <f>$CN334-$CN335</f>
        <v/>
      </c>
      <c r="FZ334" s="59">
        <f>$CO334-$CO335</f>
        <v/>
      </c>
      <c r="GA334" s="59">
        <f>$CP334-$CP335</f>
        <v/>
      </c>
      <c r="GB334" s="59">
        <f>$CQ334-$CQ335</f>
        <v/>
      </c>
      <c r="GC334" s="59">
        <f>$CR334-$CR335</f>
        <v/>
      </c>
      <c r="GD334" s="59">
        <f>$CS334-$CS335</f>
        <v/>
      </c>
      <c r="GE334" s="59">
        <f>$CT334-$CT335</f>
        <v/>
      </c>
    </row>
    <row r="335">
      <c r="CU335" s="58">
        <f>IFERROR($B335/$B336-1,"")</f>
        <v/>
      </c>
      <c r="CV335" s="59">
        <f>($F335-$F336)*100</f>
        <v/>
      </c>
      <c r="CW335" s="59">
        <f>($E335-$E336)*100</f>
        <v/>
      </c>
      <c r="CX335" s="58">
        <f>IFERROR($K335/$K336-1,"")</f>
        <v/>
      </c>
      <c r="CY335" s="59">
        <f>($AH335-$AH336)*100</f>
        <v/>
      </c>
      <c r="CZ335" s="59">
        <f>($AI335-$AI336)*100</f>
        <v/>
      </c>
      <c r="DA335" s="59">
        <f>($AJ335-$AJ336)*100</f>
        <v/>
      </c>
      <c r="DB335" s="59">
        <f>($AK335-$AK336)*100</f>
        <v/>
      </c>
      <c r="DC335" s="59">
        <f>($AL335-$AL336)*100</f>
        <v/>
      </c>
      <c r="DD335" s="59">
        <f>($AM335-$AM336)*100</f>
        <v/>
      </c>
      <c r="DE335" s="59">
        <f>($AN335-$AN336)*100</f>
        <v/>
      </c>
      <c r="DF335" s="59">
        <f>($AO335-$AO336)*100</f>
        <v/>
      </c>
      <c r="DG335" s="59">
        <f>($AP335-$AP336)*100</f>
        <v/>
      </c>
      <c r="DH335" s="59">
        <f>($AQ335-$AQ336)*100</f>
        <v/>
      </c>
      <c r="DI335" s="59">
        <f>($AR335-$AR336)*100</f>
        <v/>
      </c>
      <c r="DJ335" s="59">
        <f>($AS335-$AS336)*100</f>
        <v/>
      </c>
      <c r="DK335" s="59">
        <f>($AT335-$AT336)*100</f>
        <v/>
      </c>
      <c r="DL335" s="59">
        <f>($AU335-$AU336)*100</f>
        <v/>
      </c>
      <c r="DM335" s="59">
        <f>($AV335-$AV336)*100</f>
        <v/>
      </c>
      <c r="DN335" s="59">
        <f>($AW335-$AW336)*100</f>
        <v/>
      </c>
      <c r="DO335" s="59">
        <f>($AX335-$AX336)*100</f>
        <v/>
      </c>
      <c r="DP335" s="59">
        <f>($AY335-$AY336)*100</f>
        <v/>
      </c>
      <c r="DQ335" s="59">
        <f>($AZ335-$AZ336)*100</f>
        <v/>
      </c>
      <c r="DR335" s="59">
        <f>($BA335-$BA336)*100</f>
        <v/>
      </c>
      <c r="DS335" s="58">
        <f>IFERROR($N336/$N335-1,"")</f>
        <v/>
      </c>
      <c r="DT335" s="58">
        <f>IFERROR($O336/$O335-1,"")</f>
        <v/>
      </c>
      <c r="DU335" s="58">
        <f>IFERROR($P336/$P335-1,"")</f>
        <v/>
      </c>
      <c r="DV335" s="58">
        <f>IFERROR($Q336/$Q335-1,"")</f>
        <v/>
      </c>
      <c r="DW335" s="58">
        <f>IFERROR($R336/$R335-1,"")</f>
        <v/>
      </c>
      <c r="DX335" s="58">
        <f>IFERROR($S336/$S335-1,"")</f>
        <v/>
      </c>
      <c r="DY335" s="58">
        <f>IFERROR($T336/$T335-1,"")</f>
        <v/>
      </c>
      <c r="DZ335" s="58">
        <f>IFERROR($U336/$U335-1,"")</f>
        <v/>
      </c>
      <c r="EA335" s="58">
        <f>IFERROR($V336/$V335-1,"")</f>
        <v/>
      </c>
      <c r="EB335" s="58">
        <f>IFERROR($W336/$W335-1,"")</f>
        <v/>
      </c>
      <c r="EC335" s="58">
        <f>IFERROR($X336/$X335-1,"")</f>
        <v/>
      </c>
      <c r="ED335" s="58">
        <f>IFERROR($Y336/$Y335-1,"")</f>
        <v/>
      </c>
      <c r="EE335" s="58">
        <f>IFERROR($Z336/$Z335-1,"")</f>
        <v/>
      </c>
      <c r="EF335" s="58">
        <f>IFERROR($AA336/$AA335-1,"")</f>
        <v/>
      </c>
      <c r="EG335" s="58">
        <f>IFERROR($AB336/$AB335-1,"")</f>
        <v/>
      </c>
      <c r="EH335" s="58">
        <f>IFERROR($AC336/$AC335-1,"")</f>
        <v/>
      </c>
      <c r="EI335" s="58">
        <f>IFERROR($AD336/$AD335-1,"")</f>
        <v/>
      </c>
      <c r="EJ335" s="58">
        <f>IFERROR($AE336/$AE335-1,"")</f>
        <v/>
      </c>
      <c r="EK335" s="58">
        <f>IFERROR($AF336/$AF335-1,"")</f>
        <v/>
      </c>
      <c r="EL335" s="58">
        <f>IFERROR($AG336/$AG335-1,"")</f>
        <v/>
      </c>
      <c r="EM335" s="58">
        <f>IFERROR($BB335/$BB336-1,"")</f>
        <v/>
      </c>
      <c r="EN335" s="58">
        <f>IFERROR($BC335/$BC336-1,"")</f>
        <v/>
      </c>
      <c r="EO335" s="58">
        <f>IFERROR($BD335/$BD336-1,"")</f>
        <v/>
      </c>
      <c r="EP335" s="58">
        <f>IFERROR($BE335/$BE336-1,"")</f>
        <v/>
      </c>
      <c r="EQ335" s="58">
        <f>IFERROR($BF335/$BF336-1,"")</f>
        <v/>
      </c>
      <c r="ER335" s="58">
        <f>IFERROR($BG335/$BG336-1,"")</f>
        <v/>
      </c>
      <c r="ES335" s="58">
        <f>IFERROR($BH335/$BH336-1,"")</f>
        <v/>
      </c>
      <c r="ET335" s="58">
        <f>IFERROR($BI335/$BI336-1,"")</f>
        <v/>
      </c>
      <c r="EU335" s="58">
        <f>IFERROR($BJ335/$BJ336-1,"")</f>
        <v/>
      </c>
      <c r="EV335" s="58">
        <f>IFERROR($BK335/$BK336-1,"")</f>
        <v/>
      </c>
      <c r="EW335" s="58">
        <f>IFERROR($BL335/$BL336-1,"")</f>
        <v/>
      </c>
      <c r="EX335" s="58">
        <f>IFERROR($BM335/$BM336-1,"")</f>
        <v/>
      </c>
      <c r="EY335" s="58">
        <f>IFERROR($BN335/$BN336-1,"")</f>
        <v/>
      </c>
      <c r="EZ335" s="58">
        <f>IFERROR($BO335/$BO336-1,"")</f>
        <v/>
      </c>
      <c r="FA335" s="58">
        <f>IFERROR($BP335/$BP336-1,"")</f>
        <v/>
      </c>
      <c r="FB335" s="58">
        <f>IFERROR($BQ335/$BQ336-1,"")</f>
        <v/>
      </c>
      <c r="FC335" s="58">
        <f>IFERROR($BR335/$BR336-1,"")</f>
        <v/>
      </c>
      <c r="FD335" s="58">
        <f>IFERROR($BS335/$BS336-1,"")</f>
        <v/>
      </c>
      <c r="FE335" s="58">
        <f>IFERROR($BT335/$BT336-1,"")</f>
        <v/>
      </c>
      <c r="FF335" s="58">
        <f>IFERROR($BU335/$BU336-1,"")</f>
        <v/>
      </c>
      <c r="FG335" s="58">
        <f>IFERROR($BV335/$BV336-1,"")</f>
        <v/>
      </c>
      <c r="FH335" s="58">
        <f>IFERROR($BW335/$BW336-1,"")</f>
        <v/>
      </c>
      <c r="FI335" s="58">
        <f>IFERROR($BX335/$BX336-1,"")</f>
        <v/>
      </c>
      <c r="FJ335" s="59">
        <f>$BY335-$BY336</f>
        <v/>
      </c>
      <c r="FK335" s="59">
        <f>$BZ335-$BZ336</f>
        <v/>
      </c>
      <c r="FL335" s="59">
        <f>$CA335-$CA336</f>
        <v/>
      </c>
      <c r="FM335" s="59">
        <f>$CB335-$CB336</f>
        <v/>
      </c>
      <c r="FN335" s="59">
        <f>$CC335-$CC336</f>
        <v/>
      </c>
      <c r="FO335" s="59">
        <f>$CD335-$CD336</f>
        <v/>
      </c>
      <c r="FP335" s="59">
        <f>$CE335-$CE336</f>
        <v/>
      </c>
      <c r="FQ335" s="59">
        <f>$CF335-$CF336</f>
        <v/>
      </c>
      <c r="FR335" s="59">
        <f>$CG335-$CG336</f>
        <v/>
      </c>
      <c r="FS335" s="59">
        <f>$CH335-$CH336</f>
        <v/>
      </c>
      <c r="FT335" s="59">
        <f>$CI335-$CI336</f>
        <v/>
      </c>
      <c r="FU335" s="59">
        <f>$CJ335-$CJ336</f>
        <v/>
      </c>
      <c r="FV335" s="59">
        <f>$CK335-$CK336</f>
        <v/>
      </c>
      <c r="FW335" s="59">
        <f>$CL335-$CL336</f>
        <v/>
      </c>
      <c r="FX335" s="59">
        <f>$CM335-$CM336</f>
        <v/>
      </c>
      <c r="FY335" s="59">
        <f>$CN335-$CN336</f>
        <v/>
      </c>
      <c r="FZ335" s="59">
        <f>$CO335-$CO336</f>
        <v/>
      </c>
      <c r="GA335" s="59">
        <f>$CP335-$CP336</f>
        <v/>
      </c>
      <c r="GB335" s="59">
        <f>$CQ335-$CQ336</f>
        <v/>
      </c>
      <c r="GC335" s="59">
        <f>$CR335-$CR336</f>
        <v/>
      </c>
      <c r="GD335" s="59">
        <f>$CS335-$CS336</f>
        <v/>
      </c>
      <c r="GE335" s="59">
        <f>$CT335-$CT336</f>
        <v/>
      </c>
    </row>
    <row r="336">
      <c r="CU336" s="58">
        <f>IFERROR($B336/$B337-1,"")</f>
        <v/>
      </c>
      <c r="CV336" s="59">
        <f>($F336-$F337)*100</f>
        <v/>
      </c>
      <c r="CW336" s="59">
        <f>($E336-$E337)*100</f>
        <v/>
      </c>
      <c r="CX336" s="58">
        <f>IFERROR($K336/$K337-1,"")</f>
        <v/>
      </c>
      <c r="CY336" s="59">
        <f>($AH336-$AH337)*100</f>
        <v/>
      </c>
      <c r="CZ336" s="59">
        <f>($AI336-$AI337)*100</f>
        <v/>
      </c>
      <c r="DA336" s="59">
        <f>($AJ336-$AJ337)*100</f>
        <v/>
      </c>
      <c r="DB336" s="59">
        <f>($AK336-$AK337)*100</f>
        <v/>
      </c>
      <c r="DC336" s="59">
        <f>($AL336-$AL337)*100</f>
        <v/>
      </c>
      <c r="DD336" s="59">
        <f>($AM336-$AM337)*100</f>
        <v/>
      </c>
      <c r="DE336" s="59">
        <f>($AN336-$AN337)*100</f>
        <v/>
      </c>
      <c r="DF336" s="59">
        <f>($AO336-$AO337)*100</f>
        <v/>
      </c>
      <c r="DG336" s="59">
        <f>($AP336-$AP337)*100</f>
        <v/>
      </c>
      <c r="DH336" s="59">
        <f>($AQ336-$AQ337)*100</f>
        <v/>
      </c>
      <c r="DI336" s="59">
        <f>($AR336-$AR337)*100</f>
        <v/>
      </c>
      <c r="DJ336" s="59">
        <f>($AS336-$AS337)*100</f>
        <v/>
      </c>
      <c r="DK336" s="59">
        <f>($AT336-$AT337)*100</f>
        <v/>
      </c>
      <c r="DL336" s="59">
        <f>($AU336-$AU337)*100</f>
        <v/>
      </c>
      <c r="DM336" s="59">
        <f>($AV336-$AV337)*100</f>
        <v/>
      </c>
      <c r="DN336" s="59">
        <f>($AW336-$AW337)*100</f>
        <v/>
      </c>
      <c r="DO336" s="59">
        <f>($AX336-$AX337)*100</f>
        <v/>
      </c>
      <c r="DP336" s="59">
        <f>($AY336-$AY337)*100</f>
        <v/>
      </c>
      <c r="DQ336" s="59">
        <f>($AZ336-$AZ337)*100</f>
        <v/>
      </c>
      <c r="DR336" s="59">
        <f>($BA336-$BA337)*100</f>
        <v/>
      </c>
      <c r="DS336" s="58">
        <f>IFERROR($N337/$N336-1,"")</f>
        <v/>
      </c>
      <c r="DT336" s="58">
        <f>IFERROR($O337/$O336-1,"")</f>
        <v/>
      </c>
      <c r="DU336" s="58">
        <f>IFERROR($P337/$P336-1,"")</f>
        <v/>
      </c>
      <c r="DV336" s="58">
        <f>IFERROR($Q337/$Q336-1,"")</f>
        <v/>
      </c>
      <c r="DW336" s="58">
        <f>IFERROR($R337/$R336-1,"")</f>
        <v/>
      </c>
      <c r="DX336" s="58">
        <f>IFERROR($S337/$S336-1,"")</f>
        <v/>
      </c>
      <c r="DY336" s="58">
        <f>IFERROR($T337/$T336-1,"")</f>
        <v/>
      </c>
      <c r="DZ336" s="58">
        <f>IFERROR($U337/$U336-1,"")</f>
        <v/>
      </c>
      <c r="EA336" s="58">
        <f>IFERROR($V337/$V336-1,"")</f>
        <v/>
      </c>
      <c r="EB336" s="58">
        <f>IFERROR($W337/$W336-1,"")</f>
        <v/>
      </c>
      <c r="EC336" s="58">
        <f>IFERROR($X337/$X336-1,"")</f>
        <v/>
      </c>
      <c r="ED336" s="58">
        <f>IFERROR($Y337/$Y336-1,"")</f>
        <v/>
      </c>
      <c r="EE336" s="58">
        <f>IFERROR($Z337/$Z336-1,"")</f>
        <v/>
      </c>
      <c r="EF336" s="58">
        <f>IFERROR($AA337/$AA336-1,"")</f>
        <v/>
      </c>
      <c r="EG336" s="58">
        <f>IFERROR($AB337/$AB336-1,"")</f>
        <v/>
      </c>
      <c r="EH336" s="58">
        <f>IFERROR($AC337/$AC336-1,"")</f>
        <v/>
      </c>
      <c r="EI336" s="58">
        <f>IFERROR($AD337/$AD336-1,"")</f>
        <v/>
      </c>
      <c r="EJ336" s="58">
        <f>IFERROR($AE337/$AE336-1,"")</f>
        <v/>
      </c>
      <c r="EK336" s="58">
        <f>IFERROR($AF337/$AF336-1,"")</f>
        <v/>
      </c>
      <c r="EL336" s="58">
        <f>IFERROR($AG337/$AG336-1,"")</f>
        <v/>
      </c>
      <c r="EM336" s="58">
        <f>IFERROR($BB336/$BB337-1,"")</f>
        <v/>
      </c>
      <c r="EN336" s="58">
        <f>IFERROR($BC336/$BC337-1,"")</f>
        <v/>
      </c>
      <c r="EO336" s="58">
        <f>IFERROR($BD336/$BD337-1,"")</f>
        <v/>
      </c>
      <c r="EP336" s="58">
        <f>IFERROR($BE336/$BE337-1,"")</f>
        <v/>
      </c>
      <c r="EQ336" s="58">
        <f>IFERROR($BF336/$BF337-1,"")</f>
        <v/>
      </c>
      <c r="ER336" s="58">
        <f>IFERROR($BG336/$BG337-1,"")</f>
        <v/>
      </c>
      <c r="ES336" s="58">
        <f>IFERROR($BH336/$BH337-1,"")</f>
        <v/>
      </c>
      <c r="ET336" s="58">
        <f>IFERROR($BI336/$BI337-1,"")</f>
        <v/>
      </c>
      <c r="EU336" s="58">
        <f>IFERROR($BJ336/$BJ337-1,"")</f>
        <v/>
      </c>
      <c r="EV336" s="58">
        <f>IFERROR($BK336/$BK337-1,"")</f>
        <v/>
      </c>
      <c r="EW336" s="58">
        <f>IFERROR($BL336/$BL337-1,"")</f>
        <v/>
      </c>
      <c r="EX336" s="58">
        <f>IFERROR($BM336/$BM337-1,"")</f>
        <v/>
      </c>
      <c r="EY336" s="58">
        <f>IFERROR($BN336/$BN337-1,"")</f>
        <v/>
      </c>
      <c r="EZ336" s="58">
        <f>IFERROR($BO336/$BO337-1,"")</f>
        <v/>
      </c>
      <c r="FA336" s="58">
        <f>IFERROR($BP336/$BP337-1,"")</f>
        <v/>
      </c>
      <c r="FB336" s="58">
        <f>IFERROR($BQ336/$BQ337-1,"")</f>
        <v/>
      </c>
      <c r="FC336" s="58">
        <f>IFERROR($BR336/$BR337-1,"")</f>
        <v/>
      </c>
      <c r="FD336" s="58">
        <f>IFERROR($BS336/$BS337-1,"")</f>
        <v/>
      </c>
      <c r="FE336" s="58">
        <f>IFERROR($BT336/$BT337-1,"")</f>
        <v/>
      </c>
      <c r="FF336" s="58">
        <f>IFERROR($BU336/$BU337-1,"")</f>
        <v/>
      </c>
      <c r="FG336" s="58">
        <f>IFERROR($BV336/$BV337-1,"")</f>
        <v/>
      </c>
      <c r="FH336" s="58">
        <f>IFERROR($BW336/$BW337-1,"")</f>
        <v/>
      </c>
      <c r="FI336" s="58">
        <f>IFERROR($BX336/$BX337-1,"")</f>
        <v/>
      </c>
      <c r="FJ336" s="59">
        <f>$BY336-$BY337</f>
        <v/>
      </c>
      <c r="FK336" s="59">
        <f>$BZ336-$BZ337</f>
        <v/>
      </c>
      <c r="FL336" s="59">
        <f>$CA336-$CA337</f>
        <v/>
      </c>
      <c r="FM336" s="59">
        <f>$CB336-$CB337</f>
        <v/>
      </c>
      <c r="FN336" s="59">
        <f>$CC336-$CC337</f>
        <v/>
      </c>
      <c r="FO336" s="59">
        <f>$CD336-$CD337</f>
        <v/>
      </c>
      <c r="FP336" s="59">
        <f>$CE336-$CE337</f>
        <v/>
      </c>
      <c r="FQ336" s="59">
        <f>$CF336-$CF337</f>
        <v/>
      </c>
      <c r="FR336" s="59">
        <f>$CG336-$CG337</f>
        <v/>
      </c>
      <c r="FS336" s="59">
        <f>$CH336-$CH337</f>
        <v/>
      </c>
      <c r="FT336" s="59">
        <f>$CI336-$CI337</f>
        <v/>
      </c>
      <c r="FU336" s="59">
        <f>$CJ336-$CJ337</f>
        <v/>
      </c>
      <c r="FV336" s="59">
        <f>$CK336-$CK337</f>
        <v/>
      </c>
      <c r="FW336" s="59">
        <f>$CL336-$CL337</f>
        <v/>
      </c>
      <c r="FX336" s="59">
        <f>$CM336-$CM337</f>
        <v/>
      </c>
      <c r="FY336" s="59">
        <f>$CN336-$CN337</f>
        <v/>
      </c>
      <c r="FZ336" s="59">
        <f>$CO336-$CO337</f>
        <v/>
      </c>
      <c r="GA336" s="59">
        <f>$CP336-$CP337</f>
        <v/>
      </c>
      <c r="GB336" s="59">
        <f>$CQ336-$CQ337</f>
        <v/>
      </c>
      <c r="GC336" s="59">
        <f>$CR336-$CR337</f>
        <v/>
      </c>
      <c r="GD336" s="59">
        <f>$CS336-$CS337</f>
        <v/>
      </c>
      <c r="GE336" s="59">
        <f>$CT336-$CT337</f>
        <v/>
      </c>
    </row>
    <row r="337">
      <c r="CU337" s="58">
        <f>IFERROR($B337/$B338-1,"")</f>
        <v/>
      </c>
      <c r="CV337" s="59">
        <f>($F337-$F338)*100</f>
        <v/>
      </c>
      <c r="CW337" s="59">
        <f>($E337-$E338)*100</f>
        <v/>
      </c>
      <c r="CX337" s="58">
        <f>IFERROR($K337/$K338-1,"")</f>
        <v/>
      </c>
      <c r="CY337" s="59">
        <f>($AH337-$AH338)*100</f>
        <v/>
      </c>
      <c r="CZ337" s="59">
        <f>($AI337-$AI338)*100</f>
        <v/>
      </c>
      <c r="DA337" s="59">
        <f>($AJ337-$AJ338)*100</f>
        <v/>
      </c>
      <c r="DB337" s="59">
        <f>($AK337-$AK338)*100</f>
        <v/>
      </c>
      <c r="DC337" s="59">
        <f>($AL337-$AL338)*100</f>
        <v/>
      </c>
      <c r="DD337" s="59">
        <f>($AM337-$AM338)*100</f>
        <v/>
      </c>
      <c r="DE337" s="59">
        <f>($AN337-$AN338)*100</f>
        <v/>
      </c>
      <c r="DF337" s="59">
        <f>($AO337-$AO338)*100</f>
        <v/>
      </c>
      <c r="DG337" s="59">
        <f>($AP337-$AP338)*100</f>
        <v/>
      </c>
      <c r="DH337" s="59">
        <f>($AQ337-$AQ338)*100</f>
        <v/>
      </c>
      <c r="DI337" s="59">
        <f>($AR337-$AR338)*100</f>
        <v/>
      </c>
      <c r="DJ337" s="59">
        <f>($AS337-$AS338)*100</f>
        <v/>
      </c>
      <c r="DK337" s="59">
        <f>($AT337-$AT338)*100</f>
        <v/>
      </c>
      <c r="DL337" s="59">
        <f>($AU337-$AU338)*100</f>
        <v/>
      </c>
      <c r="DM337" s="59">
        <f>($AV337-$AV338)*100</f>
        <v/>
      </c>
      <c r="DN337" s="59">
        <f>($AW337-$AW338)*100</f>
        <v/>
      </c>
      <c r="DO337" s="59">
        <f>($AX337-$AX338)*100</f>
        <v/>
      </c>
      <c r="DP337" s="59">
        <f>($AY337-$AY338)*100</f>
        <v/>
      </c>
      <c r="DQ337" s="59">
        <f>($AZ337-$AZ338)*100</f>
        <v/>
      </c>
      <c r="DR337" s="59">
        <f>($BA337-$BA338)*100</f>
        <v/>
      </c>
      <c r="DS337" s="58">
        <f>IFERROR($N338/$N337-1,"")</f>
        <v/>
      </c>
      <c r="DT337" s="58">
        <f>IFERROR($O338/$O337-1,"")</f>
        <v/>
      </c>
      <c r="DU337" s="58">
        <f>IFERROR($P338/$P337-1,"")</f>
        <v/>
      </c>
      <c r="DV337" s="58">
        <f>IFERROR($Q338/$Q337-1,"")</f>
        <v/>
      </c>
      <c r="DW337" s="58">
        <f>IFERROR($R338/$R337-1,"")</f>
        <v/>
      </c>
      <c r="DX337" s="58">
        <f>IFERROR($S338/$S337-1,"")</f>
        <v/>
      </c>
      <c r="DY337" s="58">
        <f>IFERROR($T338/$T337-1,"")</f>
        <v/>
      </c>
      <c r="DZ337" s="58">
        <f>IFERROR($U338/$U337-1,"")</f>
        <v/>
      </c>
      <c r="EA337" s="58">
        <f>IFERROR($V338/$V337-1,"")</f>
        <v/>
      </c>
      <c r="EB337" s="58">
        <f>IFERROR($W338/$W337-1,"")</f>
        <v/>
      </c>
      <c r="EC337" s="58">
        <f>IFERROR($X338/$X337-1,"")</f>
        <v/>
      </c>
      <c r="ED337" s="58">
        <f>IFERROR($Y338/$Y337-1,"")</f>
        <v/>
      </c>
      <c r="EE337" s="58">
        <f>IFERROR($Z338/$Z337-1,"")</f>
        <v/>
      </c>
      <c r="EF337" s="58">
        <f>IFERROR($AA338/$AA337-1,"")</f>
        <v/>
      </c>
      <c r="EG337" s="58">
        <f>IFERROR($AB338/$AB337-1,"")</f>
        <v/>
      </c>
      <c r="EH337" s="58">
        <f>IFERROR($AC338/$AC337-1,"")</f>
        <v/>
      </c>
      <c r="EI337" s="58">
        <f>IFERROR($AD338/$AD337-1,"")</f>
        <v/>
      </c>
      <c r="EJ337" s="58">
        <f>IFERROR($AE338/$AE337-1,"")</f>
        <v/>
      </c>
      <c r="EK337" s="58">
        <f>IFERROR($AF338/$AF337-1,"")</f>
        <v/>
      </c>
      <c r="EL337" s="58">
        <f>IFERROR($AG338/$AG337-1,"")</f>
        <v/>
      </c>
      <c r="EM337" s="58">
        <f>IFERROR($BB337/$BB338-1,"")</f>
        <v/>
      </c>
      <c r="EN337" s="58">
        <f>IFERROR($BC337/$BC338-1,"")</f>
        <v/>
      </c>
      <c r="EO337" s="58">
        <f>IFERROR($BD337/$BD338-1,"")</f>
        <v/>
      </c>
      <c r="EP337" s="58">
        <f>IFERROR($BE337/$BE338-1,"")</f>
        <v/>
      </c>
      <c r="EQ337" s="58">
        <f>IFERROR($BF337/$BF338-1,"")</f>
        <v/>
      </c>
      <c r="ER337" s="58">
        <f>IFERROR($BG337/$BG338-1,"")</f>
        <v/>
      </c>
      <c r="ES337" s="58">
        <f>IFERROR($BH337/$BH338-1,"")</f>
        <v/>
      </c>
      <c r="ET337" s="58">
        <f>IFERROR($BI337/$BI338-1,"")</f>
        <v/>
      </c>
      <c r="EU337" s="58">
        <f>IFERROR($BJ337/$BJ338-1,"")</f>
        <v/>
      </c>
      <c r="EV337" s="58">
        <f>IFERROR($BK337/$BK338-1,"")</f>
        <v/>
      </c>
      <c r="EW337" s="58">
        <f>IFERROR($BL337/$BL338-1,"")</f>
        <v/>
      </c>
      <c r="EX337" s="58">
        <f>IFERROR($BM337/$BM338-1,"")</f>
        <v/>
      </c>
      <c r="EY337" s="58">
        <f>IFERROR($BN337/$BN338-1,"")</f>
        <v/>
      </c>
      <c r="EZ337" s="58">
        <f>IFERROR($BO337/$BO338-1,"")</f>
        <v/>
      </c>
      <c r="FA337" s="58">
        <f>IFERROR($BP337/$BP338-1,"")</f>
        <v/>
      </c>
      <c r="FB337" s="58">
        <f>IFERROR($BQ337/$BQ338-1,"")</f>
        <v/>
      </c>
      <c r="FC337" s="58">
        <f>IFERROR($BR337/$BR338-1,"")</f>
        <v/>
      </c>
      <c r="FD337" s="58">
        <f>IFERROR($BS337/$BS338-1,"")</f>
        <v/>
      </c>
      <c r="FE337" s="58">
        <f>IFERROR($BT337/$BT338-1,"")</f>
        <v/>
      </c>
      <c r="FF337" s="58">
        <f>IFERROR($BU337/$BU338-1,"")</f>
        <v/>
      </c>
      <c r="FG337" s="58">
        <f>IFERROR($BV337/$BV338-1,"")</f>
        <v/>
      </c>
      <c r="FH337" s="58">
        <f>IFERROR($BW337/$BW338-1,"")</f>
        <v/>
      </c>
      <c r="FI337" s="58">
        <f>IFERROR($BX337/$BX338-1,"")</f>
        <v/>
      </c>
      <c r="FJ337" s="59">
        <f>$BY337-$BY338</f>
        <v/>
      </c>
      <c r="FK337" s="59">
        <f>$BZ337-$BZ338</f>
        <v/>
      </c>
      <c r="FL337" s="59">
        <f>$CA337-$CA338</f>
        <v/>
      </c>
      <c r="FM337" s="59">
        <f>$CB337-$CB338</f>
        <v/>
      </c>
      <c r="FN337" s="59">
        <f>$CC337-$CC338</f>
        <v/>
      </c>
      <c r="FO337" s="59">
        <f>$CD337-$CD338</f>
        <v/>
      </c>
      <c r="FP337" s="59">
        <f>$CE337-$CE338</f>
        <v/>
      </c>
      <c r="FQ337" s="59">
        <f>$CF337-$CF338</f>
        <v/>
      </c>
      <c r="FR337" s="59">
        <f>$CG337-$CG338</f>
        <v/>
      </c>
      <c r="FS337" s="59">
        <f>$CH337-$CH338</f>
        <v/>
      </c>
      <c r="FT337" s="59">
        <f>$CI337-$CI338</f>
        <v/>
      </c>
      <c r="FU337" s="59">
        <f>$CJ337-$CJ338</f>
        <v/>
      </c>
      <c r="FV337" s="59">
        <f>$CK337-$CK338</f>
        <v/>
      </c>
      <c r="FW337" s="59">
        <f>$CL337-$CL338</f>
        <v/>
      </c>
      <c r="FX337" s="59">
        <f>$CM337-$CM338</f>
        <v/>
      </c>
      <c r="FY337" s="59">
        <f>$CN337-$CN338</f>
        <v/>
      </c>
      <c r="FZ337" s="59">
        <f>$CO337-$CO338</f>
        <v/>
      </c>
      <c r="GA337" s="59">
        <f>$CP337-$CP338</f>
        <v/>
      </c>
      <c r="GB337" s="59">
        <f>$CQ337-$CQ338</f>
        <v/>
      </c>
      <c r="GC337" s="59">
        <f>$CR337-$CR338</f>
        <v/>
      </c>
      <c r="GD337" s="59">
        <f>$CS337-$CS338</f>
        <v/>
      </c>
      <c r="GE337" s="59">
        <f>$CT337-$CT338</f>
        <v/>
      </c>
    </row>
    <row r="338">
      <c r="CU338" s="58">
        <f>IFERROR($B338/$B339-1,"")</f>
        <v/>
      </c>
      <c r="CV338" s="59">
        <f>($F338-$F339)*100</f>
        <v/>
      </c>
      <c r="CW338" s="59">
        <f>($E338-$E339)*100</f>
        <v/>
      </c>
      <c r="CX338" s="58">
        <f>IFERROR($K338/$K339-1,"")</f>
        <v/>
      </c>
      <c r="CY338" s="59">
        <f>($AH338-$AH339)*100</f>
        <v/>
      </c>
      <c r="CZ338" s="59">
        <f>($AI338-$AI339)*100</f>
        <v/>
      </c>
      <c r="DA338" s="59">
        <f>($AJ338-$AJ339)*100</f>
        <v/>
      </c>
      <c r="DB338" s="59">
        <f>($AK338-$AK339)*100</f>
        <v/>
      </c>
      <c r="DC338" s="59">
        <f>($AL338-$AL339)*100</f>
        <v/>
      </c>
      <c r="DD338" s="59">
        <f>($AM338-$AM339)*100</f>
        <v/>
      </c>
      <c r="DE338" s="59">
        <f>($AN338-$AN339)*100</f>
        <v/>
      </c>
      <c r="DF338" s="59">
        <f>($AO338-$AO339)*100</f>
        <v/>
      </c>
      <c r="DG338" s="59">
        <f>($AP338-$AP339)*100</f>
        <v/>
      </c>
      <c r="DH338" s="59">
        <f>($AQ338-$AQ339)*100</f>
        <v/>
      </c>
      <c r="DI338" s="59">
        <f>($AR338-$AR339)*100</f>
        <v/>
      </c>
      <c r="DJ338" s="59">
        <f>($AS338-$AS339)*100</f>
        <v/>
      </c>
      <c r="DK338" s="59">
        <f>($AT338-$AT339)*100</f>
        <v/>
      </c>
      <c r="DL338" s="59">
        <f>($AU338-$AU339)*100</f>
        <v/>
      </c>
      <c r="DM338" s="59">
        <f>($AV338-$AV339)*100</f>
        <v/>
      </c>
      <c r="DN338" s="59">
        <f>($AW338-$AW339)*100</f>
        <v/>
      </c>
      <c r="DO338" s="59">
        <f>($AX338-$AX339)*100</f>
        <v/>
      </c>
      <c r="DP338" s="59">
        <f>($AY338-$AY339)*100</f>
        <v/>
      </c>
      <c r="DQ338" s="59">
        <f>($AZ338-$AZ339)*100</f>
        <v/>
      </c>
      <c r="DR338" s="59">
        <f>($BA338-$BA339)*100</f>
        <v/>
      </c>
      <c r="DS338" s="58">
        <f>IFERROR($N339/$N338-1,"")</f>
        <v/>
      </c>
      <c r="DT338" s="58">
        <f>IFERROR($O339/$O338-1,"")</f>
        <v/>
      </c>
      <c r="DU338" s="58">
        <f>IFERROR($P339/$P338-1,"")</f>
        <v/>
      </c>
      <c r="DV338" s="58">
        <f>IFERROR($Q339/$Q338-1,"")</f>
        <v/>
      </c>
      <c r="DW338" s="58">
        <f>IFERROR($R339/$R338-1,"")</f>
        <v/>
      </c>
      <c r="DX338" s="58">
        <f>IFERROR($S339/$S338-1,"")</f>
        <v/>
      </c>
      <c r="DY338" s="58">
        <f>IFERROR($T339/$T338-1,"")</f>
        <v/>
      </c>
      <c r="DZ338" s="58">
        <f>IFERROR($U339/$U338-1,"")</f>
        <v/>
      </c>
      <c r="EA338" s="58">
        <f>IFERROR($V339/$V338-1,"")</f>
        <v/>
      </c>
      <c r="EB338" s="58">
        <f>IFERROR($W339/$W338-1,"")</f>
        <v/>
      </c>
      <c r="EC338" s="58">
        <f>IFERROR($X339/$X338-1,"")</f>
        <v/>
      </c>
      <c r="ED338" s="58">
        <f>IFERROR($Y339/$Y338-1,"")</f>
        <v/>
      </c>
      <c r="EE338" s="58">
        <f>IFERROR($Z339/$Z338-1,"")</f>
        <v/>
      </c>
      <c r="EF338" s="58">
        <f>IFERROR($AA339/$AA338-1,"")</f>
        <v/>
      </c>
      <c r="EG338" s="58">
        <f>IFERROR($AB339/$AB338-1,"")</f>
        <v/>
      </c>
      <c r="EH338" s="58">
        <f>IFERROR($AC339/$AC338-1,"")</f>
        <v/>
      </c>
      <c r="EI338" s="58">
        <f>IFERROR($AD339/$AD338-1,"")</f>
        <v/>
      </c>
      <c r="EJ338" s="58">
        <f>IFERROR($AE339/$AE338-1,"")</f>
        <v/>
      </c>
      <c r="EK338" s="58">
        <f>IFERROR($AF339/$AF338-1,"")</f>
        <v/>
      </c>
      <c r="EL338" s="58">
        <f>IFERROR($AG339/$AG338-1,"")</f>
        <v/>
      </c>
      <c r="EM338" s="58">
        <f>IFERROR($BB338/$BB339-1,"")</f>
        <v/>
      </c>
      <c r="EN338" s="58">
        <f>IFERROR($BC338/$BC339-1,"")</f>
        <v/>
      </c>
      <c r="EO338" s="58">
        <f>IFERROR($BD338/$BD339-1,"")</f>
        <v/>
      </c>
      <c r="EP338" s="58">
        <f>IFERROR($BE338/$BE339-1,"")</f>
        <v/>
      </c>
      <c r="EQ338" s="58">
        <f>IFERROR($BF338/$BF339-1,"")</f>
        <v/>
      </c>
      <c r="ER338" s="58">
        <f>IFERROR($BG338/$BG339-1,"")</f>
        <v/>
      </c>
      <c r="ES338" s="58">
        <f>IFERROR($BH338/$BH339-1,"")</f>
        <v/>
      </c>
      <c r="ET338" s="58">
        <f>IFERROR($BI338/$BI339-1,"")</f>
        <v/>
      </c>
      <c r="EU338" s="58">
        <f>IFERROR($BJ338/$BJ339-1,"")</f>
        <v/>
      </c>
      <c r="EV338" s="58">
        <f>IFERROR($BK338/$BK339-1,"")</f>
        <v/>
      </c>
      <c r="EW338" s="58">
        <f>IFERROR($BL338/$BL339-1,"")</f>
        <v/>
      </c>
      <c r="EX338" s="58">
        <f>IFERROR($BM338/$BM339-1,"")</f>
        <v/>
      </c>
      <c r="EY338" s="58">
        <f>IFERROR($BN338/$BN339-1,"")</f>
        <v/>
      </c>
      <c r="EZ338" s="58">
        <f>IFERROR($BO338/$BO339-1,"")</f>
        <v/>
      </c>
      <c r="FA338" s="58">
        <f>IFERROR($BP338/$BP339-1,"")</f>
        <v/>
      </c>
      <c r="FB338" s="58">
        <f>IFERROR($BQ338/$BQ339-1,"")</f>
        <v/>
      </c>
      <c r="FC338" s="58">
        <f>IFERROR($BR338/$BR339-1,"")</f>
        <v/>
      </c>
      <c r="FD338" s="58">
        <f>IFERROR($BS338/$BS339-1,"")</f>
        <v/>
      </c>
      <c r="FE338" s="58">
        <f>IFERROR($BT338/$BT339-1,"")</f>
        <v/>
      </c>
      <c r="FF338" s="58">
        <f>IFERROR($BU338/$BU339-1,"")</f>
        <v/>
      </c>
      <c r="FG338" s="58">
        <f>IFERROR($BV338/$BV339-1,"")</f>
        <v/>
      </c>
      <c r="FH338" s="58">
        <f>IFERROR($BW338/$BW339-1,"")</f>
        <v/>
      </c>
      <c r="FI338" s="58">
        <f>IFERROR($BX338/$BX339-1,"")</f>
        <v/>
      </c>
      <c r="FJ338" s="59">
        <f>$BY338-$BY339</f>
        <v/>
      </c>
      <c r="FK338" s="59">
        <f>$BZ338-$BZ339</f>
        <v/>
      </c>
      <c r="FL338" s="59">
        <f>$CA338-$CA339</f>
        <v/>
      </c>
      <c r="FM338" s="59">
        <f>$CB338-$CB339</f>
        <v/>
      </c>
      <c r="FN338" s="59">
        <f>$CC338-$CC339</f>
        <v/>
      </c>
      <c r="FO338" s="59">
        <f>$CD338-$CD339</f>
        <v/>
      </c>
      <c r="FP338" s="59">
        <f>$CE338-$CE339</f>
        <v/>
      </c>
      <c r="FQ338" s="59">
        <f>$CF338-$CF339</f>
        <v/>
      </c>
      <c r="FR338" s="59">
        <f>$CG338-$CG339</f>
        <v/>
      </c>
      <c r="FS338" s="59">
        <f>$CH338-$CH339</f>
        <v/>
      </c>
      <c r="FT338" s="59">
        <f>$CI338-$CI339</f>
        <v/>
      </c>
      <c r="FU338" s="59">
        <f>$CJ338-$CJ339</f>
        <v/>
      </c>
      <c r="FV338" s="59">
        <f>$CK338-$CK339</f>
        <v/>
      </c>
      <c r="FW338" s="59">
        <f>$CL338-$CL339</f>
        <v/>
      </c>
      <c r="FX338" s="59">
        <f>$CM338-$CM339</f>
        <v/>
      </c>
      <c r="FY338" s="59">
        <f>$CN338-$CN339</f>
        <v/>
      </c>
      <c r="FZ338" s="59">
        <f>$CO338-$CO339</f>
        <v/>
      </c>
      <c r="GA338" s="59">
        <f>$CP338-$CP339</f>
        <v/>
      </c>
      <c r="GB338" s="59">
        <f>$CQ338-$CQ339</f>
        <v/>
      </c>
      <c r="GC338" s="59">
        <f>$CR338-$CR339</f>
        <v/>
      </c>
      <c r="GD338" s="59">
        <f>$CS338-$CS339</f>
        <v/>
      </c>
      <c r="GE338" s="59">
        <f>$CT338-$CT339</f>
        <v/>
      </c>
    </row>
    <row r="339">
      <c r="CU339" s="58">
        <f>IFERROR($B339/$B340-1,"")</f>
        <v/>
      </c>
      <c r="CV339" s="59">
        <f>($F339-$F340)*100</f>
        <v/>
      </c>
      <c r="CW339" s="59">
        <f>($E339-$E340)*100</f>
        <v/>
      </c>
      <c r="CX339" s="58">
        <f>IFERROR($K339/$K340-1,"")</f>
        <v/>
      </c>
      <c r="CY339" s="59">
        <f>($AH339-$AH340)*100</f>
        <v/>
      </c>
      <c r="CZ339" s="59">
        <f>($AI339-$AI340)*100</f>
        <v/>
      </c>
      <c r="DA339" s="59">
        <f>($AJ339-$AJ340)*100</f>
        <v/>
      </c>
      <c r="DB339" s="59">
        <f>($AK339-$AK340)*100</f>
        <v/>
      </c>
      <c r="DC339" s="59">
        <f>($AL339-$AL340)*100</f>
        <v/>
      </c>
      <c r="DD339" s="59">
        <f>($AM339-$AM340)*100</f>
        <v/>
      </c>
      <c r="DE339" s="59">
        <f>($AN339-$AN340)*100</f>
        <v/>
      </c>
      <c r="DF339" s="59">
        <f>($AO339-$AO340)*100</f>
        <v/>
      </c>
      <c r="DG339" s="59">
        <f>($AP339-$AP340)*100</f>
        <v/>
      </c>
      <c r="DH339" s="59">
        <f>($AQ339-$AQ340)*100</f>
        <v/>
      </c>
      <c r="DI339" s="59">
        <f>($AR339-$AR340)*100</f>
        <v/>
      </c>
      <c r="DJ339" s="59">
        <f>($AS339-$AS340)*100</f>
        <v/>
      </c>
      <c r="DK339" s="59">
        <f>($AT339-$AT340)*100</f>
        <v/>
      </c>
      <c r="DL339" s="59">
        <f>($AU339-$AU340)*100</f>
        <v/>
      </c>
      <c r="DM339" s="59">
        <f>($AV339-$AV340)*100</f>
        <v/>
      </c>
      <c r="DN339" s="59">
        <f>($AW339-$AW340)*100</f>
        <v/>
      </c>
      <c r="DO339" s="59">
        <f>($AX339-$AX340)*100</f>
        <v/>
      </c>
      <c r="DP339" s="59">
        <f>($AY339-$AY340)*100</f>
        <v/>
      </c>
      <c r="DQ339" s="59">
        <f>($AZ339-$AZ340)*100</f>
        <v/>
      </c>
      <c r="DR339" s="59">
        <f>($BA339-$BA340)*100</f>
        <v/>
      </c>
      <c r="DS339" s="58">
        <f>IFERROR($N340/$N339-1,"")</f>
        <v/>
      </c>
      <c r="DT339" s="58">
        <f>IFERROR($O340/$O339-1,"")</f>
        <v/>
      </c>
      <c r="DU339" s="58">
        <f>IFERROR($P340/$P339-1,"")</f>
        <v/>
      </c>
      <c r="DV339" s="58">
        <f>IFERROR($Q340/$Q339-1,"")</f>
        <v/>
      </c>
      <c r="DW339" s="58">
        <f>IFERROR($R340/$R339-1,"")</f>
        <v/>
      </c>
      <c r="DX339" s="58">
        <f>IFERROR($S340/$S339-1,"")</f>
        <v/>
      </c>
      <c r="DY339" s="58">
        <f>IFERROR($T340/$T339-1,"")</f>
        <v/>
      </c>
      <c r="DZ339" s="58">
        <f>IFERROR($U340/$U339-1,"")</f>
        <v/>
      </c>
      <c r="EA339" s="58">
        <f>IFERROR($V340/$V339-1,"")</f>
        <v/>
      </c>
      <c r="EB339" s="58">
        <f>IFERROR($W340/$W339-1,"")</f>
        <v/>
      </c>
      <c r="EC339" s="58">
        <f>IFERROR($X340/$X339-1,"")</f>
        <v/>
      </c>
      <c r="ED339" s="58">
        <f>IFERROR($Y340/$Y339-1,"")</f>
        <v/>
      </c>
      <c r="EE339" s="58">
        <f>IFERROR($Z340/$Z339-1,"")</f>
        <v/>
      </c>
      <c r="EF339" s="58">
        <f>IFERROR($AA340/$AA339-1,"")</f>
        <v/>
      </c>
      <c r="EG339" s="58">
        <f>IFERROR($AB340/$AB339-1,"")</f>
        <v/>
      </c>
      <c r="EH339" s="58">
        <f>IFERROR($AC340/$AC339-1,"")</f>
        <v/>
      </c>
      <c r="EI339" s="58">
        <f>IFERROR($AD340/$AD339-1,"")</f>
        <v/>
      </c>
      <c r="EJ339" s="58">
        <f>IFERROR($AE340/$AE339-1,"")</f>
        <v/>
      </c>
      <c r="EK339" s="58">
        <f>IFERROR($AF340/$AF339-1,"")</f>
        <v/>
      </c>
      <c r="EL339" s="58">
        <f>IFERROR($AG340/$AG339-1,"")</f>
        <v/>
      </c>
      <c r="EM339" s="58">
        <f>IFERROR($BB339/$BB340-1,"")</f>
        <v/>
      </c>
      <c r="EN339" s="58">
        <f>IFERROR($BC339/$BC340-1,"")</f>
        <v/>
      </c>
      <c r="EO339" s="58">
        <f>IFERROR($BD339/$BD340-1,"")</f>
        <v/>
      </c>
      <c r="EP339" s="58">
        <f>IFERROR($BE339/$BE340-1,"")</f>
        <v/>
      </c>
      <c r="EQ339" s="58">
        <f>IFERROR($BF339/$BF340-1,"")</f>
        <v/>
      </c>
      <c r="ER339" s="58">
        <f>IFERROR($BG339/$BG340-1,"")</f>
        <v/>
      </c>
      <c r="ES339" s="58">
        <f>IFERROR($BH339/$BH340-1,"")</f>
        <v/>
      </c>
      <c r="ET339" s="58">
        <f>IFERROR($BI339/$BI340-1,"")</f>
        <v/>
      </c>
      <c r="EU339" s="58">
        <f>IFERROR($BJ339/$BJ340-1,"")</f>
        <v/>
      </c>
      <c r="EV339" s="58">
        <f>IFERROR($BK339/$BK340-1,"")</f>
        <v/>
      </c>
      <c r="EW339" s="58">
        <f>IFERROR($BL339/$BL340-1,"")</f>
        <v/>
      </c>
      <c r="EX339" s="58">
        <f>IFERROR($BM339/$BM340-1,"")</f>
        <v/>
      </c>
      <c r="EY339" s="58">
        <f>IFERROR($BN339/$BN340-1,"")</f>
        <v/>
      </c>
      <c r="EZ339" s="58">
        <f>IFERROR($BO339/$BO340-1,"")</f>
        <v/>
      </c>
      <c r="FA339" s="58">
        <f>IFERROR($BP339/$BP340-1,"")</f>
        <v/>
      </c>
      <c r="FB339" s="58">
        <f>IFERROR($BQ339/$BQ340-1,"")</f>
        <v/>
      </c>
      <c r="FC339" s="58">
        <f>IFERROR($BR339/$BR340-1,"")</f>
        <v/>
      </c>
      <c r="FD339" s="58">
        <f>IFERROR($BS339/$BS340-1,"")</f>
        <v/>
      </c>
      <c r="FE339" s="58">
        <f>IFERROR($BT339/$BT340-1,"")</f>
        <v/>
      </c>
      <c r="FF339" s="58">
        <f>IFERROR($BU339/$BU340-1,"")</f>
        <v/>
      </c>
      <c r="FG339" s="58">
        <f>IFERROR($BV339/$BV340-1,"")</f>
        <v/>
      </c>
      <c r="FH339" s="58">
        <f>IFERROR($BW339/$BW340-1,"")</f>
        <v/>
      </c>
      <c r="FI339" s="58">
        <f>IFERROR($BX339/$BX340-1,"")</f>
        <v/>
      </c>
      <c r="FJ339" s="59">
        <f>$BY339-$BY340</f>
        <v/>
      </c>
      <c r="FK339" s="59">
        <f>$BZ339-$BZ340</f>
        <v/>
      </c>
      <c r="FL339" s="59">
        <f>$CA339-$CA340</f>
        <v/>
      </c>
      <c r="FM339" s="59">
        <f>$CB339-$CB340</f>
        <v/>
      </c>
      <c r="FN339" s="59">
        <f>$CC339-$CC340</f>
        <v/>
      </c>
      <c r="FO339" s="59">
        <f>$CD339-$CD340</f>
        <v/>
      </c>
      <c r="FP339" s="59">
        <f>$CE339-$CE340</f>
        <v/>
      </c>
      <c r="FQ339" s="59">
        <f>$CF339-$CF340</f>
        <v/>
      </c>
      <c r="FR339" s="59">
        <f>$CG339-$CG340</f>
        <v/>
      </c>
      <c r="FS339" s="59">
        <f>$CH339-$CH340</f>
        <v/>
      </c>
      <c r="FT339" s="59">
        <f>$CI339-$CI340</f>
        <v/>
      </c>
      <c r="FU339" s="59">
        <f>$CJ339-$CJ340</f>
        <v/>
      </c>
      <c r="FV339" s="59">
        <f>$CK339-$CK340</f>
        <v/>
      </c>
      <c r="FW339" s="59">
        <f>$CL339-$CL340</f>
        <v/>
      </c>
      <c r="FX339" s="59">
        <f>$CM339-$CM340</f>
        <v/>
      </c>
      <c r="FY339" s="59">
        <f>$CN339-$CN340</f>
        <v/>
      </c>
      <c r="FZ339" s="59">
        <f>$CO339-$CO340</f>
        <v/>
      </c>
      <c r="GA339" s="59">
        <f>$CP339-$CP340</f>
        <v/>
      </c>
      <c r="GB339" s="59">
        <f>$CQ339-$CQ340</f>
        <v/>
      </c>
      <c r="GC339" s="59">
        <f>$CR339-$CR340</f>
        <v/>
      </c>
      <c r="GD339" s="59">
        <f>$CS339-$CS340</f>
        <v/>
      </c>
      <c r="GE339" s="59">
        <f>$CT339-$CT340</f>
        <v/>
      </c>
    </row>
    <row r="340">
      <c r="CU340" s="58">
        <f>IFERROR($B340/$B341-1,"")</f>
        <v/>
      </c>
      <c r="CV340" s="59">
        <f>($F340-$F341)*100</f>
        <v/>
      </c>
      <c r="CW340" s="59">
        <f>($E340-$E341)*100</f>
        <v/>
      </c>
      <c r="CX340" s="58">
        <f>IFERROR($K340/$K341-1,"")</f>
        <v/>
      </c>
      <c r="CY340" s="59">
        <f>($AH340-$AH341)*100</f>
        <v/>
      </c>
      <c r="CZ340" s="59">
        <f>($AI340-$AI341)*100</f>
        <v/>
      </c>
      <c r="DA340" s="59">
        <f>($AJ340-$AJ341)*100</f>
        <v/>
      </c>
      <c r="DB340" s="59">
        <f>($AK340-$AK341)*100</f>
        <v/>
      </c>
      <c r="DC340" s="59">
        <f>($AL340-$AL341)*100</f>
        <v/>
      </c>
      <c r="DD340" s="59">
        <f>($AM340-$AM341)*100</f>
        <v/>
      </c>
      <c r="DE340" s="59">
        <f>($AN340-$AN341)*100</f>
        <v/>
      </c>
      <c r="DF340" s="59">
        <f>($AO340-$AO341)*100</f>
        <v/>
      </c>
      <c r="DG340" s="59">
        <f>($AP340-$AP341)*100</f>
        <v/>
      </c>
      <c r="DH340" s="59">
        <f>($AQ340-$AQ341)*100</f>
        <v/>
      </c>
      <c r="DI340" s="59">
        <f>($AR340-$AR341)*100</f>
        <v/>
      </c>
      <c r="DJ340" s="59">
        <f>($AS340-$AS341)*100</f>
        <v/>
      </c>
      <c r="DK340" s="59">
        <f>($AT340-$AT341)*100</f>
        <v/>
      </c>
      <c r="DL340" s="59">
        <f>($AU340-$AU341)*100</f>
        <v/>
      </c>
      <c r="DM340" s="59">
        <f>($AV340-$AV341)*100</f>
        <v/>
      </c>
      <c r="DN340" s="59">
        <f>($AW340-$AW341)*100</f>
        <v/>
      </c>
      <c r="DO340" s="59">
        <f>($AX340-$AX341)*100</f>
        <v/>
      </c>
      <c r="DP340" s="59">
        <f>($AY340-$AY341)*100</f>
        <v/>
      </c>
      <c r="DQ340" s="59">
        <f>($AZ340-$AZ341)*100</f>
        <v/>
      </c>
      <c r="DR340" s="59">
        <f>($BA340-$BA341)*100</f>
        <v/>
      </c>
      <c r="DS340" s="58">
        <f>IFERROR($N341/$N340-1,"")</f>
        <v/>
      </c>
      <c r="DT340" s="58">
        <f>IFERROR($O341/$O340-1,"")</f>
        <v/>
      </c>
      <c r="DU340" s="58">
        <f>IFERROR($P341/$P340-1,"")</f>
        <v/>
      </c>
      <c r="DV340" s="58">
        <f>IFERROR($Q341/$Q340-1,"")</f>
        <v/>
      </c>
      <c r="DW340" s="58">
        <f>IFERROR($R341/$R340-1,"")</f>
        <v/>
      </c>
      <c r="DX340" s="58">
        <f>IFERROR($S341/$S340-1,"")</f>
        <v/>
      </c>
      <c r="DY340" s="58">
        <f>IFERROR($T341/$T340-1,"")</f>
        <v/>
      </c>
      <c r="DZ340" s="58">
        <f>IFERROR($U341/$U340-1,"")</f>
        <v/>
      </c>
      <c r="EA340" s="58">
        <f>IFERROR($V341/$V340-1,"")</f>
        <v/>
      </c>
      <c r="EB340" s="58">
        <f>IFERROR($W341/$W340-1,"")</f>
        <v/>
      </c>
      <c r="EC340" s="58">
        <f>IFERROR($X341/$X340-1,"")</f>
        <v/>
      </c>
      <c r="ED340" s="58">
        <f>IFERROR($Y341/$Y340-1,"")</f>
        <v/>
      </c>
      <c r="EE340" s="58">
        <f>IFERROR($Z341/$Z340-1,"")</f>
        <v/>
      </c>
      <c r="EF340" s="58">
        <f>IFERROR($AA341/$AA340-1,"")</f>
        <v/>
      </c>
      <c r="EG340" s="58">
        <f>IFERROR($AB341/$AB340-1,"")</f>
        <v/>
      </c>
      <c r="EH340" s="58">
        <f>IFERROR($AC341/$AC340-1,"")</f>
        <v/>
      </c>
      <c r="EI340" s="58">
        <f>IFERROR($AD341/$AD340-1,"")</f>
        <v/>
      </c>
      <c r="EJ340" s="58">
        <f>IFERROR($AE341/$AE340-1,"")</f>
        <v/>
      </c>
      <c r="EK340" s="58">
        <f>IFERROR($AF341/$AF340-1,"")</f>
        <v/>
      </c>
      <c r="EL340" s="58">
        <f>IFERROR($AG341/$AG340-1,"")</f>
        <v/>
      </c>
      <c r="EM340" s="58">
        <f>IFERROR($BB340/$BB341-1,"")</f>
        <v/>
      </c>
      <c r="EN340" s="58">
        <f>IFERROR($BC340/$BC341-1,"")</f>
        <v/>
      </c>
      <c r="EO340" s="58">
        <f>IFERROR($BD340/$BD341-1,"")</f>
        <v/>
      </c>
      <c r="EP340" s="58">
        <f>IFERROR($BE340/$BE341-1,"")</f>
        <v/>
      </c>
      <c r="EQ340" s="58">
        <f>IFERROR($BF340/$BF341-1,"")</f>
        <v/>
      </c>
      <c r="ER340" s="58">
        <f>IFERROR($BG340/$BG341-1,"")</f>
        <v/>
      </c>
      <c r="ES340" s="58">
        <f>IFERROR($BH340/$BH341-1,"")</f>
        <v/>
      </c>
      <c r="ET340" s="58">
        <f>IFERROR($BI340/$BI341-1,"")</f>
        <v/>
      </c>
      <c r="EU340" s="58">
        <f>IFERROR($BJ340/$BJ341-1,"")</f>
        <v/>
      </c>
      <c r="EV340" s="58">
        <f>IFERROR($BK340/$BK341-1,"")</f>
        <v/>
      </c>
      <c r="EW340" s="58">
        <f>IFERROR($BL340/$BL341-1,"")</f>
        <v/>
      </c>
      <c r="EX340" s="58">
        <f>IFERROR($BM340/$BM341-1,"")</f>
        <v/>
      </c>
      <c r="EY340" s="58">
        <f>IFERROR($BN340/$BN341-1,"")</f>
        <v/>
      </c>
      <c r="EZ340" s="58">
        <f>IFERROR($BO340/$BO341-1,"")</f>
        <v/>
      </c>
      <c r="FA340" s="58">
        <f>IFERROR($BP340/$BP341-1,"")</f>
        <v/>
      </c>
      <c r="FB340" s="58">
        <f>IFERROR($BQ340/$BQ341-1,"")</f>
        <v/>
      </c>
      <c r="FC340" s="58">
        <f>IFERROR($BR340/$BR341-1,"")</f>
        <v/>
      </c>
      <c r="FD340" s="58">
        <f>IFERROR($BS340/$BS341-1,"")</f>
        <v/>
      </c>
      <c r="FE340" s="58">
        <f>IFERROR($BT340/$BT341-1,"")</f>
        <v/>
      </c>
      <c r="FF340" s="58">
        <f>IFERROR($BU340/$BU341-1,"")</f>
        <v/>
      </c>
      <c r="FG340" s="58">
        <f>IFERROR($BV340/$BV341-1,"")</f>
        <v/>
      </c>
      <c r="FH340" s="58">
        <f>IFERROR($BW340/$BW341-1,"")</f>
        <v/>
      </c>
      <c r="FI340" s="58">
        <f>IFERROR($BX340/$BX341-1,"")</f>
        <v/>
      </c>
      <c r="FJ340" s="59">
        <f>$BY340-$BY341</f>
        <v/>
      </c>
      <c r="FK340" s="59">
        <f>$BZ340-$BZ341</f>
        <v/>
      </c>
      <c r="FL340" s="59">
        <f>$CA340-$CA341</f>
        <v/>
      </c>
      <c r="FM340" s="59">
        <f>$CB340-$CB341</f>
        <v/>
      </c>
      <c r="FN340" s="59">
        <f>$CC340-$CC341</f>
        <v/>
      </c>
      <c r="FO340" s="59">
        <f>$CD340-$CD341</f>
        <v/>
      </c>
      <c r="FP340" s="59">
        <f>$CE340-$CE341</f>
        <v/>
      </c>
      <c r="FQ340" s="59">
        <f>$CF340-$CF341</f>
        <v/>
      </c>
      <c r="FR340" s="59">
        <f>$CG340-$CG341</f>
        <v/>
      </c>
      <c r="FS340" s="59">
        <f>$CH340-$CH341</f>
        <v/>
      </c>
      <c r="FT340" s="59">
        <f>$CI340-$CI341</f>
        <v/>
      </c>
      <c r="FU340" s="59">
        <f>$CJ340-$CJ341</f>
        <v/>
      </c>
      <c r="FV340" s="59">
        <f>$CK340-$CK341</f>
        <v/>
      </c>
      <c r="FW340" s="59">
        <f>$CL340-$CL341</f>
        <v/>
      </c>
      <c r="FX340" s="59">
        <f>$CM340-$CM341</f>
        <v/>
      </c>
      <c r="FY340" s="59">
        <f>$CN340-$CN341</f>
        <v/>
      </c>
      <c r="FZ340" s="59">
        <f>$CO340-$CO341</f>
        <v/>
      </c>
      <c r="GA340" s="59">
        <f>$CP340-$CP341</f>
        <v/>
      </c>
      <c r="GB340" s="59">
        <f>$CQ340-$CQ341</f>
        <v/>
      </c>
      <c r="GC340" s="59">
        <f>$CR340-$CR341</f>
        <v/>
      </c>
      <c r="GD340" s="59">
        <f>$CS340-$CS341</f>
        <v/>
      </c>
      <c r="GE340" s="59">
        <f>$CT340-$CT341</f>
        <v/>
      </c>
    </row>
    <row r="341">
      <c r="CU341" s="58">
        <f>IFERROR($B341/$B342-1,"")</f>
        <v/>
      </c>
      <c r="CV341" s="59">
        <f>($F341-$F342)*100</f>
        <v/>
      </c>
      <c r="CW341" s="59">
        <f>($E341-$E342)*100</f>
        <v/>
      </c>
      <c r="CX341" s="58">
        <f>IFERROR($K341/$K342-1,"")</f>
        <v/>
      </c>
      <c r="CY341" s="59">
        <f>($AH341-$AH342)*100</f>
        <v/>
      </c>
      <c r="CZ341" s="59">
        <f>($AI341-$AI342)*100</f>
        <v/>
      </c>
      <c r="DA341" s="59">
        <f>($AJ341-$AJ342)*100</f>
        <v/>
      </c>
      <c r="DB341" s="59">
        <f>($AK341-$AK342)*100</f>
        <v/>
      </c>
      <c r="DC341" s="59">
        <f>($AL341-$AL342)*100</f>
        <v/>
      </c>
      <c r="DD341" s="59">
        <f>($AM341-$AM342)*100</f>
        <v/>
      </c>
      <c r="DE341" s="59">
        <f>($AN341-$AN342)*100</f>
        <v/>
      </c>
      <c r="DF341" s="59">
        <f>($AO341-$AO342)*100</f>
        <v/>
      </c>
      <c r="DG341" s="59">
        <f>($AP341-$AP342)*100</f>
        <v/>
      </c>
      <c r="DH341" s="59">
        <f>($AQ341-$AQ342)*100</f>
        <v/>
      </c>
      <c r="DI341" s="59">
        <f>($AR341-$AR342)*100</f>
        <v/>
      </c>
      <c r="DJ341" s="59">
        <f>($AS341-$AS342)*100</f>
        <v/>
      </c>
      <c r="DK341" s="59">
        <f>($AT341-$AT342)*100</f>
        <v/>
      </c>
      <c r="DL341" s="59">
        <f>($AU341-$AU342)*100</f>
        <v/>
      </c>
      <c r="DM341" s="59">
        <f>($AV341-$AV342)*100</f>
        <v/>
      </c>
      <c r="DN341" s="59">
        <f>($AW341-$AW342)*100</f>
        <v/>
      </c>
      <c r="DO341" s="59">
        <f>($AX341-$AX342)*100</f>
        <v/>
      </c>
      <c r="DP341" s="59">
        <f>($AY341-$AY342)*100</f>
        <v/>
      </c>
      <c r="DQ341" s="59">
        <f>($AZ341-$AZ342)*100</f>
        <v/>
      </c>
      <c r="DR341" s="59">
        <f>($BA341-$BA342)*100</f>
        <v/>
      </c>
      <c r="DS341" s="58">
        <f>IFERROR($N342/$N341-1,"")</f>
        <v/>
      </c>
      <c r="DT341" s="58">
        <f>IFERROR($O342/$O341-1,"")</f>
        <v/>
      </c>
      <c r="DU341" s="58">
        <f>IFERROR($P342/$P341-1,"")</f>
        <v/>
      </c>
      <c r="DV341" s="58">
        <f>IFERROR($Q342/$Q341-1,"")</f>
        <v/>
      </c>
      <c r="DW341" s="58">
        <f>IFERROR($R342/$R341-1,"")</f>
        <v/>
      </c>
      <c r="DX341" s="58">
        <f>IFERROR($S342/$S341-1,"")</f>
        <v/>
      </c>
      <c r="DY341" s="58">
        <f>IFERROR($T342/$T341-1,"")</f>
        <v/>
      </c>
      <c r="DZ341" s="58">
        <f>IFERROR($U342/$U341-1,"")</f>
        <v/>
      </c>
      <c r="EA341" s="58">
        <f>IFERROR($V342/$V341-1,"")</f>
        <v/>
      </c>
      <c r="EB341" s="58">
        <f>IFERROR($W342/$W341-1,"")</f>
        <v/>
      </c>
      <c r="EC341" s="58">
        <f>IFERROR($X342/$X341-1,"")</f>
        <v/>
      </c>
      <c r="ED341" s="58">
        <f>IFERROR($Y342/$Y341-1,"")</f>
        <v/>
      </c>
      <c r="EE341" s="58">
        <f>IFERROR($Z342/$Z341-1,"")</f>
        <v/>
      </c>
      <c r="EF341" s="58">
        <f>IFERROR($AA342/$AA341-1,"")</f>
        <v/>
      </c>
      <c r="EG341" s="58">
        <f>IFERROR($AB342/$AB341-1,"")</f>
        <v/>
      </c>
      <c r="EH341" s="58">
        <f>IFERROR($AC342/$AC341-1,"")</f>
        <v/>
      </c>
      <c r="EI341" s="58">
        <f>IFERROR($AD342/$AD341-1,"")</f>
        <v/>
      </c>
      <c r="EJ341" s="58">
        <f>IFERROR($AE342/$AE341-1,"")</f>
        <v/>
      </c>
      <c r="EK341" s="58">
        <f>IFERROR($AF342/$AF341-1,"")</f>
        <v/>
      </c>
      <c r="EL341" s="58">
        <f>IFERROR($AG342/$AG341-1,"")</f>
        <v/>
      </c>
      <c r="EM341" s="58">
        <f>IFERROR($BB341/$BB342-1,"")</f>
        <v/>
      </c>
      <c r="EN341" s="58">
        <f>IFERROR($BC341/$BC342-1,"")</f>
        <v/>
      </c>
      <c r="EO341" s="58">
        <f>IFERROR($BD341/$BD342-1,"")</f>
        <v/>
      </c>
      <c r="EP341" s="58">
        <f>IFERROR($BE341/$BE342-1,"")</f>
        <v/>
      </c>
      <c r="EQ341" s="58">
        <f>IFERROR($BF341/$BF342-1,"")</f>
        <v/>
      </c>
      <c r="ER341" s="58">
        <f>IFERROR($BG341/$BG342-1,"")</f>
        <v/>
      </c>
      <c r="ES341" s="58">
        <f>IFERROR($BH341/$BH342-1,"")</f>
        <v/>
      </c>
      <c r="ET341" s="58">
        <f>IFERROR($BI341/$BI342-1,"")</f>
        <v/>
      </c>
      <c r="EU341" s="58">
        <f>IFERROR($BJ341/$BJ342-1,"")</f>
        <v/>
      </c>
      <c r="EV341" s="58">
        <f>IFERROR($BK341/$BK342-1,"")</f>
        <v/>
      </c>
      <c r="EW341" s="58">
        <f>IFERROR($BL341/$BL342-1,"")</f>
        <v/>
      </c>
      <c r="EX341" s="58">
        <f>IFERROR($BM341/$BM342-1,"")</f>
        <v/>
      </c>
      <c r="EY341" s="58">
        <f>IFERROR($BN341/$BN342-1,"")</f>
        <v/>
      </c>
      <c r="EZ341" s="58">
        <f>IFERROR($BO341/$BO342-1,"")</f>
        <v/>
      </c>
      <c r="FA341" s="58">
        <f>IFERROR($BP341/$BP342-1,"")</f>
        <v/>
      </c>
      <c r="FB341" s="58">
        <f>IFERROR($BQ341/$BQ342-1,"")</f>
        <v/>
      </c>
      <c r="FC341" s="58">
        <f>IFERROR($BR341/$BR342-1,"")</f>
        <v/>
      </c>
      <c r="FD341" s="58">
        <f>IFERROR($BS341/$BS342-1,"")</f>
        <v/>
      </c>
      <c r="FE341" s="58">
        <f>IFERROR($BT341/$BT342-1,"")</f>
        <v/>
      </c>
      <c r="FF341" s="58">
        <f>IFERROR($BU341/$BU342-1,"")</f>
        <v/>
      </c>
      <c r="FG341" s="58">
        <f>IFERROR($BV341/$BV342-1,"")</f>
        <v/>
      </c>
      <c r="FH341" s="58">
        <f>IFERROR($BW341/$BW342-1,"")</f>
        <v/>
      </c>
      <c r="FI341" s="58">
        <f>IFERROR($BX341/$BX342-1,"")</f>
        <v/>
      </c>
      <c r="FJ341" s="59">
        <f>$BY341-$BY342</f>
        <v/>
      </c>
      <c r="FK341" s="59">
        <f>$BZ341-$BZ342</f>
        <v/>
      </c>
      <c r="FL341" s="59">
        <f>$CA341-$CA342</f>
        <v/>
      </c>
      <c r="FM341" s="59">
        <f>$CB341-$CB342</f>
        <v/>
      </c>
      <c r="FN341" s="59">
        <f>$CC341-$CC342</f>
        <v/>
      </c>
      <c r="FO341" s="59">
        <f>$CD341-$CD342</f>
        <v/>
      </c>
      <c r="FP341" s="59">
        <f>$CE341-$CE342</f>
        <v/>
      </c>
      <c r="FQ341" s="59">
        <f>$CF341-$CF342</f>
        <v/>
      </c>
      <c r="FR341" s="59">
        <f>$CG341-$CG342</f>
        <v/>
      </c>
      <c r="FS341" s="59">
        <f>$CH341-$CH342</f>
        <v/>
      </c>
      <c r="FT341" s="59">
        <f>$CI341-$CI342</f>
        <v/>
      </c>
      <c r="FU341" s="59">
        <f>$CJ341-$CJ342</f>
        <v/>
      </c>
      <c r="FV341" s="59">
        <f>$CK341-$CK342</f>
        <v/>
      </c>
      <c r="FW341" s="59">
        <f>$CL341-$CL342</f>
        <v/>
      </c>
      <c r="FX341" s="59">
        <f>$CM341-$CM342</f>
        <v/>
      </c>
      <c r="FY341" s="59">
        <f>$CN341-$CN342</f>
        <v/>
      </c>
      <c r="FZ341" s="59">
        <f>$CO341-$CO342</f>
        <v/>
      </c>
      <c r="GA341" s="59">
        <f>$CP341-$CP342</f>
        <v/>
      </c>
      <c r="GB341" s="59">
        <f>$CQ341-$CQ342</f>
        <v/>
      </c>
      <c r="GC341" s="59">
        <f>$CR341-$CR342</f>
        <v/>
      </c>
      <c r="GD341" s="59">
        <f>$CS341-$CS342</f>
        <v/>
      </c>
      <c r="GE341" s="59">
        <f>$CT341-$CT342</f>
        <v/>
      </c>
    </row>
    <row r="342">
      <c r="CU342" s="58">
        <f>IFERROR($B342/$B343-1,"")</f>
        <v/>
      </c>
      <c r="CV342" s="59">
        <f>($F342-$F343)*100</f>
        <v/>
      </c>
      <c r="CW342" s="59">
        <f>($E342-$E343)*100</f>
        <v/>
      </c>
      <c r="CX342" s="58">
        <f>IFERROR($K342/$K343-1,"")</f>
        <v/>
      </c>
      <c r="CY342" s="59">
        <f>($AH342-$AH343)*100</f>
        <v/>
      </c>
      <c r="CZ342" s="59">
        <f>($AI342-$AI343)*100</f>
        <v/>
      </c>
      <c r="DA342" s="59">
        <f>($AJ342-$AJ343)*100</f>
        <v/>
      </c>
      <c r="DB342" s="59">
        <f>($AK342-$AK343)*100</f>
        <v/>
      </c>
      <c r="DC342" s="59">
        <f>($AL342-$AL343)*100</f>
        <v/>
      </c>
      <c r="DD342" s="59">
        <f>($AM342-$AM343)*100</f>
        <v/>
      </c>
      <c r="DE342" s="59">
        <f>($AN342-$AN343)*100</f>
        <v/>
      </c>
      <c r="DF342" s="59">
        <f>($AO342-$AO343)*100</f>
        <v/>
      </c>
      <c r="DG342" s="59">
        <f>($AP342-$AP343)*100</f>
        <v/>
      </c>
      <c r="DH342" s="59">
        <f>($AQ342-$AQ343)*100</f>
        <v/>
      </c>
      <c r="DI342" s="59">
        <f>($AR342-$AR343)*100</f>
        <v/>
      </c>
      <c r="DJ342" s="59">
        <f>($AS342-$AS343)*100</f>
        <v/>
      </c>
      <c r="DK342" s="59">
        <f>($AT342-$AT343)*100</f>
        <v/>
      </c>
      <c r="DL342" s="59">
        <f>($AU342-$AU343)*100</f>
        <v/>
      </c>
      <c r="DM342" s="59">
        <f>($AV342-$AV343)*100</f>
        <v/>
      </c>
      <c r="DN342" s="59">
        <f>($AW342-$AW343)*100</f>
        <v/>
      </c>
      <c r="DO342" s="59">
        <f>($AX342-$AX343)*100</f>
        <v/>
      </c>
      <c r="DP342" s="59">
        <f>($AY342-$AY343)*100</f>
        <v/>
      </c>
      <c r="DQ342" s="59">
        <f>($AZ342-$AZ343)*100</f>
        <v/>
      </c>
      <c r="DR342" s="59">
        <f>($BA342-$BA343)*100</f>
        <v/>
      </c>
      <c r="DS342" s="58">
        <f>IFERROR($N343/$N342-1,"")</f>
        <v/>
      </c>
      <c r="DT342" s="58">
        <f>IFERROR($O343/$O342-1,"")</f>
        <v/>
      </c>
      <c r="DU342" s="58">
        <f>IFERROR($P343/$P342-1,"")</f>
        <v/>
      </c>
      <c r="DV342" s="58">
        <f>IFERROR($Q343/$Q342-1,"")</f>
        <v/>
      </c>
      <c r="DW342" s="58">
        <f>IFERROR($R343/$R342-1,"")</f>
        <v/>
      </c>
      <c r="DX342" s="58">
        <f>IFERROR($S343/$S342-1,"")</f>
        <v/>
      </c>
      <c r="DY342" s="58">
        <f>IFERROR($T343/$T342-1,"")</f>
        <v/>
      </c>
      <c r="DZ342" s="58">
        <f>IFERROR($U343/$U342-1,"")</f>
        <v/>
      </c>
      <c r="EA342" s="58">
        <f>IFERROR($V343/$V342-1,"")</f>
        <v/>
      </c>
      <c r="EB342" s="58">
        <f>IFERROR($W343/$W342-1,"")</f>
        <v/>
      </c>
      <c r="EC342" s="58">
        <f>IFERROR($X343/$X342-1,"")</f>
        <v/>
      </c>
      <c r="ED342" s="58">
        <f>IFERROR($Y343/$Y342-1,"")</f>
        <v/>
      </c>
      <c r="EE342" s="58">
        <f>IFERROR($Z343/$Z342-1,"")</f>
        <v/>
      </c>
      <c r="EF342" s="58">
        <f>IFERROR($AA343/$AA342-1,"")</f>
        <v/>
      </c>
      <c r="EG342" s="58">
        <f>IFERROR($AB343/$AB342-1,"")</f>
        <v/>
      </c>
      <c r="EH342" s="58">
        <f>IFERROR($AC343/$AC342-1,"")</f>
        <v/>
      </c>
      <c r="EI342" s="58">
        <f>IFERROR($AD343/$AD342-1,"")</f>
        <v/>
      </c>
      <c r="EJ342" s="58">
        <f>IFERROR($AE343/$AE342-1,"")</f>
        <v/>
      </c>
      <c r="EK342" s="58">
        <f>IFERROR($AF343/$AF342-1,"")</f>
        <v/>
      </c>
      <c r="EL342" s="58">
        <f>IFERROR($AG343/$AG342-1,"")</f>
        <v/>
      </c>
      <c r="EM342" s="58">
        <f>IFERROR($BB342/$BB343-1,"")</f>
        <v/>
      </c>
      <c r="EN342" s="58">
        <f>IFERROR($BC342/$BC343-1,"")</f>
        <v/>
      </c>
      <c r="EO342" s="58">
        <f>IFERROR($BD342/$BD343-1,"")</f>
        <v/>
      </c>
      <c r="EP342" s="58">
        <f>IFERROR($BE342/$BE343-1,"")</f>
        <v/>
      </c>
      <c r="EQ342" s="58">
        <f>IFERROR($BF342/$BF343-1,"")</f>
        <v/>
      </c>
      <c r="ER342" s="58">
        <f>IFERROR($BG342/$BG343-1,"")</f>
        <v/>
      </c>
      <c r="ES342" s="58">
        <f>IFERROR($BH342/$BH343-1,"")</f>
        <v/>
      </c>
      <c r="ET342" s="58">
        <f>IFERROR($BI342/$BI343-1,"")</f>
        <v/>
      </c>
      <c r="EU342" s="58">
        <f>IFERROR($BJ342/$BJ343-1,"")</f>
        <v/>
      </c>
      <c r="EV342" s="58">
        <f>IFERROR($BK342/$BK343-1,"")</f>
        <v/>
      </c>
      <c r="EW342" s="58">
        <f>IFERROR($BL342/$BL343-1,"")</f>
        <v/>
      </c>
      <c r="EX342" s="58">
        <f>IFERROR($BM342/$BM343-1,"")</f>
        <v/>
      </c>
      <c r="EY342" s="58">
        <f>IFERROR($BN342/$BN343-1,"")</f>
        <v/>
      </c>
      <c r="EZ342" s="58">
        <f>IFERROR($BO342/$BO343-1,"")</f>
        <v/>
      </c>
      <c r="FA342" s="58">
        <f>IFERROR($BP342/$BP343-1,"")</f>
        <v/>
      </c>
      <c r="FB342" s="58">
        <f>IFERROR($BQ342/$BQ343-1,"")</f>
        <v/>
      </c>
      <c r="FC342" s="58">
        <f>IFERROR($BR342/$BR343-1,"")</f>
        <v/>
      </c>
      <c r="FD342" s="58">
        <f>IFERROR($BS342/$BS343-1,"")</f>
        <v/>
      </c>
      <c r="FE342" s="58">
        <f>IFERROR($BT342/$BT343-1,"")</f>
        <v/>
      </c>
      <c r="FF342" s="58">
        <f>IFERROR($BU342/$BU343-1,"")</f>
        <v/>
      </c>
      <c r="FG342" s="58">
        <f>IFERROR($BV342/$BV343-1,"")</f>
        <v/>
      </c>
      <c r="FH342" s="58">
        <f>IFERROR($BW342/$BW343-1,"")</f>
        <v/>
      </c>
      <c r="FI342" s="58">
        <f>IFERROR($BX342/$BX343-1,"")</f>
        <v/>
      </c>
      <c r="FJ342" s="59">
        <f>$BY342-$BY343</f>
        <v/>
      </c>
      <c r="FK342" s="59">
        <f>$BZ342-$BZ343</f>
        <v/>
      </c>
      <c r="FL342" s="59">
        <f>$CA342-$CA343</f>
        <v/>
      </c>
      <c r="FM342" s="59">
        <f>$CB342-$CB343</f>
        <v/>
      </c>
      <c r="FN342" s="59">
        <f>$CC342-$CC343</f>
        <v/>
      </c>
      <c r="FO342" s="59">
        <f>$CD342-$CD343</f>
        <v/>
      </c>
      <c r="FP342" s="59">
        <f>$CE342-$CE343</f>
        <v/>
      </c>
      <c r="FQ342" s="59">
        <f>$CF342-$CF343</f>
        <v/>
      </c>
      <c r="FR342" s="59">
        <f>$CG342-$CG343</f>
        <v/>
      </c>
      <c r="FS342" s="59">
        <f>$CH342-$CH343</f>
        <v/>
      </c>
      <c r="FT342" s="59">
        <f>$CI342-$CI343</f>
        <v/>
      </c>
      <c r="FU342" s="59">
        <f>$CJ342-$CJ343</f>
        <v/>
      </c>
      <c r="FV342" s="59">
        <f>$CK342-$CK343</f>
        <v/>
      </c>
      <c r="FW342" s="59">
        <f>$CL342-$CL343</f>
        <v/>
      </c>
      <c r="FX342" s="59">
        <f>$CM342-$CM343</f>
        <v/>
      </c>
      <c r="FY342" s="59">
        <f>$CN342-$CN343</f>
        <v/>
      </c>
      <c r="FZ342" s="59">
        <f>$CO342-$CO343</f>
        <v/>
      </c>
      <c r="GA342" s="59">
        <f>$CP342-$CP343</f>
        <v/>
      </c>
      <c r="GB342" s="59">
        <f>$CQ342-$CQ343</f>
        <v/>
      </c>
      <c r="GC342" s="59">
        <f>$CR342-$CR343</f>
        <v/>
      </c>
      <c r="GD342" s="59">
        <f>$CS342-$CS343</f>
        <v/>
      </c>
      <c r="GE342" s="59">
        <f>$CT342-$CT343</f>
        <v/>
      </c>
    </row>
    <row r="343">
      <c r="CU343" s="58">
        <f>IFERROR($B343/$B344-1,"")</f>
        <v/>
      </c>
      <c r="CV343" s="59">
        <f>($F343-$F344)*100</f>
        <v/>
      </c>
      <c r="CW343" s="59">
        <f>($E343-$E344)*100</f>
        <v/>
      </c>
      <c r="CX343" s="58">
        <f>IFERROR($K343/$K344-1,"")</f>
        <v/>
      </c>
      <c r="CY343" s="59">
        <f>($AH343-$AH344)*100</f>
        <v/>
      </c>
      <c r="CZ343" s="59">
        <f>($AI343-$AI344)*100</f>
        <v/>
      </c>
      <c r="DA343" s="59">
        <f>($AJ343-$AJ344)*100</f>
        <v/>
      </c>
      <c r="DB343" s="59">
        <f>($AK343-$AK344)*100</f>
        <v/>
      </c>
      <c r="DC343" s="59">
        <f>($AL343-$AL344)*100</f>
        <v/>
      </c>
      <c r="DD343" s="59">
        <f>($AM343-$AM344)*100</f>
        <v/>
      </c>
      <c r="DE343" s="59">
        <f>($AN343-$AN344)*100</f>
        <v/>
      </c>
      <c r="DF343" s="59">
        <f>($AO343-$AO344)*100</f>
        <v/>
      </c>
      <c r="DG343" s="59">
        <f>($AP343-$AP344)*100</f>
        <v/>
      </c>
      <c r="DH343" s="59">
        <f>($AQ343-$AQ344)*100</f>
        <v/>
      </c>
      <c r="DI343" s="59">
        <f>($AR343-$AR344)*100</f>
        <v/>
      </c>
      <c r="DJ343" s="59">
        <f>($AS343-$AS344)*100</f>
        <v/>
      </c>
      <c r="DK343" s="59">
        <f>($AT343-$AT344)*100</f>
        <v/>
      </c>
      <c r="DL343" s="59">
        <f>($AU343-$AU344)*100</f>
        <v/>
      </c>
      <c r="DM343" s="59">
        <f>($AV343-$AV344)*100</f>
        <v/>
      </c>
      <c r="DN343" s="59">
        <f>($AW343-$AW344)*100</f>
        <v/>
      </c>
      <c r="DO343" s="59">
        <f>($AX343-$AX344)*100</f>
        <v/>
      </c>
      <c r="DP343" s="59">
        <f>($AY343-$AY344)*100</f>
        <v/>
      </c>
      <c r="DQ343" s="59">
        <f>($AZ343-$AZ344)*100</f>
        <v/>
      </c>
      <c r="DR343" s="59">
        <f>($BA343-$BA344)*100</f>
        <v/>
      </c>
      <c r="DS343" s="58">
        <f>IFERROR($N344/$N343-1,"")</f>
        <v/>
      </c>
      <c r="DT343" s="58">
        <f>IFERROR($O344/$O343-1,"")</f>
        <v/>
      </c>
      <c r="DU343" s="58">
        <f>IFERROR($P344/$P343-1,"")</f>
        <v/>
      </c>
      <c r="DV343" s="58">
        <f>IFERROR($Q344/$Q343-1,"")</f>
        <v/>
      </c>
      <c r="DW343" s="58">
        <f>IFERROR($R344/$R343-1,"")</f>
        <v/>
      </c>
      <c r="DX343" s="58">
        <f>IFERROR($S344/$S343-1,"")</f>
        <v/>
      </c>
      <c r="DY343" s="58">
        <f>IFERROR($T344/$T343-1,"")</f>
        <v/>
      </c>
      <c r="DZ343" s="58">
        <f>IFERROR($U344/$U343-1,"")</f>
        <v/>
      </c>
      <c r="EA343" s="58">
        <f>IFERROR($V344/$V343-1,"")</f>
        <v/>
      </c>
      <c r="EB343" s="58">
        <f>IFERROR($W344/$W343-1,"")</f>
        <v/>
      </c>
      <c r="EC343" s="58">
        <f>IFERROR($X344/$X343-1,"")</f>
        <v/>
      </c>
      <c r="ED343" s="58">
        <f>IFERROR($Y344/$Y343-1,"")</f>
        <v/>
      </c>
      <c r="EE343" s="58">
        <f>IFERROR($Z344/$Z343-1,"")</f>
        <v/>
      </c>
      <c r="EF343" s="58">
        <f>IFERROR($AA344/$AA343-1,"")</f>
        <v/>
      </c>
      <c r="EG343" s="58">
        <f>IFERROR($AB344/$AB343-1,"")</f>
        <v/>
      </c>
      <c r="EH343" s="58">
        <f>IFERROR($AC344/$AC343-1,"")</f>
        <v/>
      </c>
      <c r="EI343" s="58">
        <f>IFERROR($AD344/$AD343-1,"")</f>
        <v/>
      </c>
      <c r="EJ343" s="58">
        <f>IFERROR($AE344/$AE343-1,"")</f>
        <v/>
      </c>
      <c r="EK343" s="58">
        <f>IFERROR($AF344/$AF343-1,"")</f>
        <v/>
      </c>
      <c r="EL343" s="58">
        <f>IFERROR($AG344/$AG343-1,"")</f>
        <v/>
      </c>
      <c r="EM343" s="58">
        <f>IFERROR($BB343/$BB344-1,"")</f>
        <v/>
      </c>
      <c r="EN343" s="58">
        <f>IFERROR($BC343/$BC344-1,"")</f>
        <v/>
      </c>
      <c r="EO343" s="58">
        <f>IFERROR($BD343/$BD344-1,"")</f>
        <v/>
      </c>
      <c r="EP343" s="58">
        <f>IFERROR($BE343/$BE344-1,"")</f>
        <v/>
      </c>
      <c r="EQ343" s="58">
        <f>IFERROR($BF343/$BF344-1,"")</f>
        <v/>
      </c>
      <c r="ER343" s="58">
        <f>IFERROR($BG343/$BG344-1,"")</f>
        <v/>
      </c>
      <c r="ES343" s="58">
        <f>IFERROR($BH343/$BH344-1,"")</f>
        <v/>
      </c>
      <c r="ET343" s="58">
        <f>IFERROR($BI343/$BI344-1,"")</f>
        <v/>
      </c>
      <c r="EU343" s="58">
        <f>IFERROR($BJ343/$BJ344-1,"")</f>
        <v/>
      </c>
      <c r="EV343" s="58">
        <f>IFERROR($BK343/$BK344-1,"")</f>
        <v/>
      </c>
      <c r="EW343" s="58">
        <f>IFERROR($BL343/$BL344-1,"")</f>
        <v/>
      </c>
      <c r="EX343" s="58">
        <f>IFERROR($BM343/$BM344-1,"")</f>
        <v/>
      </c>
      <c r="EY343" s="58">
        <f>IFERROR($BN343/$BN344-1,"")</f>
        <v/>
      </c>
      <c r="EZ343" s="58">
        <f>IFERROR($BO343/$BO344-1,"")</f>
        <v/>
      </c>
      <c r="FA343" s="58">
        <f>IFERROR($BP343/$BP344-1,"")</f>
        <v/>
      </c>
      <c r="FB343" s="58">
        <f>IFERROR($BQ343/$BQ344-1,"")</f>
        <v/>
      </c>
      <c r="FC343" s="58">
        <f>IFERROR($BR343/$BR344-1,"")</f>
        <v/>
      </c>
      <c r="FD343" s="58">
        <f>IFERROR($BS343/$BS344-1,"")</f>
        <v/>
      </c>
      <c r="FE343" s="58">
        <f>IFERROR($BT343/$BT344-1,"")</f>
        <v/>
      </c>
      <c r="FF343" s="58">
        <f>IFERROR($BU343/$BU344-1,"")</f>
        <v/>
      </c>
      <c r="FG343" s="58">
        <f>IFERROR($BV343/$BV344-1,"")</f>
        <v/>
      </c>
      <c r="FH343" s="58">
        <f>IFERROR($BW343/$BW344-1,"")</f>
        <v/>
      </c>
      <c r="FI343" s="58">
        <f>IFERROR($BX343/$BX344-1,"")</f>
        <v/>
      </c>
      <c r="FJ343" s="59">
        <f>$BY343-$BY344</f>
        <v/>
      </c>
      <c r="FK343" s="59">
        <f>$BZ343-$BZ344</f>
        <v/>
      </c>
      <c r="FL343" s="59">
        <f>$CA343-$CA344</f>
        <v/>
      </c>
      <c r="FM343" s="59">
        <f>$CB343-$CB344</f>
        <v/>
      </c>
      <c r="FN343" s="59">
        <f>$CC343-$CC344</f>
        <v/>
      </c>
      <c r="FO343" s="59">
        <f>$CD343-$CD344</f>
        <v/>
      </c>
      <c r="FP343" s="59">
        <f>$CE343-$CE344</f>
        <v/>
      </c>
      <c r="FQ343" s="59">
        <f>$CF343-$CF344</f>
        <v/>
      </c>
      <c r="FR343" s="59">
        <f>$CG343-$CG344</f>
        <v/>
      </c>
      <c r="FS343" s="59">
        <f>$CH343-$CH344</f>
        <v/>
      </c>
      <c r="FT343" s="59">
        <f>$CI343-$CI344</f>
        <v/>
      </c>
      <c r="FU343" s="59">
        <f>$CJ343-$CJ344</f>
        <v/>
      </c>
      <c r="FV343" s="59">
        <f>$CK343-$CK344</f>
        <v/>
      </c>
      <c r="FW343" s="59">
        <f>$CL343-$CL344</f>
        <v/>
      </c>
      <c r="FX343" s="59">
        <f>$CM343-$CM344</f>
        <v/>
      </c>
      <c r="FY343" s="59">
        <f>$CN343-$CN344</f>
        <v/>
      </c>
      <c r="FZ343" s="59">
        <f>$CO343-$CO344</f>
        <v/>
      </c>
      <c r="GA343" s="59">
        <f>$CP343-$CP344</f>
        <v/>
      </c>
      <c r="GB343" s="59">
        <f>$CQ343-$CQ344</f>
        <v/>
      </c>
      <c r="GC343" s="59">
        <f>$CR343-$CR344</f>
        <v/>
      </c>
      <c r="GD343" s="59">
        <f>$CS343-$CS344</f>
        <v/>
      </c>
      <c r="GE343" s="59">
        <f>$CT343-$CT344</f>
        <v/>
      </c>
    </row>
    <row r="344">
      <c r="CU344" s="58">
        <f>IFERROR($B344/$B345-1,"")</f>
        <v/>
      </c>
      <c r="CV344" s="59">
        <f>($F344-$F345)*100</f>
        <v/>
      </c>
      <c r="CW344" s="59">
        <f>($E344-$E345)*100</f>
        <v/>
      </c>
      <c r="CX344" s="58">
        <f>IFERROR($K344/$K345-1,"")</f>
        <v/>
      </c>
      <c r="CY344" s="59">
        <f>($AH344-$AH345)*100</f>
        <v/>
      </c>
      <c r="CZ344" s="59">
        <f>($AI344-$AI345)*100</f>
        <v/>
      </c>
      <c r="DA344" s="59">
        <f>($AJ344-$AJ345)*100</f>
        <v/>
      </c>
      <c r="DB344" s="59">
        <f>($AK344-$AK345)*100</f>
        <v/>
      </c>
      <c r="DC344" s="59">
        <f>($AL344-$AL345)*100</f>
        <v/>
      </c>
      <c r="DD344" s="59">
        <f>($AM344-$AM345)*100</f>
        <v/>
      </c>
      <c r="DE344" s="59">
        <f>($AN344-$AN345)*100</f>
        <v/>
      </c>
      <c r="DF344" s="59">
        <f>($AO344-$AO345)*100</f>
        <v/>
      </c>
      <c r="DG344" s="59">
        <f>($AP344-$AP345)*100</f>
        <v/>
      </c>
      <c r="DH344" s="59">
        <f>($AQ344-$AQ345)*100</f>
        <v/>
      </c>
      <c r="DI344" s="59">
        <f>($AR344-$AR345)*100</f>
        <v/>
      </c>
      <c r="DJ344" s="59">
        <f>($AS344-$AS345)*100</f>
        <v/>
      </c>
      <c r="DK344" s="59">
        <f>($AT344-$AT345)*100</f>
        <v/>
      </c>
      <c r="DL344" s="59">
        <f>($AU344-$AU345)*100</f>
        <v/>
      </c>
      <c r="DM344" s="59">
        <f>($AV344-$AV345)*100</f>
        <v/>
      </c>
      <c r="DN344" s="59">
        <f>($AW344-$AW345)*100</f>
        <v/>
      </c>
      <c r="DO344" s="59">
        <f>($AX344-$AX345)*100</f>
        <v/>
      </c>
      <c r="DP344" s="59">
        <f>($AY344-$AY345)*100</f>
        <v/>
      </c>
      <c r="DQ344" s="59">
        <f>($AZ344-$AZ345)*100</f>
        <v/>
      </c>
      <c r="DR344" s="59">
        <f>($BA344-$BA345)*100</f>
        <v/>
      </c>
      <c r="DS344" s="58">
        <f>IFERROR($N345/$N344-1,"")</f>
        <v/>
      </c>
      <c r="DT344" s="58">
        <f>IFERROR($O345/$O344-1,"")</f>
        <v/>
      </c>
      <c r="DU344" s="58">
        <f>IFERROR($P345/$P344-1,"")</f>
        <v/>
      </c>
      <c r="DV344" s="58">
        <f>IFERROR($Q345/$Q344-1,"")</f>
        <v/>
      </c>
      <c r="DW344" s="58">
        <f>IFERROR($R345/$R344-1,"")</f>
        <v/>
      </c>
      <c r="DX344" s="58">
        <f>IFERROR($S345/$S344-1,"")</f>
        <v/>
      </c>
      <c r="DY344" s="58">
        <f>IFERROR($T345/$T344-1,"")</f>
        <v/>
      </c>
      <c r="DZ344" s="58">
        <f>IFERROR($U345/$U344-1,"")</f>
        <v/>
      </c>
      <c r="EA344" s="58">
        <f>IFERROR($V345/$V344-1,"")</f>
        <v/>
      </c>
      <c r="EB344" s="58">
        <f>IFERROR($W345/$W344-1,"")</f>
        <v/>
      </c>
      <c r="EC344" s="58">
        <f>IFERROR($X345/$X344-1,"")</f>
        <v/>
      </c>
      <c r="ED344" s="58">
        <f>IFERROR($Y345/$Y344-1,"")</f>
        <v/>
      </c>
      <c r="EE344" s="58">
        <f>IFERROR($Z345/$Z344-1,"")</f>
        <v/>
      </c>
      <c r="EF344" s="58">
        <f>IFERROR($AA345/$AA344-1,"")</f>
        <v/>
      </c>
      <c r="EG344" s="58">
        <f>IFERROR($AB345/$AB344-1,"")</f>
        <v/>
      </c>
      <c r="EH344" s="58">
        <f>IFERROR($AC345/$AC344-1,"")</f>
        <v/>
      </c>
      <c r="EI344" s="58">
        <f>IFERROR($AD345/$AD344-1,"")</f>
        <v/>
      </c>
      <c r="EJ344" s="58">
        <f>IFERROR($AE345/$AE344-1,"")</f>
        <v/>
      </c>
      <c r="EK344" s="58">
        <f>IFERROR($AF345/$AF344-1,"")</f>
        <v/>
      </c>
      <c r="EL344" s="58">
        <f>IFERROR($AG345/$AG344-1,"")</f>
        <v/>
      </c>
      <c r="EM344" s="58">
        <f>IFERROR($BB344/$BB345-1,"")</f>
        <v/>
      </c>
      <c r="EN344" s="58">
        <f>IFERROR($BC344/$BC345-1,"")</f>
        <v/>
      </c>
      <c r="EO344" s="58">
        <f>IFERROR($BD344/$BD345-1,"")</f>
        <v/>
      </c>
      <c r="EP344" s="58">
        <f>IFERROR($BE344/$BE345-1,"")</f>
        <v/>
      </c>
      <c r="EQ344" s="58">
        <f>IFERROR($BF344/$BF345-1,"")</f>
        <v/>
      </c>
      <c r="ER344" s="58">
        <f>IFERROR($BG344/$BG345-1,"")</f>
        <v/>
      </c>
      <c r="ES344" s="58">
        <f>IFERROR($BH344/$BH345-1,"")</f>
        <v/>
      </c>
      <c r="ET344" s="58">
        <f>IFERROR($BI344/$BI345-1,"")</f>
        <v/>
      </c>
      <c r="EU344" s="58">
        <f>IFERROR($BJ344/$BJ345-1,"")</f>
        <v/>
      </c>
      <c r="EV344" s="58">
        <f>IFERROR($BK344/$BK345-1,"")</f>
        <v/>
      </c>
      <c r="EW344" s="58">
        <f>IFERROR($BL344/$BL345-1,"")</f>
        <v/>
      </c>
      <c r="EX344" s="58">
        <f>IFERROR($BM344/$BM345-1,"")</f>
        <v/>
      </c>
      <c r="EY344" s="58">
        <f>IFERROR($BN344/$BN345-1,"")</f>
        <v/>
      </c>
      <c r="EZ344" s="58">
        <f>IFERROR($BO344/$BO345-1,"")</f>
        <v/>
      </c>
      <c r="FA344" s="58">
        <f>IFERROR($BP344/$BP345-1,"")</f>
        <v/>
      </c>
      <c r="FB344" s="58">
        <f>IFERROR($BQ344/$BQ345-1,"")</f>
        <v/>
      </c>
      <c r="FC344" s="58">
        <f>IFERROR($BR344/$BR345-1,"")</f>
        <v/>
      </c>
      <c r="FD344" s="58">
        <f>IFERROR($BS344/$BS345-1,"")</f>
        <v/>
      </c>
      <c r="FE344" s="58">
        <f>IFERROR($BT344/$BT345-1,"")</f>
        <v/>
      </c>
      <c r="FF344" s="58">
        <f>IFERROR($BU344/$BU345-1,"")</f>
        <v/>
      </c>
      <c r="FG344" s="58">
        <f>IFERROR($BV344/$BV345-1,"")</f>
        <v/>
      </c>
      <c r="FH344" s="58">
        <f>IFERROR($BW344/$BW345-1,"")</f>
        <v/>
      </c>
      <c r="FI344" s="58">
        <f>IFERROR($BX344/$BX345-1,"")</f>
        <v/>
      </c>
      <c r="FJ344" s="59">
        <f>$BY344-$BY345</f>
        <v/>
      </c>
      <c r="FK344" s="59">
        <f>$BZ344-$BZ345</f>
        <v/>
      </c>
      <c r="FL344" s="59">
        <f>$CA344-$CA345</f>
        <v/>
      </c>
      <c r="FM344" s="59">
        <f>$CB344-$CB345</f>
        <v/>
      </c>
      <c r="FN344" s="59">
        <f>$CC344-$CC345</f>
        <v/>
      </c>
      <c r="FO344" s="59">
        <f>$CD344-$CD345</f>
        <v/>
      </c>
      <c r="FP344" s="59">
        <f>$CE344-$CE345</f>
        <v/>
      </c>
      <c r="FQ344" s="59">
        <f>$CF344-$CF345</f>
        <v/>
      </c>
      <c r="FR344" s="59">
        <f>$CG344-$CG345</f>
        <v/>
      </c>
      <c r="FS344" s="59">
        <f>$CH344-$CH345</f>
        <v/>
      </c>
      <c r="FT344" s="59">
        <f>$CI344-$CI345</f>
        <v/>
      </c>
      <c r="FU344" s="59">
        <f>$CJ344-$CJ345</f>
        <v/>
      </c>
      <c r="FV344" s="59">
        <f>$CK344-$CK345</f>
        <v/>
      </c>
      <c r="FW344" s="59">
        <f>$CL344-$CL345</f>
        <v/>
      </c>
      <c r="FX344" s="59">
        <f>$CM344-$CM345</f>
        <v/>
      </c>
      <c r="FY344" s="59">
        <f>$CN344-$CN345</f>
        <v/>
      </c>
      <c r="FZ344" s="59">
        <f>$CO344-$CO345</f>
        <v/>
      </c>
      <c r="GA344" s="59">
        <f>$CP344-$CP345</f>
        <v/>
      </c>
      <c r="GB344" s="59">
        <f>$CQ344-$CQ345</f>
        <v/>
      </c>
      <c r="GC344" s="59">
        <f>$CR344-$CR345</f>
        <v/>
      </c>
      <c r="GD344" s="59">
        <f>$CS344-$CS345</f>
        <v/>
      </c>
      <c r="GE344" s="59">
        <f>$CT344-$CT345</f>
        <v/>
      </c>
    </row>
    <row r="345">
      <c r="CU345" s="58">
        <f>IFERROR($B345/$B346-1,"")</f>
        <v/>
      </c>
      <c r="CV345" s="59">
        <f>($F345-$F346)*100</f>
        <v/>
      </c>
      <c r="CW345" s="59">
        <f>($E345-$E346)*100</f>
        <v/>
      </c>
      <c r="CX345" s="58">
        <f>IFERROR($K345/$K346-1,"")</f>
        <v/>
      </c>
      <c r="CY345" s="59">
        <f>($AH345-$AH346)*100</f>
        <v/>
      </c>
      <c r="CZ345" s="59">
        <f>($AI345-$AI346)*100</f>
        <v/>
      </c>
      <c r="DA345" s="59">
        <f>($AJ345-$AJ346)*100</f>
        <v/>
      </c>
      <c r="DB345" s="59">
        <f>($AK345-$AK346)*100</f>
        <v/>
      </c>
      <c r="DC345" s="59">
        <f>($AL345-$AL346)*100</f>
        <v/>
      </c>
      <c r="DD345" s="59">
        <f>($AM345-$AM346)*100</f>
        <v/>
      </c>
      <c r="DE345" s="59">
        <f>($AN345-$AN346)*100</f>
        <v/>
      </c>
      <c r="DF345" s="59">
        <f>($AO345-$AO346)*100</f>
        <v/>
      </c>
      <c r="DG345" s="59">
        <f>($AP345-$AP346)*100</f>
        <v/>
      </c>
      <c r="DH345" s="59">
        <f>($AQ345-$AQ346)*100</f>
        <v/>
      </c>
      <c r="DI345" s="59">
        <f>($AR345-$AR346)*100</f>
        <v/>
      </c>
      <c r="DJ345" s="59">
        <f>($AS345-$AS346)*100</f>
        <v/>
      </c>
      <c r="DK345" s="59">
        <f>($AT345-$AT346)*100</f>
        <v/>
      </c>
      <c r="DL345" s="59">
        <f>($AU345-$AU346)*100</f>
        <v/>
      </c>
      <c r="DM345" s="59">
        <f>($AV345-$AV346)*100</f>
        <v/>
      </c>
      <c r="DN345" s="59">
        <f>($AW345-$AW346)*100</f>
        <v/>
      </c>
      <c r="DO345" s="59">
        <f>($AX345-$AX346)*100</f>
        <v/>
      </c>
      <c r="DP345" s="59">
        <f>($AY345-$AY346)*100</f>
        <v/>
      </c>
      <c r="DQ345" s="59">
        <f>($AZ345-$AZ346)*100</f>
        <v/>
      </c>
      <c r="DR345" s="59">
        <f>($BA345-$BA346)*100</f>
        <v/>
      </c>
      <c r="DS345" s="58">
        <f>IFERROR($N346/$N345-1,"")</f>
        <v/>
      </c>
      <c r="DT345" s="58">
        <f>IFERROR($O346/$O345-1,"")</f>
        <v/>
      </c>
      <c r="DU345" s="58">
        <f>IFERROR($P346/$P345-1,"")</f>
        <v/>
      </c>
      <c r="DV345" s="58">
        <f>IFERROR($Q346/$Q345-1,"")</f>
        <v/>
      </c>
      <c r="DW345" s="58">
        <f>IFERROR($R346/$R345-1,"")</f>
        <v/>
      </c>
      <c r="DX345" s="58">
        <f>IFERROR($S346/$S345-1,"")</f>
        <v/>
      </c>
      <c r="DY345" s="58">
        <f>IFERROR($T346/$T345-1,"")</f>
        <v/>
      </c>
      <c r="DZ345" s="58">
        <f>IFERROR($U346/$U345-1,"")</f>
        <v/>
      </c>
      <c r="EA345" s="58">
        <f>IFERROR($V346/$V345-1,"")</f>
        <v/>
      </c>
      <c r="EB345" s="58">
        <f>IFERROR($W346/$W345-1,"")</f>
        <v/>
      </c>
      <c r="EC345" s="58">
        <f>IFERROR($X346/$X345-1,"")</f>
        <v/>
      </c>
      <c r="ED345" s="58">
        <f>IFERROR($Y346/$Y345-1,"")</f>
        <v/>
      </c>
      <c r="EE345" s="58">
        <f>IFERROR($Z346/$Z345-1,"")</f>
        <v/>
      </c>
      <c r="EF345" s="58">
        <f>IFERROR($AA346/$AA345-1,"")</f>
        <v/>
      </c>
      <c r="EG345" s="58">
        <f>IFERROR($AB346/$AB345-1,"")</f>
        <v/>
      </c>
      <c r="EH345" s="58">
        <f>IFERROR($AC346/$AC345-1,"")</f>
        <v/>
      </c>
      <c r="EI345" s="58">
        <f>IFERROR($AD346/$AD345-1,"")</f>
        <v/>
      </c>
      <c r="EJ345" s="58">
        <f>IFERROR($AE346/$AE345-1,"")</f>
        <v/>
      </c>
      <c r="EK345" s="58">
        <f>IFERROR($AF346/$AF345-1,"")</f>
        <v/>
      </c>
      <c r="EL345" s="58">
        <f>IFERROR($AG346/$AG345-1,"")</f>
        <v/>
      </c>
      <c r="EM345" s="58">
        <f>IFERROR($BB345/$BB346-1,"")</f>
        <v/>
      </c>
      <c r="EN345" s="58">
        <f>IFERROR($BC345/$BC346-1,"")</f>
        <v/>
      </c>
      <c r="EO345" s="58">
        <f>IFERROR($BD345/$BD346-1,"")</f>
        <v/>
      </c>
      <c r="EP345" s="58">
        <f>IFERROR($BE345/$BE346-1,"")</f>
        <v/>
      </c>
      <c r="EQ345" s="58">
        <f>IFERROR($BF345/$BF346-1,"")</f>
        <v/>
      </c>
      <c r="ER345" s="58">
        <f>IFERROR($BG345/$BG346-1,"")</f>
        <v/>
      </c>
      <c r="ES345" s="58">
        <f>IFERROR($BH345/$BH346-1,"")</f>
        <v/>
      </c>
      <c r="ET345" s="58">
        <f>IFERROR($BI345/$BI346-1,"")</f>
        <v/>
      </c>
      <c r="EU345" s="58">
        <f>IFERROR($BJ345/$BJ346-1,"")</f>
        <v/>
      </c>
      <c r="EV345" s="58">
        <f>IFERROR($BK345/$BK346-1,"")</f>
        <v/>
      </c>
      <c r="EW345" s="58">
        <f>IFERROR($BL345/$BL346-1,"")</f>
        <v/>
      </c>
      <c r="EX345" s="58">
        <f>IFERROR($BM345/$BM346-1,"")</f>
        <v/>
      </c>
      <c r="EY345" s="58">
        <f>IFERROR($BN345/$BN346-1,"")</f>
        <v/>
      </c>
      <c r="EZ345" s="58">
        <f>IFERROR($BO345/$BO346-1,"")</f>
        <v/>
      </c>
      <c r="FA345" s="58">
        <f>IFERROR($BP345/$BP346-1,"")</f>
        <v/>
      </c>
      <c r="FB345" s="58">
        <f>IFERROR($BQ345/$BQ346-1,"")</f>
        <v/>
      </c>
      <c r="FC345" s="58">
        <f>IFERROR($BR345/$BR346-1,"")</f>
        <v/>
      </c>
      <c r="FD345" s="58">
        <f>IFERROR($BS345/$BS346-1,"")</f>
        <v/>
      </c>
      <c r="FE345" s="58">
        <f>IFERROR($BT345/$BT346-1,"")</f>
        <v/>
      </c>
      <c r="FF345" s="58">
        <f>IFERROR($BU345/$BU346-1,"")</f>
        <v/>
      </c>
      <c r="FG345" s="58">
        <f>IFERROR($BV345/$BV346-1,"")</f>
        <v/>
      </c>
      <c r="FH345" s="58">
        <f>IFERROR($BW345/$BW346-1,"")</f>
        <v/>
      </c>
      <c r="FI345" s="58">
        <f>IFERROR($BX345/$BX346-1,"")</f>
        <v/>
      </c>
      <c r="FJ345" s="59">
        <f>$BY345-$BY346</f>
        <v/>
      </c>
      <c r="FK345" s="59">
        <f>$BZ345-$BZ346</f>
        <v/>
      </c>
      <c r="FL345" s="59">
        <f>$CA345-$CA346</f>
        <v/>
      </c>
      <c r="FM345" s="59">
        <f>$CB345-$CB346</f>
        <v/>
      </c>
      <c r="FN345" s="59">
        <f>$CC345-$CC346</f>
        <v/>
      </c>
      <c r="FO345" s="59">
        <f>$CD345-$CD346</f>
        <v/>
      </c>
      <c r="FP345" s="59">
        <f>$CE345-$CE346</f>
        <v/>
      </c>
      <c r="FQ345" s="59">
        <f>$CF345-$CF346</f>
        <v/>
      </c>
      <c r="FR345" s="59">
        <f>$CG345-$CG346</f>
        <v/>
      </c>
      <c r="FS345" s="59">
        <f>$CH345-$CH346</f>
        <v/>
      </c>
      <c r="FT345" s="59">
        <f>$CI345-$CI346</f>
        <v/>
      </c>
      <c r="FU345" s="59">
        <f>$CJ345-$CJ346</f>
        <v/>
      </c>
      <c r="FV345" s="59">
        <f>$CK345-$CK346</f>
        <v/>
      </c>
      <c r="FW345" s="59">
        <f>$CL345-$CL346</f>
        <v/>
      </c>
      <c r="FX345" s="59">
        <f>$CM345-$CM346</f>
        <v/>
      </c>
      <c r="FY345" s="59">
        <f>$CN345-$CN346</f>
        <v/>
      </c>
      <c r="FZ345" s="59">
        <f>$CO345-$CO346</f>
        <v/>
      </c>
      <c r="GA345" s="59">
        <f>$CP345-$CP346</f>
        <v/>
      </c>
      <c r="GB345" s="59">
        <f>$CQ345-$CQ346</f>
        <v/>
      </c>
      <c r="GC345" s="59">
        <f>$CR345-$CR346</f>
        <v/>
      </c>
      <c r="GD345" s="59">
        <f>$CS345-$CS346</f>
        <v/>
      </c>
      <c r="GE345" s="59">
        <f>$CT345-$CT346</f>
        <v/>
      </c>
    </row>
    <row r="346">
      <c r="CU346" s="58">
        <f>IFERROR($B346/$B347-1,"")</f>
        <v/>
      </c>
      <c r="CV346" s="59">
        <f>($F346-$F347)*100</f>
        <v/>
      </c>
      <c r="CW346" s="59">
        <f>($E346-$E347)*100</f>
        <v/>
      </c>
      <c r="CX346" s="58">
        <f>IFERROR($K346/$K347-1,"")</f>
        <v/>
      </c>
      <c r="CY346" s="59">
        <f>($AH346-$AH347)*100</f>
        <v/>
      </c>
      <c r="CZ346" s="59">
        <f>($AI346-$AI347)*100</f>
        <v/>
      </c>
      <c r="DA346" s="59">
        <f>($AJ346-$AJ347)*100</f>
        <v/>
      </c>
      <c r="DB346" s="59">
        <f>($AK346-$AK347)*100</f>
        <v/>
      </c>
      <c r="DC346" s="59">
        <f>($AL346-$AL347)*100</f>
        <v/>
      </c>
      <c r="DD346" s="59">
        <f>($AM346-$AM347)*100</f>
        <v/>
      </c>
      <c r="DE346" s="59">
        <f>($AN346-$AN347)*100</f>
        <v/>
      </c>
      <c r="DF346" s="59">
        <f>($AO346-$AO347)*100</f>
        <v/>
      </c>
      <c r="DG346" s="59">
        <f>($AP346-$AP347)*100</f>
        <v/>
      </c>
      <c r="DH346" s="59">
        <f>($AQ346-$AQ347)*100</f>
        <v/>
      </c>
      <c r="DI346" s="59">
        <f>($AR346-$AR347)*100</f>
        <v/>
      </c>
      <c r="DJ346" s="59">
        <f>($AS346-$AS347)*100</f>
        <v/>
      </c>
      <c r="DK346" s="59">
        <f>($AT346-$AT347)*100</f>
        <v/>
      </c>
      <c r="DL346" s="59">
        <f>($AU346-$AU347)*100</f>
        <v/>
      </c>
      <c r="DM346" s="59">
        <f>($AV346-$AV347)*100</f>
        <v/>
      </c>
      <c r="DN346" s="59">
        <f>($AW346-$AW347)*100</f>
        <v/>
      </c>
      <c r="DO346" s="59">
        <f>($AX346-$AX347)*100</f>
        <v/>
      </c>
      <c r="DP346" s="59">
        <f>($AY346-$AY347)*100</f>
        <v/>
      </c>
      <c r="DQ346" s="59">
        <f>($AZ346-$AZ347)*100</f>
        <v/>
      </c>
      <c r="DR346" s="59">
        <f>($BA346-$BA347)*100</f>
        <v/>
      </c>
      <c r="DS346" s="58">
        <f>IFERROR($N347/$N346-1,"")</f>
        <v/>
      </c>
      <c r="DT346" s="58">
        <f>IFERROR($O347/$O346-1,"")</f>
        <v/>
      </c>
      <c r="DU346" s="58">
        <f>IFERROR($P347/$P346-1,"")</f>
        <v/>
      </c>
      <c r="DV346" s="58">
        <f>IFERROR($Q347/$Q346-1,"")</f>
        <v/>
      </c>
      <c r="DW346" s="58">
        <f>IFERROR($R347/$R346-1,"")</f>
        <v/>
      </c>
      <c r="DX346" s="58">
        <f>IFERROR($S347/$S346-1,"")</f>
        <v/>
      </c>
      <c r="DY346" s="58">
        <f>IFERROR($T347/$T346-1,"")</f>
        <v/>
      </c>
      <c r="DZ346" s="58">
        <f>IFERROR($U347/$U346-1,"")</f>
        <v/>
      </c>
      <c r="EA346" s="58">
        <f>IFERROR($V347/$V346-1,"")</f>
        <v/>
      </c>
      <c r="EB346" s="58">
        <f>IFERROR($W347/$W346-1,"")</f>
        <v/>
      </c>
      <c r="EC346" s="58">
        <f>IFERROR($X347/$X346-1,"")</f>
        <v/>
      </c>
      <c r="ED346" s="58">
        <f>IFERROR($Y347/$Y346-1,"")</f>
        <v/>
      </c>
      <c r="EE346" s="58">
        <f>IFERROR($Z347/$Z346-1,"")</f>
        <v/>
      </c>
      <c r="EF346" s="58">
        <f>IFERROR($AA347/$AA346-1,"")</f>
        <v/>
      </c>
      <c r="EG346" s="58">
        <f>IFERROR($AB347/$AB346-1,"")</f>
        <v/>
      </c>
      <c r="EH346" s="58">
        <f>IFERROR($AC347/$AC346-1,"")</f>
        <v/>
      </c>
      <c r="EI346" s="58">
        <f>IFERROR($AD347/$AD346-1,"")</f>
        <v/>
      </c>
      <c r="EJ346" s="58">
        <f>IFERROR($AE347/$AE346-1,"")</f>
        <v/>
      </c>
      <c r="EK346" s="58">
        <f>IFERROR($AF347/$AF346-1,"")</f>
        <v/>
      </c>
      <c r="EL346" s="58">
        <f>IFERROR($AG347/$AG346-1,"")</f>
        <v/>
      </c>
      <c r="EM346" s="58">
        <f>IFERROR($BB346/$BB347-1,"")</f>
        <v/>
      </c>
      <c r="EN346" s="58">
        <f>IFERROR($BC346/$BC347-1,"")</f>
        <v/>
      </c>
      <c r="EO346" s="58">
        <f>IFERROR($BD346/$BD347-1,"")</f>
        <v/>
      </c>
      <c r="EP346" s="58">
        <f>IFERROR($BE346/$BE347-1,"")</f>
        <v/>
      </c>
      <c r="EQ346" s="58">
        <f>IFERROR($BF346/$BF347-1,"")</f>
        <v/>
      </c>
      <c r="ER346" s="58">
        <f>IFERROR($BG346/$BG347-1,"")</f>
        <v/>
      </c>
      <c r="ES346" s="58">
        <f>IFERROR($BH346/$BH347-1,"")</f>
        <v/>
      </c>
      <c r="ET346" s="58">
        <f>IFERROR($BI346/$BI347-1,"")</f>
        <v/>
      </c>
      <c r="EU346" s="58">
        <f>IFERROR($BJ346/$BJ347-1,"")</f>
        <v/>
      </c>
      <c r="EV346" s="58">
        <f>IFERROR($BK346/$BK347-1,"")</f>
        <v/>
      </c>
      <c r="EW346" s="58">
        <f>IFERROR($BL346/$BL347-1,"")</f>
        <v/>
      </c>
      <c r="EX346" s="58">
        <f>IFERROR($BM346/$BM347-1,"")</f>
        <v/>
      </c>
      <c r="EY346" s="58">
        <f>IFERROR($BN346/$BN347-1,"")</f>
        <v/>
      </c>
      <c r="EZ346" s="58">
        <f>IFERROR($BO346/$BO347-1,"")</f>
        <v/>
      </c>
      <c r="FA346" s="58">
        <f>IFERROR($BP346/$BP347-1,"")</f>
        <v/>
      </c>
      <c r="FB346" s="58">
        <f>IFERROR($BQ346/$BQ347-1,"")</f>
        <v/>
      </c>
      <c r="FC346" s="58">
        <f>IFERROR($BR346/$BR347-1,"")</f>
        <v/>
      </c>
      <c r="FD346" s="58">
        <f>IFERROR($BS346/$BS347-1,"")</f>
        <v/>
      </c>
      <c r="FE346" s="58">
        <f>IFERROR($BT346/$BT347-1,"")</f>
        <v/>
      </c>
      <c r="FF346" s="58">
        <f>IFERROR($BU346/$BU347-1,"")</f>
        <v/>
      </c>
      <c r="FG346" s="58">
        <f>IFERROR($BV346/$BV347-1,"")</f>
        <v/>
      </c>
      <c r="FH346" s="58">
        <f>IFERROR($BW346/$BW347-1,"")</f>
        <v/>
      </c>
      <c r="FI346" s="58">
        <f>IFERROR($BX346/$BX347-1,"")</f>
        <v/>
      </c>
      <c r="FJ346" s="59">
        <f>$BY346-$BY347</f>
        <v/>
      </c>
      <c r="FK346" s="59">
        <f>$BZ346-$BZ347</f>
        <v/>
      </c>
      <c r="FL346" s="59">
        <f>$CA346-$CA347</f>
        <v/>
      </c>
      <c r="FM346" s="59">
        <f>$CB346-$CB347</f>
        <v/>
      </c>
      <c r="FN346" s="59">
        <f>$CC346-$CC347</f>
        <v/>
      </c>
      <c r="FO346" s="59">
        <f>$CD346-$CD347</f>
        <v/>
      </c>
      <c r="FP346" s="59">
        <f>$CE346-$CE347</f>
        <v/>
      </c>
      <c r="FQ346" s="59">
        <f>$CF346-$CF347</f>
        <v/>
      </c>
      <c r="FR346" s="59">
        <f>$CG346-$CG347</f>
        <v/>
      </c>
      <c r="FS346" s="59">
        <f>$CH346-$CH347</f>
        <v/>
      </c>
      <c r="FT346" s="59">
        <f>$CI346-$CI347</f>
        <v/>
      </c>
      <c r="FU346" s="59">
        <f>$CJ346-$CJ347</f>
        <v/>
      </c>
      <c r="FV346" s="59">
        <f>$CK346-$CK347</f>
        <v/>
      </c>
      <c r="FW346" s="59">
        <f>$CL346-$CL347</f>
        <v/>
      </c>
      <c r="FX346" s="59">
        <f>$CM346-$CM347</f>
        <v/>
      </c>
      <c r="FY346" s="59">
        <f>$CN346-$CN347</f>
        <v/>
      </c>
      <c r="FZ346" s="59">
        <f>$CO346-$CO347</f>
        <v/>
      </c>
      <c r="GA346" s="59">
        <f>$CP346-$CP347</f>
        <v/>
      </c>
      <c r="GB346" s="59">
        <f>$CQ346-$CQ347</f>
        <v/>
      </c>
      <c r="GC346" s="59">
        <f>$CR346-$CR347</f>
        <v/>
      </c>
      <c r="GD346" s="59">
        <f>$CS346-$CS347</f>
        <v/>
      </c>
      <c r="GE346" s="59">
        <f>$CT346-$CT347</f>
        <v/>
      </c>
    </row>
    <row r="347">
      <c r="CU347" s="58">
        <f>IFERROR($B347/$B348-1,"")</f>
        <v/>
      </c>
      <c r="CV347" s="59">
        <f>($F347-$F348)*100</f>
        <v/>
      </c>
      <c r="CW347" s="59">
        <f>($E347-$E348)*100</f>
        <v/>
      </c>
      <c r="CX347" s="58">
        <f>IFERROR($K347/$K348-1,"")</f>
        <v/>
      </c>
      <c r="CY347" s="59">
        <f>($AH347-$AH348)*100</f>
        <v/>
      </c>
      <c r="CZ347" s="59">
        <f>($AI347-$AI348)*100</f>
        <v/>
      </c>
      <c r="DA347" s="59">
        <f>($AJ347-$AJ348)*100</f>
        <v/>
      </c>
      <c r="DB347" s="59">
        <f>($AK347-$AK348)*100</f>
        <v/>
      </c>
      <c r="DC347" s="59">
        <f>($AL347-$AL348)*100</f>
        <v/>
      </c>
      <c r="DD347" s="59">
        <f>($AM347-$AM348)*100</f>
        <v/>
      </c>
      <c r="DE347" s="59">
        <f>($AN347-$AN348)*100</f>
        <v/>
      </c>
      <c r="DF347" s="59">
        <f>($AO347-$AO348)*100</f>
        <v/>
      </c>
      <c r="DG347" s="59">
        <f>($AP347-$AP348)*100</f>
        <v/>
      </c>
      <c r="DH347" s="59">
        <f>($AQ347-$AQ348)*100</f>
        <v/>
      </c>
      <c r="DI347" s="59">
        <f>($AR347-$AR348)*100</f>
        <v/>
      </c>
      <c r="DJ347" s="59">
        <f>($AS347-$AS348)*100</f>
        <v/>
      </c>
      <c r="DK347" s="59">
        <f>($AT347-$AT348)*100</f>
        <v/>
      </c>
      <c r="DL347" s="59">
        <f>($AU347-$AU348)*100</f>
        <v/>
      </c>
      <c r="DM347" s="59">
        <f>($AV347-$AV348)*100</f>
        <v/>
      </c>
      <c r="DN347" s="59">
        <f>($AW347-$AW348)*100</f>
        <v/>
      </c>
      <c r="DO347" s="59">
        <f>($AX347-$AX348)*100</f>
        <v/>
      </c>
      <c r="DP347" s="59">
        <f>($AY347-$AY348)*100</f>
        <v/>
      </c>
      <c r="DQ347" s="59">
        <f>($AZ347-$AZ348)*100</f>
        <v/>
      </c>
      <c r="DR347" s="59">
        <f>($BA347-$BA348)*100</f>
        <v/>
      </c>
      <c r="DS347" s="58">
        <f>IFERROR($N348/$N347-1,"")</f>
        <v/>
      </c>
      <c r="DT347" s="58">
        <f>IFERROR($O348/$O347-1,"")</f>
        <v/>
      </c>
      <c r="DU347" s="58">
        <f>IFERROR($P348/$P347-1,"")</f>
        <v/>
      </c>
      <c r="DV347" s="58">
        <f>IFERROR($Q348/$Q347-1,"")</f>
        <v/>
      </c>
      <c r="DW347" s="58">
        <f>IFERROR($R348/$R347-1,"")</f>
        <v/>
      </c>
      <c r="DX347" s="58">
        <f>IFERROR($S348/$S347-1,"")</f>
        <v/>
      </c>
      <c r="DY347" s="58">
        <f>IFERROR($T348/$T347-1,"")</f>
        <v/>
      </c>
      <c r="DZ347" s="58">
        <f>IFERROR($U348/$U347-1,"")</f>
        <v/>
      </c>
      <c r="EA347" s="58">
        <f>IFERROR($V348/$V347-1,"")</f>
        <v/>
      </c>
      <c r="EB347" s="58">
        <f>IFERROR($W348/$W347-1,"")</f>
        <v/>
      </c>
      <c r="EC347" s="58">
        <f>IFERROR($X348/$X347-1,"")</f>
        <v/>
      </c>
      <c r="ED347" s="58">
        <f>IFERROR($Y348/$Y347-1,"")</f>
        <v/>
      </c>
      <c r="EE347" s="58">
        <f>IFERROR($Z348/$Z347-1,"")</f>
        <v/>
      </c>
      <c r="EF347" s="58">
        <f>IFERROR($AA348/$AA347-1,"")</f>
        <v/>
      </c>
      <c r="EG347" s="58">
        <f>IFERROR($AB348/$AB347-1,"")</f>
        <v/>
      </c>
      <c r="EH347" s="58">
        <f>IFERROR($AC348/$AC347-1,"")</f>
        <v/>
      </c>
      <c r="EI347" s="58">
        <f>IFERROR($AD348/$AD347-1,"")</f>
        <v/>
      </c>
      <c r="EJ347" s="58">
        <f>IFERROR($AE348/$AE347-1,"")</f>
        <v/>
      </c>
      <c r="EK347" s="58">
        <f>IFERROR($AF348/$AF347-1,"")</f>
        <v/>
      </c>
      <c r="EL347" s="58">
        <f>IFERROR($AG348/$AG347-1,"")</f>
        <v/>
      </c>
      <c r="EM347" s="58">
        <f>IFERROR($BB347/$BB348-1,"")</f>
        <v/>
      </c>
      <c r="EN347" s="58">
        <f>IFERROR($BC347/$BC348-1,"")</f>
        <v/>
      </c>
      <c r="EO347" s="58">
        <f>IFERROR($BD347/$BD348-1,"")</f>
        <v/>
      </c>
      <c r="EP347" s="58">
        <f>IFERROR($BE347/$BE348-1,"")</f>
        <v/>
      </c>
      <c r="EQ347" s="58">
        <f>IFERROR($BF347/$BF348-1,"")</f>
        <v/>
      </c>
      <c r="ER347" s="58">
        <f>IFERROR($BG347/$BG348-1,"")</f>
        <v/>
      </c>
      <c r="ES347" s="58">
        <f>IFERROR($BH347/$BH348-1,"")</f>
        <v/>
      </c>
      <c r="ET347" s="58">
        <f>IFERROR($BI347/$BI348-1,"")</f>
        <v/>
      </c>
      <c r="EU347" s="58">
        <f>IFERROR($BJ347/$BJ348-1,"")</f>
        <v/>
      </c>
      <c r="EV347" s="58">
        <f>IFERROR($BK347/$BK348-1,"")</f>
        <v/>
      </c>
      <c r="EW347" s="58">
        <f>IFERROR($BL347/$BL348-1,"")</f>
        <v/>
      </c>
      <c r="EX347" s="58">
        <f>IFERROR($BM347/$BM348-1,"")</f>
        <v/>
      </c>
      <c r="EY347" s="58">
        <f>IFERROR($BN347/$BN348-1,"")</f>
        <v/>
      </c>
      <c r="EZ347" s="58">
        <f>IFERROR($BO347/$BO348-1,"")</f>
        <v/>
      </c>
      <c r="FA347" s="58">
        <f>IFERROR($BP347/$BP348-1,"")</f>
        <v/>
      </c>
      <c r="FB347" s="58">
        <f>IFERROR($BQ347/$BQ348-1,"")</f>
        <v/>
      </c>
      <c r="FC347" s="58">
        <f>IFERROR($BR347/$BR348-1,"")</f>
        <v/>
      </c>
      <c r="FD347" s="58">
        <f>IFERROR($BS347/$BS348-1,"")</f>
        <v/>
      </c>
      <c r="FE347" s="58">
        <f>IFERROR($BT347/$BT348-1,"")</f>
        <v/>
      </c>
      <c r="FF347" s="58">
        <f>IFERROR($BU347/$BU348-1,"")</f>
        <v/>
      </c>
      <c r="FG347" s="58">
        <f>IFERROR($BV347/$BV348-1,"")</f>
        <v/>
      </c>
      <c r="FH347" s="58">
        <f>IFERROR($BW347/$BW348-1,"")</f>
        <v/>
      </c>
      <c r="FI347" s="58">
        <f>IFERROR($BX347/$BX348-1,"")</f>
        <v/>
      </c>
      <c r="FJ347" s="59">
        <f>$BY347-$BY348</f>
        <v/>
      </c>
      <c r="FK347" s="59">
        <f>$BZ347-$BZ348</f>
        <v/>
      </c>
      <c r="FL347" s="59">
        <f>$CA347-$CA348</f>
        <v/>
      </c>
      <c r="FM347" s="59">
        <f>$CB347-$CB348</f>
        <v/>
      </c>
      <c r="FN347" s="59">
        <f>$CC347-$CC348</f>
        <v/>
      </c>
      <c r="FO347" s="59">
        <f>$CD347-$CD348</f>
        <v/>
      </c>
      <c r="FP347" s="59">
        <f>$CE347-$CE348</f>
        <v/>
      </c>
      <c r="FQ347" s="59">
        <f>$CF347-$CF348</f>
        <v/>
      </c>
      <c r="FR347" s="59">
        <f>$CG347-$CG348</f>
        <v/>
      </c>
      <c r="FS347" s="59">
        <f>$CH347-$CH348</f>
        <v/>
      </c>
      <c r="FT347" s="59">
        <f>$CI347-$CI348</f>
        <v/>
      </c>
      <c r="FU347" s="59">
        <f>$CJ347-$CJ348</f>
        <v/>
      </c>
      <c r="FV347" s="59">
        <f>$CK347-$CK348</f>
        <v/>
      </c>
      <c r="FW347" s="59">
        <f>$CL347-$CL348</f>
        <v/>
      </c>
      <c r="FX347" s="59">
        <f>$CM347-$CM348</f>
        <v/>
      </c>
      <c r="FY347" s="59">
        <f>$CN347-$CN348</f>
        <v/>
      </c>
      <c r="FZ347" s="59">
        <f>$CO347-$CO348</f>
        <v/>
      </c>
      <c r="GA347" s="59">
        <f>$CP347-$CP348</f>
        <v/>
      </c>
      <c r="GB347" s="59">
        <f>$CQ347-$CQ348</f>
        <v/>
      </c>
      <c r="GC347" s="59">
        <f>$CR347-$CR348</f>
        <v/>
      </c>
      <c r="GD347" s="59">
        <f>$CS347-$CS348</f>
        <v/>
      </c>
      <c r="GE347" s="59">
        <f>$CT347-$CT348</f>
        <v/>
      </c>
    </row>
    <row r="348">
      <c r="CU348" s="58">
        <f>IFERROR($B348/$B349-1,"")</f>
        <v/>
      </c>
      <c r="CV348" s="59">
        <f>($F348-$F349)*100</f>
        <v/>
      </c>
      <c r="CW348" s="59">
        <f>($E348-$E349)*100</f>
        <v/>
      </c>
      <c r="CX348" s="58">
        <f>IFERROR($K348/$K349-1,"")</f>
        <v/>
      </c>
      <c r="CY348" s="59">
        <f>($AH348-$AH349)*100</f>
        <v/>
      </c>
      <c r="CZ348" s="59">
        <f>($AI348-$AI349)*100</f>
        <v/>
      </c>
      <c r="DA348" s="59">
        <f>($AJ348-$AJ349)*100</f>
        <v/>
      </c>
      <c r="DB348" s="59">
        <f>($AK348-$AK349)*100</f>
        <v/>
      </c>
      <c r="DC348" s="59">
        <f>($AL348-$AL349)*100</f>
        <v/>
      </c>
      <c r="DD348" s="59">
        <f>($AM348-$AM349)*100</f>
        <v/>
      </c>
      <c r="DE348" s="59">
        <f>($AN348-$AN349)*100</f>
        <v/>
      </c>
      <c r="DF348" s="59">
        <f>($AO348-$AO349)*100</f>
        <v/>
      </c>
      <c r="DG348" s="59">
        <f>($AP348-$AP349)*100</f>
        <v/>
      </c>
      <c r="DH348" s="59">
        <f>($AQ348-$AQ349)*100</f>
        <v/>
      </c>
      <c r="DI348" s="59">
        <f>($AR348-$AR349)*100</f>
        <v/>
      </c>
      <c r="DJ348" s="59">
        <f>($AS348-$AS349)*100</f>
        <v/>
      </c>
      <c r="DK348" s="59">
        <f>($AT348-$AT349)*100</f>
        <v/>
      </c>
      <c r="DL348" s="59">
        <f>($AU348-$AU349)*100</f>
        <v/>
      </c>
      <c r="DM348" s="59">
        <f>($AV348-$AV349)*100</f>
        <v/>
      </c>
      <c r="DN348" s="59">
        <f>($AW348-$AW349)*100</f>
        <v/>
      </c>
      <c r="DO348" s="59">
        <f>($AX348-$AX349)*100</f>
        <v/>
      </c>
      <c r="DP348" s="59">
        <f>($AY348-$AY349)*100</f>
        <v/>
      </c>
      <c r="DQ348" s="59">
        <f>($AZ348-$AZ349)*100</f>
        <v/>
      </c>
      <c r="DR348" s="59">
        <f>($BA348-$BA349)*100</f>
        <v/>
      </c>
      <c r="DS348" s="58">
        <f>IFERROR($N349/$N348-1,"")</f>
        <v/>
      </c>
      <c r="DT348" s="58">
        <f>IFERROR($O349/$O348-1,"")</f>
        <v/>
      </c>
      <c r="DU348" s="58">
        <f>IFERROR($P349/$P348-1,"")</f>
        <v/>
      </c>
      <c r="DV348" s="58">
        <f>IFERROR($Q349/$Q348-1,"")</f>
        <v/>
      </c>
      <c r="DW348" s="58">
        <f>IFERROR($R349/$R348-1,"")</f>
        <v/>
      </c>
      <c r="DX348" s="58">
        <f>IFERROR($S349/$S348-1,"")</f>
        <v/>
      </c>
      <c r="DY348" s="58">
        <f>IFERROR($T349/$T348-1,"")</f>
        <v/>
      </c>
      <c r="DZ348" s="58">
        <f>IFERROR($U349/$U348-1,"")</f>
        <v/>
      </c>
      <c r="EA348" s="58">
        <f>IFERROR($V349/$V348-1,"")</f>
        <v/>
      </c>
      <c r="EB348" s="58">
        <f>IFERROR($W349/$W348-1,"")</f>
        <v/>
      </c>
      <c r="EC348" s="58">
        <f>IFERROR($X349/$X348-1,"")</f>
        <v/>
      </c>
      <c r="ED348" s="58">
        <f>IFERROR($Y349/$Y348-1,"")</f>
        <v/>
      </c>
      <c r="EE348" s="58">
        <f>IFERROR($Z349/$Z348-1,"")</f>
        <v/>
      </c>
      <c r="EF348" s="58">
        <f>IFERROR($AA349/$AA348-1,"")</f>
        <v/>
      </c>
      <c r="EG348" s="58">
        <f>IFERROR($AB349/$AB348-1,"")</f>
        <v/>
      </c>
      <c r="EH348" s="58">
        <f>IFERROR($AC349/$AC348-1,"")</f>
        <v/>
      </c>
      <c r="EI348" s="58">
        <f>IFERROR($AD349/$AD348-1,"")</f>
        <v/>
      </c>
      <c r="EJ348" s="58">
        <f>IFERROR($AE349/$AE348-1,"")</f>
        <v/>
      </c>
      <c r="EK348" s="58">
        <f>IFERROR($AF349/$AF348-1,"")</f>
        <v/>
      </c>
      <c r="EL348" s="58">
        <f>IFERROR($AG349/$AG348-1,"")</f>
        <v/>
      </c>
      <c r="EM348" s="58">
        <f>IFERROR($BB348/$BB349-1,"")</f>
        <v/>
      </c>
      <c r="EN348" s="58">
        <f>IFERROR($BC348/$BC349-1,"")</f>
        <v/>
      </c>
      <c r="EO348" s="58">
        <f>IFERROR($BD348/$BD349-1,"")</f>
        <v/>
      </c>
      <c r="EP348" s="58">
        <f>IFERROR($BE348/$BE349-1,"")</f>
        <v/>
      </c>
      <c r="EQ348" s="58">
        <f>IFERROR($BF348/$BF349-1,"")</f>
        <v/>
      </c>
      <c r="ER348" s="58">
        <f>IFERROR($BG348/$BG349-1,"")</f>
        <v/>
      </c>
      <c r="ES348" s="58">
        <f>IFERROR($BH348/$BH349-1,"")</f>
        <v/>
      </c>
      <c r="ET348" s="58">
        <f>IFERROR($BI348/$BI349-1,"")</f>
        <v/>
      </c>
      <c r="EU348" s="58">
        <f>IFERROR($BJ348/$BJ349-1,"")</f>
        <v/>
      </c>
      <c r="EV348" s="58">
        <f>IFERROR($BK348/$BK349-1,"")</f>
        <v/>
      </c>
      <c r="EW348" s="58">
        <f>IFERROR($BL348/$BL349-1,"")</f>
        <v/>
      </c>
      <c r="EX348" s="58">
        <f>IFERROR($BM348/$BM349-1,"")</f>
        <v/>
      </c>
      <c r="EY348" s="58">
        <f>IFERROR($BN348/$BN349-1,"")</f>
        <v/>
      </c>
      <c r="EZ348" s="58">
        <f>IFERROR($BO348/$BO349-1,"")</f>
        <v/>
      </c>
      <c r="FA348" s="58">
        <f>IFERROR($BP348/$BP349-1,"")</f>
        <v/>
      </c>
      <c r="FB348" s="58">
        <f>IFERROR($BQ348/$BQ349-1,"")</f>
        <v/>
      </c>
      <c r="FC348" s="58">
        <f>IFERROR($BR348/$BR349-1,"")</f>
        <v/>
      </c>
      <c r="FD348" s="58">
        <f>IFERROR($BS348/$BS349-1,"")</f>
        <v/>
      </c>
      <c r="FE348" s="58">
        <f>IFERROR($BT348/$BT349-1,"")</f>
        <v/>
      </c>
      <c r="FF348" s="58">
        <f>IFERROR($BU348/$BU349-1,"")</f>
        <v/>
      </c>
      <c r="FG348" s="58">
        <f>IFERROR($BV348/$BV349-1,"")</f>
        <v/>
      </c>
      <c r="FH348" s="58">
        <f>IFERROR($BW348/$BW349-1,"")</f>
        <v/>
      </c>
      <c r="FI348" s="58">
        <f>IFERROR($BX348/$BX349-1,"")</f>
        <v/>
      </c>
      <c r="FJ348" s="59">
        <f>$BY348-$BY349</f>
        <v/>
      </c>
      <c r="FK348" s="59">
        <f>$BZ348-$BZ349</f>
        <v/>
      </c>
      <c r="FL348" s="59">
        <f>$CA348-$CA349</f>
        <v/>
      </c>
      <c r="FM348" s="59">
        <f>$CB348-$CB349</f>
        <v/>
      </c>
      <c r="FN348" s="59">
        <f>$CC348-$CC349</f>
        <v/>
      </c>
      <c r="FO348" s="59">
        <f>$CD348-$CD349</f>
        <v/>
      </c>
      <c r="FP348" s="59">
        <f>$CE348-$CE349</f>
        <v/>
      </c>
      <c r="FQ348" s="59">
        <f>$CF348-$CF349</f>
        <v/>
      </c>
      <c r="FR348" s="59">
        <f>$CG348-$CG349</f>
        <v/>
      </c>
      <c r="FS348" s="59">
        <f>$CH348-$CH349</f>
        <v/>
      </c>
      <c r="FT348" s="59">
        <f>$CI348-$CI349</f>
        <v/>
      </c>
      <c r="FU348" s="59">
        <f>$CJ348-$CJ349</f>
        <v/>
      </c>
      <c r="FV348" s="59">
        <f>$CK348-$CK349</f>
        <v/>
      </c>
      <c r="FW348" s="59">
        <f>$CL348-$CL349</f>
        <v/>
      </c>
      <c r="FX348" s="59">
        <f>$CM348-$CM349</f>
        <v/>
      </c>
      <c r="FY348" s="59">
        <f>$CN348-$CN349</f>
        <v/>
      </c>
      <c r="FZ348" s="59">
        <f>$CO348-$CO349</f>
        <v/>
      </c>
      <c r="GA348" s="59">
        <f>$CP348-$CP349</f>
        <v/>
      </c>
      <c r="GB348" s="59">
        <f>$CQ348-$CQ349</f>
        <v/>
      </c>
      <c r="GC348" s="59">
        <f>$CR348-$CR349</f>
        <v/>
      </c>
      <c r="GD348" s="59">
        <f>$CS348-$CS349</f>
        <v/>
      </c>
      <c r="GE348" s="59">
        <f>$CT348-$CT349</f>
        <v/>
      </c>
    </row>
    <row r="349">
      <c r="CU349" s="58">
        <f>IFERROR($B349/$B350-1,"")</f>
        <v/>
      </c>
      <c r="CV349" s="59">
        <f>($F349-$F350)*100</f>
        <v/>
      </c>
      <c r="CW349" s="59">
        <f>($E349-$E350)*100</f>
        <v/>
      </c>
      <c r="CX349" s="58">
        <f>IFERROR($K349/$K350-1,"")</f>
        <v/>
      </c>
      <c r="CY349" s="59">
        <f>($AH349-$AH350)*100</f>
        <v/>
      </c>
      <c r="CZ349" s="59">
        <f>($AI349-$AI350)*100</f>
        <v/>
      </c>
      <c r="DA349" s="59">
        <f>($AJ349-$AJ350)*100</f>
        <v/>
      </c>
      <c r="DB349" s="59">
        <f>($AK349-$AK350)*100</f>
        <v/>
      </c>
      <c r="DC349" s="59">
        <f>($AL349-$AL350)*100</f>
        <v/>
      </c>
      <c r="DD349" s="59">
        <f>($AM349-$AM350)*100</f>
        <v/>
      </c>
      <c r="DE349" s="59">
        <f>($AN349-$AN350)*100</f>
        <v/>
      </c>
      <c r="DF349" s="59">
        <f>($AO349-$AO350)*100</f>
        <v/>
      </c>
      <c r="DG349" s="59">
        <f>($AP349-$AP350)*100</f>
        <v/>
      </c>
      <c r="DH349" s="59">
        <f>($AQ349-$AQ350)*100</f>
        <v/>
      </c>
      <c r="DI349" s="59">
        <f>($AR349-$AR350)*100</f>
        <v/>
      </c>
      <c r="DJ349" s="59">
        <f>($AS349-$AS350)*100</f>
        <v/>
      </c>
      <c r="DK349" s="59">
        <f>($AT349-$AT350)*100</f>
        <v/>
      </c>
      <c r="DL349" s="59">
        <f>($AU349-$AU350)*100</f>
        <v/>
      </c>
      <c r="DM349" s="59">
        <f>($AV349-$AV350)*100</f>
        <v/>
      </c>
      <c r="DN349" s="59">
        <f>($AW349-$AW350)*100</f>
        <v/>
      </c>
      <c r="DO349" s="59">
        <f>($AX349-$AX350)*100</f>
        <v/>
      </c>
      <c r="DP349" s="59">
        <f>($AY349-$AY350)*100</f>
        <v/>
      </c>
      <c r="DQ349" s="59">
        <f>($AZ349-$AZ350)*100</f>
        <v/>
      </c>
      <c r="DR349" s="59">
        <f>($BA349-$BA350)*100</f>
        <v/>
      </c>
      <c r="DS349" s="58">
        <f>IFERROR($N350/$N349-1,"")</f>
        <v/>
      </c>
      <c r="DT349" s="58">
        <f>IFERROR($O350/$O349-1,"")</f>
        <v/>
      </c>
      <c r="DU349" s="58">
        <f>IFERROR($P350/$P349-1,"")</f>
        <v/>
      </c>
      <c r="DV349" s="58">
        <f>IFERROR($Q350/$Q349-1,"")</f>
        <v/>
      </c>
      <c r="DW349" s="58">
        <f>IFERROR($R350/$R349-1,"")</f>
        <v/>
      </c>
      <c r="DX349" s="58">
        <f>IFERROR($S350/$S349-1,"")</f>
        <v/>
      </c>
      <c r="DY349" s="58">
        <f>IFERROR($T350/$T349-1,"")</f>
        <v/>
      </c>
      <c r="DZ349" s="58">
        <f>IFERROR($U350/$U349-1,"")</f>
        <v/>
      </c>
      <c r="EA349" s="58">
        <f>IFERROR($V350/$V349-1,"")</f>
        <v/>
      </c>
      <c r="EB349" s="58">
        <f>IFERROR($W350/$W349-1,"")</f>
        <v/>
      </c>
      <c r="EC349" s="58">
        <f>IFERROR($X350/$X349-1,"")</f>
        <v/>
      </c>
      <c r="ED349" s="58">
        <f>IFERROR($Y350/$Y349-1,"")</f>
        <v/>
      </c>
      <c r="EE349" s="58">
        <f>IFERROR($Z350/$Z349-1,"")</f>
        <v/>
      </c>
      <c r="EF349" s="58">
        <f>IFERROR($AA350/$AA349-1,"")</f>
        <v/>
      </c>
      <c r="EG349" s="58">
        <f>IFERROR($AB350/$AB349-1,"")</f>
        <v/>
      </c>
      <c r="EH349" s="58">
        <f>IFERROR($AC350/$AC349-1,"")</f>
        <v/>
      </c>
      <c r="EI349" s="58">
        <f>IFERROR($AD350/$AD349-1,"")</f>
        <v/>
      </c>
      <c r="EJ349" s="58">
        <f>IFERROR($AE350/$AE349-1,"")</f>
        <v/>
      </c>
      <c r="EK349" s="58">
        <f>IFERROR($AF350/$AF349-1,"")</f>
        <v/>
      </c>
      <c r="EL349" s="58">
        <f>IFERROR($AG350/$AG349-1,"")</f>
        <v/>
      </c>
      <c r="EM349" s="58">
        <f>IFERROR($BB349/$BB350-1,"")</f>
        <v/>
      </c>
      <c r="EN349" s="58">
        <f>IFERROR($BC349/$BC350-1,"")</f>
        <v/>
      </c>
      <c r="EO349" s="58">
        <f>IFERROR($BD349/$BD350-1,"")</f>
        <v/>
      </c>
      <c r="EP349" s="58">
        <f>IFERROR($BE349/$BE350-1,"")</f>
        <v/>
      </c>
      <c r="EQ349" s="58">
        <f>IFERROR($BF349/$BF350-1,"")</f>
        <v/>
      </c>
      <c r="ER349" s="58">
        <f>IFERROR($BG349/$BG350-1,"")</f>
        <v/>
      </c>
      <c r="ES349" s="58">
        <f>IFERROR($BH349/$BH350-1,"")</f>
        <v/>
      </c>
      <c r="ET349" s="58">
        <f>IFERROR($BI349/$BI350-1,"")</f>
        <v/>
      </c>
      <c r="EU349" s="58">
        <f>IFERROR($BJ349/$BJ350-1,"")</f>
        <v/>
      </c>
      <c r="EV349" s="58">
        <f>IFERROR($BK349/$BK350-1,"")</f>
        <v/>
      </c>
      <c r="EW349" s="58">
        <f>IFERROR($BL349/$BL350-1,"")</f>
        <v/>
      </c>
      <c r="EX349" s="58">
        <f>IFERROR($BM349/$BM350-1,"")</f>
        <v/>
      </c>
      <c r="EY349" s="58">
        <f>IFERROR($BN349/$BN350-1,"")</f>
        <v/>
      </c>
      <c r="EZ349" s="58">
        <f>IFERROR($BO349/$BO350-1,"")</f>
        <v/>
      </c>
      <c r="FA349" s="58">
        <f>IFERROR($BP349/$BP350-1,"")</f>
        <v/>
      </c>
      <c r="FB349" s="58">
        <f>IFERROR($BQ349/$BQ350-1,"")</f>
        <v/>
      </c>
      <c r="FC349" s="58">
        <f>IFERROR($BR349/$BR350-1,"")</f>
        <v/>
      </c>
      <c r="FD349" s="58">
        <f>IFERROR($BS349/$BS350-1,"")</f>
        <v/>
      </c>
      <c r="FE349" s="58">
        <f>IFERROR($BT349/$BT350-1,"")</f>
        <v/>
      </c>
      <c r="FF349" s="58">
        <f>IFERROR($BU349/$BU350-1,"")</f>
        <v/>
      </c>
      <c r="FG349" s="58">
        <f>IFERROR($BV349/$BV350-1,"")</f>
        <v/>
      </c>
      <c r="FH349" s="58">
        <f>IFERROR($BW349/$BW350-1,"")</f>
        <v/>
      </c>
      <c r="FI349" s="58">
        <f>IFERROR($BX349/$BX350-1,"")</f>
        <v/>
      </c>
      <c r="FJ349" s="59">
        <f>$BY349-$BY350</f>
        <v/>
      </c>
      <c r="FK349" s="59">
        <f>$BZ349-$BZ350</f>
        <v/>
      </c>
      <c r="FL349" s="59">
        <f>$CA349-$CA350</f>
        <v/>
      </c>
      <c r="FM349" s="59">
        <f>$CB349-$CB350</f>
        <v/>
      </c>
      <c r="FN349" s="59">
        <f>$CC349-$CC350</f>
        <v/>
      </c>
      <c r="FO349" s="59">
        <f>$CD349-$CD350</f>
        <v/>
      </c>
      <c r="FP349" s="59">
        <f>$CE349-$CE350</f>
        <v/>
      </c>
      <c r="FQ349" s="59">
        <f>$CF349-$CF350</f>
        <v/>
      </c>
      <c r="FR349" s="59">
        <f>$CG349-$CG350</f>
        <v/>
      </c>
      <c r="FS349" s="59">
        <f>$CH349-$CH350</f>
        <v/>
      </c>
      <c r="FT349" s="59">
        <f>$CI349-$CI350</f>
        <v/>
      </c>
      <c r="FU349" s="59">
        <f>$CJ349-$CJ350</f>
        <v/>
      </c>
      <c r="FV349" s="59">
        <f>$CK349-$CK350</f>
        <v/>
      </c>
      <c r="FW349" s="59">
        <f>$CL349-$CL350</f>
        <v/>
      </c>
      <c r="FX349" s="59">
        <f>$CM349-$CM350</f>
        <v/>
      </c>
      <c r="FY349" s="59">
        <f>$CN349-$CN350</f>
        <v/>
      </c>
      <c r="FZ349" s="59">
        <f>$CO349-$CO350</f>
        <v/>
      </c>
      <c r="GA349" s="59">
        <f>$CP349-$CP350</f>
        <v/>
      </c>
      <c r="GB349" s="59">
        <f>$CQ349-$CQ350</f>
        <v/>
      </c>
      <c r="GC349" s="59">
        <f>$CR349-$CR350</f>
        <v/>
      </c>
      <c r="GD349" s="59">
        <f>$CS349-$CS350</f>
        <v/>
      </c>
      <c r="GE349" s="59">
        <f>$CT349-$CT350</f>
        <v/>
      </c>
    </row>
    <row r="350">
      <c r="CU350" s="58">
        <f>IFERROR($B350/$B351-1,"")</f>
        <v/>
      </c>
      <c r="CV350" s="59">
        <f>($F350-$F351)*100</f>
        <v/>
      </c>
      <c r="CW350" s="59">
        <f>($E350-$E351)*100</f>
        <v/>
      </c>
      <c r="CX350" s="58">
        <f>IFERROR($K350/$K351-1,"")</f>
        <v/>
      </c>
      <c r="CY350" s="59">
        <f>($AH350-$AH351)*100</f>
        <v/>
      </c>
      <c r="CZ350" s="59">
        <f>($AI350-$AI351)*100</f>
        <v/>
      </c>
      <c r="DA350" s="59">
        <f>($AJ350-$AJ351)*100</f>
        <v/>
      </c>
      <c r="DB350" s="59">
        <f>($AK350-$AK351)*100</f>
        <v/>
      </c>
      <c r="DC350" s="59">
        <f>($AL350-$AL351)*100</f>
        <v/>
      </c>
      <c r="DD350" s="59">
        <f>($AM350-$AM351)*100</f>
        <v/>
      </c>
      <c r="DE350" s="59">
        <f>($AN350-$AN351)*100</f>
        <v/>
      </c>
      <c r="DF350" s="59">
        <f>($AO350-$AO351)*100</f>
        <v/>
      </c>
      <c r="DG350" s="59">
        <f>($AP350-$AP351)*100</f>
        <v/>
      </c>
      <c r="DH350" s="59">
        <f>($AQ350-$AQ351)*100</f>
        <v/>
      </c>
      <c r="DI350" s="59">
        <f>($AR350-$AR351)*100</f>
        <v/>
      </c>
      <c r="DJ350" s="59">
        <f>($AS350-$AS351)*100</f>
        <v/>
      </c>
      <c r="DK350" s="59">
        <f>($AT350-$AT351)*100</f>
        <v/>
      </c>
      <c r="DL350" s="59">
        <f>($AU350-$AU351)*100</f>
        <v/>
      </c>
      <c r="DM350" s="59">
        <f>($AV350-$AV351)*100</f>
        <v/>
      </c>
      <c r="DN350" s="59">
        <f>($AW350-$AW351)*100</f>
        <v/>
      </c>
      <c r="DO350" s="59">
        <f>($AX350-$AX351)*100</f>
        <v/>
      </c>
      <c r="DP350" s="59">
        <f>($AY350-$AY351)*100</f>
        <v/>
      </c>
      <c r="DQ350" s="59">
        <f>($AZ350-$AZ351)*100</f>
        <v/>
      </c>
      <c r="DR350" s="59">
        <f>($BA350-$BA351)*100</f>
        <v/>
      </c>
      <c r="DS350" s="58">
        <f>IFERROR($N351/$N350-1,"")</f>
        <v/>
      </c>
      <c r="DT350" s="58">
        <f>IFERROR($O351/$O350-1,"")</f>
        <v/>
      </c>
      <c r="DU350" s="58">
        <f>IFERROR($P351/$P350-1,"")</f>
        <v/>
      </c>
      <c r="DV350" s="58">
        <f>IFERROR($Q351/$Q350-1,"")</f>
        <v/>
      </c>
      <c r="DW350" s="58">
        <f>IFERROR($R351/$R350-1,"")</f>
        <v/>
      </c>
      <c r="DX350" s="58">
        <f>IFERROR($S351/$S350-1,"")</f>
        <v/>
      </c>
      <c r="DY350" s="58">
        <f>IFERROR($T351/$T350-1,"")</f>
        <v/>
      </c>
      <c r="DZ350" s="58">
        <f>IFERROR($U351/$U350-1,"")</f>
        <v/>
      </c>
      <c r="EA350" s="58">
        <f>IFERROR($V351/$V350-1,"")</f>
        <v/>
      </c>
      <c r="EB350" s="58">
        <f>IFERROR($W351/$W350-1,"")</f>
        <v/>
      </c>
      <c r="EC350" s="58">
        <f>IFERROR($X351/$X350-1,"")</f>
        <v/>
      </c>
      <c r="ED350" s="58">
        <f>IFERROR($Y351/$Y350-1,"")</f>
        <v/>
      </c>
      <c r="EE350" s="58">
        <f>IFERROR($Z351/$Z350-1,"")</f>
        <v/>
      </c>
      <c r="EF350" s="58">
        <f>IFERROR($AA351/$AA350-1,"")</f>
        <v/>
      </c>
      <c r="EG350" s="58">
        <f>IFERROR($AB351/$AB350-1,"")</f>
        <v/>
      </c>
      <c r="EH350" s="58">
        <f>IFERROR($AC351/$AC350-1,"")</f>
        <v/>
      </c>
      <c r="EI350" s="58">
        <f>IFERROR($AD351/$AD350-1,"")</f>
        <v/>
      </c>
      <c r="EJ350" s="58">
        <f>IFERROR($AE351/$AE350-1,"")</f>
        <v/>
      </c>
      <c r="EK350" s="58">
        <f>IFERROR($AF351/$AF350-1,"")</f>
        <v/>
      </c>
      <c r="EL350" s="58">
        <f>IFERROR($AG351/$AG350-1,"")</f>
        <v/>
      </c>
      <c r="EM350" s="58">
        <f>IFERROR($BB350/$BB351-1,"")</f>
        <v/>
      </c>
      <c r="EN350" s="58">
        <f>IFERROR($BC350/$BC351-1,"")</f>
        <v/>
      </c>
      <c r="EO350" s="58">
        <f>IFERROR($BD350/$BD351-1,"")</f>
        <v/>
      </c>
      <c r="EP350" s="58">
        <f>IFERROR($BE350/$BE351-1,"")</f>
        <v/>
      </c>
      <c r="EQ350" s="58">
        <f>IFERROR($BF350/$BF351-1,"")</f>
        <v/>
      </c>
      <c r="ER350" s="58">
        <f>IFERROR($BG350/$BG351-1,"")</f>
        <v/>
      </c>
      <c r="ES350" s="58">
        <f>IFERROR($BH350/$BH351-1,"")</f>
        <v/>
      </c>
      <c r="ET350" s="58">
        <f>IFERROR($BI350/$BI351-1,"")</f>
        <v/>
      </c>
      <c r="EU350" s="58">
        <f>IFERROR($BJ350/$BJ351-1,"")</f>
        <v/>
      </c>
      <c r="EV350" s="58">
        <f>IFERROR($BK350/$BK351-1,"")</f>
        <v/>
      </c>
      <c r="EW350" s="58">
        <f>IFERROR($BL350/$BL351-1,"")</f>
        <v/>
      </c>
      <c r="EX350" s="58">
        <f>IFERROR($BM350/$BM351-1,"")</f>
        <v/>
      </c>
      <c r="EY350" s="58">
        <f>IFERROR($BN350/$BN351-1,"")</f>
        <v/>
      </c>
      <c r="EZ350" s="58">
        <f>IFERROR($BO350/$BO351-1,"")</f>
        <v/>
      </c>
      <c r="FA350" s="58">
        <f>IFERROR($BP350/$BP351-1,"")</f>
        <v/>
      </c>
      <c r="FB350" s="58">
        <f>IFERROR($BQ350/$BQ351-1,"")</f>
        <v/>
      </c>
      <c r="FC350" s="58">
        <f>IFERROR($BR350/$BR351-1,"")</f>
        <v/>
      </c>
      <c r="FD350" s="58">
        <f>IFERROR($BS350/$BS351-1,"")</f>
        <v/>
      </c>
      <c r="FE350" s="58">
        <f>IFERROR($BT350/$BT351-1,"")</f>
        <v/>
      </c>
      <c r="FF350" s="58">
        <f>IFERROR($BU350/$BU351-1,"")</f>
        <v/>
      </c>
      <c r="FG350" s="58">
        <f>IFERROR($BV350/$BV351-1,"")</f>
        <v/>
      </c>
      <c r="FH350" s="58">
        <f>IFERROR($BW350/$BW351-1,"")</f>
        <v/>
      </c>
      <c r="FI350" s="58">
        <f>IFERROR($BX350/$BX351-1,"")</f>
        <v/>
      </c>
      <c r="FJ350" s="59">
        <f>$BY350-$BY351</f>
        <v/>
      </c>
      <c r="FK350" s="59">
        <f>$BZ350-$BZ351</f>
        <v/>
      </c>
      <c r="FL350" s="59">
        <f>$CA350-$CA351</f>
        <v/>
      </c>
      <c r="FM350" s="59">
        <f>$CB350-$CB351</f>
        <v/>
      </c>
      <c r="FN350" s="59">
        <f>$CC350-$CC351</f>
        <v/>
      </c>
      <c r="FO350" s="59">
        <f>$CD350-$CD351</f>
        <v/>
      </c>
      <c r="FP350" s="59">
        <f>$CE350-$CE351</f>
        <v/>
      </c>
      <c r="FQ350" s="59">
        <f>$CF350-$CF351</f>
        <v/>
      </c>
      <c r="FR350" s="59">
        <f>$CG350-$CG351</f>
        <v/>
      </c>
      <c r="FS350" s="59">
        <f>$CH350-$CH351</f>
        <v/>
      </c>
      <c r="FT350" s="59">
        <f>$CI350-$CI351</f>
        <v/>
      </c>
      <c r="FU350" s="59">
        <f>$CJ350-$CJ351</f>
        <v/>
      </c>
      <c r="FV350" s="59">
        <f>$CK350-$CK351</f>
        <v/>
      </c>
      <c r="FW350" s="59">
        <f>$CL350-$CL351</f>
        <v/>
      </c>
      <c r="FX350" s="59">
        <f>$CM350-$CM351</f>
        <v/>
      </c>
      <c r="FY350" s="59">
        <f>$CN350-$CN351</f>
        <v/>
      </c>
      <c r="FZ350" s="59">
        <f>$CO350-$CO351</f>
        <v/>
      </c>
      <c r="GA350" s="59">
        <f>$CP350-$CP351</f>
        <v/>
      </c>
      <c r="GB350" s="59">
        <f>$CQ350-$CQ351</f>
        <v/>
      </c>
      <c r="GC350" s="59">
        <f>$CR350-$CR351</f>
        <v/>
      </c>
      <c r="GD350" s="59">
        <f>$CS350-$CS351</f>
        <v/>
      </c>
      <c r="GE350" s="59">
        <f>$CT350-$CT351</f>
        <v/>
      </c>
    </row>
    <row r="351">
      <c r="CU351" s="58">
        <f>IFERROR($B351/$B352-1,"")</f>
        <v/>
      </c>
      <c r="CV351" s="59">
        <f>($F351-$F352)*100</f>
        <v/>
      </c>
      <c r="CW351" s="59">
        <f>($E351-$E352)*100</f>
        <v/>
      </c>
      <c r="CX351" s="58">
        <f>IFERROR($K351/$K352-1,"")</f>
        <v/>
      </c>
      <c r="CY351" s="59">
        <f>($AH351-$AH352)*100</f>
        <v/>
      </c>
      <c r="CZ351" s="59">
        <f>($AI351-$AI352)*100</f>
        <v/>
      </c>
      <c r="DA351" s="59">
        <f>($AJ351-$AJ352)*100</f>
        <v/>
      </c>
      <c r="DB351" s="59">
        <f>($AK351-$AK352)*100</f>
        <v/>
      </c>
      <c r="DC351" s="59">
        <f>($AL351-$AL352)*100</f>
        <v/>
      </c>
      <c r="DD351" s="59">
        <f>($AM351-$AM352)*100</f>
        <v/>
      </c>
      <c r="DE351" s="59">
        <f>($AN351-$AN352)*100</f>
        <v/>
      </c>
      <c r="DF351" s="59">
        <f>($AO351-$AO352)*100</f>
        <v/>
      </c>
      <c r="DG351" s="59">
        <f>($AP351-$AP352)*100</f>
        <v/>
      </c>
      <c r="DH351" s="59">
        <f>($AQ351-$AQ352)*100</f>
        <v/>
      </c>
      <c r="DI351" s="59">
        <f>($AR351-$AR352)*100</f>
        <v/>
      </c>
      <c r="DJ351" s="59">
        <f>($AS351-$AS352)*100</f>
        <v/>
      </c>
      <c r="DK351" s="59">
        <f>($AT351-$AT352)*100</f>
        <v/>
      </c>
      <c r="DL351" s="59">
        <f>($AU351-$AU352)*100</f>
        <v/>
      </c>
      <c r="DM351" s="59">
        <f>($AV351-$AV352)*100</f>
        <v/>
      </c>
      <c r="DN351" s="59">
        <f>($AW351-$AW352)*100</f>
        <v/>
      </c>
      <c r="DO351" s="59">
        <f>($AX351-$AX352)*100</f>
        <v/>
      </c>
      <c r="DP351" s="59">
        <f>($AY351-$AY352)*100</f>
        <v/>
      </c>
      <c r="DQ351" s="59">
        <f>($AZ351-$AZ352)*100</f>
        <v/>
      </c>
      <c r="DR351" s="59">
        <f>($BA351-$BA352)*100</f>
        <v/>
      </c>
      <c r="DS351" s="58">
        <f>IFERROR($N352/$N351-1,"")</f>
        <v/>
      </c>
      <c r="DT351" s="58">
        <f>IFERROR($O352/$O351-1,"")</f>
        <v/>
      </c>
      <c r="DU351" s="58">
        <f>IFERROR($P352/$P351-1,"")</f>
        <v/>
      </c>
      <c r="DV351" s="58">
        <f>IFERROR($Q352/$Q351-1,"")</f>
        <v/>
      </c>
      <c r="DW351" s="58">
        <f>IFERROR($R352/$R351-1,"")</f>
        <v/>
      </c>
      <c r="DX351" s="58">
        <f>IFERROR($S352/$S351-1,"")</f>
        <v/>
      </c>
      <c r="DY351" s="58">
        <f>IFERROR($T352/$T351-1,"")</f>
        <v/>
      </c>
      <c r="DZ351" s="58">
        <f>IFERROR($U352/$U351-1,"")</f>
        <v/>
      </c>
      <c r="EA351" s="58">
        <f>IFERROR($V352/$V351-1,"")</f>
        <v/>
      </c>
      <c r="EB351" s="58">
        <f>IFERROR($W352/$W351-1,"")</f>
        <v/>
      </c>
      <c r="EC351" s="58">
        <f>IFERROR($X352/$X351-1,"")</f>
        <v/>
      </c>
      <c r="ED351" s="58">
        <f>IFERROR($Y352/$Y351-1,"")</f>
        <v/>
      </c>
      <c r="EE351" s="58">
        <f>IFERROR($Z352/$Z351-1,"")</f>
        <v/>
      </c>
      <c r="EF351" s="58">
        <f>IFERROR($AA352/$AA351-1,"")</f>
        <v/>
      </c>
      <c r="EG351" s="58">
        <f>IFERROR($AB352/$AB351-1,"")</f>
        <v/>
      </c>
      <c r="EH351" s="58">
        <f>IFERROR($AC352/$AC351-1,"")</f>
        <v/>
      </c>
      <c r="EI351" s="58">
        <f>IFERROR($AD352/$AD351-1,"")</f>
        <v/>
      </c>
      <c r="EJ351" s="58">
        <f>IFERROR($AE352/$AE351-1,"")</f>
        <v/>
      </c>
      <c r="EK351" s="58">
        <f>IFERROR($AF352/$AF351-1,"")</f>
        <v/>
      </c>
      <c r="EL351" s="58">
        <f>IFERROR($AG352/$AG351-1,"")</f>
        <v/>
      </c>
      <c r="EM351" s="58">
        <f>IFERROR($BB351/$BB352-1,"")</f>
        <v/>
      </c>
      <c r="EN351" s="58">
        <f>IFERROR($BC351/$BC352-1,"")</f>
        <v/>
      </c>
      <c r="EO351" s="58">
        <f>IFERROR($BD351/$BD352-1,"")</f>
        <v/>
      </c>
      <c r="EP351" s="58">
        <f>IFERROR($BE351/$BE352-1,"")</f>
        <v/>
      </c>
      <c r="EQ351" s="58">
        <f>IFERROR($BF351/$BF352-1,"")</f>
        <v/>
      </c>
      <c r="ER351" s="58">
        <f>IFERROR($BG351/$BG352-1,"")</f>
        <v/>
      </c>
      <c r="ES351" s="58">
        <f>IFERROR($BH351/$BH352-1,"")</f>
        <v/>
      </c>
      <c r="ET351" s="58">
        <f>IFERROR($BI351/$BI352-1,"")</f>
        <v/>
      </c>
      <c r="EU351" s="58">
        <f>IFERROR($BJ351/$BJ352-1,"")</f>
        <v/>
      </c>
      <c r="EV351" s="58">
        <f>IFERROR($BK351/$BK352-1,"")</f>
        <v/>
      </c>
      <c r="EW351" s="58">
        <f>IFERROR($BL351/$BL352-1,"")</f>
        <v/>
      </c>
      <c r="EX351" s="58">
        <f>IFERROR($BM351/$BM352-1,"")</f>
        <v/>
      </c>
      <c r="EY351" s="58">
        <f>IFERROR($BN351/$BN352-1,"")</f>
        <v/>
      </c>
      <c r="EZ351" s="58">
        <f>IFERROR($BO351/$BO352-1,"")</f>
        <v/>
      </c>
      <c r="FA351" s="58">
        <f>IFERROR($BP351/$BP352-1,"")</f>
        <v/>
      </c>
      <c r="FB351" s="58">
        <f>IFERROR($BQ351/$BQ352-1,"")</f>
        <v/>
      </c>
      <c r="FC351" s="58">
        <f>IFERROR($BR351/$BR352-1,"")</f>
        <v/>
      </c>
      <c r="FD351" s="58">
        <f>IFERROR($BS351/$BS352-1,"")</f>
        <v/>
      </c>
      <c r="FE351" s="58">
        <f>IFERROR($BT351/$BT352-1,"")</f>
        <v/>
      </c>
      <c r="FF351" s="58">
        <f>IFERROR($BU351/$BU352-1,"")</f>
        <v/>
      </c>
      <c r="FG351" s="58">
        <f>IFERROR($BV351/$BV352-1,"")</f>
        <v/>
      </c>
      <c r="FH351" s="58">
        <f>IFERROR($BW351/$BW352-1,"")</f>
        <v/>
      </c>
      <c r="FI351" s="58">
        <f>IFERROR($BX351/$BX352-1,"")</f>
        <v/>
      </c>
      <c r="FJ351" s="59">
        <f>$BY351-$BY352</f>
        <v/>
      </c>
      <c r="FK351" s="59">
        <f>$BZ351-$BZ352</f>
        <v/>
      </c>
      <c r="FL351" s="59">
        <f>$CA351-$CA352</f>
        <v/>
      </c>
      <c r="FM351" s="59">
        <f>$CB351-$CB352</f>
        <v/>
      </c>
      <c r="FN351" s="59">
        <f>$CC351-$CC352</f>
        <v/>
      </c>
      <c r="FO351" s="59">
        <f>$CD351-$CD352</f>
        <v/>
      </c>
      <c r="FP351" s="59">
        <f>$CE351-$CE352</f>
        <v/>
      </c>
      <c r="FQ351" s="59">
        <f>$CF351-$CF352</f>
        <v/>
      </c>
      <c r="FR351" s="59">
        <f>$CG351-$CG352</f>
        <v/>
      </c>
      <c r="FS351" s="59">
        <f>$CH351-$CH352</f>
        <v/>
      </c>
      <c r="FT351" s="59">
        <f>$CI351-$CI352</f>
        <v/>
      </c>
      <c r="FU351" s="59">
        <f>$CJ351-$CJ352</f>
        <v/>
      </c>
      <c r="FV351" s="59">
        <f>$CK351-$CK352</f>
        <v/>
      </c>
      <c r="FW351" s="59">
        <f>$CL351-$CL352</f>
        <v/>
      </c>
      <c r="FX351" s="59">
        <f>$CM351-$CM352</f>
        <v/>
      </c>
      <c r="FY351" s="59">
        <f>$CN351-$CN352</f>
        <v/>
      </c>
      <c r="FZ351" s="59">
        <f>$CO351-$CO352</f>
        <v/>
      </c>
      <c r="GA351" s="59">
        <f>$CP351-$CP352</f>
        <v/>
      </c>
      <c r="GB351" s="59">
        <f>$CQ351-$CQ352</f>
        <v/>
      </c>
      <c r="GC351" s="59">
        <f>$CR351-$CR352</f>
        <v/>
      </c>
      <c r="GD351" s="59">
        <f>$CS351-$CS352</f>
        <v/>
      </c>
      <c r="GE351" s="59">
        <f>$CT351-$CT352</f>
        <v/>
      </c>
    </row>
    <row r="352">
      <c r="CU352" s="58">
        <f>IFERROR($B352/$B353-1,"")</f>
        <v/>
      </c>
      <c r="CV352" s="59">
        <f>($F352-$F353)*100</f>
        <v/>
      </c>
      <c r="CW352" s="59">
        <f>($E352-$E353)*100</f>
        <v/>
      </c>
      <c r="CX352" s="58">
        <f>IFERROR($K352/$K353-1,"")</f>
        <v/>
      </c>
      <c r="CY352" s="59">
        <f>($AH352-$AH353)*100</f>
        <v/>
      </c>
      <c r="CZ352" s="59">
        <f>($AI352-$AI353)*100</f>
        <v/>
      </c>
      <c r="DA352" s="59">
        <f>($AJ352-$AJ353)*100</f>
        <v/>
      </c>
      <c r="DB352" s="59">
        <f>($AK352-$AK353)*100</f>
        <v/>
      </c>
      <c r="DC352" s="59">
        <f>($AL352-$AL353)*100</f>
        <v/>
      </c>
      <c r="DD352" s="59">
        <f>($AM352-$AM353)*100</f>
        <v/>
      </c>
      <c r="DE352" s="59">
        <f>($AN352-$AN353)*100</f>
        <v/>
      </c>
      <c r="DF352" s="59">
        <f>($AO352-$AO353)*100</f>
        <v/>
      </c>
      <c r="DG352" s="59">
        <f>($AP352-$AP353)*100</f>
        <v/>
      </c>
      <c r="DH352" s="59">
        <f>($AQ352-$AQ353)*100</f>
        <v/>
      </c>
      <c r="DI352" s="59">
        <f>($AR352-$AR353)*100</f>
        <v/>
      </c>
      <c r="DJ352" s="59">
        <f>($AS352-$AS353)*100</f>
        <v/>
      </c>
      <c r="DK352" s="59">
        <f>($AT352-$AT353)*100</f>
        <v/>
      </c>
      <c r="DL352" s="59">
        <f>($AU352-$AU353)*100</f>
        <v/>
      </c>
      <c r="DM352" s="59">
        <f>($AV352-$AV353)*100</f>
        <v/>
      </c>
      <c r="DN352" s="59">
        <f>($AW352-$AW353)*100</f>
        <v/>
      </c>
      <c r="DO352" s="59">
        <f>($AX352-$AX353)*100</f>
        <v/>
      </c>
      <c r="DP352" s="59">
        <f>($AY352-$AY353)*100</f>
        <v/>
      </c>
      <c r="DQ352" s="59">
        <f>($AZ352-$AZ353)*100</f>
        <v/>
      </c>
      <c r="DR352" s="59">
        <f>($BA352-$BA353)*100</f>
        <v/>
      </c>
      <c r="DS352" s="58">
        <f>IFERROR($N353/$N352-1,"")</f>
        <v/>
      </c>
      <c r="DT352" s="58">
        <f>IFERROR($O353/$O352-1,"")</f>
        <v/>
      </c>
      <c r="DU352" s="58">
        <f>IFERROR($P353/$P352-1,"")</f>
        <v/>
      </c>
      <c r="DV352" s="58">
        <f>IFERROR($Q353/$Q352-1,"")</f>
        <v/>
      </c>
      <c r="DW352" s="58">
        <f>IFERROR($R353/$R352-1,"")</f>
        <v/>
      </c>
      <c r="DX352" s="58">
        <f>IFERROR($S353/$S352-1,"")</f>
        <v/>
      </c>
      <c r="DY352" s="58">
        <f>IFERROR($T353/$T352-1,"")</f>
        <v/>
      </c>
      <c r="DZ352" s="58">
        <f>IFERROR($U353/$U352-1,"")</f>
        <v/>
      </c>
      <c r="EA352" s="58">
        <f>IFERROR($V353/$V352-1,"")</f>
        <v/>
      </c>
      <c r="EB352" s="58">
        <f>IFERROR($W353/$W352-1,"")</f>
        <v/>
      </c>
      <c r="EC352" s="58">
        <f>IFERROR($X353/$X352-1,"")</f>
        <v/>
      </c>
      <c r="ED352" s="58">
        <f>IFERROR($Y353/$Y352-1,"")</f>
        <v/>
      </c>
      <c r="EE352" s="58">
        <f>IFERROR($Z353/$Z352-1,"")</f>
        <v/>
      </c>
      <c r="EF352" s="58">
        <f>IFERROR($AA353/$AA352-1,"")</f>
        <v/>
      </c>
      <c r="EG352" s="58">
        <f>IFERROR($AB353/$AB352-1,"")</f>
        <v/>
      </c>
      <c r="EH352" s="58">
        <f>IFERROR($AC353/$AC352-1,"")</f>
        <v/>
      </c>
      <c r="EI352" s="58">
        <f>IFERROR($AD353/$AD352-1,"")</f>
        <v/>
      </c>
      <c r="EJ352" s="58">
        <f>IFERROR($AE353/$AE352-1,"")</f>
        <v/>
      </c>
      <c r="EK352" s="58">
        <f>IFERROR($AF353/$AF352-1,"")</f>
        <v/>
      </c>
      <c r="EL352" s="58">
        <f>IFERROR($AG353/$AG352-1,"")</f>
        <v/>
      </c>
      <c r="EM352" s="58">
        <f>IFERROR($BB352/$BB353-1,"")</f>
        <v/>
      </c>
      <c r="EN352" s="58">
        <f>IFERROR($BC352/$BC353-1,"")</f>
        <v/>
      </c>
      <c r="EO352" s="58">
        <f>IFERROR($BD352/$BD353-1,"")</f>
        <v/>
      </c>
      <c r="EP352" s="58">
        <f>IFERROR($BE352/$BE353-1,"")</f>
        <v/>
      </c>
      <c r="EQ352" s="58">
        <f>IFERROR($BF352/$BF353-1,"")</f>
        <v/>
      </c>
      <c r="ER352" s="58">
        <f>IFERROR($BG352/$BG353-1,"")</f>
        <v/>
      </c>
      <c r="ES352" s="58">
        <f>IFERROR($BH352/$BH353-1,"")</f>
        <v/>
      </c>
      <c r="ET352" s="58">
        <f>IFERROR($BI352/$BI353-1,"")</f>
        <v/>
      </c>
      <c r="EU352" s="58">
        <f>IFERROR($BJ352/$BJ353-1,"")</f>
        <v/>
      </c>
      <c r="EV352" s="58">
        <f>IFERROR($BK352/$BK353-1,"")</f>
        <v/>
      </c>
      <c r="EW352" s="58">
        <f>IFERROR($BL352/$BL353-1,"")</f>
        <v/>
      </c>
      <c r="EX352" s="58">
        <f>IFERROR($BM352/$BM353-1,"")</f>
        <v/>
      </c>
      <c r="EY352" s="58">
        <f>IFERROR($BN352/$BN353-1,"")</f>
        <v/>
      </c>
      <c r="EZ352" s="58">
        <f>IFERROR($BO352/$BO353-1,"")</f>
        <v/>
      </c>
      <c r="FA352" s="58">
        <f>IFERROR($BP352/$BP353-1,"")</f>
        <v/>
      </c>
      <c r="FB352" s="58">
        <f>IFERROR($BQ352/$BQ353-1,"")</f>
        <v/>
      </c>
      <c r="FC352" s="58">
        <f>IFERROR($BR352/$BR353-1,"")</f>
        <v/>
      </c>
      <c r="FD352" s="58">
        <f>IFERROR($BS352/$BS353-1,"")</f>
        <v/>
      </c>
      <c r="FE352" s="58">
        <f>IFERROR($BT352/$BT353-1,"")</f>
        <v/>
      </c>
      <c r="FF352" s="58">
        <f>IFERROR($BU352/$BU353-1,"")</f>
        <v/>
      </c>
      <c r="FG352" s="58">
        <f>IFERROR($BV352/$BV353-1,"")</f>
        <v/>
      </c>
      <c r="FH352" s="58">
        <f>IFERROR($BW352/$BW353-1,"")</f>
        <v/>
      </c>
      <c r="FI352" s="58">
        <f>IFERROR($BX352/$BX353-1,"")</f>
        <v/>
      </c>
      <c r="FJ352" s="59">
        <f>$BY352-$BY353</f>
        <v/>
      </c>
      <c r="FK352" s="59">
        <f>$BZ352-$BZ353</f>
        <v/>
      </c>
      <c r="FL352" s="59">
        <f>$CA352-$CA353</f>
        <v/>
      </c>
      <c r="FM352" s="59">
        <f>$CB352-$CB353</f>
        <v/>
      </c>
      <c r="FN352" s="59">
        <f>$CC352-$CC353</f>
        <v/>
      </c>
      <c r="FO352" s="59">
        <f>$CD352-$CD353</f>
        <v/>
      </c>
      <c r="FP352" s="59">
        <f>$CE352-$CE353</f>
        <v/>
      </c>
      <c r="FQ352" s="59">
        <f>$CF352-$CF353</f>
        <v/>
      </c>
      <c r="FR352" s="59">
        <f>$CG352-$CG353</f>
        <v/>
      </c>
      <c r="FS352" s="59">
        <f>$CH352-$CH353</f>
        <v/>
      </c>
      <c r="FT352" s="59">
        <f>$CI352-$CI353</f>
        <v/>
      </c>
      <c r="FU352" s="59">
        <f>$CJ352-$CJ353</f>
        <v/>
      </c>
      <c r="FV352" s="59">
        <f>$CK352-$CK353</f>
        <v/>
      </c>
      <c r="FW352" s="59">
        <f>$CL352-$CL353</f>
        <v/>
      </c>
      <c r="FX352" s="59">
        <f>$CM352-$CM353</f>
        <v/>
      </c>
      <c r="FY352" s="59">
        <f>$CN352-$CN353</f>
        <v/>
      </c>
      <c r="FZ352" s="59">
        <f>$CO352-$CO353</f>
        <v/>
      </c>
      <c r="GA352" s="59">
        <f>$CP352-$CP353</f>
        <v/>
      </c>
      <c r="GB352" s="59">
        <f>$CQ352-$CQ353</f>
        <v/>
      </c>
      <c r="GC352" s="59">
        <f>$CR352-$CR353</f>
        <v/>
      </c>
      <c r="GD352" s="59">
        <f>$CS352-$CS353</f>
        <v/>
      </c>
      <c r="GE352" s="59">
        <f>$CT352-$CT353</f>
        <v/>
      </c>
    </row>
    <row r="353">
      <c r="CU353" s="58">
        <f>IFERROR($B353/$B354-1,"")</f>
        <v/>
      </c>
      <c r="CV353" s="59">
        <f>($F353-$F354)*100</f>
        <v/>
      </c>
      <c r="CW353" s="59">
        <f>($E353-$E354)*100</f>
        <v/>
      </c>
      <c r="CX353" s="58">
        <f>IFERROR($K353/$K354-1,"")</f>
        <v/>
      </c>
      <c r="CY353" s="59">
        <f>($AH353-$AH354)*100</f>
        <v/>
      </c>
      <c r="CZ353" s="59">
        <f>($AI353-$AI354)*100</f>
        <v/>
      </c>
      <c r="DA353" s="59">
        <f>($AJ353-$AJ354)*100</f>
        <v/>
      </c>
      <c r="DB353" s="59">
        <f>($AK353-$AK354)*100</f>
        <v/>
      </c>
      <c r="DC353" s="59">
        <f>($AL353-$AL354)*100</f>
        <v/>
      </c>
      <c r="DD353" s="59">
        <f>($AM353-$AM354)*100</f>
        <v/>
      </c>
      <c r="DE353" s="59">
        <f>($AN353-$AN354)*100</f>
        <v/>
      </c>
      <c r="DF353" s="59">
        <f>($AO353-$AO354)*100</f>
        <v/>
      </c>
      <c r="DG353" s="59">
        <f>($AP353-$AP354)*100</f>
        <v/>
      </c>
      <c r="DH353" s="59">
        <f>($AQ353-$AQ354)*100</f>
        <v/>
      </c>
      <c r="DI353" s="59">
        <f>($AR353-$AR354)*100</f>
        <v/>
      </c>
      <c r="DJ353" s="59">
        <f>($AS353-$AS354)*100</f>
        <v/>
      </c>
      <c r="DK353" s="59">
        <f>($AT353-$AT354)*100</f>
        <v/>
      </c>
      <c r="DL353" s="59">
        <f>($AU353-$AU354)*100</f>
        <v/>
      </c>
      <c r="DM353" s="59">
        <f>($AV353-$AV354)*100</f>
        <v/>
      </c>
      <c r="DN353" s="59">
        <f>($AW353-$AW354)*100</f>
        <v/>
      </c>
      <c r="DO353" s="59">
        <f>($AX353-$AX354)*100</f>
        <v/>
      </c>
      <c r="DP353" s="59">
        <f>($AY353-$AY354)*100</f>
        <v/>
      </c>
      <c r="DQ353" s="59">
        <f>($AZ353-$AZ354)*100</f>
        <v/>
      </c>
      <c r="DR353" s="59">
        <f>($BA353-$BA354)*100</f>
        <v/>
      </c>
      <c r="DS353" s="58">
        <f>IFERROR($N354/$N353-1,"")</f>
        <v/>
      </c>
      <c r="DT353" s="58">
        <f>IFERROR($O354/$O353-1,"")</f>
        <v/>
      </c>
      <c r="DU353" s="58">
        <f>IFERROR($P354/$P353-1,"")</f>
        <v/>
      </c>
      <c r="DV353" s="58">
        <f>IFERROR($Q354/$Q353-1,"")</f>
        <v/>
      </c>
      <c r="DW353" s="58">
        <f>IFERROR($R354/$R353-1,"")</f>
        <v/>
      </c>
      <c r="DX353" s="58">
        <f>IFERROR($S354/$S353-1,"")</f>
        <v/>
      </c>
      <c r="DY353" s="58">
        <f>IFERROR($T354/$T353-1,"")</f>
        <v/>
      </c>
      <c r="DZ353" s="58">
        <f>IFERROR($U354/$U353-1,"")</f>
        <v/>
      </c>
      <c r="EA353" s="58">
        <f>IFERROR($V354/$V353-1,"")</f>
        <v/>
      </c>
      <c r="EB353" s="58">
        <f>IFERROR($W354/$W353-1,"")</f>
        <v/>
      </c>
      <c r="EC353" s="58">
        <f>IFERROR($X354/$X353-1,"")</f>
        <v/>
      </c>
      <c r="ED353" s="58">
        <f>IFERROR($Y354/$Y353-1,"")</f>
        <v/>
      </c>
      <c r="EE353" s="58">
        <f>IFERROR($Z354/$Z353-1,"")</f>
        <v/>
      </c>
      <c r="EF353" s="58">
        <f>IFERROR($AA354/$AA353-1,"")</f>
        <v/>
      </c>
      <c r="EG353" s="58">
        <f>IFERROR($AB354/$AB353-1,"")</f>
        <v/>
      </c>
      <c r="EH353" s="58">
        <f>IFERROR($AC354/$AC353-1,"")</f>
        <v/>
      </c>
      <c r="EI353" s="58">
        <f>IFERROR($AD354/$AD353-1,"")</f>
        <v/>
      </c>
      <c r="EJ353" s="58">
        <f>IFERROR($AE354/$AE353-1,"")</f>
        <v/>
      </c>
      <c r="EK353" s="58">
        <f>IFERROR($AF354/$AF353-1,"")</f>
        <v/>
      </c>
      <c r="EL353" s="58">
        <f>IFERROR($AG354/$AG353-1,"")</f>
        <v/>
      </c>
      <c r="EM353" s="58">
        <f>IFERROR($BB353/$BB354-1,"")</f>
        <v/>
      </c>
      <c r="EN353" s="58">
        <f>IFERROR($BC353/$BC354-1,"")</f>
        <v/>
      </c>
      <c r="EO353" s="58">
        <f>IFERROR($BD353/$BD354-1,"")</f>
        <v/>
      </c>
      <c r="EP353" s="58">
        <f>IFERROR($BE353/$BE354-1,"")</f>
        <v/>
      </c>
      <c r="EQ353" s="58">
        <f>IFERROR($BF353/$BF354-1,"")</f>
        <v/>
      </c>
      <c r="ER353" s="58">
        <f>IFERROR($BG353/$BG354-1,"")</f>
        <v/>
      </c>
      <c r="ES353" s="58">
        <f>IFERROR($BH353/$BH354-1,"")</f>
        <v/>
      </c>
      <c r="ET353" s="58">
        <f>IFERROR($BI353/$BI354-1,"")</f>
        <v/>
      </c>
      <c r="EU353" s="58">
        <f>IFERROR($BJ353/$BJ354-1,"")</f>
        <v/>
      </c>
      <c r="EV353" s="58">
        <f>IFERROR($BK353/$BK354-1,"")</f>
        <v/>
      </c>
      <c r="EW353" s="58">
        <f>IFERROR($BL353/$BL354-1,"")</f>
        <v/>
      </c>
      <c r="EX353" s="58">
        <f>IFERROR($BM353/$BM354-1,"")</f>
        <v/>
      </c>
      <c r="EY353" s="58">
        <f>IFERROR($BN353/$BN354-1,"")</f>
        <v/>
      </c>
      <c r="EZ353" s="58">
        <f>IFERROR($BO353/$BO354-1,"")</f>
        <v/>
      </c>
      <c r="FA353" s="58">
        <f>IFERROR($BP353/$BP354-1,"")</f>
        <v/>
      </c>
      <c r="FB353" s="58">
        <f>IFERROR($BQ353/$BQ354-1,"")</f>
        <v/>
      </c>
      <c r="FC353" s="58">
        <f>IFERROR($BR353/$BR354-1,"")</f>
        <v/>
      </c>
      <c r="FD353" s="58">
        <f>IFERROR($BS353/$BS354-1,"")</f>
        <v/>
      </c>
      <c r="FE353" s="58">
        <f>IFERROR($BT353/$BT354-1,"")</f>
        <v/>
      </c>
      <c r="FF353" s="58">
        <f>IFERROR($BU353/$BU354-1,"")</f>
        <v/>
      </c>
      <c r="FG353" s="58">
        <f>IFERROR($BV353/$BV354-1,"")</f>
        <v/>
      </c>
      <c r="FH353" s="58">
        <f>IFERROR($BW353/$BW354-1,"")</f>
        <v/>
      </c>
      <c r="FI353" s="58">
        <f>IFERROR($BX353/$BX354-1,"")</f>
        <v/>
      </c>
      <c r="FJ353" s="59">
        <f>$BY353-$BY354</f>
        <v/>
      </c>
      <c r="FK353" s="59">
        <f>$BZ353-$BZ354</f>
        <v/>
      </c>
      <c r="FL353" s="59">
        <f>$CA353-$CA354</f>
        <v/>
      </c>
      <c r="FM353" s="59">
        <f>$CB353-$CB354</f>
        <v/>
      </c>
      <c r="FN353" s="59">
        <f>$CC353-$CC354</f>
        <v/>
      </c>
      <c r="FO353" s="59">
        <f>$CD353-$CD354</f>
        <v/>
      </c>
      <c r="FP353" s="59">
        <f>$CE353-$CE354</f>
        <v/>
      </c>
      <c r="FQ353" s="59">
        <f>$CF353-$CF354</f>
        <v/>
      </c>
      <c r="FR353" s="59">
        <f>$CG353-$CG354</f>
        <v/>
      </c>
      <c r="FS353" s="59">
        <f>$CH353-$CH354</f>
        <v/>
      </c>
      <c r="FT353" s="59">
        <f>$CI353-$CI354</f>
        <v/>
      </c>
      <c r="FU353" s="59">
        <f>$CJ353-$CJ354</f>
        <v/>
      </c>
      <c r="FV353" s="59">
        <f>$CK353-$CK354</f>
        <v/>
      </c>
      <c r="FW353" s="59">
        <f>$CL353-$CL354</f>
        <v/>
      </c>
      <c r="FX353" s="59">
        <f>$CM353-$CM354</f>
        <v/>
      </c>
      <c r="FY353" s="59">
        <f>$CN353-$CN354</f>
        <v/>
      </c>
      <c r="FZ353" s="59">
        <f>$CO353-$CO354</f>
        <v/>
      </c>
      <c r="GA353" s="59">
        <f>$CP353-$CP354</f>
        <v/>
      </c>
      <c r="GB353" s="59">
        <f>$CQ353-$CQ354</f>
        <v/>
      </c>
      <c r="GC353" s="59">
        <f>$CR353-$CR354</f>
        <v/>
      </c>
      <c r="GD353" s="59">
        <f>$CS353-$CS354</f>
        <v/>
      </c>
      <c r="GE353" s="59">
        <f>$CT353-$CT354</f>
        <v/>
      </c>
    </row>
    <row r="354">
      <c r="CU354" s="58">
        <f>IFERROR($B354/$B355-1,"")</f>
        <v/>
      </c>
      <c r="CV354" s="59">
        <f>($F354-$F355)*100</f>
        <v/>
      </c>
      <c r="CW354" s="59">
        <f>($E354-$E355)*100</f>
        <v/>
      </c>
      <c r="CX354" s="58">
        <f>IFERROR($K354/$K355-1,"")</f>
        <v/>
      </c>
      <c r="CY354" s="59">
        <f>($AH354-$AH355)*100</f>
        <v/>
      </c>
      <c r="CZ354" s="59">
        <f>($AI354-$AI355)*100</f>
        <v/>
      </c>
      <c r="DA354" s="59">
        <f>($AJ354-$AJ355)*100</f>
        <v/>
      </c>
      <c r="DB354" s="59">
        <f>($AK354-$AK355)*100</f>
        <v/>
      </c>
      <c r="DC354" s="59">
        <f>($AL354-$AL355)*100</f>
        <v/>
      </c>
      <c r="DD354" s="59">
        <f>($AM354-$AM355)*100</f>
        <v/>
      </c>
      <c r="DE354" s="59">
        <f>($AN354-$AN355)*100</f>
        <v/>
      </c>
      <c r="DF354" s="59">
        <f>($AO354-$AO355)*100</f>
        <v/>
      </c>
      <c r="DG354" s="59">
        <f>($AP354-$AP355)*100</f>
        <v/>
      </c>
      <c r="DH354" s="59">
        <f>($AQ354-$AQ355)*100</f>
        <v/>
      </c>
      <c r="DI354" s="59">
        <f>($AR354-$AR355)*100</f>
        <v/>
      </c>
      <c r="DJ354" s="59">
        <f>($AS354-$AS355)*100</f>
        <v/>
      </c>
      <c r="DK354" s="59">
        <f>($AT354-$AT355)*100</f>
        <v/>
      </c>
      <c r="DL354" s="59">
        <f>($AU354-$AU355)*100</f>
        <v/>
      </c>
      <c r="DM354" s="59">
        <f>($AV354-$AV355)*100</f>
        <v/>
      </c>
      <c r="DN354" s="59">
        <f>($AW354-$AW355)*100</f>
        <v/>
      </c>
      <c r="DO354" s="59">
        <f>($AX354-$AX355)*100</f>
        <v/>
      </c>
      <c r="DP354" s="59">
        <f>($AY354-$AY355)*100</f>
        <v/>
      </c>
      <c r="DQ354" s="59">
        <f>($AZ354-$AZ355)*100</f>
        <v/>
      </c>
      <c r="DR354" s="59">
        <f>($BA354-$BA355)*100</f>
        <v/>
      </c>
      <c r="DS354" s="58">
        <f>IFERROR($N355/$N354-1,"")</f>
        <v/>
      </c>
      <c r="DT354" s="58">
        <f>IFERROR($O355/$O354-1,"")</f>
        <v/>
      </c>
      <c r="DU354" s="58">
        <f>IFERROR($P355/$P354-1,"")</f>
        <v/>
      </c>
      <c r="DV354" s="58">
        <f>IFERROR($Q355/$Q354-1,"")</f>
        <v/>
      </c>
      <c r="DW354" s="58">
        <f>IFERROR($R355/$R354-1,"")</f>
        <v/>
      </c>
      <c r="DX354" s="58">
        <f>IFERROR($S355/$S354-1,"")</f>
        <v/>
      </c>
      <c r="DY354" s="58">
        <f>IFERROR($T355/$T354-1,"")</f>
        <v/>
      </c>
      <c r="DZ354" s="58">
        <f>IFERROR($U355/$U354-1,"")</f>
        <v/>
      </c>
      <c r="EA354" s="58">
        <f>IFERROR($V355/$V354-1,"")</f>
        <v/>
      </c>
      <c r="EB354" s="58">
        <f>IFERROR($W355/$W354-1,"")</f>
        <v/>
      </c>
      <c r="EC354" s="58">
        <f>IFERROR($X355/$X354-1,"")</f>
        <v/>
      </c>
      <c r="ED354" s="58">
        <f>IFERROR($Y355/$Y354-1,"")</f>
        <v/>
      </c>
      <c r="EE354" s="58">
        <f>IFERROR($Z355/$Z354-1,"")</f>
        <v/>
      </c>
      <c r="EF354" s="58">
        <f>IFERROR($AA355/$AA354-1,"")</f>
        <v/>
      </c>
      <c r="EG354" s="58">
        <f>IFERROR($AB355/$AB354-1,"")</f>
        <v/>
      </c>
      <c r="EH354" s="58">
        <f>IFERROR($AC355/$AC354-1,"")</f>
        <v/>
      </c>
      <c r="EI354" s="58">
        <f>IFERROR($AD355/$AD354-1,"")</f>
        <v/>
      </c>
      <c r="EJ354" s="58">
        <f>IFERROR($AE355/$AE354-1,"")</f>
        <v/>
      </c>
      <c r="EK354" s="58">
        <f>IFERROR($AF355/$AF354-1,"")</f>
        <v/>
      </c>
      <c r="EL354" s="58">
        <f>IFERROR($AG355/$AG354-1,"")</f>
        <v/>
      </c>
      <c r="EM354" s="58">
        <f>IFERROR($BB354/$BB355-1,"")</f>
        <v/>
      </c>
      <c r="EN354" s="58">
        <f>IFERROR($BC354/$BC355-1,"")</f>
        <v/>
      </c>
      <c r="EO354" s="58">
        <f>IFERROR($BD354/$BD355-1,"")</f>
        <v/>
      </c>
      <c r="EP354" s="58">
        <f>IFERROR($BE354/$BE355-1,"")</f>
        <v/>
      </c>
      <c r="EQ354" s="58">
        <f>IFERROR($BF354/$BF355-1,"")</f>
        <v/>
      </c>
      <c r="ER354" s="58">
        <f>IFERROR($BG354/$BG355-1,"")</f>
        <v/>
      </c>
      <c r="ES354" s="58">
        <f>IFERROR($BH354/$BH355-1,"")</f>
        <v/>
      </c>
      <c r="ET354" s="58">
        <f>IFERROR($BI354/$BI355-1,"")</f>
        <v/>
      </c>
      <c r="EU354" s="58">
        <f>IFERROR($BJ354/$BJ355-1,"")</f>
        <v/>
      </c>
      <c r="EV354" s="58">
        <f>IFERROR($BK354/$BK355-1,"")</f>
        <v/>
      </c>
      <c r="EW354" s="58">
        <f>IFERROR($BL354/$BL355-1,"")</f>
        <v/>
      </c>
      <c r="EX354" s="58">
        <f>IFERROR($BM354/$BM355-1,"")</f>
        <v/>
      </c>
      <c r="EY354" s="58">
        <f>IFERROR($BN354/$BN355-1,"")</f>
        <v/>
      </c>
      <c r="EZ354" s="58">
        <f>IFERROR($BO354/$BO355-1,"")</f>
        <v/>
      </c>
      <c r="FA354" s="58">
        <f>IFERROR($BP354/$BP355-1,"")</f>
        <v/>
      </c>
      <c r="FB354" s="58">
        <f>IFERROR($BQ354/$BQ355-1,"")</f>
        <v/>
      </c>
      <c r="FC354" s="58">
        <f>IFERROR($BR354/$BR355-1,"")</f>
        <v/>
      </c>
      <c r="FD354" s="58">
        <f>IFERROR($BS354/$BS355-1,"")</f>
        <v/>
      </c>
      <c r="FE354" s="58">
        <f>IFERROR($BT354/$BT355-1,"")</f>
        <v/>
      </c>
      <c r="FF354" s="58">
        <f>IFERROR($BU354/$BU355-1,"")</f>
        <v/>
      </c>
      <c r="FG354" s="58">
        <f>IFERROR($BV354/$BV355-1,"")</f>
        <v/>
      </c>
      <c r="FH354" s="58">
        <f>IFERROR($BW354/$BW355-1,"")</f>
        <v/>
      </c>
      <c r="FI354" s="58">
        <f>IFERROR($BX354/$BX355-1,"")</f>
        <v/>
      </c>
      <c r="FJ354" s="59">
        <f>$BY354-$BY355</f>
        <v/>
      </c>
      <c r="FK354" s="59">
        <f>$BZ354-$BZ355</f>
        <v/>
      </c>
      <c r="FL354" s="59">
        <f>$CA354-$CA355</f>
        <v/>
      </c>
      <c r="FM354" s="59">
        <f>$CB354-$CB355</f>
        <v/>
      </c>
      <c r="FN354" s="59">
        <f>$CC354-$CC355</f>
        <v/>
      </c>
      <c r="FO354" s="59">
        <f>$CD354-$CD355</f>
        <v/>
      </c>
      <c r="FP354" s="59">
        <f>$CE354-$CE355</f>
        <v/>
      </c>
      <c r="FQ354" s="59">
        <f>$CF354-$CF355</f>
        <v/>
      </c>
      <c r="FR354" s="59">
        <f>$CG354-$CG355</f>
        <v/>
      </c>
      <c r="FS354" s="59">
        <f>$CH354-$CH355</f>
        <v/>
      </c>
      <c r="FT354" s="59">
        <f>$CI354-$CI355</f>
        <v/>
      </c>
      <c r="FU354" s="59">
        <f>$CJ354-$CJ355</f>
        <v/>
      </c>
      <c r="FV354" s="59">
        <f>$CK354-$CK355</f>
        <v/>
      </c>
      <c r="FW354" s="59">
        <f>$CL354-$CL355</f>
        <v/>
      </c>
      <c r="FX354" s="59">
        <f>$CM354-$CM355</f>
        <v/>
      </c>
      <c r="FY354" s="59">
        <f>$CN354-$CN355</f>
        <v/>
      </c>
      <c r="FZ354" s="59">
        <f>$CO354-$CO355</f>
        <v/>
      </c>
      <c r="GA354" s="59">
        <f>$CP354-$CP355</f>
        <v/>
      </c>
      <c r="GB354" s="59">
        <f>$CQ354-$CQ355</f>
        <v/>
      </c>
      <c r="GC354" s="59">
        <f>$CR354-$CR355</f>
        <v/>
      </c>
      <c r="GD354" s="59">
        <f>$CS354-$CS355</f>
        <v/>
      </c>
      <c r="GE354" s="59">
        <f>$CT354-$CT355</f>
        <v/>
      </c>
    </row>
    <row r="355">
      <c r="CU355" s="58">
        <f>IFERROR($B355/$B356-1,"")</f>
        <v/>
      </c>
      <c r="CV355" s="59">
        <f>($F355-$F356)*100</f>
        <v/>
      </c>
      <c r="CW355" s="59">
        <f>($E355-$E356)*100</f>
        <v/>
      </c>
      <c r="CX355" s="58">
        <f>IFERROR($K355/$K356-1,"")</f>
        <v/>
      </c>
      <c r="CY355" s="59">
        <f>($AH355-$AH356)*100</f>
        <v/>
      </c>
      <c r="CZ355" s="59">
        <f>($AI355-$AI356)*100</f>
        <v/>
      </c>
      <c r="DA355" s="59">
        <f>($AJ355-$AJ356)*100</f>
        <v/>
      </c>
      <c r="DB355" s="59">
        <f>($AK355-$AK356)*100</f>
        <v/>
      </c>
      <c r="DC355" s="59">
        <f>($AL355-$AL356)*100</f>
        <v/>
      </c>
      <c r="DD355" s="59">
        <f>($AM355-$AM356)*100</f>
        <v/>
      </c>
      <c r="DE355" s="59">
        <f>($AN355-$AN356)*100</f>
        <v/>
      </c>
      <c r="DF355" s="59">
        <f>($AO355-$AO356)*100</f>
        <v/>
      </c>
      <c r="DG355" s="59">
        <f>($AP355-$AP356)*100</f>
        <v/>
      </c>
      <c r="DH355" s="59">
        <f>($AQ355-$AQ356)*100</f>
        <v/>
      </c>
      <c r="DI355" s="59">
        <f>($AR355-$AR356)*100</f>
        <v/>
      </c>
      <c r="DJ355" s="59">
        <f>($AS355-$AS356)*100</f>
        <v/>
      </c>
      <c r="DK355" s="59">
        <f>($AT355-$AT356)*100</f>
        <v/>
      </c>
      <c r="DL355" s="59">
        <f>($AU355-$AU356)*100</f>
        <v/>
      </c>
      <c r="DM355" s="59">
        <f>($AV355-$AV356)*100</f>
        <v/>
      </c>
      <c r="DN355" s="59">
        <f>($AW355-$AW356)*100</f>
        <v/>
      </c>
      <c r="DO355" s="59">
        <f>($AX355-$AX356)*100</f>
        <v/>
      </c>
      <c r="DP355" s="59">
        <f>($AY355-$AY356)*100</f>
        <v/>
      </c>
      <c r="DQ355" s="59">
        <f>($AZ355-$AZ356)*100</f>
        <v/>
      </c>
      <c r="DR355" s="59">
        <f>($BA355-$BA356)*100</f>
        <v/>
      </c>
      <c r="DS355" s="58">
        <f>IFERROR($N356/$N355-1,"")</f>
        <v/>
      </c>
      <c r="DT355" s="58">
        <f>IFERROR($O356/$O355-1,"")</f>
        <v/>
      </c>
      <c r="DU355" s="58">
        <f>IFERROR($P356/$P355-1,"")</f>
        <v/>
      </c>
      <c r="DV355" s="58">
        <f>IFERROR($Q356/$Q355-1,"")</f>
        <v/>
      </c>
      <c r="DW355" s="58">
        <f>IFERROR($R356/$R355-1,"")</f>
        <v/>
      </c>
      <c r="DX355" s="58">
        <f>IFERROR($S356/$S355-1,"")</f>
        <v/>
      </c>
      <c r="DY355" s="58">
        <f>IFERROR($T356/$T355-1,"")</f>
        <v/>
      </c>
      <c r="DZ355" s="58">
        <f>IFERROR($U356/$U355-1,"")</f>
        <v/>
      </c>
      <c r="EA355" s="58">
        <f>IFERROR($V356/$V355-1,"")</f>
        <v/>
      </c>
      <c r="EB355" s="58">
        <f>IFERROR($W356/$W355-1,"")</f>
        <v/>
      </c>
      <c r="EC355" s="58">
        <f>IFERROR($X356/$X355-1,"")</f>
        <v/>
      </c>
      <c r="ED355" s="58">
        <f>IFERROR($Y356/$Y355-1,"")</f>
        <v/>
      </c>
      <c r="EE355" s="58">
        <f>IFERROR($Z356/$Z355-1,"")</f>
        <v/>
      </c>
      <c r="EF355" s="58">
        <f>IFERROR($AA356/$AA355-1,"")</f>
        <v/>
      </c>
      <c r="EG355" s="58">
        <f>IFERROR($AB356/$AB355-1,"")</f>
        <v/>
      </c>
      <c r="EH355" s="58">
        <f>IFERROR($AC356/$AC355-1,"")</f>
        <v/>
      </c>
      <c r="EI355" s="58">
        <f>IFERROR($AD356/$AD355-1,"")</f>
        <v/>
      </c>
      <c r="EJ355" s="58">
        <f>IFERROR($AE356/$AE355-1,"")</f>
        <v/>
      </c>
      <c r="EK355" s="58">
        <f>IFERROR($AF356/$AF355-1,"")</f>
        <v/>
      </c>
      <c r="EL355" s="58">
        <f>IFERROR($AG356/$AG355-1,"")</f>
        <v/>
      </c>
      <c r="EM355" s="58">
        <f>IFERROR($BB355/$BB356-1,"")</f>
        <v/>
      </c>
      <c r="EN355" s="58">
        <f>IFERROR($BC355/$BC356-1,"")</f>
        <v/>
      </c>
      <c r="EO355" s="58">
        <f>IFERROR($BD355/$BD356-1,"")</f>
        <v/>
      </c>
      <c r="EP355" s="58">
        <f>IFERROR($BE355/$BE356-1,"")</f>
        <v/>
      </c>
      <c r="EQ355" s="58">
        <f>IFERROR($BF355/$BF356-1,"")</f>
        <v/>
      </c>
      <c r="ER355" s="58">
        <f>IFERROR($BG355/$BG356-1,"")</f>
        <v/>
      </c>
      <c r="ES355" s="58">
        <f>IFERROR($BH355/$BH356-1,"")</f>
        <v/>
      </c>
      <c r="ET355" s="58">
        <f>IFERROR($BI355/$BI356-1,"")</f>
        <v/>
      </c>
      <c r="EU355" s="58">
        <f>IFERROR($BJ355/$BJ356-1,"")</f>
        <v/>
      </c>
      <c r="EV355" s="58">
        <f>IFERROR($BK355/$BK356-1,"")</f>
        <v/>
      </c>
      <c r="EW355" s="58">
        <f>IFERROR($BL355/$BL356-1,"")</f>
        <v/>
      </c>
      <c r="EX355" s="58">
        <f>IFERROR($BM355/$BM356-1,"")</f>
        <v/>
      </c>
      <c r="EY355" s="58">
        <f>IFERROR($BN355/$BN356-1,"")</f>
        <v/>
      </c>
      <c r="EZ355" s="58">
        <f>IFERROR($BO355/$BO356-1,"")</f>
        <v/>
      </c>
      <c r="FA355" s="58">
        <f>IFERROR($BP355/$BP356-1,"")</f>
        <v/>
      </c>
      <c r="FB355" s="58">
        <f>IFERROR($BQ355/$BQ356-1,"")</f>
        <v/>
      </c>
      <c r="FC355" s="58">
        <f>IFERROR($BR355/$BR356-1,"")</f>
        <v/>
      </c>
      <c r="FD355" s="58">
        <f>IFERROR($BS355/$BS356-1,"")</f>
        <v/>
      </c>
      <c r="FE355" s="58">
        <f>IFERROR($BT355/$BT356-1,"")</f>
        <v/>
      </c>
      <c r="FF355" s="58">
        <f>IFERROR($BU355/$BU356-1,"")</f>
        <v/>
      </c>
      <c r="FG355" s="58">
        <f>IFERROR($BV355/$BV356-1,"")</f>
        <v/>
      </c>
      <c r="FH355" s="58">
        <f>IFERROR($BW355/$BW356-1,"")</f>
        <v/>
      </c>
      <c r="FI355" s="58">
        <f>IFERROR($BX355/$BX356-1,"")</f>
        <v/>
      </c>
      <c r="FJ355" s="59">
        <f>$BY355-$BY356</f>
        <v/>
      </c>
      <c r="FK355" s="59">
        <f>$BZ355-$BZ356</f>
        <v/>
      </c>
      <c r="FL355" s="59">
        <f>$CA355-$CA356</f>
        <v/>
      </c>
      <c r="FM355" s="59">
        <f>$CB355-$CB356</f>
        <v/>
      </c>
      <c r="FN355" s="59">
        <f>$CC355-$CC356</f>
        <v/>
      </c>
      <c r="FO355" s="59">
        <f>$CD355-$CD356</f>
        <v/>
      </c>
      <c r="FP355" s="59">
        <f>$CE355-$CE356</f>
        <v/>
      </c>
      <c r="FQ355" s="59">
        <f>$CF355-$CF356</f>
        <v/>
      </c>
      <c r="FR355" s="59">
        <f>$CG355-$CG356</f>
        <v/>
      </c>
      <c r="FS355" s="59">
        <f>$CH355-$CH356</f>
        <v/>
      </c>
      <c r="FT355" s="59">
        <f>$CI355-$CI356</f>
        <v/>
      </c>
      <c r="FU355" s="59">
        <f>$CJ355-$CJ356</f>
        <v/>
      </c>
      <c r="FV355" s="59">
        <f>$CK355-$CK356</f>
        <v/>
      </c>
      <c r="FW355" s="59">
        <f>$CL355-$CL356</f>
        <v/>
      </c>
      <c r="FX355" s="59">
        <f>$CM355-$CM356</f>
        <v/>
      </c>
      <c r="FY355" s="59">
        <f>$CN355-$CN356</f>
        <v/>
      </c>
      <c r="FZ355" s="59">
        <f>$CO355-$CO356</f>
        <v/>
      </c>
      <c r="GA355" s="59">
        <f>$CP355-$CP356</f>
        <v/>
      </c>
      <c r="GB355" s="59">
        <f>$CQ355-$CQ356</f>
        <v/>
      </c>
      <c r="GC355" s="59">
        <f>$CR355-$CR356</f>
        <v/>
      </c>
      <c r="GD355" s="59">
        <f>$CS355-$CS356</f>
        <v/>
      </c>
      <c r="GE355" s="59">
        <f>$CT355-$CT356</f>
        <v/>
      </c>
    </row>
    <row r="356">
      <c r="CU356" s="58">
        <f>IFERROR($B356/$B357-1,"")</f>
        <v/>
      </c>
      <c r="CV356" s="59">
        <f>($F356-$F357)*100</f>
        <v/>
      </c>
      <c r="CW356" s="59">
        <f>($E356-$E357)*100</f>
        <v/>
      </c>
      <c r="CX356" s="58">
        <f>IFERROR($K356/$K357-1,"")</f>
        <v/>
      </c>
      <c r="CY356" s="59">
        <f>($AH356-$AH357)*100</f>
        <v/>
      </c>
      <c r="CZ356" s="59">
        <f>($AI356-$AI357)*100</f>
        <v/>
      </c>
      <c r="DA356" s="59">
        <f>($AJ356-$AJ357)*100</f>
        <v/>
      </c>
      <c r="DB356" s="59">
        <f>($AK356-$AK357)*100</f>
        <v/>
      </c>
      <c r="DC356" s="59">
        <f>($AL356-$AL357)*100</f>
        <v/>
      </c>
      <c r="DD356" s="59">
        <f>($AM356-$AM357)*100</f>
        <v/>
      </c>
      <c r="DE356" s="59">
        <f>($AN356-$AN357)*100</f>
        <v/>
      </c>
      <c r="DF356" s="59">
        <f>($AO356-$AO357)*100</f>
        <v/>
      </c>
      <c r="DG356" s="59">
        <f>($AP356-$AP357)*100</f>
        <v/>
      </c>
      <c r="DH356" s="59">
        <f>($AQ356-$AQ357)*100</f>
        <v/>
      </c>
      <c r="DI356" s="59">
        <f>($AR356-$AR357)*100</f>
        <v/>
      </c>
      <c r="DJ356" s="59">
        <f>($AS356-$AS357)*100</f>
        <v/>
      </c>
      <c r="DK356" s="59">
        <f>($AT356-$AT357)*100</f>
        <v/>
      </c>
      <c r="DL356" s="59">
        <f>($AU356-$AU357)*100</f>
        <v/>
      </c>
      <c r="DM356" s="59">
        <f>($AV356-$AV357)*100</f>
        <v/>
      </c>
      <c r="DN356" s="59">
        <f>($AW356-$AW357)*100</f>
        <v/>
      </c>
      <c r="DO356" s="59">
        <f>($AX356-$AX357)*100</f>
        <v/>
      </c>
      <c r="DP356" s="59">
        <f>($AY356-$AY357)*100</f>
        <v/>
      </c>
      <c r="DQ356" s="59">
        <f>($AZ356-$AZ357)*100</f>
        <v/>
      </c>
      <c r="DR356" s="59">
        <f>($BA356-$BA357)*100</f>
        <v/>
      </c>
      <c r="DS356" s="58">
        <f>IFERROR($N357/$N356-1,"")</f>
        <v/>
      </c>
      <c r="DT356" s="58">
        <f>IFERROR($O357/$O356-1,"")</f>
        <v/>
      </c>
      <c r="DU356" s="58">
        <f>IFERROR($P357/$P356-1,"")</f>
        <v/>
      </c>
      <c r="DV356" s="58">
        <f>IFERROR($Q357/$Q356-1,"")</f>
        <v/>
      </c>
      <c r="DW356" s="58">
        <f>IFERROR($R357/$R356-1,"")</f>
        <v/>
      </c>
      <c r="DX356" s="58">
        <f>IFERROR($S357/$S356-1,"")</f>
        <v/>
      </c>
      <c r="DY356" s="58">
        <f>IFERROR($T357/$T356-1,"")</f>
        <v/>
      </c>
      <c r="DZ356" s="58">
        <f>IFERROR($U357/$U356-1,"")</f>
        <v/>
      </c>
      <c r="EA356" s="58">
        <f>IFERROR($V357/$V356-1,"")</f>
        <v/>
      </c>
      <c r="EB356" s="58">
        <f>IFERROR($W357/$W356-1,"")</f>
        <v/>
      </c>
      <c r="EC356" s="58">
        <f>IFERROR($X357/$X356-1,"")</f>
        <v/>
      </c>
      <c r="ED356" s="58">
        <f>IFERROR($Y357/$Y356-1,"")</f>
        <v/>
      </c>
      <c r="EE356" s="58">
        <f>IFERROR($Z357/$Z356-1,"")</f>
        <v/>
      </c>
      <c r="EF356" s="58">
        <f>IFERROR($AA357/$AA356-1,"")</f>
        <v/>
      </c>
      <c r="EG356" s="58">
        <f>IFERROR($AB357/$AB356-1,"")</f>
        <v/>
      </c>
      <c r="EH356" s="58">
        <f>IFERROR($AC357/$AC356-1,"")</f>
        <v/>
      </c>
      <c r="EI356" s="58">
        <f>IFERROR($AD357/$AD356-1,"")</f>
        <v/>
      </c>
      <c r="EJ356" s="58">
        <f>IFERROR($AE357/$AE356-1,"")</f>
        <v/>
      </c>
      <c r="EK356" s="58">
        <f>IFERROR($AF357/$AF356-1,"")</f>
        <v/>
      </c>
      <c r="EL356" s="58">
        <f>IFERROR($AG357/$AG356-1,"")</f>
        <v/>
      </c>
      <c r="EM356" s="58">
        <f>IFERROR($BB356/$BB357-1,"")</f>
        <v/>
      </c>
      <c r="EN356" s="58">
        <f>IFERROR($BC356/$BC357-1,"")</f>
        <v/>
      </c>
      <c r="EO356" s="58">
        <f>IFERROR($BD356/$BD357-1,"")</f>
        <v/>
      </c>
      <c r="EP356" s="58">
        <f>IFERROR($BE356/$BE357-1,"")</f>
        <v/>
      </c>
      <c r="EQ356" s="58">
        <f>IFERROR($BF356/$BF357-1,"")</f>
        <v/>
      </c>
      <c r="ER356" s="58">
        <f>IFERROR($BG356/$BG357-1,"")</f>
        <v/>
      </c>
      <c r="ES356" s="58">
        <f>IFERROR($BH356/$BH357-1,"")</f>
        <v/>
      </c>
      <c r="ET356" s="58">
        <f>IFERROR($BI356/$BI357-1,"")</f>
        <v/>
      </c>
      <c r="EU356" s="58">
        <f>IFERROR($BJ356/$BJ357-1,"")</f>
        <v/>
      </c>
      <c r="EV356" s="58">
        <f>IFERROR($BK356/$BK357-1,"")</f>
        <v/>
      </c>
      <c r="EW356" s="58">
        <f>IFERROR($BL356/$BL357-1,"")</f>
        <v/>
      </c>
      <c r="EX356" s="58">
        <f>IFERROR($BM356/$BM357-1,"")</f>
        <v/>
      </c>
      <c r="EY356" s="58">
        <f>IFERROR($BN356/$BN357-1,"")</f>
        <v/>
      </c>
      <c r="EZ356" s="58">
        <f>IFERROR($BO356/$BO357-1,"")</f>
        <v/>
      </c>
      <c r="FA356" s="58">
        <f>IFERROR($BP356/$BP357-1,"")</f>
        <v/>
      </c>
      <c r="FB356" s="58">
        <f>IFERROR($BQ356/$BQ357-1,"")</f>
        <v/>
      </c>
      <c r="FC356" s="58">
        <f>IFERROR($BR356/$BR357-1,"")</f>
        <v/>
      </c>
      <c r="FD356" s="58">
        <f>IFERROR($BS356/$BS357-1,"")</f>
        <v/>
      </c>
      <c r="FE356" s="58">
        <f>IFERROR($BT356/$BT357-1,"")</f>
        <v/>
      </c>
      <c r="FF356" s="58">
        <f>IFERROR($BU356/$BU357-1,"")</f>
        <v/>
      </c>
      <c r="FG356" s="58">
        <f>IFERROR($BV356/$BV357-1,"")</f>
        <v/>
      </c>
      <c r="FH356" s="58">
        <f>IFERROR($BW356/$BW357-1,"")</f>
        <v/>
      </c>
      <c r="FI356" s="58">
        <f>IFERROR($BX356/$BX357-1,"")</f>
        <v/>
      </c>
      <c r="FJ356" s="59">
        <f>$BY356-$BY357</f>
        <v/>
      </c>
      <c r="FK356" s="59">
        <f>$BZ356-$BZ357</f>
        <v/>
      </c>
      <c r="FL356" s="59">
        <f>$CA356-$CA357</f>
        <v/>
      </c>
      <c r="FM356" s="59">
        <f>$CB356-$CB357</f>
        <v/>
      </c>
      <c r="FN356" s="59">
        <f>$CC356-$CC357</f>
        <v/>
      </c>
      <c r="FO356" s="59">
        <f>$CD356-$CD357</f>
        <v/>
      </c>
      <c r="FP356" s="59">
        <f>$CE356-$CE357</f>
        <v/>
      </c>
      <c r="FQ356" s="59">
        <f>$CF356-$CF357</f>
        <v/>
      </c>
      <c r="FR356" s="59">
        <f>$CG356-$CG357</f>
        <v/>
      </c>
      <c r="FS356" s="59">
        <f>$CH356-$CH357</f>
        <v/>
      </c>
      <c r="FT356" s="59">
        <f>$CI356-$CI357</f>
        <v/>
      </c>
      <c r="FU356" s="59">
        <f>$CJ356-$CJ357</f>
        <v/>
      </c>
      <c r="FV356" s="59">
        <f>$CK356-$CK357</f>
        <v/>
      </c>
      <c r="FW356" s="59">
        <f>$CL356-$CL357</f>
        <v/>
      </c>
      <c r="FX356" s="59">
        <f>$CM356-$CM357</f>
        <v/>
      </c>
      <c r="FY356" s="59">
        <f>$CN356-$CN357</f>
        <v/>
      </c>
      <c r="FZ356" s="59">
        <f>$CO356-$CO357</f>
        <v/>
      </c>
      <c r="GA356" s="59">
        <f>$CP356-$CP357</f>
        <v/>
      </c>
      <c r="GB356" s="59">
        <f>$CQ356-$CQ357</f>
        <v/>
      </c>
      <c r="GC356" s="59">
        <f>$CR356-$CR357</f>
        <v/>
      </c>
      <c r="GD356" s="59">
        <f>$CS356-$CS357</f>
        <v/>
      </c>
      <c r="GE356" s="59">
        <f>$CT356-$CT357</f>
        <v/>
      </c>
    </row>
    <row r="357">
      <c r="CU357" s="58">
        <f>IFERROR($B357/$B358-1,"")</f>
        <v/>
      </c>
      <c r="CV357" s="59">
        <f>($F357-$F358)*100</f>
        <v/>
      </c>
      <c r="CW357" s="59">
        <f>($E357-$E358)*100</f>
        <v/>
      </c>
      <c r="CX357" s="58">
        <f>IFERROR($K357/$K358-1,"")</f>
        <v/>
      </c>
      <c r="CY357" s="59">
        <f>($AH357-$AH358)*100</f>
        <v/>
      </c>
      <c r="CZ357" s="59">
        <f>($AI357-$AI358)*100</f>
        <v/>
      </c>
      <c r="DA357" s="59">
        <f>($AJ357-$AJ358)*100</f>
        <v/>
      </c>
      <c r="DB357" s="59">
        <f>($AK357-$AK358)*100</f>
        <v/>
      </c>
      <c r="DC357" s="59">
        <f>($AL357-$AL358)*100</f>
        <v/>
      </c>
      <c r="DD357" s="59">
        <f>($AM357-$AM358)*100</f>
        <v/>
      </c>
      <c r="DE357" s="59">
        <f>($AN357-$AN358)*100</f>
        <v/>
      </c>
      <c r="DF357" s="59">
        <f>($AO357-$AO358)*100</f>
        <v/>
      </c>
      <c r="DG357" s="59">
        <f>($AP357-$AP358)*100</f>
        <v/>
      </c>
      <c r="DH357" s="59">
        <f>($AQ357-$AQ358)*100</f>
        <v/>
      </c>
      <c r="DI357" s="59">
        <f>($AR357-$AR358)*100</f>
        <v/>
      </c>
      <c r="DJ357" s="59">
        <f>($AS357-$AS358)*100</f>
        <v/>
      </c>
      <c r="DK357" s="59">
        <f>($AT357-$AT358)*100</f>
        <v/>
      </c>
      <c r="DL357" s="59">
        <f>($AU357-$AU358)*100</f>
        <v/>
      </c>
      <c r="DM357" s="59">
        <f>($AV357-$AV358)*100</f>
        <v/>
      </c>
      <c r="DN357" s="59">
        <f>($AW357-$AW358)*100</f>
        <v/>
      </c>
      <c r="DO357" s="59">
        <f>($AX357-$AX358)*100</f>
        <v/>
      </c>
      <c r="DP357" s="59">
        <f>($AY357-$AY358)*100</f>
        <v/>
      </c>
      <c r="DQ357" s="59">
        <f>($AZ357-$AZ358)*100</f>
        <v/>
      </c>
      <c r="DR357" s="59">
        <f>($BA357-$BA358)*100</f>
        <v/>
      </c>
      <c r="DS357" s="58">
        <f>IFERROR($N358/$N357-1,"")</f>
        <v/>
      </c>
      <c r="DT357" s="58">
        <f>IFERROR($O358/$O357-1,"")</f>
        <v/>
      </c>
      <c r="DU357" s="58">
        <f>IFERROR($P358/$P357-1,"")</f>
        <v/>
      </c>
      <c r="DV357" s="58">
        <f>IFERROR($Q358/$Q357-1,"")</f>
        <v/>
      </c>
      <c r="DW357" s="58">
        <f>IFERROR($R358/$R357-1,"")</f>
        <v/>
      </c>
      <c r="DX357" s="58">
        <f>IFERROR($S358/$S357-1,"")</f>
        <v/>
      </c>
      <c r="DY357" s="58">
        <f>IFERROR($T358/$T357-1,"")</f>
        <v/>
      </c>
      <c r="DZ357" s="58">
        <f>IFERROR($U358/$U357-1,"")</f>
        <v/>
      </c>
      <c r="EA357" s="58">
        <f>IFERROR($V358/$V357-1,"")</f>
        <v/>
      </c>
      <c r="EB357" s="58">
        <f>IFERROR($W358/$W357-1,"")</f>
        <v/>
      </c>
      <c r="EC357" s="58">
        <f>IFERROR($X358/$X357-1,"")</f>
        <v/>
      </c>
      <c r="ED357" s="58">
        <f>IFERROR($Y358/$Y357-1,"")</f>
        <v/>
      </c>
      <c r="EE357" s="58">
        <f>IFERROR($Z358/$Z357-1,"")</f>
        <v/>
      </c>
      <c r="EF357" s="58">
        <f>IFERROR($AA358/$AA357-1,"")</f>
        <v/>
      </c>
      <c r="EG357" s="58">
        <f>IFERROR($AB358/$AB357-1,"")</f>
        <v/>
      </c>
      <c r="EH357" s="58">
        <f>IFERROR($AC358/$AC357-1,"")</f>
        <v/>
      </c>
      <c r="EI357" s="58">
        <f>IFERROR($AD358/$AD357-1,"")</f>
        <v/>
      </c>
      <c r="EJ357" s="58">
        <f>IFERROR($AE358/$AE357-1,"")</f>
        <v/>
      </c>
      <c r="EK357" s="58">
        <f>IFERROR($AF358/$AF357-1,"")</f>
        <v/>
      </c>
      <c r="EL357" s="58">
        <f>IFERROR($AG358/$AG357-1,"")</f>
        <v/>
      </c>
      <c r="EM357" s="58">
        <f>IFERROR($BB357/$BB358-1,"")</f>
        <v/>
      </c>
      <c r="EN357" s="58">
        <f>IFERROR($BC357/$BC358-1,"")</f>
        <v/>
      </c>
      <c r="EO357" s="58">
        <f>IFERROR($BD357/$BD358-1,"")</f>
        <v/>
      </c>
      <c r="EP357" s="58">
        <f>IFERROR($BE357/$BE358-1,"")</f>
        <v/>
      </c>
      <c r="EQ357" s="58">
        <f>IFERROR($BF357/$BF358-1,"")</f>
        <v/>
      </c>
      <c r="ER357" s="58">
        <f>IFERROR($BG357/$BG358-1,"")</f>
        <v/>
      </c>
      <c r="ES357" s="58">
        <f>IFERROR($BH357/$BH358-1,"")</f>
        <v/>
      </c>
      <c r="ET357" s="58">
        <f>IFERROR($BI357/$BI358-1,"")</f>
        <v/>
      </c>
      <c r="EU357" s="58">
        <f>IFERROR($BJ357/$BJ358-1,"")</f>
        <v/>
      </c>
      <c r="EV357" s="58">
        <f>IFERROR($BK357/$BK358-1,"")</f>
        <v/>
      </c>
      <c r="EW357" s="58">
        <f>IFERROR($BL357/$BL358-1,"")</f>
        <v/>
      </c>
      <c r="EX357" s="58">
        <f>IFERROR($BM357/$BM358-1,"")</f>
        <v/>
      </c>
      <c r="EY357" s="58">
        <f>IFERROR($BN357/$BN358-1,"")</f>
        <v/>
      </c>
      <c r="EZ357" s="58">
        <f>IFERROR($BO357/$BO358-1,"")</f>
        <v/>
      </c>
      <c r="FA357" s="58">
        <f>IFERROR($BP357/$BP358-1,"")</f>
        <v/>
      </c>
      <c r="FB357" s="58">
        <f>IFERROR($BQ357/$BQ358-1,"")</f>
        <v/>
      </c>
      <c r="FC357" s="58">
        <f>IFERROR($BR357/$BR358-1,"")</f>
        <v/>
      </c>
      <c r="FD357" s="58">
        <f>IFERROR($BS357/$BS358-1,"")</f>
        <v/>
      </c>
      <c r="FE357" s="58">
        <f>IFERROR($BT357/$BT358-1,"")</f>
        <v/>
      </c>
      <c r="FF357" s="58">
        <f>IFERROR($BU357/$BU358-1,"")</f>
        <v/>
      </c>
      <c r="FG357" s="58">
        <f>IFERROR($BV357/$BV358-1,"")</f>
        <v/>
      </c>
      <c r="FH357" s="58">
        <f>IFERROR($BW357/$BW358-1,"")</f>
        <v/>
      </c>
      <c r="FI357" s="58">
        <f>IFERROR($BX357/$BX358-1,"")</f>
        <v/>
      </c>
      <c r="FJ357" s="59">
        <f>$BY357-$BY358</f>
        <v/>
      </c>
      <c r="FK357" s="59">
        <f>$BZ357-$BZ358</f>
        <v/>
      </c>
      <c r="FL357" s="59">
        <f>$CA357-$CA358</f>
        <v/>
      </c>
      <c r="FM357" s="59">
        <f>$CB357-$CB358</f>
        <v/>
      </c>
      <c r="FN357" s="59">
        <f>$CC357-$CC358</f>
        <v/>
      </c>
      <c r="FO357" s="59">
        <f>$CD357-$CD358</f>
        <v/>
      </c>
      <c r="FP357" s="59">
        <f>$CE357-$CE358</f>
        <v/>
      </c>
      <c r="FQ357" s="59">
        <f>$CF357-$CF358</f>
        <v/>
      </c>
      <c r="FR357" s="59">
        <f>$CG357-$CG358</f>
        <v/>
      </c>
      <c r="FS357" s="59">
        <f>$CH357-$CH358</f>
        <v/>
      </c>
      <c r="FT357" s="59">
        <f>$CI357-$CI358</f>
        <v/>
      </c>
      <c r="FU357" s="59">
        <f>$CJ357-$CJ358</f>
        <v/>
      </c>
      <c r="FV357" s="59">
        <f>$CK357-$CK358</f>
        <v/>
      </c>
      <c r="FW357" s="59">
        <f>$CL357-$CL358</f>
        <v/>
      </c>
      <c r="FX357" s="59">
        <f>$CM357-$CM358</f>
        <v/>
      </c>
      <c r="FY357" s="59">
        <f>$CN357-$CN358</f>
        <v/>
      </c>
      <c r="FZ357" s="59">
        <f>$CO357-$CO358</f>
        <v/>
      </c>
      <c r="GA357" s="59">
        <f>$CP357-$CP358</f>
        <v/>
      </c>
      <c r="GB357" s="59">
        <f>$CQ357-$CQ358</f>
        <v/>
      </c>
      <c r="GC357" s="59">
        <f>$CR357-$CR358</f>
        <v/>
      </c>
      <c r="GD357" s="59">
        <f>$CS357-$CS358</f>
        <v/>
      </c>
      <c r="GE357" s="59">
        <f>$CT357-$CT358</f>
        <v/>
      </c>
    </row>
    <row r="358">
      <c r="CU358" s="58">
        <f>IFERROR($B358/$B359-1,"")</f>
        <v/>
      </c>
      <c r="CV358" s="59">
        <f>($F358-$F359)*100</f>
        <v/>
      </c>
      <c r="CW358" s="59">
        <f>($E358-$E359)*100</f>
        <v/>
      </c>
      <c r="CX358" s="58">
        <f>IFERROR($K358/$K359-1,"")</f>
        <v/>
      </c>
      <c r="CY358" s="59">
        <f>($AH358-$AH359)*100</f>
        <v/>
      </c>
      <c r="CZ358" s="59">
        <f>($AI358-$AI359)*100</f>
        <v/>
      </c>
      <c r="DA358" s="59">
        <f>($AJ358-$AJ359)*100</f>
        <v/>
      </c>
      <c r="DB358" s="59">
        <f>($AK358-$AK359)*100</f>
        <v/>
      </c>
      <c r="DC358" s="59">
        <f>($AL358-$AL359)*100</f>
        <v/>
      </c>
      <c r="DD358" s="59">
        <f>($AM358-$AM359)*100</f>
        <v/>
      </c>
      <c r="DE358" s="59">
        <f>($AN358-$AN359)*100</f>
        <v/>
      </c>
      <c r="DF358" s="59">
        <f>($AO358-$AO359)*100</f>
        <v/>
      </c>
      <c r="DG358" s="59">
        <f>($AP358-$AP359)*100</f>
        <v/>
      </c>
      <c r="DH358" s="59">
        <f>($AQ358-$AQ359)*100</f>
        <v/>
      </c>
      <c r="DI358" s="59">
        <f>($AR358-$AR359)*100</f>
        <v/>
      </c>
      <c r="DJ358" s="59">
        <f>($AS358-$AS359)*100</f>
        <v/>
      </c>
      <c r="DK358" s="59">
        <f>($AT358-$AT359)*100</f>
        <v/>
      </c>
      <c r="DL358" s="59">
        <f>($AU358-$AU359)*100</f>
        <v/>
      </c>
      <c r="DM358" s="59">
        <f>($AV358-$AV359)*100</f>
        <v/>
      </c>
      <c r="DN358" s="59">
        <f>($AW358-$AW359)*100</f>
        <v/>
      </c>
      <c r="DO358" s="59">
        <f>($AX358-$AX359)*100</f>
        <v/>
      </c>
      <c r="DP358" s="59">
        <f>($AY358-$AY359)*100</f>
        <v/>
      </c>
      <c r="DQ358" s="59">
        <f>($AZ358-$AZ359)*100</f>
        <v/>
      </c>
      <c r="DR358" s="59">
        <f>($BA358-$BA359)*100</f>
        <v/>
      </c>
      <c r="DS358" s="58">
        <f>IFERROR($N359/$N358-1,"")</f>
        <v/>
      </c>
      <c r="DT358" s="58">
        <f>IFERROR($O359/$O358-1,"")</f>
        <v/>
      </c>
      <c r="DU358" s="58">
        <f>IFERROR($P359/$P358-1,"")</f>
        <v/>
      </c>
      <c r="DV358" s="58">
        <f>IFERROR($Q359/$Q358-1,"")</f>
        <v/>
      </c>
      <c r="DW358" s="58">
        <f>IFERROR($R359/$R358-1,"")</f>
        <v/>
      </c>
      <c r="DX358" s="58">
        <f>IFERROR($S359/$S358-1,"")</f>
        <v/>
      </c>
      <c r="DY358" s="58">
        <f>IFERROR($T359/$T358-1,"")</f>
        <v/>
      </c>
      <c r="DZ358" s="58">
        <f>IFERROR($U359/$U358-1,"")</f>
        <v/>
      </c>
      <c r="EA358" s="58">
        <f>IFERROR($V359/$V358-1,"")</f>
        <v/>
      </c>
      <c r="EB358" s="58">
        <f>IFERROR($W359/$W358-1,"")</f>
        <v/>
      </c>
      <c r="EC358" s="58">
        <f>IFERROR($X359/$X358-1,"")</f>
        <v/>
      </c>
      <c r="ED358" s="58">
        <f>IFERROR($Y359/$Y358-1,"")</f>
        <v/>
      </c>
      <c r="EE358" s="58">
        <f>IFERROR($Z359/$Z358-1,"")</f>
        <v/>
      </c>
      <c r="EF358" s="58">
        <f>IFERROR($AA359/$AA358-1,"")</f>
        <v/>
      </c>
      <c r="EG358" s="58">
        <f>IFERROR($AB359/$AB358-1,"")</f>
        <v/>
      </c>
      <c r="EH358" s="58">
        <f>IFERROR($AC359/$AC358-1,"")</f>
        <v/>
      </c>
      <c r="EI358" s="58">
        <f>IFERROR($AD359/$AD358-1,"")</f>
        <v/>
      </c>
      <c r="EJ358" s="58">
        <f>IFERROR($AE359/$AE358-1,"")</f>
        <v/>
      </c>
      <c r="EK358" s="58">
        <f>IFERROR($AF359/$AF358-1,"")</f>
        <v/>
      </c>
      <c r="EL358" s="58">
        <f>IFERROR($AG359/$AG358-1,"")</f>
        <v/>
      </c>
      <c r="EM358" s="58">
        <f>IFERROR($BB358/$BB359-1,"")</f>
        <v/>
      </c>
      <c r="EN358" s="58">
        <f>IFERROR($BC358/$BC359-1,"")</f>
        <v/>
      </c>
      <c r="EO358" s="58">
        <f>IFERROR($BD358/$BD359-1,"")</f>
        <v/>
      </c>
      <c r="EP358" s="58">
        <f>IFERROR($BE358/$BE359-1,"")</f>
        <v/>
      </c>
      <c r="EQ358" s="58">
        <f>IFERROR($BF358/$BF359-1,"")</f>
        <v/>
      </c>
      <c r="ER358" s="58">
        <f>IFERROR($BG358/$BG359-1,"")</f>
        <v/>
      </c>
      <c r="ES358" s="58">
        <f>IFERROR($BH358/$BH359-1,"")</f>
        <v/>
      </c>
      <c r="ET358" s="58">
        <f>IFERROR($BI358/$BI359-1,"")</f>
        <v/>
      </c>
      <c r="EU358" s="58">
        <f>IFERROR($BJ358/$BJ359-1,"")</f>
        <v/>
      </c>
      <c r="EV358" s="58">
        <f>IFERROR($BK358/$BK359-1,"")</f>
        <v/>
      </c>
      <c r="EW358" s="58">
        <f>IFERROR($BL358/$BL359-1,"")</f>
        <v/>
      </c>
      <c r="EX358" s="58">
        <f>IFERROR($BM358/$BM359-1,"")</f>
        <v/>
      </c>
      <c r="EY358" s="58">
        <f>IFERROR($BN358/$BN359-1,"")</f>
        <v/>
      </c>
      <c r="EZ358" s="58">
        <f>IFERROR($BO358/$BO359-1,"")</f>
        <v/>
      </c>
      <c r="FA358" s="58">
        <f>IFERROR($BP358/$BP359-1,"")</f>
        <v/>
      </c>
      <c r="FB358" s="58">
        <f>IFERROR($BQ358/$BQ359-1,"")</f>
        <v/>
      </c>
      <c r="FC358" s="58">
        <f>IFERROR($BR358/$BR359-1,"")</f>
        <v/>
      </c>
      <c r="FD358" s="58">
        <f>IFERROR($BS358/$BS359-1,"")</f>
        <v/>
      </c>
      <c r="FE358" s="58">
        <f>IFERROR($BT358/$BT359-1,"")</f>
        <v/>
      </c>
      <c r="FF358" s="58">
        <f>IFERROR($BU358/$BU359-1,"")</f>
        <v/>
      </c>
      <c r="FG358" s="58">
        <f>IFERROR($BV358/$BV359-1,"")</f>
        <v/>
      </c>
      <c r="FH358" s="58">
        <f>IFERROR($BW358/$BW359-1,"")</f>
        <v/>
      </c>
      <c r="FI358" s="58">
        <f>IFERROR($BX358/$BX359-1,"")</f>
        <v/>
      </c>
      <c r="FJ358" s="59">
        <f>$BY358-$BY359</f>
        <v/>
      </c>
      <c r="FK358" s="59">
        <f>$BZ358-$BZ359</f>
        <v/>
      </c>
      <c r="FL358" s="59">
        <f>$CA358-$CA359</f>
        <v/>
      </c>
      <c r="FM358" s="59">
        <f>$CB358-$CB359</f>
        <v/>
      </c>
      <c r="FN358" s="59">
        <f>$CC358-$CC359</f>
        <v/>
      </c>
      <c r="FO358" s="59">
        <f>$CD358-$CD359</f>
        <v/>
      </c>
      <c r="FP358" s="59">
        <f>$CE358-$CE359</f>
        <v/>
      </c>
      <c r="FQ358" s="59">
        <f>$CF358-$CF359</f>
        <v/>
      </c>
      <c r="FR358" s="59">
        <f>$CG358-$CG359</f>
        <v/>
      </c>
      <c r="FS358" s="59">
        <f>$CH358-$CH359</f>
        <v/>
      </c>
      <c r="FT358" s="59">
        <f>$CI358-$CI359</f>
        <v/>
      </c>
      <c r="FU358" s="59">
        <f>$CJ358-$CJ359</f>
        <v/>
      </c>
      <c r="FV358" s="59">
        <f>$CK358-$CK359</f>
        <v/>
      </c>
      <c r="FW358" s="59">
        <f>$CL358-$CL359</f>
        <v/>
      </c>
      <c r="FX358" s="59">
        <f>$CM358-$CM359</f>
        <v/>
      </c>
      <c r="FY358" s="59">
        <f>$CN358-$CN359</f>
        <v/>
      </c>
      <c r="FZ358" s="59">
        <f>$CO358-$CO359</f>
        <v/>
      </c>
      <c r="GA358" s="59">
        <f>$CP358-$CP359</f>
        <v/>
      </c>
      <c r="GB358" s="59">
        <f>$CQ358-$CQ359</f>
        <v/>
      </c>
      <c r="GC358" s="59">
        <f>$CR358-$CR359</f>
        <v/>
      </c>
      <c r="GD358" s="59">
        <f>$CS358-$CS359</f>
        <v/>
      </c>
      <c r="GE358" s="59">
        <f>$CT358-$CT359</f>
        <v/>
      </c>
    </row>
    <row r="359">
      <c r="CU359" s="58">
        <f>IFERROR($B359/$B360-1,"")</f>
        <v/>
      </c>
      <c r="CV359" s="59">
        <f>($F359-$F360)*100</f>
        <v/>
      </c>
      <c r="CW359" s="59">
        <f>($E359-$E360)*100</f>
        <v/>
      </c>
      <c r="CX359" s="58">
        <f>IFERROR($K359/$K360-1,"")</f>
        <v/>
      </c>
      <c r="CY359" s="59">
        <f>($AH359-$AH360)*100</f>
        <v/>
      </c>
      <c r="CZ359" s="59">
        <f>($AI359-$AI360)*100</f>
        <v/>
      </c>
      <c r="DA359" s="59">
        <f>($AJ359-$AJ360)*100</f>
        <v/>
      </c>
      <c r="DB359" s="59">
        <f>($AK359-$AK360)*100</f>
        <v/>
      </c>
      <c r="DC359" s="59">
        <f>($AL359-$AL360)*100</f>
        <v/>
      </c>
      <c r="DD359" s="59">
        <f>($AM359-$AM360)*100</f>
        <v/>
      </c>
      <c r="DE359" s="59">
        <f>($AN359-$AN360)*100</f>
        <v/>
      </c>
      <c r="DF359" s="59">
        <f>($AO359-$AO360)*100</f>
        <v/>
      </c>
      <c r="DG359" s="59">
        <f>($AP359-$AP360)*100</f>
        <v/>
      </c>
      <c r="DH359" s="59">
        <f>($AQ359-$AQ360)*100</f>
        <v/>
      </c>
      <c r="DI359" s="59">
        <f>($AR359-$AR360)*100</f>
        <v/>
      </c>
      <c r="DJ359" s="59">
        <f>($AS359-$AS360)*100</f>
        <v/>
      </c>
      <c r="DK359" s="59">
        <f>($AT359-$AT360)*100</f>
        <v/>
      </c>
      <c r="DL359" s="59">
        <f>($AU359-$AU360)*100</f>
        <v/>
      </c>
      <c r="DM359" s="59">
        <f>($AV359-$AV360)*100</f>
        <v/>
      </c>
      <c r="DN359" s="59">
        <f>($AW359-$AW360)*100</f>
        <v/>
      </c>
      <c r="DO359" s="59">
        <f>($AX359-$AX360)*100</f>
        <v/>
      </c>
      <c r="DP359" s="59">
        <f>($AY359-$AY360)*100</f>
        <v/>
      </c>
      <c r="DQ359" s="59">
        <f>($AZ359-$AZ360)*100</f>
        <v/>
      </c>
      <c r="DR359" s="59">
        <f>($BA359-$BA360)*100</f>
        <v/>
      </c>
      <c r="DS359" s="58">
        <f>IFERROR($N360/$N359-1,"")</f>
        <v/>
      </c>
      <c r="DT359" s="58">
        <f>IFERROR($O360/$O359-1,"")</f>
        <v/>
      </c>
      <c r="DU359" s="58">
        <f>IFERROR($P360/$P359-1,"")</f>
        <v/>
      </c>
      <c r="DV359" s="58">
        <f>IFERROR($Q360/$Q359-1,"")</f>
        <v/>
      </c>
      <c r="DW359" s="58">
        <f>IFERROR($R360/$R359-1,"")</f>
        <v/>
      </c>
      <c r="DX359" s="58">
        <f>IFERROR($S360/$S359-1,"")</f>
        <v/>
      </c>
      <c r="DY359" s="58">
        <f>IFERROR($T360/$T359-1,"")</f>
        <v/>
      </c>
      <c r="DZ359" s="58">
        <f>IFERROR($U360/$U359-1,"")</f>
        <v/>
      </c>
      <c r="EA359" s="58">
        <f>IFERROR($V360/$V359-1,"")</f>
        <v/>
      </c>
      <c r="EB359" s="58">
        <f>IFERROR($W360/$W359-1,"")</f>
        <v/>
      </c>
      <c r="EC359" s="58">
        <f>IFERROR($X360/$X359-1,"")</f>
        <v/>
      </c>
      <c r="ED359" s="58">
        <f>IFERROR($Y360/$Y359-1,"")</f>
        <v/>
      </c>
      <c r="EE359" s="58">
        <f>IFERROR($Z360/$Z359-1,"")</f>
        <v/>
      </c>
      <c r="EF359" s="58">
        <f>IFERROR($AA360/$AA359-1,"")</f>
        <v/>
      </c>
      <c r="EG359" s="58">
        <f>IFERROR($AB360/$AB359-1,"")</f>
        <v/>
      </c>
      <c r="EH359" s="58">
        <f>IFERROR($AC360/$AC359-1,"")</f>
        <v/>
      </c>
      <c r="EI359" s="58">
        <f>IFERROR($AD360/$AD359-1,"")</f>
        <v/>
      </c>
      <c r="EJ359" s="58">
        <f>IFERROR($AE360/$AE359-1,"")</f>
        <v/>
      </c>
      <c r="EK359" s="58">
        <f>IFERROR($AF360/$AF359-1,"")</f>
        <v/>
      </c>
      <c r="EL359" s="58">
        <f>IFERROR($AG360/$AG359-1,"")</f>
        <v/>
      </c>
      <c r="EM359" s="58">
        <f>IFERROR($BB359/$BB360-1,"")</f>
        <v/>
      </c>
      <c r="EN359" s="58">
        <f>IFERROR($BC359/$BC360-1,"")</f>
        <v/>
      </c>
      <c r="EO359" s="58">
        <f>IFERROR($BD359/$BD360-1,"")</f>
        <v/>
      </c>
      <c r="EP359" s="58">
        <f>IFERROR($BE359/$BE360-1,"")</f>
        <v/>
      </c>
      <c r="EQ359" s="58">
        <f>IFERROR($BF359/$BF360-1,"")</f>
        <v/>
      </c>
      <c r="ER359" s="58">
        <f>IFERROR($BG359/$BG360-1,"")</f>
        <v/>
      </c>
      <c r="ES359" s="58">
        <f>IFERROR($BH359/$BH360-1,"")</f>
        <v/>
      </c>
      <c r="ET359" s="58">
        <f>IFERROR($BI359/$BI360-1,"")</f>
        <v/>
      </c>
      <c r="EU359" s="58">
        <f>IFERROR($BJ359/$BJ360-1,"")</f>
        <v/>
      </c>
      <c r="EV359" s="58">
        <f>IFERROR($BK359/$BK360-1,"")</f>
        <v/>
      </c>
      <c r="EW359" s="58">
        <f>IFERROR($BL359/$BL360-1,"")</f>
        <v/>
      </c>
      <c r="EX359" s="58">
        <f>IFERROR($BM359/$BM360-1,"")</f>
        <v/>
      </c>
      <c r="EY359" s="58">
        <f>IFERROR($BN359/$BN360-1,"")</f>
        <v/>
      </c>
      <c r="EZ359" s="58">
        <f>IFERROR($BO359/$BO360-1,"")</f>
        <v/>
      </c>
      <c r="FA359" s="58">
        <f>IFERROR($BP359/$BP360-1,"")</f>
        <v/>
      </c>
      <c r="FB359" s="58">
        <f>IFERROR($BQ359/$BQ360-1,"")</f>
        <v/>
      </c>
      <c r="FC359" s="58">
        <f>IFERROR($BR359/$BR360-1,"")</f>
        <v/>
      </c>
      <c r="FD359" s="58">
        <f>IFERROR($BS359/$BS360-1,"")</f>
        <v/>
      </c>
      <c r="FE359" s="58">
        <f>IFERROR($BT359/$BT360-1,"")</f>
        <v/>
      </c>
      <c r="FF359" s="58">
        <f>IFERROR($BU359/$BU360-1,"")</f>
        <v/>
      </c>
      <c r="FG359" s="58">
        <f>IFERROR($BV359/$BV360-1,"")</f>
        <v/>
      </c>
      <c r="FH359" s="58">
        <f>IFERROR($BW359/$BW360-1,"")</f>
        <v/>
      </c>
      <c r="FI359" s="58">
        <f>IFERROR($BX359/$BX360-1,"")</f>
        <v/>
      </c>
      <c r="FJ359" s="59">
        <f>$BY359-$BY360</f>
        <v/>
      </c>
      <c r="FK359" s="59">
        <f>$BZ359-$BZ360</f>
        <v/>
      </c>
      <c r="FL359" s="59">
        <f>$CA359-$CA360</f>
        <v/>
      </c>
      <c r="FM359" s="59">
        <f>$CB359-$CB360</f>
        <v/>
      </c>
      <c r="FN359" s="59">
        <f>$CC359-$CC360</f>
        <v/>
      </c>
      <c r="FO359" s="59">
        <f>$CD359-$CD360</f>
        <v/>
      </c>
      <c r="FP359" s="59">
        <f>$CE359-$CE360</f>
        <v/>
      </c>
      <c r="FQ359" s="59">
        <f>$CF359-$CF360</f>
        <v/>
      </c>
      <c r="FR359" s="59">
        <f>$CG359-$CG360</f>
        <v/>
      </c>
      <c r="FS359" s="59">
        <f>$CH359-$CH360</f>
        <v/>
      </c>
      <c r="FT359" s="59">
        <f>$CI359-$CI360</f>
        <v/>
      </c>
      <c r="FU359" s="59">
        <f>$CJ359-$CJ360</f>
        <v/>
      </c>
      <c r="FV359" s="59">
        <f>$CK359-$CK360</f>
        <v/>
      </c>
      <c r="FW359" s="59">
        <f>$CL359-$CL360</f>
        <v/>
      </c>
      <c r="FX359" s="59">
        <f>$CM359-$CM360</f>
        <v/>
      </c>
      <c r="FY359" s="59">
        <f>$CN359-$CN360</f>
        <v/>
      </c>
      <c r="FZ359" s="59">
        <f>$CO359-$CO360</f>
        <v/>
      </c>
      <c r="GA359" s="59">
        <f>$CP359-$CP360</f>
        <v/>
      </c>
      <c r="GB359" s="59">
        <f>$CQ359-$CQ360</f>
        <v/>
      </c>
      <c r="GC359" s="59">
        <f>$CR359-$CR360</f>
        <v/>
      </c>
      <c r="GD359" s="59">
        <f>$CS359-$CS360</f>
        <v/>
      </c>
      <c r="GE359" s="59">
        <f>$CT359-$CT360</f>
        <v/>
      </c>
    </row>
    <row r="360">
      <c r="CU360" s="58">
        <f>IFERROR($B360/$B361-1,"")</f>
        <v/>
      </c>
      <c r="CV360" s="59">
        <f>($F360-$F361)*100</f>
        <v/>
      </c>
      <c r="CW360" s="59">
        <f>($E360-$E361)*100</f>
        <v/>
      </c>
      <c r="CX360" s="58">
        <f>IFERROR($K360/$K361-1,"")</f>
        <v/>
      </c>
      <c r="CY360" s="59">
        <f>($AH360-$AH361)*100</f>
        <v/>
      </c>
      <c r="CZ360" s="59">
        <f>($AI360-$AI361)*100</f>
        <v/>
      </c>
      <c r="DA360" s="59">
        <f>($AJ360-$AJ361)*100</f>
        <v/>
      </c>
      <c r="DB360" s="59">
        <f>($AK360-$AK361)*100</f>
        <v/>
      </c>
      <c r="DC360" s="59">
        <f>($AL360-$AL361)*100</f>
        <v/>
      </c>
      <c r="DD360" s="59">
        <f>($AM360-$AM361)*100</f>
        <v/>
      </c>
      <c r="DE360" s="59">
        <f>($AN360-$AN361)*100</f>
        <v/>
      </c>
      <c r="DF360" s="59">
        <f>($AO360-$AO361)*100</f>
        <v/>
      </c>
      <c r="DG360" s="59">
        <f>($AP360-$AP361)*100</f>
        <v/>
      </c>
      <c r="DH360" s="59">
        <f>($AQ360-$AQ361)*100</f>
        <v/>
      </c>
      <c r="DI360" s="59">
        <f>($AR360-$AR361)*100</f>
        <v/>
      </c>
      <c r="DJ360" s="59">
        <f>($AS360-$AS361)*100</f>
        <v/>
      </c>
      <c r="DK360" s="59">
        <f>($AT360-$AT361)*100</f>
        <v/>
      </c>
      <c r="DL360" s="59">
        <f>($AU360-$AU361)*100</f>
        <v/>
      </c>
      <c r="DM360" s="59">
        <f>($AV360-$AV361)*100</f>
        <v/>
      </c>
      <c r="DN360" s="59">
        <f>($AW360-$AW361)*100</f>
        <v/>
      </c>
      <c r="DO360" s="59">
        <f>($AX360-$AX361)*100</f>
        <v/>
      </c>
      <c r="DP360" s="59">
        <f>($AY360-$AY361)*100</f>
        <v/>
      </c>
      <c r="DQ360" s="59">
        <f>($AZ360-$AZ361)*100</f>
        <v/>
      </c>
      <c r="DR360" s="59">
        <f>($BA360-$BA361)*100</f>
        <v/>
      </c>
      <c r="DS360" s="58">
        <f>IFERROR($N361/$N360-1,"")</f>
        <v/>
      </c>
      <c r="DT360" s="58">
        <f>IFERROR($O361/$O360-1,"")</f>
        <v/>
      </c>
      <c r="DU360" s="58">
        <f>IFERROR($P361/$P360-1,"")</f>
        <v/>
      </c>
      <c r="DV360" s="58">
        <f>IFERROR($Q361/$Q360-1,"")</f>
        <v/>
      </c>
      <c r="DW360" s="58">
        <f>IFERROR($R361/$R360-1,"")</f>
        <v/>
      </c>
      <c r="DX360" s="58">
        <f>IFERROR($S361/$S360-1,"")</f>
        <v/>
      </c>
      <c r="DY360" s="58">
        <f>IFERROR($T361/$T360-1,"")</f>
        <v/>
      </c>
      <c r="DZ360" s="58">
        <f>IFERROR($U361/$U360-1,"")</f>
        <v/>
      </c>
      <c r="EA360" s="58">
        <f>IFERROR($V361/$V360-1,"")</f>
        <v/>
      </c>
      <c r="EB360" s="58">
        <f>IFERROR($W361/$W360-1,"")</f>
        <v/>
      </c>
      <c r="EC360" s="58">
        <f>IFERROR($X361/$X360-1,"")</f>
        <v/>
      </c>
      <c r="ED360" s="58">
        <f>IFERROR($Y361/$Y360-1,"")</f>
        <v/>
      </c>
      <c r="EE360" s="58">
        <f>IFERROR($Z361/$Z360-1,"")</f>
        <v/>
      </c>
      <c r="EF360" s="58">
        <f>IFERROR($AA361/$AA360-1,"")</f>
        <v/>
      </c>
      <c r="EG360" s="58">
        <f>IFERROR($AB361/$AB360-1,"")</f>
        <v/>
      </c>
      <c r="EH360" s="58">
        <f>IFERROR($AC361/$AC360-1,"")</f>
        <v/>
      </c>
      <c r="EI360" s="58">
        <f>IFERROR($AD361/$AD360-1,"")</f>
        <v/>
      </c>
      <c r="EJ360" s="58">
        <f>IFERROR($AE361/$AE360-1,"")</f>
        <v/>
      </c>
      <c r="EK360" s="58">
        <f>IFERROR($AF361/$AF360-1,"")</f>
        <v/>
      </c>
      <c r="EL360" s="58">
        <f>IFERROR($AG361/$AG360-1,"")</f>
        <v/>
      </c>
      <c r="EM360" s="58">
        <f>IFERROR($BB360/$BB361-1,"")</f>
        <v/>
      </c>
      <c r="EN360" s="58">
        <f>IFERROR($BC360/$BC361-1,"")</f>
        <v/>
      </c>
      <c r="EO360" s="58">
        <f>IFERROR($BD360/$BD361-1,"")</f>
        <v/>
      </c>
      <c r="EP360" s="58">
        <f>IFERROR($BE360/$BE361-1,"")</f>
        <v/>
      </c>
      <c r="EQ360" s="58">
        <f>IFERROR($BF360/$BF361-1,"")</f>
        <v/>
      </c>
      <c r="ER360" s="58">
        <f>IFERROR($BG360/$BG361-1,"")</f>
        <v/>
      </c>
      <c r="ES360" s="58">
        <f>IFERROR($BH360/$BH361-1,"")</f>
        <v/>
      </c>
      <c r="ET360" s="58">
        <f>IFERROR($BI360/$BI361-1,"")</f>
        <v/>
      </c>
      <c r="EU360" s="58">
        <f>IFERROR($BJ360/$BJ361-1,"")</f>
        <v/>
      </c>
      <c r="EV360" s="58">
        <f>IFERROR($BK360/$BK361-1,"")</f>
        <v/>
      </c>
      <c r="EW360" s="58">
        <f>IFERROR($BL360/$BL361-1,"")</f>
        <v/>
      </c>
      <c r="EX360" s="58">
        <f>IFERROR($BM360/$BM361-1,"")</f>
        <v/>
      </c>
      <c r="EY360" s="58">
        <f>IFERROR($BN360/$BN361-1,"")</f>
        <v/>
      </c>
      <c r="EZ360" s="58">
        <f>IFERROR($BO360/$BO361-1,"")</f>
        <v/>
      </c>
      <c r="FA360" s="58">
        <f>IFERROR($BP360/$BP361-1,"")</f>
        <v/>
      </c>
      <c r="FB360" s="58">
        <f>IFERROR($BQ360/$BQ361-1,"")</f>
        <v/>
      </c>
      <c r="FC360" s="58">
        <f>IFERROR($BR360/$BR361-1,"")</f>
        <v/>
      </c>
      <c r="FD360" s="58">
        <f>IFERROR($BS360/$BS361-1,"")</f>
        <v/>
      </c>
      <c r="FE360" s="58">
        <f>IFERROR($BT360/$BT361-1,"")</f>
        <v/>
      </c>
      <c r="FF360" s="58">
        <f>IFERROR($BU360/$BU361-1,"")</f>
        <v/>
      </c>
      <c r="FG360" s="58">
        <f>IFERROR($BV360/$BV361-1,"")</f>
        <v/>
      </c>
      <c r="FH360" s="58">
        <f>IFERROR($BW360/$BW361-1,"")</f>
        <v/>
      </c>
      <c r="FI360" s="58">
        <f>IFERROR($BX360/$BX361-1,"")</f>
        <v/>
      </c>
      <c r="FJ360" s="59">
        <f>$BY360-$BY361</f>
        <v/>
      </c>
      <c r="FK360" s="59">
        <f>$BZ360-$BZ361</f>
        <v/>
      </c>
      <c r="FL360" s="59">
        <f>$CA360-$CA361</f>
        <v/>
      </c>
      <c r="FM360" s="59">
        <f>$CB360-$CB361</f>
        <v/>
      </c>
      <c r="FN360" s="59">
        <f>$CC360-$CC361</f>
        <v/>
      </c>
      <c r="FO360" s="59">
        <f>$CD360-$CD361</f>
        <v/>
      </c>
      <c r="FP360" s="59">
        <f>$CE360-$CE361</f>
        <v/>
      </c>
      <c r="FQ360" s="59">
        <f>$CF360-$CF361</f>
        <v/>
      </c>
      <c r="FR360" s="59">
        <f>$CG360-$CG361</f>
        <v/>
      </c>
      <c r="FS360" s="59">
        <f>$CH360-$CH361</f>
        <v/>
      </c>
      <c r="FT360" s="59">
        <f>$CI360-$CI361</f>
        <v/>
      </c>
      <c r="FU360" s="59">
        <f>$CJ360-$CJ361</f>
        <v/>
      </c>
      <c r="FV360" s="59">
        <f>$CK360-$CK361</f>
        <v/>
      </c>
      <c r="FW360" s="59">
        <f>$CL360-$CL361</f>
        <v/>
      </c>
      <c r="FX360" s="59">
        <f>$CM360-$CM361</f>
        <v/>
      </c>
      <c r="FY360" s="59">
        <f>$CN360-$CN361</f>
        <v/>
      </c>
      <c r="FZ360" s="59">
        <f>$CO360-$CO361</f>
        <v/>
      </c>
      <c r="GA360" s="59">
        <f>$CP360-$CP361</f>
        <v/>
      </c>
      <c r="GB360" s="59">
        <f>$CQ360-$CQ361</f>
        <v/>
      </c>
      <c r="GC360" s="59">
        <f>$CR360-$CR361</f>
        <v/>
      </c>
      <c r="GD360" s="59">
        <f>$CS360-$CS361</f>
        <v/>
      </c>
      <c r="GE360" s="59">
        <f>$CT360-$CT361</f>
        <v/>
      </c>
    </row>
    <row r="361">
      <c r="CU361" s="58">
        <f>IFERROR($B361/$B362-1,"")</f>
        <v/>
      </c>
      <c r="CV361" s="59">
        <f>($F361-$F362)*100</f>
        <v/>
      </c>
      <c r="CW361" s="59">
        <f>($E361-$E362)*100</f>
        <v/>
      </c>
      <c r="CX361" s="58">
        <f>IFERROR($K361/$K362-1,"")</f>
        <v/>
      </c>
      <c r="CY361" s="59">
        <f>($AH361-$AH362)*100</f>
        <v/>
      </c>
      <c r="CZ361" s="59">
        <f>($AI361-$AI362)*100</f>
        <v/>
      </c>
      <c r="DA361" s="59">
        <f>($AJ361-$AJ362)*100</f>
        <v/>
      </c>
      <c r="DB361" s="59">
        <f>($AK361-$AK362)*100</f>
        <v/>
      </c>
      <c r="DC361" s="59">
        <f>($AL361-$AL362)*100</f>
        <v/>
      </c>
      <c r="DD361" s="59">
        <f>($AM361-$AM362)*100</f>
        <v/>
      </c>
      <c r="DE361" s="59">
        <f>($AN361-$AN362)*100</f>
        <v/>
      </c>
      <c r="DF361" s="59">
        <f>($AO361-$AO362)*100</f>
        <v/>
      </c>
      <c r="DG361" s="59">
        <f>($AP361-$AP362)*100</f>
        <v/>
      </c>
      <c r="DH361" s="59">
        <f>($AQ361-$AQ362)*100</f>
        <v/>
      </c>
      <c r="DI361" s="59">
        <f>($AR361-$AR362)*100</f>
        <v/>
      </c>
      <c r="DJ361" s="59">
        <f>($AS361-$AS362)*100</f>
        <v/>
      </c>
      <c r="DK361" s="59">
        <f>($AT361-$AT362)*100</f>
        <v/>
      </c>
      <c r="DL361" s="59">
        <f>($AU361-$AU362)*100</f>
        <v/>
      </c>
      <c r="DM361" s="59">
        <f>($AV361-$AV362)*100</f>
        <v/>
      </c>
      <c r="DN361" s="59">
        <f>($AW361-$AW362)*100</f>
        <v/>
      </c>
      <c r="DO361" s="59">
        <f>($AX361-$AX362)*100</f>
        <v/>
      </c>
      <c r="DP361" s="59">
        <f>($AY361-$AY362)*100</f>
        <v/>
      </c>
      <c r="DQ361" s="59">
        <f>($AZ361-$AZ362)*100</f>
        <v/>
      </c>
      <c r="DR361" s="59">
        <f>($BA361-$BA362)*100</f>
        <v/>
      </c>
      <c r="DS361" s="58">
        <f>IFERROR($N362/$N361-1,"")</f>
        <v/>
      </c>
      <c r="DT361" s="58">
        <f>IFERROR($O362/$O361-1,"")</f>
        <v/>
      </c>
      <c r="DU361" s="58">
        <f>IFERROR($P362/$P361-1,"")</f>
        <v/>
      </c>
      <c r="DV361" s="58">
        <f>IFERROR($Q362/$Q361-1,"")</f>
        <v/>
      </c>
      <c r="DW361" s="58">
        <f>IFERROR($R362/$R361-1,"")</f>
        <v/>
      </c>
      <c r="DX361" s="58">
        <f>IFERROR($S362/$S361-1,"")</f>
        <v/>
      </c>
      <c r="DY361" s="58">
        <f>IFERROR($T362/$T361-1,"")</f>
        <v/>
      </c>
      <c r="DZ361" s="58">
        <f>IFERROR($U362/$U361-1,"")</f>
        <v/>
      </c>
      <c r="EA361" s="58">
        <f>IFERROR($V362/$V361-1,"")</f>
        <v/>
      </c>
      <c r="EB361" s="58">
        <f>IFERROR($W362/$W361-1,"")</f>
        <v/>
      </c>
      <c r="EC361" s="58">
        <f>IFERROR($X362/$X361-1,"")</f>
        <v/>
      </c>
      <c r="ED361" s="58">
        <f>IFERROR($Y362/$Y361-1,"")</f>
        <v/>
      </c>
      <c r="EE361" s="58">
        <f>IFERROR($Z362/$Z361-1,"")</f>
        <v/>
      </c>
      <c r="EF361" s="58">
        <f>IFERROR($AA362/$AA361-1,"")</f>
        <v/>
      </c>
      <c r="EG361" s="58">
        <f>IFERROR($AB362/$AB361-1,"")</f>
        <v/>
      </c>
      <c r="EH361" s="58">
        <f>IFERROR($AC362/$AC361-1,"")</f>
        <v/>
      </c>
      <c r="EI361" s="58">
        <f>IFERROR($AD362/$AD361-1,"")</f>
        <v/>
      </c>
      <c r="EJ361" s="58">
        <f>IFERROR($AE362/$AE361-1,"")</f>
        <v/>
      </c>
      <c r="EK361" s="58">
        <f>IFERROR($AF362/$AF361-1,"")</f>
        <v/>
      </c>
      <c r="EL361" s="58">
        <f>IFERROR($AG362/$AG361-1,"")</f>
        <v/>
      </c>
      <c r="EM361" s="58">
        <f>IFERROR($BB361/$BB362-1,"")</f>
        <v/>
      </c>
      <c r="EN361" s="58">
        <f>IFERROR($BC361/$BC362-1,"")</f>
        <v/>
      </c>
      <c r="EO361" s="58">
        <f>IFERROR($BD361/$BD362-1,"")</f>
        <v/>
      </c>
      <c r="EP361" s="58">
        <f>IFERROR($BE361/$BE362-1,"")</f>
        <v/>
      </c>
      <c r="EQ361" s="58">
        <f>IFERROR($BF361/$BF362-1,"")</f>
        <v/>
      </c>
      <c r="ER361" s="58">
        <f>IFERROR($BG361/$BG362-1,"")</f>
        <v/>
      </c>
      <c r="ES361" s="58">
        <f>IFERROR($BH361/$BH362-1,"")</f>
        <v/>
      </c>
      <c r="ET361" s="58">
        <f>IFERROR($BI361/$BI362-1,"")</f>
        <v/>
      </c>
      <c r="EU361" s="58">
        <f>IFERROR($BJ361/$BJ362-1,"")</f>
        <v/>
      </c>
      <c r="EV361" s="58">
        <f>IFERROR($BK361/$BK362-1,"")</f>
        <v/>
      </c>
      <c r="EW361" s="58">
        <f>IFERROR($BL361/$BL362-1,"")</f>
        <v/>
      </c>
      <c r="EX361" s="58">
        <f>IFERROR($BM361/$BM362-1,"")</f>
        <v/>
      </c>
      <c r="EY361" s="58">
        <f>IFERROR($BN361/$BN362-1,"")</f>
        <v/>
      </c>
      <c r="EZ361" s="58">
        <f>IFERROR($BO361/$BO362-1,"")</f>
        <v/>
      </c>
      <c r="FA361" s="58">
        <f>IFERROR($BP361/$BP362-1,"")</f>
        <v/>
      </c>
      <c r="FB361" s="58">
        <f>IFERROR($BQ361/$BQ362-1,"")</f>
        <v/>
      </c>
      <c r="FC361" s="58">
        <f>IFERROR($BR361/$BR362-1,"")</f>
        <v/>
      </c>
      <c r="FD361" s="58">
        <f>IFERROR($BS361/$BS362-1,"")</f>
        <v/>
      </c>
      <c r="FE361" s="58">
        <f>IFERROR($BT361/$BT362-1,"")</f>
        <v/>
      </c>
      <c r="FF361" s="58">
        <f>IFERROR($BU361/$BU362-1,"")</f>
        <v/>
      </c>
      <c r="FG361" s="58">
        <f>IFERROR($BV361/$BV362-1,"")</f>
        <v/>
      </c>
      <c r="FH361" s="58">
        <f>IFERROR($BW361/$BW362-1,"")</f>
        <v/>
      </c>
      <c r="FI361" s="58">
        <f>IFERROR($BX361/$BX362-1,"")</f>
        <v/>
      </c>
      <c r="FJ361" s="59">
        <f>$BY361-$BY362</f>
        <v/>
      </c>
      <c r="FK361" s="59">
        <f>$BZ361-$BZ362</f>
        <v/>
      </c>
      <c r="FL361" s="59">
        <f>$CA361-$CA362</f>
        <v/>
      </c>
      <c r="FM361" s="59">
        <f>$CB361-$CB362</f>
        <v/>
      </c>
      <c r="FN361" s="59">
        <f>$CC361-$CC362</f>
        <v/>
      </c>
      <c r="FO361" s="59">
        <f>$CD361-$CD362</f>
        <v/>
      </c>
      <c r="FP361" s="59">
        <f>$CE361-$CE362</f>
        <v/>
      </c>
      <c r="FQ361" s="59">
        <f>$CF361-$CF362</f>
        <v/>
      </c>
      <c r="FR361" s="59">
        <f>$CG361-$CG362</f>
        <v/>
      </c>
      <c r="FS361" s="59">
        <f>$CH361-$CH362</f>
        <v/>
      </c>
      <c r="FT361" s="59">
        <f>$CI361-$CI362</f>
        <v/>
      </c>
      <c r="FU361" s="59">
        <f>$CJ361-$CJ362</f>
        <v/>
      </c>
      <c r="FV361" s="59">
        <f>$CK361-$CK362</f>
        <v/>
      </c>
      <c r="FW361" s="59">
        <f>$CL361-$CL362</f>
        <v/>
      </c>
      <c r="FX361" s="59">
        <f>$CM361-$CM362</f>
        <v/>
      </c>
      <c r="FY361" s="59">
        <f>$CN361-$CN362</f>
        <v/>
      </c>
      <c r="FZ361" s="59">
        <f>$CO361-$CO362</f>
        <v/>
      </c>
      <c r="GA361" s="59">
        <f>$CP361-$CP362</f>
        <v/>
      </c>
      <c r="GB361" s="59">
        <f>$CQ361-$CQ362</f>
        <v/>
      </c>
      <c r="GC361" s="59">
        <f>$CR361-$CR362</f>
        <v/>
      </c>
      <c r="GD361" s="59">
        <f>$CS361-$CS362</f>
        <v/>
      </c>
      <c r="GE361" s="59">
        <f>$CT361-$CT362</f>
        <v/>
      </c>
    </row>
    <row r="362">
      <c r="CU362" s="58">
        <f>IFERROR($B362/$B363-1,"")</f>
        <v/>
      </c>
      <c r="CV362" s="59">
        <f>($F362-$F363)*100</f>
        <v/>
      </c>
      <c r="CW362" s="59">
        <f>($E362-$E363)*100</f>
        <v/>
      </c>
      <c r="CX362" s="58">
        <f>IFERROR($K362/$K363-1,"")</f>
        <v/>
      </c>
      <c r="CY362" s="59">
        <f>($AH362-$AH363)*100</f>
        <v/>
      </c>
      <c r="CZ362" s="59">
        <f>($AI362-$AI363)*100</f>
        <v/>
      </c>
      <c r="DA362" s="59">
        <f>($AJ362-$AJ363)*100</f>
        <v/>
      </c>
      <c r="DB362" s="59">
        <f>($AK362-$AK363)*100</f>
        <v/>
      </c>
      <c r="DC362" s="59">
        <f>($AL362-$AL363)*100</f>
        <v/>
      </c>
      <c r="DD362" s="59">
        <f>($AM362-$AM363)*100</f>
        <v/>
      </c>
      <c r="DE362" s="59">
        <f>($AN362-$AN363)*100</f>
        <v/>
      </c>
      <c r="DF362" s="59">
        <f>($AO362-$AO363)*100</f>
        <v/>
      </c>
      <c r="DG362" s="59">
        <f>($AP362-$AP363)*100</f>
        <v/>
      </c>
      <c r="DH362" s="59">
        <f>($AQ362-$AQ363)*100</f>
        <v/>
      </c>
      <c r="DI362" s="59">
        <f>($AR362-$AR363)*100</f>
        <v/>
      </c>
      <c r="DJ362" s="59">
        <f>($AS362-$AS363)*100</f>
        <v/>
      </c>
      <c r="DK362" s="59">
        <f>($AT362-$AT363)*100</f>
        <v/>
      </c>
      <c r="DL362" s="59">
        <f>($AU362-$AU363)*100</f>
        <v/>
      </c>
      <c r="DM362" s="59">
        <f>($AV362-$AV363)*100</f>
        <v/>
      </c>
      <c r="DN362" s="59">
        <f>($AW362-$AW363)*100</f>
        <v/>
      </c>
      <c r="DO362" s="59">
        <f>($AX362-$AX363)*100</f>
        <v/>
      </c>
      <c r="DP362" s="59">
        <f>($AY362-$AY363)*100</f>
        <v/>
      </c>
      <c r="DQ362" s="59">
        <f>($AZ362-$AZ363)*100</f>
        <v/>
      </c>
      <c r="DR362" s="59">
        <f>($BA362-$BA363)*100</f>
        <v/>
      </c>
      <c r="DS362" s="58">
        <f>IFERROR($N363/$N362-1,"")</f>
        <v/>
      </c>
      <c r="DT362" s="58">
        <f>IFERROR($O363/$O362-1,"")</f>
        <v/>
      </c>
      <c r="DU362" s="58">
        <f>IFERROR($P363/$P362-1,"")</f>
        <v/>
      </c>
      <c r="DV362" s="58">
        <f>IFERROR($Q363/$Q362-1,"")</f>
        <v/>
      </c>
      <c r="DW362" s="58">
        <f>IFERROR($R363/$R362-1,"")</f>
        <v/>
      </c>
      <c r="DX362" s="58">
        <f>IFERROR($S363/$S362-1,"")</f>
        <v/>
      </c>
      <c r="DY362" s="58">
        <f>IFERROR($T363/$T362-1,"")</f>
        <v/>
      </c>
      <c r="DZ362" s="58">
        <f>IFERROR($U363/$U362-1,"")</f>
        <v/>
      </c>
      <c r="EA362" s="58">
        <f>IFERROR($V363/$V362-1,"")</f>
        <v/>
      </c>
      <c r="EB362" s="58">
        <f>IFERROR($W363/$W362-1,"")</f>
        <v/>
      </c>
      <c r="EC362" s="58">
        <f>IFERROR($X363/$X362-1,"")</f>
        <v/>
      </c>
      <c r="ED362" s="58">
        <f>IFERROR($Y363/$Y362-1,"")</f>
        <v/>
      </c>
      <c r="EE362" s="58">
        <f>IFERROR($Z363/$Z362-1,"")</f>
        <v/>
      </c>
      <c r="EF362" s="58">
        <f>IFERROR($AA363/$AA362-1,"")</f>
        <v/>
      </c>
      <c r="EG362" s="58">
        <f>IFERROR($AB363/$AB362-1,"")</f>
        <v/>
      </c>
      <c r="EH362" s="58">
        <f>IFERROR($AC363/$AC362-1,"")</f>
        <v/>
      </c>
      <c r="EI362" s="58">
        <f>IFERROR($AD363/$AD362-1,"")</f>
        <v/>
      </c>
      <c r="EJ362" s="58">
        <f>IFERROR($AE363/$AE362-1,"")</f>
        <v/>
      </c>
      <c r="EK362" s="58">
        <f>IFERROR($AF363/$AF362-1,"")</f>
        <v/>
      </c>
      <c r="EL362" s="58">
        <f>IFERROR($AG363/$AG362-1,"")</f>
        <v/>
      </c>
      <c r="EM362" s="58">
        <f>IFERROR($BB362/$BB363-1,"")</f>
        <v/>
      </c>
      <c r="EN362" s="58">
        <f>IFERROR($BC362/$BC363-1,"")</f>
        <v/>
      </c>
      <c r="EO362" s="58">
        <f>IFERROR($BD362/$BD363-1,"")</f>
        <v/>
      </c>
      <c r="EP362" s="58">
        <f>IFERROR($BE362/$BE363-1,"")</f>
        <v/>
      </c>
      <c r="EQ362" s="58">
        <f>IFERROR($BF362/$BF363-1,"")</f>
        <v/>
      </c>
      <c r="ER362" s="58">
        <f>IFERROR($BG362/$BG363-1,"")</f>
        <v/>
      </c>
      <c r="ES362" s="58">
        <f>IFERROR($BH362/$BH363-1,"")</f>
        <v/>
      </c>
      <c r="ET362" s="58">
        <f>IFERROR($BI362/$BI363-1,"")</f>
        <v/>
      </c>
      <c r="EU362" s="58">
        <f>IFERROR($BJ362/$BJ363-1,"")</f>
        <v/>
      </c>
      <c r="EV362" s="58">
        <f>IFERROR($BK362/$BK363-1,"")</f>
        <v/>
      </c>
      <c r="EW362" s="58">
        <f>IFERROR($BL362/$BL363-1,"")</f>
        <v/>
      </c>
      <c r="EX362" s="58">
        <f>IFERROR($BM362/$BM363-1,"")</f>
        <v/>
      </c>
      <c r="EY362" s="58">
        <f>IFERROR($BN362/$BN363-1,"")</f>
        <v/>
      </c>
      <c r="EZ362" s="58">
        <f>IFERROR($BO362/$BO363-1,"")</f>
        <v/>
      </c>
      <c r="FA362" s="58">
        <f>IFERROR($BP362/$BP363-1,"")</f>
        <v/>
      </c>
      <c r="FB362" s="58">
        <f>IFERROR($BQ362/$BQ363-1,"")</f>
        <v/>
      </c>
      <c r="FC362" s="58">
        <f>IFERROR($BR362/$BR363-1,"")</f>
        <v/>
      </c>
      <c r="FD362" s="58">
        <f>IFERROR($BS362/$BS363-1,"")</f>
        <v/>
      </c>
      <c r="FE362" s="58">
        <f>IFERROR($BT362/$BT363-1,"")</f>
        <v/>
      </c>
      <c r="FF362" s="58">
        <f>IFERROR($BU362/$BU363-1,"")</f>
        <v/>
      </c>
      <c r="FG362" s="58">
        <f>IFERROR($BV362/$BV363-1,"")</f>
        <v/>
      </c>
      <c r="FH362" s="58">
        <f>IFERROR($BW362/$BW363-1,"")</f>
        <v/>
      </c>
      <c r="FI362" s="58">
        <f>IFERROR($BX362/$BX363-1,"")</f>
        <v/>
      </c>
      <c r="FJ362" s="59">
        <f>$BY362-$BY363</f>
        <v/>
      </c>
      <c r="FK362" s="59">
        <f>$BZ362-$BZ363</f>
        <v/>
      </c>
      <c r="FL362" s="59">
        <f>$CA362-$CA363</f>
        <v/>
      </c>
      <c r="FM362" s="59">
        <f>$CB362-$CB363</f>
        <v/>
      </c>
      <c r="FN362" s="59">
        <f>$CC362-$CC363</f>
        <v/>
      </c>
      <c r="FO362" s="59">
        <f>$CD362-$CD363</f>
        <v/>
      </c>
      <c r="FP362" s="59">
        <f>$CE362-$CE363</f>
        <v/>
      </c>
      <c r="FQ362" s="59">
        <f>$CF362-$CF363</f>
        <v/>
      </c>
      <c r="FR362" s="59">
        <f>$CG362-$CG363</f>
        <v/>
      </c>
      <c r="FS362" s="59">
        <f>$CH362-$CH363</f>
        <v/>
      </c>
      <c r="FT362" s="59">
        <f>$CI362-$CI363</f>
        <v/>
      </c>
      <c r="FU362" s="59">
        <f>$CJ362-$CJ363</f>
        <v/>
      </c>
      <c r="FV362" s="59">
        <f>$CK362-$CK363</f>
        <v/>
      </c>
      <c r="FW362" s="59">
        <f>$CL362-$CL363</f>
        <v/>
      </c>
      <c r="FX362" s="59">
        <f>$CM362-$CM363</f>
        <v/>
      </c>
      <c r="FY362" s="59">
        <f>$CN362-$CN363</f>
        <v/>
      </c>
      <c r="FZ362" s="59">
        <f>$CO362-$CO363</f>
        <v/>
      </c>
      <c r="GA362" s="59">
        <f>$CP362-$CP363</f>
        <v/>
      </c>
      <c r="GB362" s="59">
        <f>$CQ362-$CQ363</f>
        <v/>
      </c>
      <c r="GC362" s="59">
        <f>$CR362-$CR363</f>
        <v/>
      </c>
      <c r="GD362" s="59">
        <f>$CS362-$CS363</f>
        <v/>
      </c>
      <c r="GE362" s="59">
        <f>$CT362-$CT363</f>
        <v/>
      </c>
    </row>
    <row r="363">
      <c r="CU363" s="58">
        <f>IFERROR($B363/$B364-1,"")</f>
        <v/>
      </c>
      <c r="CV363" s="59">
        <f>($F363-$F364)*100</f>
        <v/>
      </c>
      <c r="CW363" s="59">
        <f>($E363-$E364)*100</f>
        <v/>
      </c>
      <c r="CX363" s="58">
        <f>IFERROR($K363/$K364-1,"")</f>
        <v/>
      </c>
      <c r="CY363" s="59">
        <f>($AH363-$AH364)*100</f>
        <v/>
      </c>
      <c r="CZ363" s="59">
        <f>($AI363-$AI364)*100</f>
        <v/>
      </c>
      <c r="DA363" s="59">
        <f>($AJ363-$AJ364)*100</f>
        <v/>
      </c>
      <c r="DB363" s="59">
        <f>($AK363-$AK364)*100</f>
        <v/>
      </c>
      <c r="DC363" s="59">
        <f>($AL363-$AL364)*100</f>
        <v/>
      </c>
      <c r="DD363" s="59">
        <f>($AM363-$AM364)*100</f>
        <v/>
      </c>
      <c r="DE363" s="59">
        <f>($AN363-$AN364)*100</f>
        <v/>
      </c>
      <c r="DF363" s="59">
        <f>($AO363-$AO364)*100</f>
        <v/>
      </c>
      <c r="DG363" s="59">
        <f>($AP363-$AP364)*100</f>
        <v/>
      </c>
      <c r="DH363" s="59">
        <f>($AQ363-$AQ364)*100</f>
        <v/>
      </c>
      <c r="DI363" s="59">
        <f>($AR363-$AR364)*100</f>
        <v/>
      </c>
      <c r="DJ363" s="59">
        <f>($AS363-$AS364)*100</f>
        <v/>
      </c>
      <c r="DK363" s="59">
        <f>($AT363-$AT364)*100</f>
        <v/>
      </c>
      <c r="DL363" s="59">
        <f>($AU363-$AU364)*100</f>
        <v/>
      </c>
      <c r="DM363" s="59">
        <f>($AV363-$AV364)*100</f>
        <v/>
      </c>
      <c r="DN363" s="59">
        <f>($AW363-$AW364)*100</f>
        <v/>
      </c>
      <c r="DO363" s="59">
        <f>($AX363-$AX364)*100</f>
        <v/>
      </c>
      <c r="DP363" s="59">
        <f>($AY363-$AY364)*100</f>
        <v/>
      </c>
      <c r="DQ363" s="59">
        <f>($AZ363-$AZ364)*100</f>
        <v/>
      </c>
      <c r="DR363" s="59">
        <f>($BA363-$BA364)*100</f>
        <v/>
      </c>
      <c r="DS363" s="58">
        <f>IFERROR($N364/$N363-1,"")</f>
        <v/>
      </c>
      <c r="DT363" s="58">
        <f>IFERROR($O364/$O363-1,"")</f>
        <v/>
      </c>
      <c r="DU363" s="58">
        <f>IFERROR($P364/$P363-1,"")</f>
        <v/>
      </c>
      <c r="DV363" s="58">
        <f>IFERROR($Q364/$Q363-1,"")</f>
        <v/>
      </c>
      <c r="DW363" s="58">
        <f>IFERROR($R364/$R363-1,"")</f>
        <v/>
      </c>
      <c r="DX363" s="58">
        <f>IFERROR($S364/$S363-1,"")</f>
        <v/>
      </c>
      <c r="DY363" s="58">
        <f>IFERROR($T364/$T363-1,"")</f>
        <v/>
      </c>
      <c r="DZ363" s="58">
        <f>IFERROR($U364/$U363-1,"")</f>
        <v/>
      </c>
      <c r="EA363" s="58">
        <f>IFERROR($V364/$V363-1,"")</f>
        <v/>
      </c>
      <c r="EB363" s="58">
        <f>IFERROR($W364/$W363-1,"")</f>
        <v/>
      </c>
      <c r="EC363" s="58">
        <f>IFERROR($X364/$X363-1,"")</f>
        <v/>
      </c>
      <c r="ED363" s="58">
        <f>IFERROR($Y364/$Y363-1,"")</f>
        <v/>
      </c>
      <c r="EE363" s="58">
        <f>IFERROR($Z364/$Z363-1,"")</f>
        <v/>
      </c>
      <c r="EF363" s="58">
        <f>IFERROR($AA364/$AA363-1,"")</f>
        <v/>
      </c>
      <c r="EG363" s="58">
        <f>IFERROR($AB364/$AB363-1,"")</f>
        <v/>
      </c>
      <c r="EH363" s="58">
        <f>IFERROR($AC364/$AC363-1,"")</f>
        <v/>
      </c>
      <c r="EI363" s="58">
        <f>IFERROR($AD364/$AD363-1,"")</f>
        <v/>
      </c>
      <c r="EJ363" s="58">
        <f>IFERROR($AE364/$AE363-1,"")</f>
        <v/>
      </c>
      <c r="EK363" s="58">
        <f>IFERROR($AF364/$AF363-1,"")</f>
        <v/>
      </c>
      <c r="EL363" s="58">
        <f>IFERROR($AG364/$AG363-1,"")</f>
        <v/>
      </c>
      <c r="EM363" s="58">
        <f>IFERROR($BB363/$BB364-1,"")</f>
        <v/>
      </c>
      <c r="EN363" s="58">
        <f>IFERROR($BC363/$BC364-1,"")</f>
        <v/>
      </c>
      <c r="EO363" s="58">
        <f>IFERROR($BD363/$BD364-1,"")</f>
        <v/>
      </c>
      <c r="EP363" s="58">
        <f>IFERROR($BE363/$BE364-1,"")</f>
        <v/>
      </c>
      <c r="EQ363" s="58">
        <f>IFERROR($BF363/$BF364-1,"")</f>
        <v/>
      </c>
      <c r="ER363" s="58">
        <f>IFERROR($BG363/$BG364-1,"")</f>
        <v/>
      </c>
      <c r="ES363" s="58">
        <f>IFERROR($BH363/$BH364-1,"")</f>
        <v/>
      </c>
      <c r="ET363" s="58">
        <f>IFERROR($BI363/$BI364-1,"")</f>
        <v/>
      </c>
      <c r="EU363" s="58">
        <f>IFERROR($BJ363/$BJ364-1,"")</f>
        <v/>
      </c>
      <c r="EV363" s="58">
        <f>IFERROR($BK363/$BK364-1,"")</f>
        <v/>
      </c>
      <c r="EW363" s="58">
        <f>IFERROR($BL363/$BL364-1,"")</f>
        <v/>
      </c>
      <c r="EX363" s="58">
        <f>IFERROR($BM363/$BM364-1,"")</f>
        <v/>
      </c>
      <c r="EY363" s="58">
        <f>IFERROR($BN363/$BN364-1,"")</f>
        <v/>
      </c>
      <c r="EZ363" s="58">
        <f>IFERROR($BO363/$BO364-1,"")</f>
        <v/>
      </c>
      <c r="FA363" s="58">
        <f>IFERROR($BP363/$BP364-1,"")</f>
        <v/>
      </c>
      <c r="FB363" s="58">
        <f>IFERROR($BQ363/$BQ364-1,"")</f>
        <v/>
      </c>
      <c r="FC363" s="58">
        <f>IFERROR($BR363/$BR364-1,"")</f>
        <v/>
      </c>
      <c r="FD363" s="58">
        <f>IFERROR($BS363/$BS364-1,"")</f>
        <v/>
      </c>
      <c r="FE363" s="58">
        <f>IFERROR($BT363/$BT364-1,"")</f>
        <v/>
      </c>
      <c r="FF363" s="58">
        <f>IFERROR($BU363/$BU364-1,"")</f>
        <v/>
      </c>
      <c r="FG363" s="58">
        <f>IFERROR($BV363/$BV364-1,"")</f>
        <v/>
      </c>
      <c r="FH363" s="58">
        <f>IFERROR($BW363/$BW364-1,"")</f>
        <v/>
      </c>
      <c r="FI363" s="58">
        <f>IFERROR($BX363/$BX364-1,"")</f>
        <v/>
      </c>
      <c r="FJ363" s="59">
        <f>$BY363-$BY364</f>
        <v/>
      </c>
      <c r="FK363" s="59">
        <f>$BZ363-$BZ364</f>
        <v/>
      </c>
      <c r="FL363" s="59">
        <f>$CA363-$CA364</f>
        <v/>
      </c>
      <c r="FM363" s="59">
        <f>$CB363-$CB364</f>
        <v/>
      </c>
      <c r="FN363" s="59">
        <f>$CC363-$CC364</f>
        <v/>
      </c>
      <c r="FO363" s="59">
        <f>$CD363-$CD364</f>
        <v/>
      </c>
      <c r="FP363" s="59">
        <f>$CE363-$CE364</f>
        <v/>
      </c>
      <c r="FQ363" s="59">
        <f>$CF363-$CF364</f>
        <v/>
      </c>
      <c r="FR363" s="59">
        <f>$CG363-$CG364</f>
        <v/>
      </c>
      <c r="FS363" s="59">
        <f>$CH363-$CH364</f>
        <v/>
      </c>
      <c r="FT363" s="59">
        <f>$CI363-$CI364</f>
        <v/>
      </c>
      <c r="FU363" s="59">
        <f>$CJ363-$CJ364</f>
        <v/>
      </c>
      <c r="FV363" s="59">
        <f>$CK363-$CK364</f>
        <v/>
      </c>
      <c r="FW363" s="59">
        <f>$CL363-$CL364</f>
        <v/>
      </c>
      <c r="FX363" s="59">
        <f>$CM363-$CM364</f>
        <v/>
      </c>
      <c r="FY363" s="59">
        <f>$CN363-$CN364</f>
        <v/>
      </c>
      <c r="FZ363" s="59">
        <f>$CO363-$CO364</f>
        <v/>
      </c>
      <c r="GA363" s="59">
        <f>$CP363-$CP364</f>
        <v/>
      </c>
      <c r="GB363" s="59">
        <f>$CQ363-$CQ364</f>
        <v/>
      </c>
      <c r="GC363" s="59">
        <f>$CR363-$CR364</f>
        <v/>
      </c>
      <c r="GD363" s="59">
        <f>$CS363-$CS364</f>
        <v/>
      </c>
      <c r="GE363" s="59">
        <f>$CT363-$CT364</f>
        <v/>
      </c>
    </row>
    <row r="364">
      <c r="CU364" s="58">
        <f>IFERROR($B364/$B365-1,"")</f>
        <v/>
      </c>
      <c r="CV364" s="59">
        <f>($F364-$F365)*100</f>
        <v/>
      </c>
      <c r="CW364" s="59">
        <f>($E364-$E365)*100</f>
        <v/>
      </c>
      <c r="CX364" s="58">
        <f>IFERROR($K364/$K365-1,"")</f>
        <v/>
      </c>
      <c r="CY364" s="59">
        <f>($AH364-$AH365)*100</f>
        <v/>
      </c>
      <c r="CZ364" s="59">
        <f>($AI364-$AI365)*100</f>
        <v/>
      </c>
      <c r="DA364" s="59">
        <f>($AJ364-$AJ365)*100</f>
        <v/>
      </c>
      <c r="DB364" s="59">
        <f>($AK364-$AK365)*100</f>
        <v/>
      </c>
      <c r="DC364" s="59">
        <f>($AL364-$AL365)*100</f>
        <v/>
      </c>
      <c r="DD364" s="59">
        <f>($AM364-$AM365)*100</f>
        <v/>
      </c>
      <c r="DE364" s="59">
        <f>($AN364-$AN365)*100</f>
        <v/>
      </c>
      <c r="DF364" s="59">
        <f>($AO364-$AO365)*100</f>
        <v/>
      </c>
      <c r="DG364" s="59">
        <f>($AP364-$AP365)*100</f>
        <v/>
      </c>
      <c r="DH364" s="59">
        <f>($AQ364-$AQ365)*100</f>
        <v/>
      </c>
      <c r="DI364" s="59">
        <f>($AR364-$AR365)*100</f>
        <v/>
      </c>
      <c r="DJ364" s="59">
        <f>($AS364-$AS365)*100</f>
        <v/>
      </c>
      <c r="DK364" s="59">
        <f>($AT364-$AT365)*100</f>
        <v/>
      </c>
      <c r="DL364" s="59">
        <f>($AU364-$AU365)*100</f>
        <v/>
      </c>
      <c r="DM364" s="59">
        <f>($AV364-$AV365)*100</f>
        <v/>
      </c>
      <c r="DN364" s="59">
        <f>($AW364-$AW365)*100</f>
        <v/>
      </c>
      <c r="DO364" s="59">
        <f>($AX364-$AX365)*100</f>
        <v/>
      </c>
      <c r="DP364" s="59">
        <f>($AY364-$AY365)*100</f>
        <v/>
      </c>
      <c r="DQ364" s="59">
        <f>($AZ364-$AZ365)*100</f>
        <v/>
      </c>
      <c r="DR364" s="59">
        <f>($BA364-$BA365)*100</f>
        <v/>
      </c>
      <c r="DS364" s="58">
        <f>IFERROR($N365/$N364-1,"")</f>
        <v/>
      </c>
      <c r="DT364" s="58">
        <f>IFERROR($O365/$O364-1,"")</f>
        <v/>
      </c>
      <c r="DU364" s="58">
        <f>IFERROR($P365/$P364-1,"")</f>
        <v/>
      </c>
      <c r="DV364" s="58">
        <f>IFERROR($Q365/$Q364-1,"")</f>
        <v/>
      </c>
      <c r="DW364" s="58">
        <f>IFERROR($R365/$R364-1,"")</f>
        <v/>
      </c>
      <c r="DX364" s="58">
        <f>IFERROR($S365/$S364-1,"")</f>
        <v/>
      </c>
      <c r="DY364" s="58">
        <f>IFERROR($T365/$T364-1,"")</f>
        <v/>
      </c>
      <c r="DZ364" s="58">
        <f>IFERROR($U365/$U364-1,"")</f>
        <v/>
      </c>
      <c r="EA364" s="58">
        <f>IFERROR($V365/$V364-1,"")</f>
        <v/>
      </c>
      <c r="EB364" s="58">
        <f>IFERROR($W365/$W364-1,"")</f>
        <v/>
      </c>
      <c r="EC364" s="58">
        <f>IFERROR($X365/$X364-1,"")</f>
        <v/>
      </c>
      <c r="ED364" s="58">
        <f>IFERROR($Y365/$Y364-1,"")</f>
        <v/>
      </c>
      <c r="EE364" s="58">
        <f>IFERROR($Z365/$Z364-1,"")</f>
        <v/>
      </c>
      <c r="EF364" s="58">
        <f>IFERROR($AA365/$AA364-1,"")</f>
        <v/>
      </c>
      <c r="EG364" s="58">
        <f>IFERROR($AB365/$AB364-1,"")</f>
        <v/>
      </c>
      <c r="EH364" s="58">
        <f>IFERROR($AC365/$AC364-1,"")</f>
        <v/>
      </c>
      <c r="EI364" s="58">
        <f>IFERROR($AD365/$AD364-1,"")</f>
        <v/>
      </c>
      <c r="EJ364" s="58">
        <f>IFERROR($AE365/$AE364-1,"")</f>
        <v/>
      </c>
      <c r="EK364" s="58">
        <f>IFERROR($AF365/$AF364-1,"")</f>
        <v/>
      </c>
      <c r="EL364" s="58">
        <f>IFERROR($AG365/$AG364-1,"")</f>
        <v/>
      </c>
      <c r="EM364" s="58">
        <f>IFERROR($BB364/$BB365-1,"")</f>
        <v/>
      </c>
      <c r="EN364" s="58">
        <f>IFERROR($BC364/$BC365-1,"")</f>
        <v/>
      </c>
      <c r="EO364" s="58">
        <f>IFERROR($BD364/$BD365-1,"")</f>
        <v/>
      </c>
      <c r="EP364" s="58">
        <f>IFERROR($BE364/$BE365-1,"")</f>
        <v/>
      </c>
      <c r="EQ364" s="58">
        <f>IFERROR($BF364/$BF365-1,"")</f>
        <v/>
      </c>
      <c r="ER364" s="58">
        <f>IFERROR($BG364/$BG365-1,"")</f>
        <v/>
      </c>
      <c r="ES364" s="58">
        <f>IFERROR($BH364/$BH365-1,"")</f>
        <v/>
      </c>
      <c r="ET364" s="58">
        <f>IFERROR($BI364/$BI365-1,"")</f>
        <v/>
      </c>
      <c r="EU364" s="58">
        <f>IFERROR($BJ364/$BJ365-1,"")</f>
        <v/>
      </c>
      <c r="EV364" s="58">
        <f>IFERROR($BK364/$BK365-1,"")</f>
        <v/>
      </c>
      <c r="EW364" s="58">
        <f>IFERROR($BL364/$BL365-1,"")</f>
        <v/>
      </c>
      <c r="EX364" s="58">
        <f>IFERROR($BM364/$BM365-1,"")</f>
        <v/>
      </c>
      <c r="EY364" s="58">
        <f>IFERROR($BN364/$BN365-1,"")</f>
        <v/>
      </c>
      <c r="EZ364" s="58">
        <f>IFERROR($BO364/$BO365-1,"")</f>
        <v/>
      </c>
      <c r="FA364" s="58">
        <f>IFERROR($BP364/$BP365-1,"")</f>
        <v/>
      </c>
      <c r="FB364" s="58">
        <f>IFERROR($BQ364/$BQ365-1,"")</f>
        <v/>
      </c>
      <c r="FC364" s="58">
        <f>IFERROR($BR364/$BR365-1,"")</f>
        <v/>
      </c>
      <c r="FD364" s="58">
        <f>IFERROR($BS364/$BS365-1,"")</f>
        <v/>
      </c>
      <c r="FE364" s="58">
        <f>IFERROR($BT364/$BT365-1,"")</f>
        <v/>
      </c>
      <c r="FF364" s="58">
        <f>IFERROR($BU364/$BU365-1,"")</f>
        <v/>
      </c>
      <c r="FG364" s="58">
        <f>IFERROR($BV364/$BV365-1,"")</f>
        <v/>
      </c>
      <c r="FH364" s="58">
        <f>IFERROR($BW364/$BW365-1,"")</f>
        <v/>
      </c>
      <c r="FI364" s="58">
        <f>IFERROR($BX364/$BX365-1,"")</f>
        <v/>
      </c>
      <c r="FJ364" s="59">
        <f>$BY364-$BY365</f>
        <v/>
      </c>
      <c r="FK364" s="59">
        <f>$BZ364-$BZ365</f>
        <v/>
      </c>
      <c r="FL364" s="59">
        <f>$CA364-$CA365</f>
        <v/>
      </c>
      <c r="FM364" s="59">
        <f>$CB364-$CB365</f>
        <v/>
      </c>
      <c r="FN364" s="59">
        <f>$CC364-$CC365</f>
        <v/>
      </c>
      <c r="FO364" s="59">
        <f>$CD364-$CD365</f>
        <v/>
      </c>
      <c r="FP364" s="59">
        <f>$CE364-$CE365</f>
        <v/>
      </c>
      <c r="FQ364" s="59">
        <f>$CF364-$CF365</f>
        <v/>
      </c>
      <c r="FR364" s="59">
        <f>$CG364-$CG365</f>
        <v/>
      </c>
      <c r="FS364" s="59">
        <f>$CH364-$CH365</f>
        <v/>
      </c>
      <c r="FT364" s="59">
        <f>$CI364-$CI365</f>
        <v/>
      </c>
      <c r="FU364" s="59">
        <f>$CJ364-$CJ365</f>
        <v/>
      </c>
      <c r="FV364" s="59">
        <f>$CK364-$CK365</f>
        <v/>
      </c>
      <c r="FW364" s="59">
        <f>$CL364-$CL365</f>
        <v/>
      </c>
      <c r="FX364" s="59">
        <f>$CM364-$CM365</f>
        <v/>
      </c>
      <c r="FY364" s="59">
        <f>$CN364-$CN365</f>
        <v/>
      </c>
      <c r="FZ364" s="59">
        <f>$CO364-$CO365</f>
        <v/>
      </c>
      <c r="GA364" s="59">
        <f>$CP364-$CP365</f>
        <v/>
      </c>
      <c r="GB364" s="59">
        <f>$CQ364-$CQ365</f>
        <v/>
      </c>
      <c r="GC364" s="59">
        <f>$CR364-$CR365</f>
        <v/>
      </c>
      <c r="GD364" s="59">
        <f>$CS364-$CS365</f>
        <v/>
      </c>
      <c r="GE364" s="59">
        <f>$CT364-$CT365</f>
        <v/>
      </c>
    </row>
    <row r="365">
      <c r="CU365" s="58">
        <f>IFERROR($B365/$B366-1,"")</f>
        <v/>
      </c>
      <c r="CV365" s="59">
        <f>($F365-$F366)*100</f>
        <v/>
      </c>
      <c r="CW365" s="59">
        <f>($E365-$E366)*100</f>
        <v/>
      </c>
      <c r="CX365" s="58">
        <f>IFERROR($K365/$K366-1,"")</f>
        <v/>
      </c>
      <c r="CY365" s="59">
        <f>($AH365-$AH366)*100</f>
        <v/>
      </c>
      <c r="CZ365" s="59">
        <f>($AI365-$AI366)*100</f>
        <v/>
      </c>
      <c r="DA365" s="59">
        <f>($AJ365-$AJ366)*100</f>
        <v/>
      </c>
      <c r="DB365" s="59">
        <f>($AK365-$AK366)*100</f>
        <v/>
      </c>
      <c r="DC365" s="59">
        <f>($AL365-$AL366)*100</f>
        <v/>
      </c>
      <c r="DD365" s="59">
        <f>($AM365-$AM366)*100</f>
        <v/>
      </c>
      <c r="DE365" s="59">
        <f>($AN365-$AN366)*100</f>
        <v/>
      </c>
      <c r="DF365" s="59">
        <f>($AO365-$AO366)*100</f>
        <v/>
      </c>
      <c r="DG365" s="59">
        <f>($AP365-$AP366)*100</f>
        <v/>
      </c>
      <c r="DH365" s="59">
        <f>($AQ365-$AQ366)*100</f>
        <v/>
      </c>
      <c r="DI365" s="59">
        <f>($AR365-$AR366)*100</f>
        <v/>
      </c>
      <c r="DJ365" s="59">
        <f>($AS365-$AS366)*100</f>
        <v/>
      </c>
      <c r="DK365" s="59">
        <f>($AT365-$AT366)*100</f>
        <v/>
      </c>
      <c r="DL365" s="59">
        <f>($AU365-$AU366)*100</f>
        <v/>
      </c>
      <c r="DM365" s="59">
        <f>($AV365-$AV366)*100</f>
        <v/>
      </c>
      <c r="DN365" s="59">
        <f>($AW365-$AW366)*100</f>
        <v/>
      </c>
      <c r="DO365" s="59">
        <f>($AX365-$AX366)*100</f>
        <v/>
      </c>
      <c r="DP365" s="59">
        <f>($AY365-$AY366)*100</f>
        <v/>
      </c>
      <c r="DQ365" s="59">
        <f>($AZ365-$AZ366)*100</f>
        <v/>
      </c>
      <c r="DR365" s="59">
        <f>($BA365-$BA366)*100</f>
        <v/>
      </c>
      <c r="DS365" s="58">
        <f>IFERROR($N366/$N365-1,"")</f>
        <v/>
      </c>
      <c r="DT365" s="58">
        <f>IFERROR($O366/$O365-1,"")</f>
        <v/>
      </c>
      <c r="DU365" s="58">
        <f>IFERROR($P366/$P365-1,"")</f>
        <v/>
      </c>
      <c r="DV365" s="58">
        <f>IFERROR($Q366/$Q365-1,"")</f>
        <v/>
      </c>
      <c r="DW365" s="58">
        <f>IFERROR($R366/$R365-1,"")</f>
        <v/>
      </c>
      <c r="DX365" s="58">
        <f>IFERROR($S366/$S365-1,"")</f>
        <v/>
      </c>
      <c r="DY365" s="58">
        <f>IFERROR($T366/$T365-1,"")</f>
        <v/>
      </c>
      <c r="DZ365" s="58">
        <f>IFERROR($U366/$U365-1,"")</f>
        <v/>
      </c>
      <c r="EA365" s="58">
        <f>IFERROR($V366/$V365-1,"")</f>
        <v/>
      </c>
      <c r="EB365" s="58">
        <f>IFERROR($W366/$W365-1,"")</f>
        <v/>
      </c>
      <c r="EC365" s="58">
        <f>IFERROR($X366/$X365-1,"")</f>
        <v/>
      </c>
      <c r="ED365" s="58">
        <f>IFERROR($Y366/$Y365-1,"")</f>
        <v/>
      </c>
      <c r="EE365" s="58">
        <f>IFERROR($Z366/$Z365-1,"")</f>
        <v/>
      </c>
      <c r="EF365" s="58">
        <f>IFERROR($AA366/$AA365-1,"")</f>
        <v/>
      </c>
      <c r="EG365" s="58">
        <f>IFERROR($AB366/$AB365-1,"")</f>
        <v/>
      </c>
      <c r="EH365" s="58">
        <f>IFERROR($AC366/$AC365-1,"")</f>
        <v/>
      </c>
      <c r="EI365" s="58">
        <f>IFERROR($AD366/$AD365-1,"")</f>
        <v/>
      </c>
      <c r="EJ365" s="58">
        <f>IFERROR($AE366/$AE365-1,"")</f>
        <v/>
      </c>
      <c r="EK365" s="58">
        <f>IFERROR($AF366/$AF365-1,"")</f>
        <v/>
      </c>
      <c r="EL365" s="58">
        <f>IFERROR($AG366/$AG365-1,"")</f>
        <v/>
      </c>
      <c r="EM365" s="58">
        <f>IFERROR($BB365/$BB366-1,"")</f>
        <v/>
      </c>
      <c r="EN365" s="58">
        <f>IFERROR($BC365/$BC366-1,"")</f>
        <v/>
      </c>
      <c r="EO365" s="58">
        <f>IFERROR($BD365/$BD366-1,"")</f>
        <v/>
      </c>
      <c r="EP365" s="58">
        <f>IFERROR($BE365/$BE366-1,"")</f>
        <v/>
      </c>
      <c r="EQ365" s="58">
        <f>IFERROR($BF365/$BF366-1,"")</f>
        <v/>
      </c>
      <c r="ER365" s="58">
        <f>IFERROR($BG365/$BG366-1,"")</f>
        <v/>
      </c>
      <c r="ES365" s="58">
        <f>IFERROR($BH365/$BH366-1,"")</f>
        <v/>
      </c>
      <c r="ET365" s="58">
        <f>IFERROR($BI365/$BI366-1,"")</f>
        <v/>
      </c>
      <c r="EU365" s="58">
        <f>IFERROR($BJ365/$BJ366-1,"")</f>
        <v/>
      </c>
      <c r="EV365" s="58">
        <f>IFERROR($BK365/$BK366-1,"")</f>
        <v/>
      </c>
      <c r="EW365" s="58">
        <f>IFERROR($BL365/$BL366-1,"")</f>
        <v/>
      </c>
      <c r="EX365" s="58">
        <f>IFERROR($BM365/$BM366-1,"")</f>
        <v/>
      </c>
      <c r="EY365" s="58">
        <f>IFERROR($BN365/$BN366-1,"")</f>
        <v/>
      </c>
      <c r="EZ365" s="58">
        <f>IFERROR($BO365/$BO366-1,"")</f>
        <v/>
      </c>
      <c r="FA365" s="58">
        <f>IFERROR($BP365/$BP366-1,"")</f>
        <v/>
      </c>
      <c r="FB365" s="58">
        <f>IFERROR($BQ365/$BQ366-1,"")</f>
        <v/>
      </c>
      <c r="FC365" s="58">
        <f>IFERROR($BR365/$BR366-1,"")</f>
        <v/>
      </c>
      <c r="FD365" s="58">
        <f>IFERROR($BS365/$BS366-1,"")</f>
        <v/>
      </c>
      <c r="FE365" s="58">
        <f>IFERROR($BT365/$BT366-1,"")</f>
        <v/>
      </c>
      <c r="FF365" s="58">
        <f>IFERROR($BU365/$BU366-1,"")</f>
        <v/>
      </c>
      <c r="FG365" s="58">
        <f>IFERROR($BV365/$BV366-1,"")</f>
        <v/>
      </c>
      <c r="FH365" s="58">
        <f>IFERROR($BW365/$BW366-1,"")</f>
        <v/>
      </c>
      <c r="FI365" s="58">
        <f>IFERROR($BX365/$BX366-1,"")</f>
        <v/>
      </c>
      <c r="FJ365" s="59">
        <f>$BY365-$BY366</f>
        <v/>
      </c>
      <c r="FK365" s="59">
        <f>$BZ365-$BZ366</f>
        <v/>
      </c>
      <c r="FL365" s="59">
        <f>$CA365-$CA366</f>
        <v/>
      </c>
      <c r="FM365" s="59">
        <f>$CB365-$CB366</f>
        <v/>
      </c>
      <c r="FN365" s="59">
        <f>$CC365-$CC366</f>
        <v/>
      </c>
      <c r="FO365" s="59">
        <f>$CD365-$CD366</f>
        <v/>
      </c>
      <c r="FP365" s="59">
        <f>$CE365-$CE366</f>
        <v/>
      </c>
      <c r="FQ365" s="59">
        <f>$CF365-$CF366</f>
        <v/>
      </c>
      <c r="FR365" s="59">
        <f>$CG365-$CG366</f>
        <v/>
      </c>
      <c r="FS365" s="59">
        <f>$CH365-$CH366</f>
        <v/>
      </c>
      <c r="FT365" s="59">
        <f>$CI365-$CI366</f>
        <v/>
      </c>
      <c r="FU365" s="59">
        <f>$CJ365-$CJ366</f>
        <v/>
      </c>
      <c r="FV365" s="59">
        <f>$CK365-$CK366</f>
        <v/>
      </c>
      <c r="FW365" s="59">
        <f>$CL365-$CL366</f>
        <v/>
      </c>
      <c r="FX365" s="59">
        <f>$CM365-$CM366</f>
        <v/>
      </c>
      <c r="FY365" s="59">
        <f>$CN365-$CN366</f>
        <v/>
      </c>
      <c r="FZ365" s="59">
        <f>$CO365-$CO366</f>
        <v/>
      </c>
      <c r="GA365" s="59">
        <f>$CP365-$CP366</f>
        <v/>
      </c>
      <c r="GB365" s="59">
        <f>$CQ365-$CQ366</f>
        <v/>
      </c>
      <c r="GC365" s="59">
        <f>$CR365-$CR366</f>
        <v/>
      </c>
      <c r="GD365" s="59">
        <f>$CS365-$CS366</f>
        <v/>
      </c>
      <c r="GE365" s="59">
        <f>$CT365-$CT366</f>
        <v/>
      </c>
    </row>
    <row r="366">
      <c r="CU366" s="58">
        <f>IFERROR($B366/$B367-1,"")</f>
        <v/>
      </c>
      <c r="CV366" s="59">
        <f>($F366-$F367)*100</f>
        <v/>
      </c>
      <c r="CW366" s="59">
        <f>($E366-$E367)*100</f>
        <v/>
      </c>
      <c r="CX366" s="58">
        <f>IFERROR($K366/$K367-1,"")</f>
        <v/>
      </c>
      <c r="CY366" s="59">
        <f>($AH366-$AH367)*100</f>
        <v/>
      </c>
      <c r="CZ366" s="59">
        <f>($AI366-$AI367)*100</f>
        <v/>
      </c>
      <c r="DA366" s="59">
        <f>($AJ366-$AJ367)*100</f>
        <v/>
      </c>
      <c r="DB366" s="59">
        <f>($AK366-$AK367)*100</f>
        <v/>
      </c>
      <c r="DC366" s="59">
        <f>($AL366-$AL367)*100</f>
        <v/>
      </c>
      <c r="DD366" s="59">
        <f>($AM366-$AM367)*100</f>
        <v/>
      </c>
      <c r="DE366" s="59">
        <f>($AN366-$AN367)*100</f>
        <v/>
      </c>
      <c r="DF366" s="59">
        <f>($AO366-$AO367)*100</f>
        <v/>
      </c>
      <c r="DG366" s="59">
        <f>($AP366-$AP367)*100</f>
        <v/>
      </c>
      <c r="DH366" s="59">
        <f>($AQ366-$AQ367)*100</f>
        <v/>
      </c>
      <c r="DI366" s="59">
        <f>($AR366-$AR367)*100</f>
        <v/>
      </c>
      <c r="DJ366" s="59">
        <f>($AS366-$AS367)*100</f>
        <v/>
      </c>
      <c r="DK366" s="59">
        <f>($AT366-$AT367)*100</f>
        <v/>
      </c>
      <c r="DL366" s="59">
        <f>($AU366-$AU367)*100</f>
        <v/>
      </c>
      <c r="DM366" s="59">
        <f>($AV366-$AV367)*100</f>
        <v/>
      </c>
      <c r="DN366" s="59">
        <f>($AW366-$AW367)*100</f>
        <v/>
      </c>
      <c r="DO366" s="59">
        <f>($AX366-$AX367)*100</f>
        <v/>
      </c>
      <c r="DP366" s="59">
        <f>($AY366-$AY367)*100</f>
        <v/>
      </c>
      <c r="DQ366" s="59">
        <f>($AZ366-$AZ367)*100</f>
        <v/>
      </c>
      <c r="DR366" s="59">
        <f>($BA366-$BA367)*100</f>
        <v/>
      </c>
      <c r="DS366" s="58">
        <f>IFERROR($N367/$N366-1,"")</f>
        <v/>
      </c>
      <c r="DT366" s="58">
        <f>IFERROR($O367/$O366-1,"")</f>
        <v/>
      </c>
      <c r="DU366" s="58">
        <f>IFERROR($P367/$P366-1,"")</f>
        <v/>
      </c>
      <c r="DV366" s="58">
        <f>IFERROR($Q367/$Q366-1,"")</f>
        <v/>
      </c>
      <c r="DW366" s="58">
        <f>IFERROR($R367/$R366-1,"")</f>
        <v/>
      </c>
      <c r="DX366" s="58">
        <f>IFERROR($S367/$S366-1,"")</f>
        <v/>
      </c>
      <c r="DY366" s="58">
        <f>IFERROR($T367/$T366-1,"")</f>
        <v/>
      </c>
      <c r="DZ366" s="58">
        <f>IFERROR($U367/$U366-1,"")</f>
        <v/>
      </c>
      <c r="EA366" s="58">
        <f>IFERROR($V367/$V366-1,"")</f>
        <v/>
      </c>
      <c r="EB366" s="58">
        <f>IFERROR($W367/$W366-1,"")</f>
        <v/>
      </c>
      <c r="EC366" s="58">
        <f>IFERROR($X367/$X366-1,"")</f>
        <v/>
      </c>
      <c r="ED366" s="58">
        <f>IFERROR($Y367/$Y366-1,"")</f>
        <v/>
      </c>
      <c r="EE366" s="58">
        <f>IFERROR($Z367/$Z366-1,"")</f>
        <v/>
      </c>
      <c r="EF366" s="58">
        <f>IFERROR($AA367/$AA366-1,"")</f>
        <v/>
      </c>
      <c r="EG366" s="58">
        <f>IFERROR($AB367/$AB366-1,"")</f>
        <v/>
      </c>
      <c r="EH366" s="58">
        <f>IFERROR($AC367/$AC366-1,"")</f>
        <v/>
      </c>
      <c r="EI366" s="58">
        <f>IFERROR($AD367/$AD366-1,"")</f>
        <v/>
      </c>
      <c r="EJ366" s="58">
        <f>IFERROR($AE367/$AE366-1,"")</f>
        <v/>
      </c>
      <c r="EK366" s="58">
        <f>IFERROR($AF367/$AF366-1,"")</f>
        <v/>
      </c>
      <c r="EL366" s="58">
        <f>IFERROR($AG367/$AG366-1,"")</f>
        <v/>
      </c>
      <c r="EM366" s="58">
        <f>IFERROR($BB366/$BB367-1,"")</f>
        <v/>
      </c>
      <c r="EN366" s="58">
        <f>IFERROR($BC366/$BC367-1,"")</f>
        <v/>
      </c>
      <c r="EO366" s="58">
        <f>IFERROR($BD366/$BD367-1,"")</f>
        <v/>
      </c>
      <c r="EP366" s="58">
        <f>IFERROR($BE366/$BE367-1,"")</f>
        <v/>
      </c>
      <c r="EQ366" s="58">
        <f>IFERROR($BF366/$BF367-1,"")</f>
        <v/>
      </c>
      <c r="ER366" s="58">
        <f>IFERROR($BG366/$BG367-1,"")</f>
        <v/>
      </c>
      <c r="ES366" s="58">
        <f>IFERROR($BH366/$BH367-1,"")</f>
        <v/>
      </c>
      <c r="ET366" s="58">
        <f>IFERROR($BI366/$BI367-1,"")</f>
        <v/>
      </c>
      <c r="EU366" s="58">
        <f>IFERROR($BJ366/$BJ367-1,"")</f>
        <v/>
      </c>
      <c r="EV366" s="58">
        <f>IFERROR($BK366/$BK367-1,"")</f>
        <v/>
      </c>
      <c r="EW366" s="58">
        <f>IFERROR($BL366/$BL367-1,"")</f>
        <v/>
      </c>
      <c r="EX366" s="58">
        <f>IFERROR($BM366/$BM367-1,"")</f>
        <v/>
      </c>
      <c r="EY366" s="58">
        <f>IFERROR($BN366/$BN367-1,"")</f>
        <v/>
      </c>
      <c r="EZ366" s="58">
        <f>IFERROR($BO366/$BO367-1,"")</f>
        <v/>
      </c>
      <c r="FA366" s="58">
        <f>IFERROR($BP366/$BP367-1,"")</f>
        <v/>
      </c>
      <c r="FB366" s="58">
        <f>IFERROR($BQ366/$BQ367-1,"")</f>
        <v/>
      </c>
      <c r="FC366" s="58">
        <f>IFERROR($BR366/$BR367-1,"")</f>
        <v/>
      </c>
      <c r="FD366" s="58">
        <f>IFERROR($BS366/$BS367-1,"")</f>
        <v/>
      </c>
      <c r="FE366" s="58">
        <f>IFERROR($BT366/$BT367-1,"")</f>
        <v/>
      </c>
      <c r="FF366" s="58">
        <f>IFERROR($BU366/$BU367-1,"")</f>
        <v/>
      </c>
      <c r="FG366" s="58">
        <f>IFERROR($BV366/$BV367-1,"")</f>
        <v/>
      </c>
      <c r="FH366" s="58">
        <f>IFERROR($BW366/$BW367-1,"")</f>
        <v/>
      </c>
      <c r="FI366" s="58">
        <f>IFERROR($BX366/$BX367-1,"")</f>
        <v/>
      </c>
      <c r="FJ366" s="59">
        <f>$BY366-$BY367</f>
        <v/>
      </c>
      <c r="FK366" s="59">
        <f>$BZ366-$BZ367</f>
        <v/>
      </c>
      <c r="FL366" s="59">
        <f>$CA366-$CA367</f>
        <v/>
      </c>
      <c r="FM366" s="59">
        <f>$CB366-$CB367</f>
        <v/>
      </c>
      <c r="FN366" s="59">
        <f>$CC366-$CC367</f>
        <v/>
      </c>
      <c r="FO366" s="59">
        <f>$CD366-$CD367</f>
        <v/>
      </c>
      <c r="FP366" s="59">
        <f>$CE366-$CE367</f>
        <v/>
      </c>
      <c r="FQ366" s="59">
        <f>$CF366-$CF367</f>
        <v/>
      </c>
      <c r="FR366" s="59">
        <f>$CG366-$CG367</f>
        <v/>
      </c>
      <c r="FS366" s="59">
        <f>$CH366-$CH367</f>
        <v/>
      </c>
      <c r="FT366" s="59">
        <f>$CI366-$CI367</f>
        <v/>
      </c>
      <c r="FU366" s="59">
        <f>$CJ366-$CJ367</f>
        <v/>
      </c>
      <c r="FV366" s="59">
        <f>$CK366-$CK367</f>
        <v/>
      </c>
      <c r="FW366" s="59">
        <f>$CL366-$CL367</f>
        <v/>
      </c>
      <c r="FX366" s="59">
        <f>$CM366-$CM367</f>
        <v/>
      </c>
      <c r="FY366" s="59">
        <f>$CN366-$CN367</f>
        <v/>
      </c>
      <c r="FZ366" s="59">
        <f>$CO366-$CO367</f>
        <v/>
      </c>
      <c r="GA366" s="59">
        <f>$CP366-$CP367</f>
        <v/>
      </c>
      <c r="GB366" s="59">
        <f>$CQ366-$CQ367</f>
        <v/>
      </c>
      <c r="GC366" s="59">
        <f>$CR366-$CR367</f>
        <v/>
      </c>
      <c r="GD366" s="59">
        <f>$CS366-$CS367</f>
        <v/>
      </c>
      <c r="GE366" s="59">
        <f>$CT366-$CT367</f>
        <v/>
      </c>
    </row>
    <row r="367">
      <c r="CU367" s="58">
        <f>IFERROR($B367/$B368-1,"")</f>
        <v/>
      </c>
      <c r="CV367" s="59">
        <f>($F367-$F368)*100</f>
        <v/>
      </c>
      <c r="CW367" s="59">
        <f>($E367-$E368)*100</f>
        <v/>
      </c>
      <c r="CX367" s="58">
        <f>IFERROR($K367/$K368-1,"")</f>
        <v/>
      </c>
      <c r="CY367" s="59">
        <f>($AH367-$AH368)*100</f>
        <v/>
      </c>
      <c r="CZ367" s="59">
        <f>($AI367-$AI368)*100</f>
        <v/>
      </c>
      <c r="DA367" s="59">
        <f>($AJ367-$AJ368)*100</f>
        <v/>
      </c>
      <c r="DB367" s="59">
        <f>($AK367-$AK368)*100</f>
        <v/>
      </c>
      <c r="DC367" s="59">
        <f>($AL367-$AL368)*100</f>
        <v/>
      </c>
      <c r="DD367" s="59">
        <f>($AM367-$AM368)*100</f>
        <v/>
      </c>
      <c r="DE367" s="59">
        <f>($AN367-$AN368)*100</f>
        <v/>
      </c>
      <c r="DF367" s="59">
        <f>($AO367-$AO368)*100</f>
        <v/>
      </c>
      <c r="DG367" s="59">
        <f>($AP367-$AP368)*100</f>
        <v/>
      </c>
      <c r="DH367" s="59">
        <f>($AQ367-$AQ368)*100</f>
        <v/>
      </c>
      <c r="DI367" s="59">
        <f>($AR367-$AR368)*100</f>
        <v/>
      </c>
      <c r="DJ367" s="59">
        <f>($AS367-$AS368)*100</f>
        <v/>
      </c>
      <c r="DK367" s="59">
        <f>($AT367-$AT368)*100</f>
        <v/>
      </c>
      <c r="DL367" s="59">
        <f>($AU367-$AU368)*100</f>
        <v/>
      </c>
      <c r="DM367" s="59">
        <f>($AV367-$AV368)*100</f>
        <v/>
      </c>
      <c r="DN367" s="59">
        <f>($AW367-$AW368)*100</f>
        <v/>
      </c>
      <c r="DO367" s="59">
        <f>($AX367-$AX368)*100</f>
        <v/>
      </c>
      <c r="DP367" s="59">
        <f>($AY367-$AY368)*100</f>
        <v/>
      </c>
      <c r="DQ367" s="59">
        <f>($AZ367-$AZ368)*100</f>
        <v/>
      </c>
      <c r="DR367" s="59">
        <f>($BA367-$BA368)*100</f>
        <v/>
      </c>
      <c r="DS367" s="58">
        <f>IFERROR($N368/$N367-1,"")</f>
        <v/>
      </c>
      <c r="DT367" s="58">
        <f>IFERROR($O368/$O367-1,"")</f>
        <v/>
      </c>
      <c r="DU367" s="58">
        <f>IFERROR($P368/$P367-1,"")</f>
        <v/>
      </c>
      <c r="DV367" s="58">
        <f>IFERROR($Q368/$Q367-1,"")</f>
        <v/>
      </c>
      <c r="DW367" s="58">
        <f>IFERROR($R368/$R367-1,"")</f>
        <v/>
      </c>
      <c r="DX367" s="58">
        <f>IFERROR($S368/$S367-1,"")</f>
        <v/>
      </c>
      <c r="DY367" s="58">
        <f>IFERROR($T368/$T367-1,"")</f>
        <v/>
      </c>
      <c r="DZ367" s="58">
        <f>IFERROR($U368/$U367-1,"")</f>
        <v/>
      </c>
      <c r="EA367" s="58">
        <f>IFERROR($V368/$V367-1,"")</f>
        <v/>
      </c>
      <c r="EB367" s="58">
        <f>IFERROR($W368/$W367-1,"")</f>
        <v/>
      </c>
      <c r="EC367" s="58">
        <f>IFERROR($X368/$X367-1,"")</f>
        <v/>
      </c>
      <c r="ED367" s="58">
        <f>IFERROR($Y368/$Y367-1,"")</f>
        <v/>
      </c>
      <c r="EE367" s="58">
        <f>IFERROR($Z368/$Z367-1,"")</f>
        <v/>
      </c>
      <c r="EF367" s="58">
        <f>IFERROR($AA368/$AA367-1,"")</f>
        <v/>
      </c>
      <c r="EG367" s="58">
        <f>IFERROR($AB368/$AB367-1,"")</f>
        <v/>
      </c>
      <c r="EH367" s="58">
        <f>IFERROR($AC368/$AC367-1,"")</f>
        <v/>
      </c>
      <c r="EI367" s="58">
        <f>IFERROR($AD368/$AD367-1,"")</f>
        <v/>
      </c>
      <c r="EJ367" s="58">
        <f>IFERROR($AE368/$AE367-1,"")</f>
        <v/>
      </c>
      <c r="EK367" s="58">
        <f>IFERROR($AF368/$AF367-1,"")</f>
        <v/>
      </c>
      <c r="EL367" s="58">
        <f>IFERROR($AG368/$AG367-1,"")</f>
        <v/>
      </c>
      <c r="EM367" s="58">
        <f>IFERROR($BB367/$BB368-1,"")</f>
        <v/>
      </c>
      <c r="EN367" s="58">
        <f>IFERROR($BC367/$BC368-1,"")</f>
        <v/>
      </c>
      <c r="EO367" s="58">
        <f>IFERROR($BD367/$BD368-1,"")</f>
        <v/>
      </c>
      <c r="EP367" s="58">
        <f>IFERROR($BE367/$BE368-1,"")</f>
        <v/>
      </c>
      <c r="EQ367" s="58">
        <f>IFERROR($BF367/$BF368-1,"")</f>
        <v/>
      </c>
      <c r="ER367" s="58">
        <f>IFERROR($BG367/$BG368-1,"")</f>
        <v/>
      </c>
      <c r="ES367" s="58">
        <f>IFERROR($BH367/$BH368-1,"")</f>
        <v/>
      </c>
      <c r="ET367" s="58">
        <f>IFERROR($BI367/$BI368-1,"")</f>
        <v/>
      </c>
      <c r="EU367" s="58">
        <f>IFERROR($BJ367/$BJ368-1,"")</f>
        <v/>
      </c>
      <c r="EV367" s="58">
        <f>IFERROR($BK367/$BK368-1,"")</f>
        <v/>
      </c>
      <c r="EW367" s="58">
        <f>IFERROR($BL367/$BL368-1,"")</f>
        <v/>
      </c>
      <c r="EX367" s="58">
        <f>IFERROR($BM367/$BM368-1,"")</f>
        <v/>
      </c>
      <c r="EY367" s="58">
        <f>IFERROR($BN367/$BN368-1,"")</f>
        <v/>
      </c>
      <c r="EZ367" s="58">
        <f>IFERROR($BO367/$BO368-1,"")</f>
        <v/>
      </c>
      <c r="FA367" s="58">
        <f>IFERROR($BP367/$BP368-1,"")</f>
        <v/>
      </c>
      <c r="FB367" s="58">
        <f>IFERROR($BQ367/$BQ368-1,"")</f>
        <v/>
      </c>
      <c r="FC367" s="58">
        <f>IFERROR($BR367/$BR368-1,"")</f>
        <v/>
      </c>
      <c r="FD367" s="58">
        <f>IFERROR($BS367/$BS368-1,"")</f>
        <v/>
      </c>
      <c r="FE367" s="58">
        <f>IFERROR($BT367/$BT368-1,"")</f>
        <v/>
      </c>
      <c r="FF367" s="58">
        <f>IFERROR($BU367/$BU368-1,"")</f>
        <v/>
      </c>
      <c r="FG367" s="58">
        <f>IFERROR($BV367/$BV368-1,"")</f>
        <v/>
      </c>
      <c r="FH367" s="58">
        <f>IFERROR($BW367/$BW368-1,"")</f>
        <v/>
      </c>
      <c r="FI367" s="58">
        <f>IFERROR($BX367/$BX368-1,"")</f>
        <v/>
      </c>
      <c r="FJ367" s="59">
        <f>$BY367-$BY368</f>
        <v/>
      </c>
      <c r="FK367" s="59">
        <f>$BZ367-$BZ368</f>
        <v/>
      </c>
      <c r="FL367" s="59">
        <f>$CA367-$CA368</f>
        <v/>
      </c>
      <c r="FM367" s="59">
        <f>$CB367-$CB368</f>
        <v/>
      </c>
      <c r="FN367" s="59">
        <f>$CC367-$CC368</f>
        <v/>
      </c>
      <c r="FO367" s="59">
        <f>$CD367-$CD368</f>
        <v/>
      </c>
      <c r="FP367" s="59">
        <f>$CE367-$CE368</f>
        <v/>
      </c>
      <c r="FQ367" s="59">
        <f>$CF367-$CF368</f>
        <v/>
      </c>
      <c r="FR367" s="59">
        <f>$CG367-$CG368</f>
        <v/>
      </c>
      <c r="FS367" s="59">
        <f>$CH367-$CH368</f>
        <v/>
      </c>
      <c r="FT367" s="59">
        <f>$CI367-$CI368</f>
        <v/>
      </c>
      <c r="FU367" s="59">
        <f>$CJ367-$CJ368</f>
        <v/>
      </c>
      <c r="FV367" s="59">
        <f>$CK367-$CK368</f>
        <v/>
      </c>
      <c r="FW367" s="59">
        <f>$CL367-$CL368</f>
        <v/>
      </c>
      <c r="FX367" s="59">
        <f>$CM367-$CM368</f>
        <v/>
      </c>
      <c r="FY367" s="59">
        <f>$CN367-$CN368</f>
        <v/>
      </c>
      <c r="FZ367" s="59">
        <f>$CO367-$CO368</f>
        <v/>
      </c>
      <c r="GA367" s="59">
        <f>$CP367-$CP368</f>
        <v/>
      </c>
      <c r="GB367" s="59">
        <f>$CQ367-$CQ368</f>
        <v/>
      </c>
      <c r="GC367" s="59">
        <f>$CR367-$CR368</f>
        <v/>
      </c>
      <c r="GD367" s="59">
        <f>$CS367-$CS368</f>
        <v/>
      </c>
      <c r="GE367" s="59">
        <f>$CT367-$CT368</f>
        <v/>
      </c>
    </row>
    <row r="368">
      <c r="CU368" s="58">
        <f>IFERROR($B368/$B369-1,"")</f>
        <v/>
      </c>
      <c r="CV368" s="59">
        <f>($F368-$F369)*100</f>
        <v/>
      </c>
      <c r="CW368" s="59">
        <f>($E368-$E369)*100</f>
        <v/>
      </c>
      <c r="CX368" s="58">
        <f>IFERROR($K368/$K369-1,"")</f>
        <v/>
      </c>
      <c r="CY368" s="59">
        <f>($AH368-$AH369)*100</f>
        <v/>
      </c>
      <c r="CZ368" s="59">
        <f>($AI368-$AI369)*100</f>
        <v/>
      </c>
      <c r="DA368" s="59">
        <f>($AJ368-$AJ369)*100</f>
        <v/>
      </c>
      <c r="DB368" s="59">
        <f>($AK368-$AK369)*100</f>
        <v/>
      </c>
      <c r="DC368" s="59">
        <f>($AL368-$AL369)*100</f>
        <v/>
      </c>
      <c r="DD368" s="59">
        <f>($AM368-$AM369)*100</f>
        <v/>
      </c>
      <c r="DE368" s="59">
        <f>($AN368-$AN369)*100</f>
        <v/>
      </c>
      <c r="DF368" s="59">
        <f>($AO368-$AO369)*100</f>
        <v/>
      </c>
      <c r="DG368" s="59">
        <f>($AP368-$AP369)*100</f>
        <v/>
      </c>
      <c r="DH368" s="59">
        <f>($AQ368-$AQ369)*100</f>
        <v/>
      </c>
      <c r="DI368" s="59">
        <f>($AR368-$AR369)*100</f>
        <v/>
      </c>
      <c r="DJ368" s="59">
        <f>($AS368-$AS369)*100</f>
        <v/>
      </c>
      <c r="DK368" s="59">
        <f>($AT368-$AT369)*100</f>
        <v/>
      </c>
      <c r="DL368" s="59">
        <f>($AU368-$AU369)*100</f>
        <v/>
      </c>
      <c r="DM368" s="59">
        <f>($AV368-$AV369)*100</f>
        <v/>
      </c>
      <c r="DN368" s="59">
        <f>($AW368-$AW369)*100</f>
        <v/>
      </c>
      <c r="DO368" s="59">
        <f>($AX368-$AX369)*100</f>
        <v/>
      </c>
      <c r="DP368" s="59">
        <f>($AY368-$AY369)*100</f>
        <v/>
      </c>
      <c r="DQ368" s="59">
        <f>($AZ368-$AZ369)*100</f>
        <v/>
      </c>
      <c r="DR368" s="59">
        <f>($BA368-$BA369)*100</f>
        <v/>
      </c>
      <c r="DS368" s="58">
        <f>IFERROR($N369/$N368-1,"")</f>
        <v/>
      </c>
      <c r="DT368" s="58">
        <f>IFERROR($O369/$O368-1,"")</f>
        <v/>
      </c>
      <c r="DU368" s="58">
        <f>IFERROR($P369/$P368-1,"")</f>
        <v/>
      </c>
      <c r="DV368" s="58">
        <f>IFERROR($Q369/$Q368-1,"")</f>
        <v/>
      </c>
      <c r="DW368" s="58">
        <f>IFERROR($R369/$R368-1,"")</f>
        <v/>
      </c>
      <c r="DX368" s="58">
        <f>IFERROR($S369/$S368-1,"")</f>
        <v/>
      </c>
      <c r="DY368" s="58">
        <f>IFERROR($T369/$T368-1,"")</f>
        <v/>
      </c>
      <c r="DZ368" s="58">
        <f>IFERROR($U369/$U368-1,"")</f>
        <v/>
      </c>
      <c r="EA368" s="58">
        <f>IFERROR($V369/$V368-1,"")</f>
        <v/>
      </c>
      <c r="EB368" s="58">
        <f>IFERROR($W369/$W368-1,"")</f>
        <v/>
      </c>
      <c r="EC368" s="58">
        <f>IFERROR($X369/$X368-1,"")</f>
        <v/>
      </c>
      <c r="ED368" s="58">
        <f>IFERROR($Y369/$Y368-1,"")</f>
        <v/>
      </c>
      <c r="EE368" s="58">
        <f>IFERROR($Z369/$Z368-1,"")</f>
        <v/>
      </c>
      <c r="EF368" s="58">
        <f>IFERROR($AA369/$AA368-1,"")</f>
        <v/>
      </c>
      <c r="EG368" s="58">
        <f>IFERROR($AB369/$AB368-1,"")</f>
        <v/>
      </c>
      <c r="EH368" s="58">
        <f>IFERROR($AC369/$AC368-1,"")</f>
        <v/>
      </c>
      <c r="EI368" s="58">
        <f>IFERROR($AD369/$AD368-1,"")</f>
        <v/>
      </c>
      <c r="EJ368" s="58">
        <f>IFERROR($AE369/$AE368-1,"")</f>
        <v/>
      </c>
      <c r="EK368" s="58">
        <f>IFERROR($AF369/$AF368-1,"")</f>
        <v/>
      </c>
      <c r="EL368" s="58">
        <f>IFERROR($AG369/$AG368-1,"")</f>
        <v/>
      </c>
      <c r="EM368" s="58">
        <f>IFERROR($BB368/$BB369-1,"")</f>
        <v/>
      </c>
      <c r="EN368" s="58">
        <f>IFERROR($BC368/$BC369-1,"")</f>
        <v/>
      </c>
      <c r="EO368" s="58">
        <f>IFERROR($BD368/$BD369-1,"")</f>
        <v/>
      </c>
      <c r="EP368" s="58">
        <f>IFERROR($BE368/$BE369-1,"")</f>
        <v/>
      </c>
      <c r="EQ368" s="58">
        <f>IFERROR($BF368/$BF369-1,"")</f>
        <v/>
      </c>
      <c r="ER368" s="58">
        <f>IFERROR($BG368/$BG369-1,"")</f>
        <v/>
      </c>
      <c r="ES368" s="58">
        <f>IFERROR($BH368/$BH369-1,"")</f>
        <v/>
      </c>
      <c r="ET368" s="58">
        <f>IFERROR($BI368/$BI369-1,"")</f>
        <v/>
      </c>
      <c r="EU368" s="58">
        <f>IFERROR($BJ368/$BJ369-1,"")</f>
        <v/>
      </c>
      <c r="EV368" s="58">
        <f>IFERROR($BK368/$BK369-1,"")</f>
        <v/>
      </c>
      <c r="EW368" s="58">
        <f>IFERROR($BL368/$BL369-1,"")</f>
        <v/>
      </c>
      <c r="EX368" s="58">
        <f>IFERROR($BM368/$BM369-1,"")</f>
        <v/>
      </c>
      <c r="EY368" s="58">
        <f>IFERROR($BN368/$BN369-1,"")</f>
        <v/>
      </c>
      <c r="EZ368" s="58">
        <f>IFERROR($BO368/$BO369-1,"")</f>
        <v/>
      </c>
      <c r="FA368" s="58">
        <f>IFERROR($BP368/$BP369-1,"")</f>
        <v/>
      </c>
      <c r="FB368" s="58">
        <f>IFERROR($BQ368/$BQ369-1,"")</f>
        <v/>
      </c>
      <c r="FC368" s="58">
        <f>IFERROR($BR368/$BR369-1,"")</f>
        <v/>
      </c>
      <c r="FD368" s="58">
        <f>IFERROR($BS368/$BS369-1,"")</f>
        <v/>
      </c>
      <c r="FE368" s="58">
        <f>IFERROR($BT368/$BT369-1,"")</f>
        <v/>
      </c>
      <c r="FF368" s="58">
        <f>IFERROR($BU368/$BU369-1,"")</f>
        <v/>
      </c>
      <c r="FG368" s="58">
        <f>IFERROR($BV368/$BV369-1,"")</f>
        <v/>
      </c>
      <c r="FH368" s="58">
        <f>IFERROR($BW368/$BW369-1,"")</f>
        <v/>
      </c>
      <c r="FI368" s="58">
        <f>IFERROR($BX368/$BX369-1,"")</f>
        <v/>
      </c>
      <c r="FJ368" s="59">
        <f>$BY368-$BY369</f>
        <v/>
      </c>
      <c r="FK368" s="59">
        <f>$BZ368-$BZ369</f>
        <v/>
      </c>
      <c r="FL368" s="59">
        <f>$CA368-$CA369</f>
        <v/>
      </c>
      <c r="FM368" s="59">
        <f>$CB368-$CB369</f>
        <v/>
      </c>
      <c r="FN368" s="59">
        <f>$CC368-$CC369</f>
        <v/>
      </c>
      <c r="FO368" s="59">
        <f>$CD368-$CD369</f>
        <v/>
      </c>
      <c r="FP368" s="59">
        <f>$CE368-$CE369</f>
        <v/>
      </c>
      <c r="FQ368" s="59">
        <f>$CF368-$CF369</f>
        <v/>
      </c>
      <c r="FR368" s="59">
        <f>$CG368-$CG369</f>
        <v/>
      </c>
      <c r="FS368" s="59">
        <f>$CH368-$CH369</f>
        <v/>
      </c>
      <c r="FT368" s="59">
        <f>$CI368-$CI369</f>
        <v/>
      </c>
      <c r="FU368" s="59">
        <f>$CJ368-$CJ369</f>
        <v/>
      </c>
      <c r="FV368" s="59">
        <f>$CK368-$CK369</f>
        <v/>
      </c>
      <c r="FW368" s="59">
        <f>$CL368-$CL369</f>
        <v/>
      </c>
      <c r="FX368" s="59">
        <f>$CM368-$CM369</f>
        <v/>
      </c>
      <c r="FY368" s="59">
        <f>$CN368-$CN369</f>
        <v/>
      </c>
      <c r="FZ368" s="59">
        <f>$CO368-$CO369</f>
        <v/>
      </c>
      <c r="GA368" s="59">
        <f>$CP368-$CP369</f>
        <v/>
      </c>
      <c r="GB368" s="59">
        <f>$CQ368-$CQ369</f>
        <v/>
      </c>
      <c r="GC368" s="59">
        <f>$CR368-$CR369</f>
        <v/>
      </c>
      <c r="GD368" s="59">
        <f>$CS368-$CS369</f>
        <v/>
      </c>
      <c r="GE368" s="59">
        <f>$CT368-$CT369</f>
        <v/>
      </c>
    </row>
    <row r="369">
      <c r="CU369" s="58">
        <f>IFERROR($B369/$B370-1,"")</f>
        <v/>
      </c>
      <c r="CV369" s="59">
        <f>($F369-$F370)*100</f>
        <v/>
      </c>
      <c r="CW369" s="59">
        <f>($E369-$E370)*100</f>
        <v/>
      </c>
      <c r="CX369" s="58">
        <f>IFERROR($K369/$K370-1,"")</f>
        <v/>
      </c>
      <c r="CY369" s="59">
        <f>($AH369-$AH370)*100</f>
        <v/>
      </c>
      <c r="CZ369" s="59">
        <f>($AI369-$AI370)*100</f>
        <v/>
      </c>
      <c r="DA369" s="59">
        <f>($AJ369-$AJ370)*100</f>
        <v/>
      </c>
      <c r="DB369" s="59">
        <f>($AK369-$AK370)*100</f>
        <v/>
      </c>
      <c r="DC369" s="59">
        <f>($AL369-$AL370)*100</f>
        <v/>
      </c>
      <c r="DD369" s="59">
        <f>($AM369-$AM370)*100</f>
        <v/>
      </c>
      <c r="DE369" s="59">
        <f>($AN369-$AN370)*100</f>
        <v/>
      </c>
      <c r="DF369" s="59">
        <f>($AO369-$AO370)*100</f>
        <v/>
      </c>
      <c r="DG369" s="59">
        <f>($AP369-$AP370)*100</f>
        <v/>
      </c>
      <c r="DH369" s="59">
        <f>($AQ369-$AQ370)*100</f>
        <v/>
      </c>
      <c r="DI369" s="59">
        <f>($AR369-$AR370)*100</f>
        <v/>
      </c>
      <c r="DJ369" s="59">
        <f>($AS369-$AS370)*100</f>
        <v/>
      </c>
      <c r="DK369" s="59">
        <f>($AT369-$AT370)*100</f>
        <v/>
      </c>
      <c r="DL369" s="59">
        <f>($AU369-$AU370)*100</f>
        <v/>
      </c>
      <c r="DM369" s="59">
        <f>($AV369-$AV370)*100</f>
        <v/>
      </c>
      <c r="DN369" s="59">
        <f>($AW369-$AW370)*100</f>
        <v/>
      </c>
      <c r="DO369" s="59">
        <f>($AX369-$AX370)*100</f>
        <v/>
      </c>
      <c r="DP369" s="59">
        <f>($AY369-$AY370)*100</f>
        <v/>
      </c>
      <c r="DQ369" s="59">
        <f>($AZ369-$AZ370)*100</f>
        <v/>
      </c>
      <c r="DR369" s="59">
        <f>($BA369-$BA370)*100</f>
        <v/>
      </c>
      <c r="DS369" s="58">
        <f>IFERROR($N370/$N369-1,"")</f>
        <v/>
      </c>
      <c r="DT369" s="58">
        <f>IFERROR($O370/$O369-1,"")</f>
        <v/>
      </c>
      <c r="DU369" s="58">
        <f>IFERROR($P370/$P369-1,"")</f>
        <v/>
      </c>
      <c r="DV369" s="58">
        <f>IFERROR($Q370/$Q369-1,"")</f>
        <v/>
      </c>
      <c r="DW369" s="58">
        <f>IFERROR($R370/$R369-1,"")</f>
        <v/>
      </c>
      <c r="DX369" s="58">
        <f>IFERROR($S370/$S369-1,"")</f>
        <v/>
      </c>
      <c r="DY369" s="58">
        <f>IFERROR($T370/$T369-1,"")</f>
        <v/>
      </c>
      <c r="DZ369" s="58">
        <f>IFERROR($U370/$U369-1,"")</f>
        <v/>
      </c>
      <c r="EA369" s="58">
        <f>IFERROR($V370/$V369-1,"")</f>
        <v/>
      </c>
      <c r="EB369" s="58">
        <f>IFERROR($W370/$W369-1,"")</f>
        <v/>
      </c>
      <c r="EC369" s="58">
        <f>IFERROR($X370/$X369-1,"")</f>
        <v/>
      </c>
      <c r="ED369" s="58">
        <f>IFERROR($Y370/$Y369-1,"")</f>
        <v/>
      </c>
      <c r="EE369" s="58">
        <f>IFERROR($Z370/$Z369-1,"")</f>
        <v/>
      </c>
      <c r="EF369" s="58">
        <f>IFERROR($AA370/$AA369-1,"")</f>
        <v/>
      </c>
      <c r="EG369" s="58">
        <f>IFERROR($AB370/$AB369-1,"")</f>
        <v/>
      </c>
      <c r="EH369" s="58">
        <f>IFERROR($AC370/$AC369-1,"")</f>
        <v/>
      </c>
      <c r="EI369" s="58">
        <f>IFERROR($AD370/$AD369-1,"")</f>
        <v/>
      </c>
      <c r="EJ369" s="58">
        <f>IFERROR($AE370/$AE369-1,"")</f>
        <v/>
      </c>
      <c r="EK369" s="58">
        <f>IFERROR($AF370/$AF369-1,"")</f>
        <v/>
      </c>
      <c r="EL369" s="58">
        <f>IFERROR($AG370/$AG369-1,"")</f>
        <v/>
      </c>
      <c r="EM369" s="58">
        <f>IFERROR($BB369/$BB370-1,"")</f>
        <v/>
      </c>
      <c r="EN369" s="58">
        <f>IFERROR($BC369/$BC370-1,"")</f>
        <v/>
      </c>
      <c r="EO369" s="58">
        <f>IFERROR($BD369/$BD370-1,"")</f>
        <v/>
      </c>
      <c r="EP369" s="58">
        <f>IFERROR($BE369/$BE370-1,"")</f>
        <v/>
      </c>
      <c r="EQ369" s="58">
        <f>IFERROR($BF369/$BF370-1,"")</f>
        <v/>
      </c>
      <c r="ER369" s="58">
        <f>IFERROR($BG369/$BG370-1,"")</f>
        <v/>
      </c>
      <c r="ES369" s="58">
        <f>IFERROR($BH369/$BH370-1,"")</f>
        <v/>
      </c>
      <c r="ET369" s="58">
        <f>IFERROR($BI369/$BI370-1,"")</f>
        <v/>
      </c>
      <c r="EU369" s="58">
        <f>IFERROR($BJ369/$BJ370-1,"")</f>
        <v/>
      </c>
      <c r="EV369" s="58">
        <f>IFERROR($BK369/$BK370-1,"")</f>
        <v/>
      </c>
      <c r="EW369" s="58">
        <f>IFERROR($BL369/$BL370-1,"")</f>
        <v/>
      </c>
      <c r="EX369" s="58">
        <f>IFERROR($BM369/$BM370-1,"")</f>
        <v/>
      </c>
      <c r="EY369" s="58">
        <f>IFERROR($BN369/$BN370-1,"")</f>
        <v/>
      </c>
      <c r="EZ369" s="58">
        <f>IFERROR($BO369/$BO370-1,"")</f>
        <v/>
      </c>
      <c r="FA369" s="58">
        <f>IFERROR($BP369/$BP370-1,"")</f>
        <v/>
      </c>
      <c r="FB369" s="58">
        <f>IFERROR($BQ369/$BQ370-1,"")</f>
        <v/>
      </c>
      <c r="FC369" s="58">
        <f>IFERROR($BR369/$BR370-1,"")</f>
        <v/>
      </c>
      <c r="FD369" s="58">
        <f>IFERROR($BS369/$BS370-1,"")</f>
        <v/>
      </c>
      <c r="FE369" s="58">
        <f>IFERROR($BT369/$BT370-1,"")</f>
        <v/>
      </c>
      <c r="FF369" s="58">
        <f>IFERROR($BU369/$BU370-1,"")</f>
        <v/>
      </c>
      <c r="FG369" s="58">
        <f>IFERROR($BV369/$BV370-1,"")</f>
        <v/>
      </c>
      <c r="FH369" s="58">
        <f>IFERROR($BW369/$BW370-1,"")</f>
        <v/>
      </c>
      <c r="FI369" s="58">
        <f>IFERROR($BX369/$BX370-1,"")</f>
        <v/>
      </c>
      <c r="FJ369" s="59">
        <f>$BY369-$BY370</f>
        <v/>
      </c>
      <c r="FK369" s="59">
        <f>$BZ369-$BZ370</f>
        <v/>
      </c>
      <c r="FL369" s="59">
        <f>$CA369-$CA370</f>
        <v/>
      </c>
      <c r="FM369" s="59">
        <f>$CB369-$CB370</f>
        <v/>
      </c>
      <c r="FN369" s="59">
        <f>$CC369-$CC370</f>
        <v/>
      </c>
      <c r="FO369" s="59">
        <f>$CD369-$CD370</f>
        <v/>
      </c>
      <c r="FP369" s="59">
        <f>$CE369-$CE370</f>
        <v/>
      </c>
      <c r="FQ369" s="59">
        <f>$CF369-$CF370</f>
        <v/>
      </c>
      <c r="FR369" s="59">
        <f>$CG369-$CG370</f>
        <v/>
      </c>
      <c r="FS369" s="59">
        <f>$CH369-$CH370</f>
        <v/>
      </c>
      <c r="FT369" s="59">
        <f>$CI369-$CI370</f>
        <v/>
      </c>
      <c r="FU369" s="59">
        <f>$CJ369-$CJ370</f>
        <v/>
      </c>
      <c r="FV369" s="59">
        <f>$CK369-$CK370</f>
        <v/>
      </c>
      <c r="FW369" s="59">
        <f>$CL369-$CL370</f>
        <v/>
      </c>
      <c r="FX369" s="59">
        <f>$CM369-$CM370</f>
        <v/>
      </c>
      <c r="FY369" s="59">
        <f>$CN369-$CN370</f>
        <v/>
      </c>
      <c r="FZ369" s="59">
        <f>$CO369-$CO370</f>
        <v/>
      </c>
      <c r="GA369" s="59">
        <f>$CP369-$CP370</f>
        <v/>
      </c>
      <c r="GB369" s="59">
        <f>$CQ369-$CQ370</f>
        <v/>
      </c>
      <c r="GC369" s="59">
        <f>$CR369-$CR370</f>
        <v/>
      </c>
      <c r="GD369" s="59">
        <f>$CS369-$CS370</f>
        <v/>
      </c>
      <c r="GE369" s="59">
        <f>$CT369-$CT370</f>
        <v/>
      </c>
    </row>
    <row r="370">
      <c r="CU370" s="58">
        <f>IFERROR($B370/$B371-1,"")</f>
        <v/>
      </c>
      <c r="CV370" s="59">
        <f>($F370-$F371)*100</f>
        <v/>
      </c>
      <c r="CW370" s="59">
        <f>($E370-$E371)*100</f>
        <v/>
      </c>
      <c r="CX370" s="58">
        <f>IFERROR($K370/$K371-1,"")</f>
        <v/>
      </c>
      <c r="CY370" s="59">
        <f>($AH370-$AH371)*100</f>
        <v/>
      </c>
      <c r="CZ370" s="59">
        <f>($AI370-$AI371)*100</f>
        <v/>
      </c>
      <c r="DA370" s="59">
        <f>($AJ370-$AJ371)*100</f>
        <v/>
      </c>
      <c r="DB370" s="59">
        <f>($AK370-$AK371)*100</f>
        <v/>
      </c>
      <c r="DC370" s="59">
        <f>($AL370-$AL371)*100</f>
        <v/>
      </c>
      <c r="DD370" s="59">
        <f>($AM370-$AM371)*100</f>
        <v/>
      </c>
      <c r="DE370" s="59">
        <f>($AN370-$AN371)*100</f>
        <v/>
      </c>
      <c r="DF370" s="59">
        <f>($AO370-$AO371)*100</f>
        <v/>
      </c>
      <c r="DG370" s="59">
        <f>($AP370-$AP371)*100</f>
        <v/>
      </c>
      <c r="DH370" s="59">
        <f>($AQ370-$AQ371)*100</f>
        <v/>
      </c>
      <c r="DI370" s="59">
        <f>($AR370-$AR371)*100</f>
        <v/>
      </c>
      <c r="DJ370" s="59">
        <f>($AS370-$AS371)*100</f>
        <v/>
      </c>
      <c r="DK370" s="59">
        <f>($AT370-$AT371)*100</f>
        <v/>
      </c>
      <c r="DL370" s="59">
        <f>($AU370-$AU371)*100</f>
        <v/>
      </c>
      <c r="DM370" s="59">
        <f>($AV370-$AV371)*100</f>
        <v/>
      </c>
      <c r="DN370" s="59">
        <f>($AW370-$AW371)*100</f>
        <v/>
      </c>
      <c r="DO370" s="59">
        <f>($AX370-$AX371)*100</f>
        <v/>
      </c>
      <c r="DP370" s="59">
        <f>($AY370-$AY371)*100</f>
        <v/>
      </c>
      <c r="DQ370" s="59">
        <f>($AZ370-$AZ371)*100</f>
        <v/>
      </c>
      <c r="DR370" s="59">
        <f>($BA370-$BA371)*100</f>
        <v/>
      </c>
      <c r="DS370" s="58">
        <f>IFERROR($N371/$N370-1,"")</f>
        <v/>
      </c>
      <c r="DT370" s="58">
        <f>IFERROR($O371/$O370-1,"")</f>
        <v/>
      </c>
      <c r="DU370" s="58">
        <f>IFERROR($P371/$P370-1,"")</f>
        <v/>
      </c>
      <c r="DV370" s="58">
        <f>IFERROR($Q371/$Q370-1,"")</f>
        <v/>
      </c>
      <c r="DW370" s="58">
        <f>IFERROR($R371/$R370-1,"")</f>
        <v/>
      </c>
      <c r="DX370" s="58">
        <f>IFERROR($S371/$S370-1,"")</f>
        <v/>
      </c>
      <c r="DY370" s="58">
        <f>IFERROR($T371/$T370-1,"")</f>
        <v/>
      </c>
      <c r="DZ370" s="58">
        <f>IFERROR($U371/$U370-1,"")</f>
        <v/>
      </c>
      <c r="EA370" s="58">
        <f>IFERROR($V371/$V370-1,"")</f>
        <v/>
      </c>
      <c r="EB370" s="58">
        <f>IFERROR($W371/$W370-1,"")</f>
        <v/>
      </c>
      <c r="EC370" s="58">
        <f>IFERROR($X371/$X370-1,"")</f>
        <v/>
      </c>
      <c r="ED370" s="58">
        <f>IFERROR($Y371/$Y370-1,"")</f>
        <v/>
      </c>
      <c r="EE370" s="58">
        <f>IFERROR($Z371/$Z370-1,"")</f>
        <v/>
      </c>
      <c r="EF370" s="58">
        <f>IFERROR($AA371/$AA370-1,"")</f>
        <v/>
      </c>
      <c r="EG370" s="58">
        <f>IFERROR($AB371/$AB370-1,"")</f>
        <v/>
      </c>
      <c r="EH370" s="58">
        <f>IFERROR($AC371/$AC370-1,"")</f>
        <v/>
      </c>
      <c r="EI370" s="58">
        <f>IFERROR($AD371/$AD370-1,"")</f>
        <v/>
      </c>
      <c r="EJ370" s="58">
        <f>IFERROR($AE371/$AE370-1,"")</f>
        <v/>
      </c>
      <c r="EK370" s="58">
        <f>IFERROR($AF371/$AF370-1,"")</f>
        <v/>
      </c>
      <c r="EL370" s="58">
        <f>IFERROR($AG371/$AG370-1,"")</f>
        <v/>
      </c>
      <c r="EM370" s="58">
        <f>IFERROR($BB370/$BB371-1,"")</f>
        <v/>
      </c>
      <c r="EN370" s="58">
        <f>IFERROR($BC370/$BC371-1,"")</f>
        <v/>
      </c>
      <c r="EO370" s="58">
        <f>IFERROR($BD370/$BD371-1,"")</f>
        <v/>
      </c>
      <c r="EP370" s="58">
        <f>IFERROR($BE370/$BE371-1,"")</f>
        <v/>
      </c>
      <c r="EQ370" s="58">
        <f>IFERROR($BF370/$BF371-1,"")</f>
        <v/>
      </c>
      <c r="ER370" s="58">
        <f>IFERROR($BG370/$BG371-1,"")</f>
        <v/>
      </c>
      <c r="ES370" s="58">
        <f>IFERROR($BH370/$BH371-1,"")</f>
        <v/>
      </c>
      <c r="ET370" s="58">
        <f>IFERROR($BI370/$BI371-1,"")</f>
        <v/>
      </c>
      <c r="EU370" s="58">
        <f>IFERROR($BJ370/$BJ371-1,"")</f>
        <v/>
      </c>
      <c r="EV370" s="58">
        <f>IFERROR($BK370/$BK371-1,"")</f>
        <v/>
      </c>
      <c r="EW370" s="58">
        <f>IFERROR($BL370/$BL371-1,"")</f>
        <v/>
      </c>
      <c r="EX370" s="58">
        <f>IFERROR($BM370/$BM371-1,"")</f>
        <v/>
      </c>
      <c r="EY370" s="58">
        <f>IFERROR($BN370/$BN371-1,"")</f>
        <v/>
      </c>
      <c r="EZ370" s="58">
        <f>IFERROR($BO370/$BO371-1,"")</f>
        <v/>
      </c>
      <c r="FA370" s="58">
        <f>IFERROR($BP370/$BP371-1,"")</f>
        <v/>
      </c>
      <c r="FB370" s="58">
        <f>IFERROR($BQ370/$BQ371-1,"")</f>
        <v/>
      </c>
      <c r="FC370" s="58">
        <f>IFERROR($BR370/$BR371-1,"")</f>
        <v/>
      </c>
      <c r="FD370" s="58">
        <f>IFERROR($BS370/$BS371-1,"")</f>
        <v/>
      </c>
      <c r="FE370" s="58">
        <f>IFERROR($BT370/$BT371-1,"")</f>
        <v/>
      </c>
      <c r="FF370" s="58">
        <f>IFERROR($BU370/$BU371-1,"")</f>
        <v/>
      </c>
      <c r="FG370" s="58">
        <f>IFERROR($BV370/$BV371-1,"")</f>
        <v/>
      </c>
      <c r="FH370" s="58">
        <f>IFERROR($BW370/$BW371-1,"")</f>
        <v/>
      </c>
      <c r="FI370" s="58">
        <f>IFERROR($BX370/$BX371-1,"")</f>
        <v/>
      </c>
      <c r="FJ370" s="59">
        <f>$BY370-$BY371</f>
        <v/>
      </c>
      <c r="FK370" s="59">
        <f>$BZ370-$BZ371</f>
        <v/>
      </c>
      <c r="FL370" s="59">
        <f>$CA370-$CA371</f>
        <v/>
      </c>
      <c r="FM370" s="59">
        <f>$CB370-$CB371</f>
        <v/>
      </c>
      <c r="FN370" s="59">
        <f>$CC370-$CC371</f>
        <v/>
      </c>
      <c r="FO370" s="59">
        <f>$CD370-$CD371</f>
        <v/>
      </c>
      <c r="FP370" s="59">
        <f>$CE370-$CE371</f>
        <v/>
      </c>
      <c r="FQ370" s="59">
        <f>$CF370-$CF371</f>
        <v/>
      </c>
      <c r="FR370" s="59">
        <f>$CG370-$CG371</f>
        <v/>
      </c>
      <c r="FS370" s="59">
        <f>$CH370-$CH371</f>
        <v/>
      </c>
      <c r="FT370" s="59">
        <f>$CI370-$CI371</f>
        <v/>
      </c>
      <c r="FU370" s="59">
        <f>$CJ370-$CJ371</f>
        <v/>
      </c>
      <c r="FV370" s="59">
        <f>$CK370-$CK371</f>
        <v/>
      </c>
      <c r="FW370" s="59">
        <f>$CL370-$CL371</f>
        <v/>
      </c>
      <c r="FX370" s="59">
        <f>$CM370-$CM371</f>
        <v/>
      </c>
      <c r="FY370" s="59">
        <f>$CN370-$CN371</f>
        <v/>
      </c>
      <c r="FZ370" s="59">
        <f>$CO370-$CO371</f>
        <v/>
      </c>
      <c r="GA370" s="59">
        <f>$CP370-$CP371</f>
        <v/>
      </c>
      <c r="GB370" s="59">
        <f>$CQ370-$CQ371</f>
        <v/>
      </c>
      <c r="GC370" s="59">
        <f>$CR370-$CR371</f>
        <v/>
      </c>
      <c r="GD370" s="59">
        <f>$CS370-$CS371</f>
        <v/>
      </c>
      <c r="GE370" s="59">
        <f>$CT370-$CT371</f>
        <v/>
      </c>
    </row>
    <row r="371">
      <c r="CU371" s="58">
        <f>IFERROR($B371/$B372-1,"")</f>
        <v/>
      </c>
      <c r="CV371" s="59">
        <f>($F371-$F372)*100</f>
        <v/>
      </c>
      <c r="CW371" s="59">
        <f>($E371-$E372)*100</f>
        <v/>
      </c>
      <c r="CX371" s="58">
        <f>IFERROR($K371/$K372-1,"")</f>
        <v/>
      </c>
      <c r="CY371" s="59">
        <f>($AH371-$AH372)*100</f>
        <v/>
      </c>
      <c r="CZ371" s="59">
        <f>($AI371-$AI372)*100</f>
        <v/>
      </c>
      <c r="DA371" s="59">
        <f>($AJ371-$AJ372)*100</f>
        <v/>
      </c>
      <c r="DB371" s="59">
        <f>($AK371-$AK372)*100</f>
        <v/>
      </c>
      <c r="DC371" s="59">
        <f>($AL371-$AL372)*100</f>
        <v/>
      </c>
      <c r="DD371" s="59">
        <f>($AM371-$AM372)*100</f>
        <v/>
      </c>
      <c r="DE371" s="59">
        <f>($AN371-$AN372)*100</f>
        <v/>
      </c>
      <c r="DF371" s="59">
        <f>($AO371-$AO372)*100</f>
        <v/>
      </c>
      <c r="DG371" s="59">
        <f>($AP371-$AP372)*100</f>
        <v/>
      </c>
      <c r="DH371" s="59">
        <f>($AQ371-$AQ372)*100</f>
        <v/>
      </c>
      <c r="DI371" s="59">
        <f>($AR371-$AR372)*100</f>
        <v/>
      </c>
      <c r="DJ371" s="59">
        <f>($AS371-$AS372)*100</f>
        <v/>
      </c>
      <c r="DK371" s="59">
        <f>($AT371-$AT372)*100</f>
        <v/>
      </c>
      <c r="DL371" s="59">
        <f>($AU371-$AU372)*100</f>
        <v/>
      </c>
      <c r="DM371" s="59">
        <f>($AV371-$AV372)*100</f>
        <v/>
      </c>
      <c r="DN371" s="59">
        <f>($AW371-$AW372)*100</f>
        <v/>
      </c>
      <c r="DO371" s="59">
        <f>($AX371-$AX372)*100</f>
        <v/>
      </c>
      <c r="DP371" s="59">
        <f>($AY371-$AY372)*100</f>
        <v/>
      </c>
      <c r="DQ371" s="59">
        <f>($AZ371-$AZ372)*100</f>
        <v/>
      </c>
      <c r="DR371" s="59">
        <f>($BA371-$BA372)*100</f>
        <v/>
      </c>
      <c r="DS371" s="58">
        <f>IFERROR($N372/$N371-1,"")</f>
        <v/>
      </c>
      <c r="DT371" s="58">
        <f>IFERROR($O372/$O371-1,"")</f>
        <v/>
      </c>
      <c r="DU371" s="58">
        <f>IFERROR($P372/$P371-1,"")</f>
        <v/>
      </c>
      <c r="DV371" s="58">
        <f>IFERROR($Q372/$Q371-1,"")</f>
        <v/>
      </c>
      <c r="DW371" s="58">
        <f>IFERROR($R372/$R371-1,"")</f>
        <v/>
      </c>
      <c r="DX371" s="58">
        <f>IFERROR($S372/$S371-1,"")</f>
        <v/>
      </c>
      <c r="DY371" s="58">
        <f>IFERROR($T372/$T371-1,"")</f>
        <v/>
      </c>
      <c r="DZ371" s="58">
        <f>IFERROR($U372/$U371-1,"")</f>
        <v/>
      </c>
      <c r="EA371" s="58">
        <f>IFERROR($V372/$V371-1,"")</f>
        <v/>
      </c>
      <c r="EB371" s="58">
        <f>IFERROR($W372/$W371-1,"")</f>
        <v/>
      </c>
      <c r="EC371" s="58">
        <f>IFERROR($X372/$X371-1,"")</f>
        <v/>
      </c>
      <c r="ED371" s="58">
        <f>IFERROR($Y372/$Y371-1,"")</f>
        <v/>
      </c>
      <c r="EE371" s="58">
        <f>IFERROR($Z372/$Z371-1,"")</f>
        <v/>
      </c>
      <c r="EF371" s="58">
        <f>IFERROR($AA372/$AA371-1,"")</f>
        <v/>
      </c>
      <c r="EG371" s="58">
        <f>IFERROR($AB372/$AB371-1,"")</f>
        <v/>
      </c>
      <c r="EH371" s="58">
        <f>IFERROR($AC372/$AC371-1,"")</f>
        <v/>
      </c>
      <c r="EI371" s="58">
        <f>IFERROR($AD372/$AD371-1,"")</f>
        <v/>
      </c>
      <c r="EJ371" s="58">
        <f>IFERROR($AE372/$AE371-1,"")</f>
        <v/>
      </c>
      <c r="EK371" s="58">
        <f>IFERROR($AF372/$AF371-1,"")</f>
        <v/>
      </c>
      <c r="EL371" s="58">
        <f>IFERROR($AG372/$AG371-1,"")</f>
        <v/>
      </c>
      <c r="EM371" s="58">
        <f>IFERROR($BB371/$BB372-1,"")</f>
        <v/>
      </c>
      <c r="EN371" s="58">
        <f>IFERROR($BC371/$BC372-1,"")</f>
        <v/>
      </c>
      <c r="EO371" s="58">
        <f>IFERROR($BD371/$BD372-1,"")</f>
        <v/>
      </c>
      <c r="EP371" s="58">
        <f>IFERROR($BE371/$BE372-1,"")</f>
        <v/>
      </c>
      <c r="EQ371" s="58">
        <f>IFERROR($BF371/$BF372-1,"")</f>
        <v/>
      </c>
      <c r="ER371" s="58">
        <f>IFERROR($BG371/$BG372-1,"")</f>
        <v/>
      </c>
      <c r="ES371" s="58">
        <f>IFERROR($BH371/$BH372-1,"")</f>
        <v/>
      </c>
      <c r="ET371" s="58">
        <f>IFERROR($BI371/$BI372-1,"")</f>
        <v/>
      </c>
      <c r="EU371" s="58">
        <f>IFERROR($BJ371/$BJ372-1,"")</f>
        <v/>
      </c>
      <c r="EV371" s="58">
        <f>IFERROR($BK371/$BK372-1,"")</f>
        <v/>
      </c>
      <c r="EW371" s="58">
        <f>IFERROR($BL371/$BL372-1,"")</f>
        <v/>
      </c>
      <c r="EX371" s="58">
        <f>IFERROR($BM371/$BM372-1,"")</f>
        <v/>
      </c>
      <c r="EY371" s="58">
        <f>IFERROR($BN371/$BN372-1,"")</f>
        <v/>
      </c>
      <c r="EZ371" s="58">
        <f>IFERROR($BO371/$BO372-1,"")</f>
        <v/>
      </c>
      <c r="FA371" s="58">
        <f>IFERROR($BP371/$BP372-1,"")</f>
        <v/>
      </c>
      <c r="FB371" s="58">
        <f>IFERROR($BQ371/$BQ372-1,"")</f>
        <v/>
      </c>
      <c r="FC371" s="58">
        <f>IFERROR($BR371/$BR372-1,"")</f>
        <v/>
      </c>
      <c r="FD371" s="58">
        <f>IFERROR($BS371/$BS372-1,"")</f>
        <v/>
      </c>
      <c r="FE371" s="58">
        <f>IFERROR($BT371/$BT372-1,"")</f>
        <v/>
      </c>
      <c r="FF371" s="58">
        <f>IFERROR($BU371/$BU372-1,"")</f>
        <v/>
      </c>
      <c r="FG371" s="58">
        <f>IFERROR($BV371/$BV372-1,"")</f>
        <v/>
      </c>
      <c r="FH371" s="58">
        <f>IFERROR($BW371/$BW372-1,"")</f>
        <v/>
      </c>
      <c r="FI371" s="58">
        <f>IFERROR($BX371/$BX372-1,"")</f>
        <v/>
      </c>
      <c r="FJ371" s="59">
        <f>$BY371-$BY372</f>
        <v/>
      </c>
      <c r="FK371" s="59">
        <f>$BZ371-$BZ372</f>
        <v/>
      </c>
      <c r="FL371" s="59">
        <f>$CA371-$CA372</f>
        <v/>
      </c>
      <c r="FM371" s="59">
        <f>$CB371-$CB372</f>
        <v/>
      </c>
      <c r="FN371" s="59">
        <f>$CC371-$CC372</f>
        <v/>
      </c>
      <c r="FO371" s="59">
        <f>$CD371-$CD372</f>
        <v/>
      </c>
      <c r="FP371" s="59">
        <f>$CE371-$CE372</f>
        <v/>
      </c>
      <c r="FQ371" s="59">
        <f>$CF371-$CF372</f>
        <v/>
      </c>
      <c r="FR371" s="59">
        <f>$CG371-$CG372</f>
        <v/>
      </c>
      <c r="FS371" s="59">
        <f>$CH371-$CH372</f>
        <v/>
      </c>
      <c r="FT371" s="59">
        <f>$CI371-$CI372</f>
        <v/>
      </c>
      <c r="FU371" s="59">
        <f>$CJ371-$CJ372</f>
        <v/>
      </c>
      <c r="FV371" s="59">
        <f>$CK371-$CK372</f>
        <v/>
      </c>
      <c r="FW371" s="59">
        <f>$CL371-$CL372</f>
        <v/>
      </c>
      <c r="FX371" s="59">
        <f>$CM371-$CM372</f>
        <v/>
      </c>
      <c r="FY371" s="59">
        <f>$CN371-$CN372</f>
        <v/>
      </c>
      <c r="FZ371" s="59">
        <f>$CO371-$CO372</f>
        <v/>
      </c>
      <c r="GA371" s="59">
        <f>$CP371-$CP372</f>
        <v/>
      </c>
      <c r="GB371" s="59">
        <f>$CQ371-$CQ372</f>
        <v/>
      </c>
      <c r="GC371" s="59">
        <f>$CR371-$CR372</f>
        <v/>
      </c>
      <c r="GD371" s="59">
        <f>$CS371-$CS372</f>
        <v/>
      </c>
      <c r="GE371" s="59">
        <f>$CT371-$CT372</f>
        <v/>
      </c>
    </row>
    <row r="372">
      <c r="CU372" s="58">
        <f>IFERROR($B372/$B373-1,"")</f>
        <v/>
      </c>
      <c r="CV372" s="59">
        <f>($F372-$F373)*100</f>
        <v/>
      </c>
      <c r="CW372" s="59">
        <f>($E372-$E373)*100</f>
        <v/>
      </c>
      <c r="CX372" s="58">
        <f>IFERROR($K372/$K373-1,"")</f>
        <v/>
      </c>
      <c r="CY372" s="59">
        <f>($AH372-$AH373)*100</f>
        <v/>
      </c>
      <c r="CZ372" s="59">
        <f>($AI372-$AI373)*100</f>
        <v/>
      </c>
      <c r="DA372" s="59">
        <f>($AJ372-$AJ373)*100</f>
        <v/>
      </c>
      <c r="DB372" s="59">
        <f>($AK372-$AK373)*100</f>
        <v/>
      </c>
      <c r="DC372" s="59">
        <f>($AL372-$AL373)*100</f>
        <v/>
      </c>
      <c r="DD372" s="59">
        <f>($AM372-$AM373)*100</f>
        <v/>
      </c>
      <c r="DE372" s="59">
        <f>($AN372-$AN373)*100</f>
        <v/>
      </c>
      <c r="DF372" s="59">
        <f>($AO372-$AO373)*100</f>
        <v/>
      </c>
      <c r="DG372" s="59">
        <f>($AP372-$AP373)*100</f>
        <v/>
      </c>
      <c r="DH372" s="59">
        <f>($AQ372-$AQ373)*100</f>
        <v/>
      </c>
      <c r="DI372" s="59">
        <f>($AR372-$AR373)*100</f>
        <v/>
      </c>
      <c r="DJ372" s="59">
        <f>($AS372-$AS373)*100</f>
        <v/>
      </c>
      <c r="DK372" s="59">
        <f>($AT372-$AT373)*100</f>
        <v/>
      </c>
      <c r="DL372" s="59">
        <f>($AU372-$AU373)*100</f>
        <v/>
      </c>
      <c r="DM372" s="59">
        <f>($AV372-$AV373)*100</f>
        <v/>
      </c>
      <c r="DN372" s="59">
        <f>($AW372-$AW373)*100</f>
        <v/>
      </c>
      <c r="DO372" s="59">
        <f>($AX372-$AX373)*100</f>
        <v/>
      </c>
      <c r="DP372" s="59">
        <f>($AY372-$AY373)*100</f>
        <v/>
      </c>
      <c r="DQ372" s="59">
        <f>($AZ372-$AZ373)*100</f>
        <v/>
      </c>
      <c r="DR372" s="59">
        <f>($BA372-$BA373)*100</f>
        <v/>
      </c>
      <c r="DS372" s="58">
        <f>IFERROR($N373/$N372-1,"")</f>
        <v/>
      </c>
      <c r="DT372" s="58">
        <f>IFERROR($O373/$O372-1,"")</f>
        <v/>
      </c>
      <c r="DU372" s="58">
        <f>IFERROR($P373/$P372-1,"")</f>
        <v/>
      </c>
      <c r="DV372" s="58">
        <f>IFERROR($Q373/$Q372-1,"")</f>
        <v/>
      </c>
      <c r="DW372" s="58">
        <f>IFERROR($R373/$R372-1,"")</f>
        <v/>
      </c>
      <c r="DX372" s="58">
        <f>IFERROR($S373/$S372-1,"")</f>
        <v/>
      </c>
      <c r="DY372" s="58">
        <f>IFERROR($T373/$T372-1,"")</f>
        <v/>
      </c>
      <c r="DZ372" s="58">
        <f>IFERROR($U373/$U372-1,"")</f>
        <v/>
      </c>
      <c r="EA372" s="58">
        <f>IFERROR($V373/$V372-1,"")</f>
        <v/>
      </c>
      <c r="EB372" s="58">
        <f>IFERROR($W373/$W372-1,"")</f>
        <v/>
      </c>
      <c r="EC372" s="58">
        <f>IFERROR($X373/$X372-1,"")</f>
        <v/>
      </c>
      <c r="ED372" s="58">
        <f>IFERROR($Y373/$Y372-1,"")</f>
        <v/>
      </c>
      <c r="EE372" s="58">
        <f>IFERROR($Z373/$Z372-1,"")</f>
        <v/>
      </c>
      <c r="EF372" s="58">
        <f>IFERROR($AA373/$AA372-1,"")</f>
        <v/>
      </c>
      <c r="EG372" s="58">
        <f>IFERROR($AB373/$AB372-1,"")</f>
        <v/>
      </c>
      <c r="EH372" s="58">
        <f>IFERROR($AC373/$AC372-1,"")</f>
        <v/>
      </c>
      <c r="EI372" s="58">
        <f>IFERROR($AD373/$AD372-1,"")</f>
        <v/>
      </c>
      <c r="EJ372" s="58">
        <f>IFERROR($AE373/$AE372-1,"")</f>
        <v/>
      </c>
      <c r="EK372" s="58">
        <f>IFERROR($AF373/$AF372-1,"")</f>
        <v/>
      </c>
      <c r="EL372" s="58">
        <f>IFERROR($AG373/$AG372-1,"")</f>
        <v/>
      </c>
      <c r="EM372" s="58">
        <f>IFERROR($BB372/$BB373-1,"")</f>
        <v/>
      </c>
      <c r="EN372" s="58">
        <f>IFERROR($BC372/$BC373-1,"")</f>
        <v/>
      </c>
      <c r="EO372" s="58">
        <f>IFERROR($BD372/$BD373-1,"")</f>
        <v/>
      </c>
      <c r="EP372" s="58">
        <f>IFERROR($BE372/$BE373-1,"")</f>
        <v/>
      </c>
      <c r="EQ372" s="58">
        <f>IFERROR($BF372/$BF373-1,"")</f>
        <v/>
      </c>
      <c r="ER372" s="58">
        <f>IFERROR($BG372/$BG373-1,"")</f>
        <v/>
      </c>
      <c r="ES372" s="58">
        <f>IFERROR($BH372/$BH373-1,"")</f>
        <v/>
      </c>
      <c r="ET372" s="58">
        <f>IFERROR($BI372/$BI373-1,"")</f>
        <v/>
      </c>
      <c r="EU372" s="58">
        <f>IFERROR($BJ372/$BJ373-1,"")</f>
        <v/>
      </c>
      <c r="EV372" s="58">
        <f>IFERROR($BK372/$BK373-1,"")</f>
        <v/>
      </c>
      <c r="EW372" s="58">
        <f>IFERROR($BL372/$BL373-1,"")</f>
        <v/>
      </c>
      <c r="EX372" s="58">
        <f>IFERROR($BM372/$BM373-1,"")</f>
        <v/>
      </c>
      <c r="EY372" s="58">
        <f>IFERROR($BN372/$BN373-1,"")</f>
        <v/>
      </c>
      <c r="EZ372" s="58">
        <f>IFERROR($BO372/$BO373-1,"")</f>
        <v/>
      </c>
      <c r="FA372" s="58">
        <f>IFERROR($BP372/$BP373-1,"")</f>
        <v/>
      </c>
      <c r="FB372" s="58">
        <f>IFERROR($BQ372/$BQ373-1,"")</f>
        <v/>
      </c>
      <c r="FC372" s="58">
        <f>IFERROR($BR372/$BR373-1,"")</f>
        <v/>
      </c>
      <c r="FD372" s="58">
        <f>IFERROR($BS372/$BS373-1,"")</f>
        <v/>
      </c>
      <c r="FE372" s="58">
        <f>IFERROR($BT372/$BT373-1,"")</f>
        <v/>
      </c>
      <c r="FF372" s="58">
        <f>IFERROR($BU372/$BU373-1,"")</f>
        <v/>
      </c>
      <c r="FG372" s="58">
        <f>IFERROR($BV372/$BV373-1,"")</f>
        <v/>
      </c>
      <c r="FH372" s="58">
        <f>IFERROR($BW372/$BW373-1,"")</f>
        <v/>
      </c>
      <c r="FI372" s="58">
        <f>IFERROR($BX372/$BX373-1,"")</f>
        <v/>
      </c>
      <c r="FJ372" s="59">
        <f>$BY372-$BY373</f>
        <v/>
      </c>
      <c r="FK372" s="59">
        <f>$BZ372-$BZ373</f>
        <v/>
      </c>
      <c r="FL372" s="59">
        <f>$CA372-$CA373</f>
        <v/>
      </c>
      <c r="FM372" s="59">
        <f>$CB372-$CB373</f>
        <v/>
      </c>
      <c r="FN372" s="59">
        <f>$CC372-$CC373</f>
        <v/>
      </c>
      <c r="FO372" s="59">
        <f>$CD372-$CD373</f>
        <v/>
      </c>
      <c r="FP372" s="59">
        <f>$CE372-$CE373</f>
        <v/>
      </c>
      <c r="FQ372" s="59">
        <f>$CF372-$CF373</f>
        <v/>
      </c>
      <c r="FR372" s="59">
        <f>$CG372-$CG373</f>
        <v/>
      </c>
      <c r="FS372" s="59">
        <f>$CH372-$CH373</f>
        <v/>
      </c>
      <c r="FT372" s="59">
        <f>$CI372-$CI373</f>
        <v/>
      </c>
      <c r="FU372" s="59">
        <f>$CJ372-$CJ373</f>
        <v/>
      </c>
      <c r="FV372" s="59">
        <f>$CK372-$CK373</f>
        <v/>
      </c>
      <c r="FW372" s="59">
        <f>$CL372-$CL373</f>
        <v/>
      </c>
      <c r="FX372" s="59">
        <f>$CM372-$CM373</f>
        <v/>
      </c>
      <c r="FY372" s="59">
        <f>$CN372-$CN373</f>
        <v/>
      </c>
      <c r="FZ372" s="59">
        <f>$CO372-$CO373</f>
        <v/>
      </c>
      <c r="GA372" s="59">
        <f>$CP372-$CP373</f>
        <v/>
      </c>
      <c r="GB372" s="59">
        <f>$CQ372-$CQ373</f>
        <v/>
      </c>
      <c r="GC372" s="59">
        <f>$CR372-$CR373</f>
        <v/>
      </c>
      <c r="GD372" s="59">
        <f>$CS372-$CS373</f>
        <v/>
      </c>
      <c r="GE372" s="59">
        <f>$CT372-$CT373</f>
        <v/>
      </c>
    </row>
    <row r="373">
      <c r="CU373" s="58">
        <f>IFERROR($B373/$B374-1,"")</f>
        <v/>
      </c>
      <c r="CV373" s="59">
        <f>($F373-$F374)*100</f>
        <v/>
      </c>
      <c r="CW373" s="59">
        <f>($E373-$E374)*100</f>
        <v/>
      </c>
      <c r="CX373" s="58">
        <f>IFERROR($K373/$K374-1,"")</f>
        <v/>
      </c>
      <c r="CY373" s="59">
        <f>($AH373-$AH374)*100</f>
        <v/>
      </c>
      <c r="CZ373" s="59">
        <f>($AI373-$AI374)*100</f>
        <v/>
      </c>
      <c r="DA373" s="59">
        <f>($AJ373-$AJ374)*100</f>
        <v/>
      </c>
      <c r="DB373" s="59">
        <f>($AK373-$AK374)*100</f>
        <v/>
      </c>
      <c r="DC373" s="59">
        <f>($AL373-$AL374)*100</f>
        <v/>
      </c>
      <c r="DD373" s="59">
        <f>($AM373-$AM374)*100</f>
        <v/>
      </c>
      <c r="DE373" s="59">
        <f>($AN373-$AN374)*100</f>
        <v/>
      </c>
      <c r="DF373" s="59">
        <f>($AO373-$AO374)*100</f>
        <v/>
      </c>
      <c r="DG373" s="59">
        <f>($AP373-$AP374)*100</f>
        <v/>
      </c>
      <c r="DH373" s="59">
        <f>($AQ373-$AQ374)*100</f>
        <v/>
      </c>
      <c r="DI373" s="59">
        <f>($AR373-$AR374)*100</f>
        <v/>
      </c>
      <c r="DJ373" s="59">
        <f>($AS373-$AS374)*100</f>
        <v/>
      </c>
      <c r="DK373" s="59">
        <f>($AT373-$AT374)*100</f>
        <v/>
      </c>
      <c r="DL373" s="59">
        <f>($AU373-$AU374)*100</f>
        <v/>
      </c>
      <c r="DM373" s="59">
        <f>($AV373-$AV374)*100</f>
        <v/>
      </c>
      <c r="DN373" s="59">
        <f>($AW373-$AW374)*100</f>
        <v/>
      </c>
      <c r="DO373" s="59">
        <f>($AX373-$AX374)*100</f>
        <v/>
      </c>
      <c r="DP373" s="59">
        <f>($AY373-$AY374)*100</f>
        <v/>
      </c>
      <c r="DQ373" s="59">
        <f>($AZ373-$AZ374)*100</f>
        <v/>
      </c>
      <c r="DR373" s="59">
        <f>($BA373-$BA374)*100</f>
        <v/>
      </c>
      <c r="DS373" s="58">
        <f>IFERROR($N374/$N373-1,"")</f>
        <v/>
      </c>
      <c r="DT373" s="58">
        <f>IFERROR($O374/$O373-1,"")</f>
        <v/>
      </c>
      <c r="DU373" s="58">
        <f>IFERROR($P374/$P373-1,"")</f>
        <v/>
      </c>
      <c r="DV373" s="58">
        <f>IFERROR($Q374/$Q373-1,"")</f>
        <v/>
      </c>
      <c r="DW373" s="58">
        <f>IFERROR($R374/$R373-1,"")</f>
        <v/>
      </c>
      <c r="DX373" s="58">
        <f>IFERROR($S374/$S373-1,"")</f>
        <v/>
      </c>
      <c r="DY373" s="58">
        <f>IFERROR($T374/$T373-1,"")</f>
        <v/>
      </c>
      <c r="DZ373" s="58">
        <f>IFERROR($U374/$U373-1,"")</f>
        <v/>
      </c>
      <c r="EA373" s="58">
        <f>IFERROR($V374/$V373-1,"")</f>
        <v/>
      </c>
      <c r="EB373" s="58">
        <f>IFERROR($W374/$W373-1,"")</f>
        <v/>
      </c>
      <c r="EC373" s="58">
        <f>IFERROR($X374/$X373-1,"")</f>
        <v/>
      </c>
      <c r="ED373" s="58">
        <f>IFERROR($Y374/$Y373-1,"")</f>
        <v/>
      </c>
      <c r="EE373" s="58">
        <f>IFERROR($Z374/$Z373-1,"")</f>
        <v/>
      </c>
      <c r="EF373" s="58">
        <f>IFERROR($AA374/$AA373-1,"")</f>
        <v/>
      </c>
      <c r="EG373" s="58">
        <f>IFERROR($AB374/$AB373-1,"")</f>
        <v/>
      </c>
      <c r="EH373" s="58">
        <f>IFERROR($AC374/$AC373-1,"")</f>
        <v/>
      </c>
      <c r="EI373" s="58">
        <f>IFERROR($AD374/$AD373-1,"")</f>
        <v/>
      </c>
      <c r="EJ373" s="58">
        <f>IFERROR($AE374/$AE373-1,"")</f>
        <v/>
      </c>
      <c r="EK373" s="58">
        <f>IFERROR($AF374/$AF373-1,"")</f>
        <v/>
      </c>
      <c r="EL373" s="58">
        <f>IFERROR($AG374/$AG373-1,"")</f>
        <v/>
      </c>
      <c r="EM373" s="58">
        <f>IFERROR($BB373/$BB374-1,"")</f>
        <v/>
      </c>
      <c r="EN373" s="58">
        <f>IFERROR($BC373/$BC374-1,"")</f>
        <v/>
      </c>
      <c r="EO373" s="58">
        <f>IFERROR($BD373/$BD374-1,"")</f>
        <v/>
      </c>
      <c r="EP373" s="58">
        <f>IFERROR($BE373/$BE374-1,"")</f>
        <v/>
      </c>
      <c r="EQ373" s="58">
        <f>IFERROR($BF373/$BF374-1,"")</f>
        <v/>
      </c>
      <c r="ER373" s="58">
        <f>IFERROR($BG373/$BG374-1,"")</f>
        <v/>
      </c>
      <c r="ES373" s="58">
        <f>IFERROR($BH373/$BH374-1,"")</f>
        <v/>
      </c>
      <c r="ET373" s="58">
        <f>IFERROR($BI373/$BI374-1,"")</f>
        <v/>
      </c>
      <c r="EU373" s="58">
        <f>IFERROR($BJ373/$BJ374-1,"")</f>
        <v/>
      </c>
      <c r="EV373" s="58">
        <f>IFERROR($BK373/$BK374-1,"")</f>
        <v/>
      </c>
      <c r="EW373" s="58">
        <f>IFERROR($BL373/$BL374-1,"")</f>
        <v/>
      </c>
      <c r="EX373" s="58">
        <f>IFERROR($BM373/$BM374-1,"")</f>
        <v/>
      </c>
      <c r="EY373" s="58">
        <f>IFERROR($BN373/$BN374-1,"")</f>
        <v/>
      </c>
      <c r="EZ373" s="58">
        <f>IFERROR($BO373/$BO374-1,"")</f>
        <v/>
      </c>
      <c r="FA373" s="58">
        <f>IFERROR($BP373/$BP374-1,"")</f>
        <v/>
      </c>
      <c r="FB373" s="58">
        <f>IFERROR($BQ373/$BQ374-1,"")</f>
        <v/>
      </c>
      <c r="FC373" s="58">
        <f>IFERROR($BR373/$BR374-1,"")</f>
        <v/>
      </c>
      <c r="FD373" s="58">
        <f>IFERROR($BS373/$BS374-1,"")</f>
        <v/>
      </c>
      <c r="FE373" s="58">
        <f>IFERROR($BT373/$BT374-1,"")</f>
        <v/>
      </c>
      <c r="FF373" s="58">
        <f>IFERROR($BU373/$BU374-1,"")</f>
        <v/>
      </c>
      <c r="FG373" s="58">
        <f>IFERROR($BV373/$BV374-1,"")</f>
        <v/>
      </c>
      <c r="FH373" s="58">
        <f>IFERROR($BW373/$BW374-1,"")</f>
        <v/>
      </c>
      <c r="FI373" s="58">
        <f>IFERROR($BX373/$BX374-1,"")</f>
        <v/>
      </c>
      <c r="FJ373" s="59">
        <f>$BY373-$BY374</f>
        <v/>
      </c>
      <c r="FK373" s="59">
        <f>$BZ373-$BZ374</f>
        <v/>
      </c>
      <c r="FL373" s="59">
        <f>$CA373-$CA374</f>
        <v/>
      </c>
      <c r="FM373" s="59">
        <f>$CB373-$CB374</f>
        <v/>
      </c>
      <c r="FN373" s="59">
        <f>$CC373-$CC374</f>
        <v/>
      </c>
      <c r="FO373" s="59">
        <f>$CD373-$CD374</f>
        <v/>
      </c>
      <c r="FP373" s="59">
        <f>$CE373-$CE374</f>
        <v/>
      </c>
      <c r="FQ373" s="59">
        <f>$CF373-$CF374</f>
        <v/>
      </c>
      <c r="FR373" s="59">
        <f>$CG373-$CG374</f>
        <v/>
      </c>
      <c r="FS373" s="59">
        <f>$CH373-$CH374</f>
        <v/>
      </c>
      <c r="FT373" s="59">
        <f>$CI373-$CI374</f>
        <v/>
      </c>
      <c r="FU373" s="59">
        <f>$CJ373-$CJ374</f>
        <v/>
      </c>
      <c r="FV373" s="59">
        <f>$CK373-$CK374</f>
        <v/>
      </c>
      <c r="FW373" s="59">
        <f>$CL373-$CL374</f>
        <v/>
      </c>
      <c r="FX373" s="59">
        <f>$CM373-$CM374</f>
        <v/>
      </c>
      <c r="FY373" s="59">
        <f>$CN373-$CN374</f>
        <v/>
      </c>
      <c r="FZ373" s="59">
        <f>$CO373-$CO374</f>
        <v/>
      </c>
      <c r="GA373" s="59">
        <f>$CP373-$CP374</f>
        <v/>
      </c>
      <c r="GB373" s="59">
        <f>$CQ373-$CQ374</f>
        <v/>
      </c>
      <c r="GC373" s="59">
        <f>$CR373-$CR374</f>
        <v/>
      </c>
      <c r="GD373" s="59">
        <f>$CS373-$CS374</f>
        <v/>
      </c>
      <c r="GE373" s="59">
        <f>$CT373-$CT374</f>
        <v/>
      </c>
    </row>
    <row r="374">
      <c r="CU374" s="58">
        <f>IFERROR($B374/$B375-1,"")</f>
        <v/>
      </c>
      <c r="CV374" s="59">
        <f>($F374-$F375)*100</f>
        <v/>
      </c>
      <c r="CW374" s="59">
        <f>($E374-$E375)*100</f>
        <v/>
      </c>
      <c r="CX374" s="58">
        <f>IFERROR($K374/$K375-1,"")</f>
        <v/>
      </c>
      <c r="CY374" s="59">
        <f>($AH374-$AH375)*100</f>
        <v/>
      </c>
      <c r="CZ374" s="59">
        <f>($AI374-$AI375)*100</f>
        <v/>
      </c>
      <c r="DA374" s="59">
        <f>($AJ374-$AJ375)*100</f>
        <v/>
      </c>
      <c r="DB374" s="59">
        <f>($AK374-$AK375)*100</f>
        <v/>
      </c>
      <c r="DC374" s="59">
        <f>($AL374-$AL375)*100</f>
        <v/>
      </c>
      <c r="DD374" s="59">
        <f>($AM374-$AM375)*100</f>
        <v/>
      </c>
      <c r="DE374" s="59">
        <f>($AN374-$AN375)*100</f>
        <v/>
      </c>
      <c r="DF374" s="59">
        <f>($AO374-$AO375)*100</f>
        <v/>
      </c>
      <c r="DG374" s="59">
        <f>($AP374-$AP375)*100</f>
        <v/>
      </c>
      <c r="DH374" s="59">
        <f>($AQ374-$AQ375)*100</f>
        <v/>
      </c>
      <c r="DI374" s="59">
        <f>($AR374-$AR375)*100</f>
        <v/>
      </c>
      <c r="DJ374" s="59">
        <f>($AS374-$AS375)*100</f>
        <v/>
      </c>
      <c r="DK374" s="59">
        <f>($AT374-$AT375)*100</f>
        <v/>
      </c>
      <c r="DL374" s="59">
        <f>($AU374-$AU375)*100</f>
        <v/>
      </c>
      <c r="DM374" s="59">
        <f>($AV374-$AV375)*100</f>
        <v/>
      </c>
      <c r="DN374" s="59">
        <f>($AW374-$AW375)*100</f>
        <v/>
      </c>
      <c r="DO374" s="59">
        <f>($AX374-$AX375)*100</f>
        <v/>
      </c>
      <c r="DP374" s="59">
        <f>($AY374-$AY375)*100</f>
        <v/>
      </c>
      <c r="DQ374" s="59">
        <f>($AZ374-$AZ375)*100</f>
        <v/>
      </c>
      <c r="DR374" s="59">
        <f>($BA374-$BA375)*100</f>
        <v/>
      </c>
      <c r="DS374" s="58">
        <f>IFERROR($N375/$N374-1,"")</f>
        <v/>
      </c>
      <c r="DT374" s="58">
        <f>IFERROR($O375/$O374-1,"")</f>
        <v/>
      </c>
      <c r="DU374" s="58">
        <f>IFERROR($P375/$P374-1,"")</f>
        <v/>
      </c>
      <c r="DV374" s="58">
        <f>IFERROR($Q375/$Q374-1,"")</f>
        <v/>
      </c>
      <c r="DW374" s="58">
        <f>IFERROR($R375/$R374-1,"")</f>
        <v/>
      </c>
      <c r="DX374" s="58">
        <f>IFERROR($S375/$S374-1,"")</f>
        <v/>
      </c>
      <c r="DY374" s="58">
        <f>IFERROR($T375/$T374-1,"")</f>
        <v/>
      </c>
      <c r="DZ374" s="58">
        <f>IFERROR($U375/$U374-1,"")</f>
        <v/>
      </c>
      <c r="EA374" s="58">
        <f>IFERROR($V375/$V374-1,"")</f>
        <v/>
      </c>
      <c r="EB374" s="58">
        <f>IFERROR($W375/$W374-1,"")</f>
        <v/>
      </c>
      <c r="EC374" s="58">
        <f>IFERROR($X375/$X374-1,"")</f>
        <v/>
      </c>
      <c r="ED374" s="58">
        <f>IFERROR($Y375/$Y374-1,"")</f>
        <v/>
      </c>
      <c r="EE374" s="58">
        <f>IFERROR($Z375/$Z374-1,"")</f>
        <v/>
      </c>
      <c r="EF374" s="58">
        <f>IFERROR($AA375/$AA374-1,"")</f>
        <v/>
      </c>
      <c r="EG374" s="58">
        <f>IFERROR($AB375/$AB374-1,"")</f>
        <v/>
      </c>
      <c r="EH374" s="58">
        <f>IFERROR($AC375/$AC374-1,"")</f>
        <v/>
      </c>
      <c r="EI374" s="58">
        <f>IFERROR($AD375/$AD374-1,"")</f>
        <v/>
      </c>
      <c r="EJ374" s="58">
        <f>IFERROR($AE375/$AE374-1,"")</f>
        <v/>
      </c>
      <c r="EK374" s="58">
        <f>IFERROR($AF375/$AF374-1,"")</f>
        <v/>
      </c>
      <c r="EL374" s="58">
        <f>IFERROR($AG375/$AG374-1,"")</f>
        <v/>
      </c>
      <c r="EM374" s="58">
        <f>IFERROR($BB374/$BB375-1,"")</f>
        <v/>
      </c>
      <c r="EN374" s="58">
        <f>IFERROR($BC374/$BC375-1,"")</f>
        <v/>
      </c>
      <c r="EO374" s="58">
        <f>IFERROR($BD374/$BD375-1,"")</f>
        <v/>
      </c>
      <c r="EP374" s="58">
        <f>IFERROR($BE374/$BE375-1,"")</f>
        <v/>
      </c>
      <c r="EQ374" s="58">
        <f>IFERROR($BF374/$BF375-1,"")</f>
        <v/>
      </c>
      <c r="ER374" s="58">
        <f>IFERROR($BG374/$BG375-1,"")</f>
        <v/>
      </c>
      <c r="ES374" s="58">
        <f>IFERROR($BH374/$BH375-1,"")</f>
        <v/>
      </c>
      <c r="ET374" s="58">
        <f>IFERROR($BI374/$BI375-1,"")</f>
        <v/>
      </c>
      <c r="EU374" s="58">
        <f>IFERROR($BJ374/$BJ375-1,"")</f>
        <v/>
      </c>
      <c r="EV374" s="58">
        <f>IFERROR($BK374/$BK375-1,"")</f>
        <v/>
      </c>
      <c r="EW374" s="58">
        <f>IFERROR($BL374/$BL375-1,"")</f>
        <v/>
      </c>
      <c r="EX374" s="58">
        <f>IFERROR($BM374/$BM375-1,"")</f>
        <v/>
      </c>
      <c r="EY374" s="58">
        <f>IFERROR($BN374/$BN375-1,"")</f>
        <v/>
      </c>
      <c r="EZ374" s="58">
        <f>IFERROR($BO374/$BO375-1,"")</f>
        <v/>
      </c>
      <c r="FA374" s="58">
        <f>IFERROR($BP374/$BP375-1,"")</f>
        <v/>
      </c>
      <c r="FB374" s="58">
        <f>IFERROR($BQ374/$BQ375-1,"")</f>
        <v/>
      </c>
      <c r="FC374" s="58">
        <f>IFERROR($BR374/$BR375-1,"")</f>
        <v/>
      </c>
      <c r="FD374" s="58">
        <f>IFERROR($BS374/$BS375-1,"")</f>
        <v/>
      </c>
      <c r="FE374" s="58">
        <f>IFERROR($BT374/$BT375-1,"")</f>
        <v/>
      </c>
      <c r="FF374" s="58">
        <f>IFERROR($BU374/$BU375-1,"")</f>
        <v/>
      </c>
      <c r="FG374" s="58">
        <f>IFERROR($BV374/$BV375-1,"")</f>
        <v/>
      </c>
      <c r="FH374" s="58">
        <f>IFERROR($BW374/$BW375-1,"")</f>
        <v/>
      </c>
      <c r="FI374" s="58">
        <f>IFERROR($BX374/$BX375-1,"")</f>
        <v/>
      </c>
      <c r="FJ374" s="59">
        <f>$BY374-$BY375</f>
        <v/>
      </c>
      <c r="FK374" s="59">
        <f>$BZ374-$BZ375</f>
        <v/>
      </c>
      <c r="FL374" s="59">
        <f>$CA374-$CA375</f>
        <v/>
      </c>
      <c r="FM374" s="59">
        <f>$CB374-$CB375</f>
        <v/>
      </c>
      <c r="FN374" s="59">
        <f>$CC374-$CC375</f>
        <v/>
      </c>
      <c r="FO374" s="59">
        <f>$CD374-$CD375</f>
        <v/>
      </c>
      <c r="FP374" s="59">
        <f>$CE374-$CE375</f>
        <v/>
      </c>
      <c r="FQ374" s="59">
        <f>$CF374-$CF375</f>
        <v/>
      </c>
      <c r="FR374" s="59">
        <f>$CG374-$CG375</f>
        <v/>
      </c>
      <c r="FS374" s="59">
        <f>$CH374-$CH375</f>
        <v/>
      </c>
      <c r="FT374" s="59">
        <f>$CI374-$CI375</f>
        <v/>
      </c>
      <c r="FU374" s="59">
        <f>$CJ374-$CJ375</f>
        <v/>
      </c>
      <c r="FV374" s="59">
        <f>$CK374-$CK375</f>
        <v/>
      </c>
      <c r="FW374" s="59">
        <f>$CL374-$CL375</f>
        <v/>
      </c>
      <c r="FX374" s="59">
        <f>$CM374-$CM375</f>
        <v/>
      </c>
      <c r="FY374" s="59">
        <f>$CN374-$CN375</f>
        <v/>
      </c>
      <c r="FZ374" s="59">
        <f>$CO374-$CO375</f>
        <v/>
      </c>
      <c r="GA374" s="59">
        <f>$CP374-$CP375</f>
        <v/>
      </c>
      <c r="GB374" s="59">
        <f>$CQ374-$CQ375</f>
        <v/>
      </c>
      <c r="GC374" s="59">
        <f>$CR374-$CR375</f>
        <v/>
      </c>
      <c r="GD374" s="59">
        <f>$CS374-$CS375</f>
        <v/>
      </c>
      <c r="GE374" s="59">
        <f>$CT374-$CT375</f>
        <v/>
      </c>
    </row>
    <row r="375">
      <c r="CU375" s="58">
        <f>IFERROR($B375/$B376-1,"")</f>
        <v/>
      </c>
      <c r="CV375" s="59">
        <f>($F375-$F376)*100</f>
        <v/>
      </c>
      <c r="CW375" s="59">
        <f>($E375-$E376)*100</f>
        <v/>
      </c>
      <c r="CX375" s="58">
        <f>IFERROR($K375/$K376-1,"")</f>
        <v/>
      </c>
      <c r="CY375" s="59">
        <f>($AH375-$AH376)*100</f>
        <v/>
      </c>
      <c r="CZ375" s="59">
        <f>($AI375-$AI376)*100</f>
        <v/>
      </c>
      <c r="DA375" s="59">
        <f>($AJ375-$AJ376)*100</f>
        <v/>
      </c>
      <c r="DB375" s="59">
        <f>($AK375-$AK376)*100</f>
        <v/>
      </c>
      <c r="DC375" s="59">
        <f>($AL375-$AL376)*100</f>
        <v/>
      </c>
      <c r="DD375" s="59">
        <f>($AM375-$AM376)*100</f>
        <v/>
      </c>
      <c r="DE375" s="59">
        <f>($AN375-$AN376)*100</f>
        <v/>
      </c>
      <c r="DF375" s="59">
        <f>($AO375-$AO376)*100</f>
        <v/>
      </c>
      <c r="DG375" s="59">
        <f>($AP375-$AP376)*100</f>
        <v/>
      </c>
      <c r="DH375" s="59">
        <f>($AQ375-$AQ376)*100</f>
        <v/>
      </c>
      <c r="DI375" s="59">
        <f>($AR375-$AR376)*100</f>
        <v/>
      </c>
      <c r="DJ375" s="59">
        <f>($AS375-$AS376)*100</f>
        <v/>
      </c>
      <c r="DK375" s="59">
        <f>($AT375-$AT376)*100</f>
        <v/>
      </c>
      <c r="DL375" s="59">
        <f>($AU375-$AU376)*100</f>
        <v/>
      </c>
      <c r="DM375" s="59">
        <f>($AV375-$AV376)*100</f>
        <v/>
      </c>
      <c r="DN375" s="59">
        <f>($AW375-$AW376)*100</f>
        <v/>
      </c>
      <c r="DO375" s="59">
        <f>($AX375-$AX376)*100</f>
        <v/>
      </c>
      <c r="DP375" s="59">
        <f>($AY375-$AY376)*100</f>
        <v/>
      </c>
      <c r="DQ375" s="59">
        <f>($AZ375-$AZ376)*100</f>
        <v/>
      </c>
      <c r="DR375" s="59">
        <f>($BA375-$BA376)*100</f>
        <v/>
      </c>
      <c r="DS375" s="58">
        <f>IFERROR($N376/$N375-1,"")</f>
        <v/>
      </c>
      <c r="DT375" s="58">
        <f>IFERROR($O376/$O375-1,"")</f>
        <v/>
      </c>
      <c r="DU375" s="58">
        <f>IFERROR($P376/$P375-1,"")</f>
        <v/>
      </c>
      <c r="DV375" s="58">
        <f>IFERROR($Q376/$Q375-1,"")</f>
        <v/>
      </c>
      <c r="DW375" s="58">
        <f>IFERROR($R376/$R375-1,"")</f>
        <v/>
      </c>
      <c r="DX375" s="58">
        <f>IFERROR($S376/$S375-1,"")</f>
        <v/>
      </c>
      <c r="DY375" s="58">
        <f>IFERROR($T376/$T375-1,"")</f>
        <v/>
      </c>
      <c r="DZ375" s="58">
        <f>IFERROR($U376/$U375-1,"")</f>
        <v/>
      </c>
      <c r="EA375" s="58">
        <f>IFERROR($V376/$V375-1,"")</f>
        <v/>
      </c>
      <c r="EB375" s="58">
        <f>IFERROR($W376/$W375-1,"")</f>
        <v/>
      </c>
      <c r="EC375" s="58">
        <f>IFERROR($X376/$X375-1,"")</f>
        <v/>
      </c>
      <c r="ED375" s="58">
        <f>IFERROR($Y376/$Y375-1,"")</f>
        <v/>
      </c>
      <c r="EE375" s="58">
        <f>IFERROR($Z376/$Z375-1,"")</f>
        <v/>
      </c>
      <c r="EF375" s="58">
        <f>IFERROR($AA376/$AA375-1,"")</f>
        <v/>
      </c>
      <c r="EG375" s="58">
        <f>IFERROR($AB376/$AB375-1,"")</f>
        <v/>
      </c>
      <c r="EH375" s="58">
        <f>IFERROR($AC376/$AC375-1,"")</f>
        <v/>
      </c>
      <c r="EI375" s="58">
        <f>IFERROR($AD376/$AD375-1,"")</f>
        <v/>
      </c>
      <c r="EJ375" s="58">
        <f>IFERROR($AE376/$AE375-1,"")</f>
        <v/>
      </c>
      <c r="EK375" s="58">
        <f>IFERROR($AF376/$AF375-1,"")</f>
        <v/>
      </c>
      <c r="EL375" s="58">
        <f>IFERROR($AG376/$AG375-1,"")</f>
        <v/>
      </c>
      <c r="EM375" s="58">
        <f>IFERROR($BB375/$BB376-1,"")</f>
        <v/>
      </c>
      <c r="EN375" s="58">
        <f>IFERROR($BC375/$BC376-1,"")</f>
        <v/>
      </c>
      <c r="EO375" s="58">
        <f>IFERROR($BD375/$BD376-1,"")</f>
        <v/>
      </c>
      <c r="EP375" s="58">
        <f>IFERROR($BE375/$BE376-1,"")</f>
        <v/>
      </c>
      <c r="EQ375" s="58">
        <f>IFERROR($BF375/$BF376-1,"")</f>
        <v/>
      </c>
      <c r="ER375" s="58">
        <f>IFERROR($BG375/$BG376-1,"")</f>
        <v/>
      </c>
      <c r="ES375" s="58">
        <f>IFERROR($BH375/$BH376-1,"")</f>
        <v/>
      </c>
      <c r="ET375" s="58">
        <f>IFERROR($BI375/$BI376-1,"")</f>
        <v/>
      </c>
      <c r="EU375" s="58">
        <f>IFERROR($BJ375/$BJ376-1,"")</f>
        <v/>
      </c>
      <c r="EV375" s="58">
        <f>IFERROR($BK375/$BK376-1,"")</f>
        <v/>
      </c>
      <c r="EW375" s="58">
        <f>IFERROR($BL375/$BL376-1,"")</f>
        <v/>
      </c>
      <c r="EX375" s="58">
        <f>IFERROR($BM375/$BM376-1,"")</f>
        <v/>
      </c>
      <c r="EY375" s="58">
        <f>IFERROR($BN375/$BN376-1,"")</f>
        <v/>
      </c>
      <c r="EZ375" s="58">
        <f>IFERROR($BO375/$BO376-1,"")</f>
        <v/>
      </c>
      <c r="FA375" s="58">
        <f>IFERROR($BP375/$BP376-1,"")</f>
        <v/>
      </c>
      <c r="FB375" s="58">
        <f>IFERROR($BQ375/$BQ376-1,"")</f>
        <v/>
      </c>
      <c r="FC375" s="58">
        <f>IFERROR($BR375/$BR376-1,"")</f>
        <v/>
      </c>
      <c r="FD375" s="58">
        <f>IFERROR($BS375/$BS376-1,"")</f>
        <v/>
      </c>
      <c r="FE375" s="58">
        <f>IFERROR($BT375/$BT376-1,"")</f>
        <v/>
      </c>
      <c r="FF375" s="58">
        <f>IFERROR($BU375/$BU376-1,"")</f>
        <v/>
      </c>
      <c r="FG375" s="58">
        <f>IFERROR($BV375/$BV376-1,"")</f>
        <v/>
      </c>
      <c r="FH375" s="58">
        <f>IFERROR($BW375/$BW376-1,"")</f>
        <v/>
      </c>
      <c r="FI375" s="58">
        <f>IFERROR($BX375/$BX376-1,"")</f>
        <v/>
      </c>
      <c r="FJ375" s="59">
        <f>$BY375-$BY376</f>
        <v/>
      </c>
      <c r="FK375" s="59">
        <f>$BZ375-$BZ376</f>
        <v/>
      </c>
      <c r="FL375" s="59">
        <f>$CA375-$CA376</f>
        <v/>
      </c>
      <c r="FM375" s="59">
        <f>$CB375-$CB376</f>
        <v/>
      </c>
      <c r="FN375" s="59">
        <f>$CC375-$CC376</f>
        <v/>
      </c>
      <c r="FO375" s="59">
        <f>$CD375-$CD376</f>
        <v/>
      </c>
      <c r="FP375" s="59">
        <f>$CE375-$CE376</f>
        <v/>
      </c>
      <c r="FQ375" s="59">
        <f>$CF375-$CF376</f>
        <v/>
      </c>
      <c r="FR375" s="59">
        <f>$CG375-$CG376</f>
        <v/>
      </c>
      <c r="FS375" s="59">
        <f>$CH375-$CH376</f>
        <v/>
      </c>
      <c r="FT375" s="59">
        <f>$CI375-$CI376</f>
        <v/>
      </c>
      <c r="FU375" s="59">
        <f>$CJ375-$CJ376</f>
        <v/>
      </c>
      <c r="FV375" s="59">
        <f>$CK375-$CK376</f>
        <v/>
      </c>
      <c r="FW375" s="59">
        <f>$CL375-$CL376</f>
        <v/>
      </c>
      <c r="FX375" s="59">
        <f>$CM375-$CM376</f>
        <v/>
      </c>
      <c r="FY375" s="59">
        <f>$CN375-$CN376</f>
        <v/>
      </c>
      <c r="FZ375" s="59">
        <f>$CO375-$CO376</f>
        <v/>
      </c>
      <c r="GA375" s="59">
        <f>$CP375-$CP376</f>
        <v/>
      </c>
      <c r="GB375" s="59">
        <f>$CQ375-$CQ376</f>
        <v/>
      </c>
      <c r="GC375" s="59">
        <f>$CR375-$CR376</f>
        <v/>
      </c>
      <c r="GD375" s="59">
        <f>$CS375-$CS376</f>
        <v/>
      </c>
      <c r="GE375" s="59">
        <f>$CT375-$CT376</f>
        <v/>
      </c>
    </row>
    <row r="376">
      <c r="CU376" s="58">
        <f>IFERROR($B376/$B377-1,"")</f>
        <v/>
      </c>
      <c r="CV376" s="59">
        <f>($F376-$F377)*100</f>
        <v/>
      </c>
      <c r="CW376" s="59">
        <f>($E376-$E377)*100</f>
        <v/>
      </c>
      <c r="CX376" s="58">
        <f>IFERROR($K376/$K377-1,"")</f>
        <v/>
      </c>
      <c r="CY376" s="59">
        <f>($AH376-$AH377)*100</f>
        <v/>
      </c>
      <c r="CZ376" s="59">
        <f>($AI376-$AI377)*100</f>
        <v/>
      </c>
      <c r="DA376" s="59">
        <f>($AJ376-$AJ377)*100</f>
        <v/>
      </c>
      <c r="DB376" s="59">
        <f>($AK376-$AK377)*100</f>
        <v/>
      </c>
      <c r="DC376" s="59">
        <f>($AL376-$AL377)*100</f>
        <v/>
      </c>
      <c r="DD376" s="59">
        <f>($AM376-$AM377)*100</f>
        <v/>
      </c>
      <c r="DE376" s="59">
        <f>($AN376-$AN377)*100</f>
        <v/>
      </c>
      <c r="DF376" s="59">
        <f>($AO376-$AO377)*100</f>
        <v/>
      </c>
      <c r="DG376" s="59">
        <f>($AP376-$AP377)*100</f>
        <v/>
      </c>
      <c r="DH376" s="59">
        <f>($AQ376-$AQ377)*100</f>
        <v/>
      </c>
      <c r="DI376" s="59">
        <f>($AR376-$AR377)*100</f>
        <v/>
      </c>
      <c r="DJ376" s="59">
        <f>($AS376-$AS377)*100</f>
        <v/>
      </c>
      <c r="DK376" s="59">
        <f>($AT376-$AT377)*100</f>
        <v/>
      </c>
      <c r="DL376" s="59">
        <f>($AU376-$AU377)*100</f>
        <v/>
      </c>
      <c r="DM376" s="59">
        <f>($AV376-$AV377)*100</f>
        <v/>
      </c>
      <c r="DN376" s="59">
        <f>($AW376-$AW377)*100</f>
        <v/>
      </c>
      <c r="DO376" s="59">
        <f>($AX376-$AX377)*100</f>
        <v/>
      </c>
      <c r="DP376" s="59">
        <f>($AY376-$AY377)*100</f>
        <v/>
      </c>
      <c r="DQ376" s="59">
        <f>($AZ376-$AZ377)*100</f>
        <v/>
      </c>
      <c r="DR376" s="59">
        <f>($BA376-$BA377)*100</f>
        <v/>
      </c>
      <c r="DS376" s="58">
        <f>IFERROR($N377/$N376-1,"")</f>
        <v/>
      </c>
      <c r="DT376" s="58">
        <f>IFERROR($O377/$O376-1,"")</f>
        <v/>
      </c>
      <c r="DU376" s="58">
        <f>IFERROR($P377/$P376-1,"")</f>
        <v/>
      </c>
      <c r="DV376" s="58">
        <f>IFERROR($Q377/$Q376-1,"")</f>
        <v/>
      </c>
      <c r="DW376" s="58">
        <f>IFERROR($R377/$R376-1,"")</f>
        <v/>
      </c>
      <c r="DX376" s="58">
        <f>IFERROR($S377/$S376-1,"")</f>
        <v/>
      </c>
      <c r="DY376" s="58">
        <f>IFERROR($T377/$T376-1,"")</f>
        <v/>
      </c>
      <c r="DZ376" s="58">
        <f>IFERROR($U377/$U376-1,"")</f>
        <v/>
      </c>
      <c r="EA376" s="58">
        <f>IFERROR($V377/$V376-1,"")</f>
        <v/>
      </c>
      <c r="EB376" s="58">
        <f>IFERROR($W377/$W376-1,"")</f>
        <v/>
      </c>
      <c r="EC376" s="58">
        <f>IFERROR($X377/$X376-1,"")</f>
        <v/>
      </c>
      <c r="ED376" s="58">
        <f>IFERROR($Y377/$Y376-1,"")</f>
        <v/>
      </c>
      <c r="EE376" s="58">
        <f>IFERROR($Z377/$Z376-1,"")</f>
        <v/>
      </c>
      <c r="EF376" s="58">
        <f>IFERROR($AA377/$AA376-1,"")</f>
        <v/>
      </c>
      <c r="EG376" s="58">
        <f>IFERROR($AB377/$AB376-1,"")</f>
        <v/>
      </c>
      <c r="EH376" s="58">
        <f>IFERROR($AC377/$AC376-1,"")</f>
        <v/>
      </c>
      <c r="EI376" s="58">
        <f>IFERROR($AD377/$AD376-1,"")</f>
        <v/>
      </c>
      <c r="EJ376" s="58">
        <f>IFERROR($AE377/$AE376-1,"")</f>
        <v/>
      </c>
      <c r="EK376" s="58">
        <f>IFERROR($AF377/$AF376-1,"")</f>
        <v/>
      </c>
      <c r="EL376" s="58">
        <f>IFERROR($AG377/$AG376-1,"")</f>
        <v/>
      </c>
      <c r="EM376" s="58">
        <f>IFERROR($BB376/$BB377-1,"")</f>
        <v/>
      </c>
      <c r="EN376" s="58">
        <f>IFERROR($BC376/$BC377-1,"")</f>
        <v/>
      </c>
      <c r="EO376" s="58">
        <f>IFERROR($BD376/$BD377-1,"")</f>
        <v/>
      </c>
      <c r="EP376" s="58">
        <f>IFERROR($BE376/$BE377-1,"")</f>
        <v/>
      </c>
      <c r="EQ376" s="58">
        <f>IFERROR($BF376/$BF377-1,"")</f>
        <v/>
      </c>
      <c r="ER376" s="58">
        <f>IFERROR($BG376/$BG377-1,"")</f>
        <v/>
      </c>
      <c r="ES376" s="58">
        <f>IFERROR($BH376/$BH377-1,"")</f>
        <v/>
      </c>
      <c r="ET376" s="58">
        <f>IFERROR($BI376/$BI377-1,"")</f>
        <v/>
      </c>
      <c r="EU376" s="58">
        <f>IFERROR($BJ376/$BJ377-1,"")</f>
        <v/>
      </c>
      <c r="EV376" s="58">
        <f>IFERROR($BK376/$BK377-1,"")</f>
        <v/>
      </c>
      <c r="EW376" s="58">
        <f>IFERROR($BL376/$BL377-1,"")</f>
        <v/>
      </c>
      <c r="EX376" s="58">
        <f>IFERROR($BM376/$BM377-1,"")</f>
        <v/>
      </c>
      <c r="EY376" s="58">
        <f>IFERROR($BN376/$BN377-1,"")</f>
        <v/>
      </c>
      <c r="EZ376" s="58">
        <f>IFERROR($BO376/$BO377-1,"")</f>
        <v/>
      </c>
      <c r="FA376" s="58">
        <f>IFERROR($BP376/$BP377-1,"")</f>
        <v/>
      </c>
      <c r="FB376" s="58">
        <f>IFERROR($BQ376/$BQ377-1,"")</f>
        <v/>
      </c>
      <c r="FC376" s="58">
        <f>IFERROR($BR376/$BR377-1,"")</f>
        <v/>
      </c>
      <c r="FD376" s="58">
        <f>IFERROR($BS376/$BS377-1,"")</f>
        <v/>
      </c>
      <c r="FE376" s="58">
        <f>IFERROR($BT376/$BT377-1,"")</f>
        <v/>
      </c>
      <c r="FF376" s="58">
        <f>IFERROR($BU376/$BU377-1,"")</f>
        <v/>
      </c>
      <c r="FG376" s="58">
        <f>IFERROR($BV376/$BV377-1,"")</f>
        <v/>
      </c>
      <c r="FH376" s="58">
        <f>IFERROR($BW376/$BW377-1,"")</f>
        <v/>
      </c>
      <c r="FI376" s="58">
        <f>IFERROR($BX376/$BX377-1,"")</f>
        <v/>
      </c>
      <c r="FJ376" s="59">
        <f>$BY376-$BY377</f>
        <v/>
      </c>
      <c r="FK376" s="59">
        <f>$BZ376-$BZ377</f>
        <v/>
      </c>
      <c r="FL376" s="59">
        <f>$CA376-$CA377</f>
        <v/>
      </c>
      <c r="FM376" s="59">
        <f>$CB376-$CB377</f>
        <v/>
      </c>
      <c r="FN376" s="59">
        <f>$CC376-$CC377</f>
        <v/>
      </c>
      <c r="FO376" s="59">
        <f>$CD376-$CD377</f>
        <v/>
      </c>
      <c r="FP376" s="59">
        <f>$CE376-$CE377</f>
        <v/>
      </c>
      <c r="FQ376" s="59">
        <f>$CF376-$CF377</f>
        <v/>
      </c>
      <c r="FR376" s="59">
        <f>$CG376-$CG377</f>
        <v/>
      </c>
      <c r="FS376" s="59">
        <f>$CH376-$CH377</f>
        <v/>
      </c>
      <c r="FT376" s="59">
        <f>$CI376-$CI377</f>
        <v/>
      </c>
      <c r="FU376" s="59">
        <f>$CJ376-$CJ377</f>
        <v/>
      </c>
      <c r="FV376" s="59">
        <f>$CK376-$CK377</f>
        <v/>
      </c>
      <c r="FW376" s="59">
        <f>$CL376-$CL377</f>
        <v/>
      </c>
      <c r="FX376" s="59">
        <f>$CM376-$CM377</f>
        <v/>
      </c>
      <c r="FY376" s="59">
        <f>$CN376-$CN377</f>
        <v/>
      </c>
      <c r="FZ376" s="59">
        <f>$CO376-$CO377</f>
        <v/>
      </c>
      <c r="GA376" s="59">
        <f>$CP376-$CP377</f>
        <v/>
      </c>
      <c r="GB376" s="59">
        <f>$CQ376-$CQ377</f>
        <v/>
      </c>
      <c r="GC376" s="59">
        <f>$CR376-$CR377</f>
        <v/>
      </c>
      <c r="GD376" s="59">
        <f>$CS376-$CS377</f>
        <v/>
      </c>
      <c r="GE376" s="59">
        <f>$CT376-$CT377</f>
        <v/>
      </c>
    </row>
    <row r="377">
      <c r="CU377" s="58">
        <f>IFERROR($B377/$B378-1,"")</f>
        <v/>
      </c>
      <c r="CV377" s="59">
        <f>($F377-$F378)*100</f>
        <v/>
      </c>
      <c r="CW377" s="59">
        <f>($E377-$E378)*100</f>
        <v/>
      </c>
      <c r="CX377" s="58">
        <f>IFERROR($K377/$K378-1,"")</f>
        <v/>
      </c>
      <c r="CY377" s="59">
        <f>($AH377-$AH378)*100</f>
        <v/>
      </c>
      <c r="CZ377" s="59">
        <f>($AI377-$AI378)*100</f>
        <v/>
      </c>
      <c r="DA377" s="59">
        <f>($AJ377-$AJ378)*100</f>
        <v/>
      </c>
      <c r="DB377" s="59">
        <f>($AK377-$AK378)*100</f>
        <v/>
      </c>
      <c r="DC377" s="59">
        <f>($AL377-$AL378)*100</f>
        <v/>
      </c>
      <c r="DD377" s="59">
        <f>($AM377-$AM378)*100</f>
        <v/>
      </c>
      <c r="DE377" s="59">
        <f>($AN377-$AN378)*100</f>
        <v/>
      </c>
      <c r="DF377" s="59">
        <f>($AO377-$AO378)*100</f>
        <v/>
      </c>
      <c r="DG377" s="59">
        <f>($AP377-$AP378)*100</f>
        <v/>
      </c>
      <c r="DH377" s="59">
        <f>($AQ377-$AQ378)*100</f>
        <v/>
      </c>
      <c r="DI377" s="59">
        <f>($AR377-$AR378)*100</f>
        <v/>
      </c>
      <c r="DJ377" s="59">
        <f>($AS377-$AS378)*100</f>
        <v/>
      </c>
      <c r="DK377" s="59">
        <f>($AT377-$AT378)*100</f>
        <v/>
      </c>
      <c r="DL377" s="59">
        <f>($AU377-$AU378)*100</f>
        <v/>
      </c>
      <c r="DM377" s="59">
        <f>($AV377-$AV378)*100</f>
        <v/>
      </c>
      <c r="DN377" s="59">
        <f>($AW377-$AW378)*100</f>
        <v/>
      </c>
      <c r="DO377" s="59">
        <f>($AX377-$AX378)*100</f>
        <v/>
      </c>
      <c r="DP377" s="59">
        <f>($AY377-$AY378)*100</f>
        <v/>
      </c>
      <c r="DQ377" s="59">
        <f>($AZ377-$AZ378)*100</f>
        <v/>
      </c>
      <c r="DR377" s="59">
        <f>($BA377-$BA378)*100</f>
        <v/>
      </c>
      <c r="DS377" s="58">
        <f>IFERROR($N378/$N377-1,"")</f>
        <v/>
      </c>
      <c r="DT377" s="58">
        <f>IFERROR($O378/$O377-1,"")</f>
        <v/>
      </c>
      <c r="DU377" s="58">
        <f>IFERROR($P378/$P377-1,"")</f>
        <v/>
      </c>
      <c r="DV377" s="58">
        <f>IFERROR($Q378/$Q377-1,"")</f>
        <v/>
      </c>
      <c r="DW377" s="58">
        <f>IFERROR($R378/$R377-1,"")</f>
        <v/>
      </c>
      <c r="DX377" s="58">
        <f>IFERROR($S378/$S377-1,"")</f>
        <v/>
      </c>
      <c r="DY377" s="58">
        <f>IFERROR($T378/$T377-1,"")</f>
        <v/>
      </c>
      <c r="DZ377" s="58">
        <f>IFERROR($U378/$U377-1,"")</f>
        <v/>
      </c>
      <c r="EA377" s="58">
        <f>IFERROR($V378/$V377-1,"")</f>
        <v/>
      </c>
      <c r="EB377" s="58">
        <f>IFERROR($W378/$W377-1,"")</f>
        <v/>
      </c>
      <c r="EC377" s="58">
        <f>IFERROR($X378/$X377-1,"")</f>
        <v/>
      </c>
      <c r="ED377" s="58">
        <f>IFERROR($Y378/$Y377-1,"")</f>
        <v/>
      </c>
      <c r="EE377" s="58">
        <f>IFERROR($Z378/$Z377-1,"")</f>
        <v/>
      </c>
      <c r="EF377" s="58">
        <f>IFERROR($AA378/$AA377-1,"")</f>
        <v/>
      </c>
      <c r="EG377" s="58">
        <f>IFERROR($AB378/$AB377-1,"")</f>
        <v/>
      </c>
      <c r="EH377" s="58">
        <f>IFERROR($AC378/$AC377-1,"")</f>
        <v/>
      </c>
      <c r="EI377" s="58">
        <f>IFERROR($AD378/$AD377-1,"")</f>
        <v/>
      </c>
      <c r="EJ377" s="58">
        <f>IFERROR($AE378/$AE377-1,"")</f>
        <v/>
      </c>
      <c r="EK377" s="58">
        <f>IFERROR($AF378/$AF377-1,"")</f>
        <v/>
      </c>
      <c r="EL377" s="58">
        <f>IFERROR($AG378/$AG377-1,"")</f>
        <v/>
      </c>
      <c r="EM377" s="58">
        <f>IFERROR($BB377/$BB378-1,"")</f>
        <v/>
      </c>
      <c r="EN377" s="58">
        <f>IFERROR($BC377/$BC378-1,"")</f>
        <v/>
      </c>
      <c r="EO377" s="58">
        <f>IFERROR($BD377/$BD378-1,"")</f>
        <v/>
      </c>
      <c r="EP377" s="58">
        <f>IFERROR($BE377/$BE378-1,"")</f>
        <v/>
      </c>
      <c r="EQ377" s="58">
        <f>IFERROR($BF377/$BF378-1,"")</f>
        <v/>
      </c>
      <c r="ER377" s="58">
        <f>IFERROR($BG377/$BG378-1,"")</f>
        <v/>
      </c>
      <c r="ES377" s="58">
        <f>IFERROR($BH377/$BH378-1,"")</f>
        <v/>
      </c>
      <c r="ET377" s="58">
        <f>IFERROR($BI377/$BI378-1,"")</f>
        <v/>
      </c>
      <c r="EU377" s="58">
        <f>IFERROR($BJ377/$BJ378-1,"")</f>
        <v/>
      </c>
      <c r="EV377" s="58">
        <f>IFERROR($BK377/$BK378-1,"")</f>
        <v/>
      </c>
      <c r="EW377" s="58">
        <f>IFERROR($BL377/$BL378-1,"")</f>
        <v/>
      </c>
      <c r="EX377" s="58">
        <f>IFERROR($BM377/$BM378-1,"")</f>
        <v/>
      </c>
      <c r="EY377" s="58">
        <f>IFERROR($BN377/$BN378-1,"")</f>
        <v/>
      </c>
      <c r="EZ377" s="58">
        <f>IFERROR($BO377/$BO378-1,"")</f>
        <v/>
      </c>
      <c r="FA377" s="58">
        <f>IFERROR($BP377/$BP378-1,"")</f>
        <v/>
      </c>
      <c r="FB377" s="58">
        <f>IFERROR($BQ377/$BQ378-1,"")</f>
        <v/>
      </c>
      <c r="FC377" s="58">
        <f>IFERROR($BR377/$BR378-1,"")</f>
        <v/>
      </c>
      <c r="FD377" s="58">
        <f>IFERROR($BS377/$BS378-1,"")</f>
        <v/>
      </c>
      <c r="FE377" s="58">
        <f>IFERROR($BT377/$BT378-1,"")</f>
        <v/>
      </c>
      <c r="FF377" s="58">
        <f>IFERROR($BU377/$BU378-1,"")</f>
        <v/>
      </c>
      <c r="FG377" s="58">
        <f>IFERROR($BV377/$BV378-1,"")</f>
        <v/>
      </c>
      <c r="FH377" s="58">
        <f>IFERROR($BW377/$BW378-1,"")</f>
        <v/>
      </c>
      <c r="FI377" s="58">
        <f>IFERROR($BX377/$BX378-1,"")</f>
        <v/>
      </c>
      <c r="FJ377" s="59">
        <f>$BY377-$BY378</f>
        <v/>
      </c>
      <c r="FK377" s="59">
        <f>$BZ377-$BZ378</f>
        <v/>
      </c>
      <c r="FL377" s="59">
        <f>$CA377-$CA378</f>
        <v/>
      </c>
      <c r="FM377" s="59">
        <f>$CB377-$CB378</f>
        <v/>
      </c>
      <c r="FN377" s="59">
        <f>$CC377-$CC378</f>
        <v/>
      </c>
      <c r="FO377" s="59">
        <f>$CD377-$CD378</f>
        <v/>
      </c>
      <c r="FP377" s="59">
        <f>$CE377-$CE378</f>
        <v/>
      </c>
      <c r="FQ377" s="59">
        <f>$CF377-$CF378</f>
        <v/>
      </c>
      <c r="FR377" s="59">
        <f>$CG377-$CG378</f>
        <v/>
      </c>
      <c r="FS377" s="59">
        <f>$CH377-$CH378</f>
        <v/>
      </c>
      <c r="FT377" s="59">
        <f>$CI377-$CI378</f>
        <v/>
      </c>
      <c r="FU377" s="59">
        <f>$CJ377-$CJ378</f>
        <v/>
      </c>
      <c r="FV377" s="59">
        <f>$CK377-$CK378</f>
        <v/>
      </c>
      <c r="FW377" s="59">
        <f>$CL377-$CL378</f>
        <v/>
      </c>
      <c r="FX377" s="59">
        <f>$CM377-$CM378</f>
        <v/>
      </c>
      <c r="FY377" s="59">
        <f>$CN377-$CN378</f>
        <v/>
      </c>
      <c r="FZ377" s="59">
        <f>$CO377-$CO378</f>
        <v/>
      </c>
      <c r="GA377" s="59">
        <f>$CP377-$CP378</f>
        <v/>
      </c>
      <c r="GB377" s="59">
        <f>$CQ377-$CQ378</f>
        <v/>
      </c>
      <c r="GC377" s="59">
        <f>$CR377-$CR378</f>
        <v/>
      </c>
      <c r="GD377" s="59">
        <f>$CS377-$CS378</f>
        <v/>
      </c>
      <c r="GE377" s="59">
        <f>$CT377-$CT378</f>
        <v/>
      </c>
    </row>
    <row r="378">
      <c r="CU378" s="58">
        <f>IFERROR($B378/$B379-1,"")</f>
        <v/>
      </c>
      <c r="CV378" s="59">
        <f>($F378-$F379)*100</f>
        <v/>
      </c>
      <c r="CW378" s="59">
        <f>($E378-$E379)*100</f>
        <v/>
      </c>
      <c r="CX378" s="58">
        <f>IFERROR($K378/$K379-1,"")</f>
        <v/>
      </c>
      <c r="CY378" s="59">
        <f>($AH378-$AH379)*100</f>
        <v/>
      </c>
      <c r="CZ378" s="59">
        <f>($AI378-$AI379)*100</f>
        <v/>
      </c>
      <c r="DA378" s="59">
        <f>($AJ378-$AJ379)*100</f>
        <v/>
      </c>
      <c r="DB378" s="59">
        <f>($AK378-$AK379)*100</f>
        <v/>
      </c>
      <c r="DC378" s="59">
        <f>($AL378-$AL379)*100</f>
        <v/>
      </c>
      <c r="DD378" s="59">
        <f>($AM378-$AM379)*100</f>
        <v/>
      </c>
      <c r="DE378" s="59">
        <f>($AN378-$AN379)*100</f>
        <v/>
      </c>
      <c r="DF378" s="59">
        <f>($AO378-$AO379)*100</f>
        <v/>
      </c>
      <c r="DG378" s="59">
        <f>($AP378-$AP379)*100</f>
        <v/>
      </c>
      <c r="DH378" s="59">
        <f>($AQ378-$AQ379)*100</f>
        <v/>
      </c>
      <c r="DI378" s="59">
        <f>($AR378-$AR379)*100</f>
        <v/>
      </c>
      <c r="DJ378" s="59">
        <f>($AS378-$AS379)*100</f>
        <v/>
      </c>
      <c r="DK378" s="59">
        <f>($AT378-$AT379)*100</f>
        <v/>
      </c>
      <c r="DL378" s="59">
        <f>($AU378-$AU379)*100</f>
        <v/>
      </c>
      <c r="DM378" s="59">
        <f>($AV378-$AV379)*100</f>
        <v/>
      </c>
      <c r="DN378" s="59">
        <f>($AW378-$AW379)*100</f>
        <v/>
      </c>
      <c r="DO378" s="59">
        <f>($AX378-$AX379)*100</f>
        <v/>
      </c>
      <c r="DP378" s="59">
        <f>($AY378-$AY379)*100</f>
        <v/>
      </c>
      <c r="DQ378" s="59">
        <f>($AZ378-$AZ379)*100</f>
        <v/>
      </c>
      <c r="DR378" s="59">
        <f>($BA378-$BA379)*100</f>
        <v/>
      </c>
      <c r="DS378" s="58">
        <f>IFERROR($N379/$N378-1,"")</f>
        <v/>
      </c>
      <c r="DT378" s="58">
        <f>IFERROR($O379/$O378-1,"")</f>
        <v/>
      </c>
      <c r="DU378" s="58">
        <f>IFERROR($P379/$P378-1,"")</f>
        <v/>
      </c>
      <c r="DV378" s="58">
        <f>IFERROR($Q379/$Q378-1,"")</f>
        <v/>
      </c>
      <c r="DW378" s="58">
        <f>IFERROR($R379/$R378-1,"")</f>
        <v/>
      </c>
      <c r="DX378" s="58">
        <f>IFERROR($S379/$S378-1,"")</f>
        <v/>
      </c>
      <c r="DY378" s="58">
        <f>IFERROR($T379/$T378-1,"")</f>
        <v/>
      </c>
      <c r="DZ378" s="58">
        <f>IFERROR($U379/$U378-1,"")</f>
        <v/>
      </c>
      <c r="EA378" s="58">
        <f>IFERROR($V379/$V378-1,"")</f>
        <v/>
      </c>
      <c r="EB378" s="58">
        <f>IFERROR($W379/$W378-1,"")</f>
        <v/>
      </c>
      <c r="EC378" s="58">
        <f>IFERROR($X379/$X378-1,"")</f>
        <v/>
      </c>
      <c r="ED378" s="58">
        <f>IFERROR($Y379/$Y378-1,"")</f>
        <v/>
      </c>
      <c r="EE378" s="58">
        <f>IFERROR($Z379/$Z378-1,"")</f>
        <v/>
      </c>
      <c r="EF378" s="58">
        <f>IFERROR($AA379/$AA378-1,"")</f>
        <v/>
      </c>
      <c r="EG378" s="58">
        <f>IFERROR($AB379/$AB378-1,"")</f>
        <v/>
      </c>
      <c r="EH378" s="58">
        <f>IFERROR($AC379/$AC378-1,"")</f>
        <v/>
      </c>
      <c r="EI378" s="58">
        <f>IFERROR($AD379/$AD378-1,"")</f>
        <v/>
      </c>
      <c r="EJ378" s="58">
        <f>IFERROR($AE379/$AE378-1,"")</f>
        <v/>
      </c>
      <c r="EK378" s="58">
        <f>IFERROR($AF379/$AF378-1,"")</f>
        <v/>
      </c>
      <c r="EL378" s="58">
        <f>IFERROR($AG379/$AG378-1,"")</f>
        <v/>
      </c>
      <c r="EM378" s="58">
        <f>IFERROR($BB378/$BB379-1,"")</f>
        <v/>
      </c>
      <c r="EN378" s="58">
        <f>IFERROR($BC378/$BC379-1,"")</f>
        <v/>
      </c>
      <c r="EO378" s="58">
        <f>IFERROR($BD378/$BD379-1,"")</f>
        <v/>
      </c>
      <c r="EP378" s="58">
        <f>IFERROR($BE378/$BE379-1,"")</f>
        <v/>
      </c>
      <c r="EQ378" s="58">
        <f>IFERROR($BF378/$BF379-1,"")</f>
        <v/>
      </c>
      <c r="ER378" s="58">
        <f>IFERROR($BG378/$BG379-1,"")</f>
        <v/>
      </c>
      <c r="ES378" s="58">
        <f>IFERROR($BH378/$BH379-1,"")</f>
        <v/>
      </c>
      <c r="ET378" s="58">
        <f>IFERROR($BI378/$BI379-1,"")</f>
        <v/>
      </c>
      <c r="EU378" s="58">
        <f>IFERROR($BJ378/$BJ379-1,"")</f>
        <v/>
      </c>
      <c r="EV378" s="58">
        <f>IFERROR($BK378/$BK379-1,"")</f>
        <v/>
      </c>
      <c r="EW378" s="58">
        <f>IFERROR($BL378/$BL379-1,"")</f>
        <v/>
      </c>
      <c r="EX378" s="58">
        <f>IFERROR($BM378/$BM379-1,"")</f>
        <v/>
      </c>
      <c r="EY378" s="58">
        <f>IFERROR($BN378/$BN379-1,"")</f>
        <v/>
      </c>
      <c r="EZ378" s="58">
        <f>IFERROR($BO378/$BO379-1,"")</f>
        <v/>
      </c>
      <c r="FA378" s="58">
        <f>IFERROR($BP378/$BP379-1,"")</f>
        <v/>
      </c>
      <c r="FB378" s="58">
        <f>IFERROR($BQ378/$BQ379-1,"")</f>
        <v/>
      </c>
      <c r="FC378" s="58">
        <f>IFERROR($BR378/$BR379-1,"")</f>
        <v/>
      </c>
      <c r="FD378" s="58">
        <f>IFERROR($BS378/$BS379-1,"")</f>
        <v/>
      </c>
      <c r="FE378" s="58">
        <f>IFERROR($BT378/$BT379-1,"")</f>
        <v/>
      </c>
      <c r="FF378" s="58">
        <f>IFERROR($BU378/$BU379-1,"")</f>
        <v/>
      </c>
      <c r="FG378" s="58">
        <f>IFERROR($BV378/$BV379-1,"")</f>
        <v/>
      </c>
      <c r="FH378" s="58">
        <f>IFERROR($BW378/$BW379-1,"")</f>
        <v/>
      </c>
      <c r="FI378" s="58">
        <f>IFERROR($BX378/$BX379-1,"")</f>
        <v/>
      </c>
      <c r="FJ378" s="59">
        <f>$BY378-$BY379</f>
        <v/>
      </c>
      <c r="FK378" s="59">
        <f>$BZ378-$BZ379</f>
        <v/>
      </c>
      <c r="FL378" s="59">
        <f>$CA378-$CA379</f>
        <v/>
      </c>
      <c r="FM378" s="59">
        <f>$CB378-$CB379</f>
        <v/>
      </c>
      <c r="FN378" s="59">
        <f>$CC378-$CC379</f>
        <v/>
      </c>
      <c r="FO378" s="59">
        <f>$CD378-$CD379</f>
        <v/>
      </c>
      <c r="FP378" s="59">
        <f>$CE378-$CE379</f>
        <v/>
      </c>
      <c r="FQ378" s="59">
        <f>$CF378-$CF379</f>
        <v/>
      </c>
      <c r="FR378" s="59">
        <f>$CG378-$CG379</f>
        <v/>
      </c>
      <c r="FS378" s="59">
        <f>$CH378-$CH379</f>
        <v/>
      </c>
      <c r="FT378" s="59">
        <f>$CI378-$CI379</f>
        <v/>
      </c>
      <c r="FU378" s="59">
        <f>$CJ378-$CJ379</f>
        <v/>
      </c>
      <c r="FV378" s="59">
        <f>$CK378-$CK379</f>
        <v/>
      </c>
      <c r="FW378" s="59">
        <f>$CL378-$CL379</f>
        <v/>
      </c>
      <c r="FX378" s="59">
        <f>$CM378-$CM379</f>
        <v/>
      </c>
      <c r="FY378" s="59">
        <f>$CN378-$CN379</f>
        <v/>
      </c>
      <c r="FZ378" s="59">
        <f>$CO378-$CO379</f>
        <v/>
      </c>
      <c r="GA378" s="59">
        <f>$CP378-$CP379</f>
        <v/>
      </c>
      <c r="GB378" s="59">
        <f>$CQ378-$CQ379</f>
        <v/>
      </c>
      <c r="GC378" s="59">
        <f>$CR378-$CR379</f>
        <v/>
      </c>
      <c r="GD378" s="59">
        <f>$CS378-$CS379</f>
        <v/>
      </c>
      <c r="GE378" s="59">
        <f>$CT378-$CT379</f>
        <v/>
      </c>
    </row>
    <row r="379">
      <c r="CU379" s="58">
        <f>IFERROR($B379/$B380-1,"")</f>
        <v/>
      </c>
      <c r="CV379" s="59">
        <f>($F379-$F380)*100</f>
        <v/>
      </c>
      <c r="CW379" s="59">
        <f>($E379-$E380)*100</f>
        <v/>
      </c>
      <c r="CX379" s="58">
        <f>IFERROR($K379/$K380-1,"")</f>
        <v/>
      </c>
      <c r="CY379" s="59">
        <f>($AH379-$AH380)*100</f>
        <v/>
      </c>
      <c r="CZ379" s="59">
        <f>($AI379-$AI380)*100</f>
        <v/>
      </c>
      <c r="DA379" s="59">
        <f>($AJ379-$AJ380)*100</f>
        <v/>
      </c>
      <c r="DB379" s="59">
        <f>($AK379-$AK380)*100</f>
        <v/>
      </c>
      <c r="DC379" s="59">
        <f>($AL379-$AL380)*100</f>
        <v/>
      </c>
      <c r="DD379" s="59">
        <f>($AM379-$AM380)*100</f>
        <v/>
      </c>
      <c r="DE379" s="59">
        <f>($AN379-$AN380)*100</f>
        <v/>
      </c>
      <c r="DF379" s="59">
        <f>($AO379-$AO380)*100</f>
        <v/>
      </c>
      <c r="DG379" s="59">
        <f>($AP379-$AP380)*100</f>
        <v/>
      </c>
      <c r="DH379" s="59">
        <f>($AQ379-$AQ380)*100</f>
        <v/>
      </c>
      <c r="DI379" s="59">
        <f>($AR379-$AR380)*100</f>
        <v/>
      </c>
      <c r="DJ379" s="59">
        <f>($AS379-$AS380)*100</f>
        <v/>
      </c>
      <c r="DK379" s="59">
        <f>($AT379-$AT380)*100</f>
        <v/>
      </c>
      <c r="DL379" s="59">
        <f>($AU379-$AU380)*100</f>
        <v/>
      </c>
      <c r="DM379" s="59">
        <f>($AV379-$AV380)*100</f>
        <v/>
      </c>
      <c r="DN379" s="59">
        <f>($AW379-$AW380)*100</f>
        <v/>
      </c>
      <c r="DO379" s="59">
        <f>($AX379-$AX380)*100</f>
        <v/>
      </c>
      <c r="DP379" s="59">
        <f>($AY379-$AY380)*100</f>
        <v/>
      </c>
      <c r="DQ379" s="59">
        <f>($AZ379-$AZ380)*100</f>
        <v/>
      </c>
      <c r="DR379" s="59">
        <f>($BA379-$BA380)*100</f>
        <v/>
      </c>
      <c r="DS379" s="58">
        <f>IFERROR($N380/$N379-1,"")</f>
        <v/>
      </c>
      <c r="DT379" s="58">
        <f>IFERROR($O380/$O379-1,"")</f>
        <v/>
      </c>
      <c r="DU379" s="58">
        <f>IFERROR($P380/$P379-1,"")</f>
        <v/>
      </c>
      <c r="DV379" s="58">
        <f>IFERROR($Q380/$Q379-1,"")</f>
        <v/>
      </c>
      <c r="DW379" s="58">
        <f>IFERROR($R380/$R379-1,"")</f>
        <v/>
      </c>
      <c r="DX379" s="58">
        <f>IFERROR($S380/$S379-1,"")</f>
        <v/>
      </c>
      <c r="DY379" s="58">
        <f>IFERROR($T380/$T379-1,"")</f>
        <v/>
      </c>
      <c r="DZ379" s="58">
        <f>IFERROR($U380/$U379-1,"")</f>
        <v/>
      </c>
      <c r="EA379" s="58">
        <f>IFERROR($V380/$V379-1,"")</f>
        <v/>
      </c>
      <c r="EB379" s="58">
        <f>IFERROR($W380/$W379-1,"")</f>
        <v/>
      </c>
      <c r="EC379" s="58">
        <f>IFERROR($X380/$X379-1,"")</f>
        <v/>
      </c>
      <c r="ED379" s="58">
        <f>IFERROR($Y380/$Y379-1,"")</f>
        <v/>
      </c>
      <c r="EE379" s="58">
        <f>IFERROR($Z380/$Z379-1,"")</f>
        <v/>
      </c>
      <c r="EF379" s="58">
        <f>IFERROR($AA380/$AA379-1,"")</f>
        <v/>
      </c>
      <c r="EG379" s="58">
        <f>IFERROR($AB380/$AB379-1,"")</f>
        <v/>
      </c>
      <c r="EH379" s="58">
        <f>IFERROR($AC380/$AC379-1,"")</f>
        <v/>
      </c>
      <c r="EI379" s="58">
        <f>IFERROR($AD380/$AD379-1,"")</f>
        <v/>
      </c>
      <c r="EJ379" s="58">
        <f>IFERROR($AE380/$AE379-1,"")</f>
        <v/>
      </c>
      <c r="EK379" s="58">
        <f>IFERROR($AF380/$AF379-1,"")</f>
        <v/>
      </c>
      <c r="EL379" s="58">
        <f>IFERROR($AG380/$AG379-1,"")</f>
        <v/>
      </c>
      <c r="EM379" s="58">
        <f>IFERROR($BB379/$BB380-1,"")</f>
        <v/>
      </c>
      <c r="EN379" s="58">
        <f>IFERROR($BC379/$BC380-1,"")</f>
        <v/>
      </c>
      <c r="EO379" s="58">
        <f>IFERROR($BD379/$BD380-1,"")</f>
        <v/>
      </c>
      <c r="EP379" s="58">
        <f>IFERROR($BE379/$BE380-1,"")</f>
        <v/>
      </c>
      <c r="EQ379" s="58">
        <f>IFERROR($BF379/$BF380-1,"")</f>
        <v/>
      </c>
      <c r="ER379" s="58">
        <f>IFERROR($BG379/$BG380-1,"")</f>
        <v/>
      </c>
      <c r="ES379" s="58">
        <f>IFERROR($BH379/$BH380-1,"")</f>
        <v/>
      </c>
      <c r="ET379" s="58">
        <f>IFERROR($BI379/$BI380-1,"")</f>
        <v/>
      </c>
      <c r="EU379" s="58">
        <f>IFERROR($BJ379/$BJ380-1,"")</f>
        <v/>
      </c>
      <c r="EV379" s="58">
        <f>IFERROR($BK379/$BK380-1,"")</f>
        <v/>
      </c>
      <c r="EW379" s="58">
        <f>IFERROR($BL379/$BL380-1,"")</f>
        <v/>
      </c>
      <c r="EX379" s="58">
        <f>IFERROR($BM379/$BM380-1,"")</f>
        <v/>
      </c>
      <c r="EY379" s="58">
        <f>IFERROR($BN379/$BN380-1,"")</f>
        <v/>
      </c>
      <c r="EZ379" s="58">
        <f>IFERROR($BO379/$BO380-1,"")</f>
        <v/>
      </c>
      <c r="FA379" s="58">
        <f>IFERROR($BP379/$BP380-1,"")</f>
        <v/>
      </c>
      <c r="FB379" s="58">
        <f>IFERROR($BQ379/$BQ380-1,"")</f>
        <v/>
      </c>
      <c r="FC379" s="58">
        <f>IFERROR($BR379/$BR380-1,"")</f>
        <v/>
      </c>
      <c r="FD379" s="58">
        <f>IFERROR($BS379/$BS380-1,"")</f>
        <v/>
      </c>
      <c r="FE379" s="58">
        <f>IFERROR($BT379/$BT380-1,"")</f>
        <v/>
      </c>
      <c r="FF379" s="58">
        <f>IFERROR($BU379/$BU380-1,"")</f>
        <v/>
      </c>
      <c r="FG379" s="58">
        <f>IFERROR($BV379/$BV380-1,"")</f>
        <v/>
      </c>
      <c r="FH379" s="58">
        <f>IFERROR($BW379/$BW380-1,"")</f>
        <v/>
      </c>
      <c r="FI379" s="58">
        <f>IFERROR($BX379/$BX380-1,"")</f>
        <v/>
      </c>
      <c r="FJ379" s="59">
        <f>$BY379-$BY380</f>
        <v/>
      </c>
      <c r="FK379" s="59">
        <f>$BZ379-$BZ380</f>
        <v/>
      </c>
      <c r="FL379" s="59">
        <f>$CA379-$CA380</f>
        <v/>
      </c>
      <c r="FM379" s="59">
        <f>$CB379-$CB380</f>
        <v/>
      </c>
      <c r="FN379" s="59">
        <f>$CC379-$CC380</f>
        <v/>
      </c>
      <c r="FO379" s="59">
        <f>$CD379-$CD380</f>
        <v/>
      </c>
      <c r="FP379" s="59">
        <f>$CE379-$CE380</f>
        <v/>
      </c>
      <c r="FQ379" s="59">
        <f>$CF379-$CF380</f>
        <v/>
      </c>
      <c r="FR379" s="59">
        <f>$CG379-$CG380</f>
        <v/>
      </c>
      <c r="FS379" s="59">
        <f>$CH379-$CH380</f>
        <v/>
      </c>
      <c r="FT379" s="59">
        <f>$CI379-$CI380</f>
        <v/>
      </c>
      <c r="FU379" s="59">
        <f>$CJ379-$CJ380</f>
        <v/>
      </c>
      <c r="FV379" s="59">
        <f>$CK379-$CK380</f>
        <v/>
      </c>
      <c r="FW379" s="59">
        <f>$CL379-$CL380</f>
        <v/>
      </c>
      <c r="FX379" s="59">
        <f>$CM379-$CM380</f>
        <v/>
      </c>
      <c r="FY379" s="59">
        <f>$CN379-$CN380</f>
        <v/>
      </c>
      <c r="FZ379" s="59">
        <f>$CO379-$CO380</f>
        <v/>
      </c>
      <c r="GA379" s="59">
        <f>$CP379-$CP380</f>
        <v/>
      </c>
      <c r="GB379" s="59">
        <f>$CQ379-$CQ380</f>
        <v/>
      </c>
      <c r="GC379" s="59">
        <f>$CR379-$CR380</f>
        <v/>
      </c>
      <c r="GD379" s="59">
        <f>$CS379-$CS380</f>
        <v/>
      </c>
      <c r="GE379" s="59">
        <f>$CT379-$CT380</f>
        <v/>
      </c>
    </row>
    <row r="380">
      <c r="CU380" s="58">
        <f>IFERROR($B380/$B381-1,"")</f>
        <v/>
      </c>
      <c r="CV380" s="59">
        <f>($F380-$F381)*100</f>
        <v/>
      </c>
      <c r="CW380" s="59">
        <f>($E380-$E381)*100</f>
        <v/>
      </c>
      <c r="CX380" s="58">
        <f>IFERROR($K380/$K381-1,"")</f>
        <v/>
      </c>
      <c r="CY380" s="59">
        <f>($AH380-$AH381)*100</f>
        <v/>
      </c>
      <c r="CZ380" s="59">
        <f>($AI380-$AI381)*100</f>
        <v/>
      </c>
      <c r="DA380" s="59">
        <f>($AJ380-$AJ381)*100</f>
        <v/>
      </c>
      <c r="DB380" s="59">
        <f>($AK380-$AK381)*100</f>
        <v/>
      </c>
      <c r="DC380" s="59">
        <f>($AL380-$AL381)*100</f>
        <v/>
      </c>
      <c r="DD380" s="59">
        <f>($AM380-$AM381)*100</f>
        <v/>
      </c>
      <c r="DE380" s="59">
        <f>($AN380-$AN381)*100</f>
        <v/>
      </c>
      <c r="DF380" s="59">
        <f>($AO380-$AO381)*100</f>
        <v/>
      </c>
      <c r="DG380" s="59">
        <f>($AP380-$AP381)*100</f>
        <v/>
      </c>
      <c r="DH380" s="59">
        <f>($AQ380-$AQ381)*100</f>
        <v/>
      </c>
      <c r="DI380" s="59">
        <f>($AR380-$AR381)*100</f>
        <v/>
      </c>
      <c r="DJ380" s="59">
        <f>($AS380-$AS381)*100</f>
        <v/>
      </c>
      <c r="DK380" s="59">
        <f>($AT380-$AT381)*100</f>
        <v/>
      </c>
      <c r="DL380" s="59">
        <f>($AU380-$AU381)*100</f>
        <v/>
      </c>
      <c r="DM380" s="59">
        <f>($AV380-$AV381)*100</f>
        <v/>
      </c>
      <c r="DN380" s="59">
        <f>($AW380-$AW381)*100</f>
        <v/>
      </c>
      <c r="DO380" s="59">
        <f>($AX380-$AX381)*100</f>
        <v/>
      </c>
      <c r="DP380" s="59">
        <f>($AY380-$AY381)*100</f>
        <v/>
      </c>
      <c r="DQ380" s="59">
        <f>($AZ380-$AZ381)*100</f>
        <v/>
      </c>
      <c r="DR380" s="59">
        <f>($BA380-$BA381)*100</f>
        <v/>
      </c>
      <c r="DS380" s="58">
        <f>IFERROR($N381/$N380-1,"")</f>
        <v/>
      </c>
      <c r="DT380" s="58">
        <f>IFERROR($O381/$O380-1,"")</f>
        <v/>
      </c>
      <c r="DU380" s="58">
        <f>IFERROR($P381/$P380-1,"")</f>
        <v/>
      </c>
      <c r="DV380" s="58">
        <f>IFERROR($Q381/$Q380-1,"")</f>
        <v/>
      </c>
      <c r="DW380" s="58">
        <f>IFERROR($R381/$R380-1,"")</f>
        <v/>
      </c>
      <c r="DX380" s="58">
        <f>IFERROR($S381/$S380-1,"")</f>
        <v/>
      </c>
      <c r="DY380" s="58">
        <f>IFERROR($T381/$T380-1,"")</f>
        <v/>
      </c>
      <c r="DZ380" s="58">
        <f>IFERROR($U381/$U380-1,"")</f>
        <v/>
      </c>
      <c r="EA380" s="58">
        <f>IFERROR($V381/$V380-1,"")</f>
        <v/>
      </c>
      <c r="EB380" s="58">
        <f>IFERROR($W381/$W380-1,"")</f>
        <v/>
      </c>
      <c r="EC380" s="58">
        <f>IFERROR($X381/$X380-1,"")</f>
        <v/>
      </c>
      <c r="ED380" s="58">
        <f>IFERROR($Y381/$Y380-1,"")</f>
        <v/>
      </c>
      <c r="EE380" s="58">
        <f>IFERROR($Z381/$Z380-1,"")</f>
        <v/>
      </c>
      <c r="EF380" s="58">
        <f>IFERROR($AA381/$AA380-1,"")</f>
        <v/>
      </c>
      <c r="EG380" s="58">
        <f>IFERROR($AB381/$AB380-1,"")</f>
        <v/>
      </c>
      <c r="EH380" s="58">
        <f>IFERROR($AC381/$AC380-1,"")</f>
        <v/>
      </c>
      <c r="EI380" s="58">
        <f>IFERROR($AD381/$AD380-1,"")</f>
        <v/>
      </c>
      <c r="EJ380" s="58">
        <f>IFERROR($AE381/$AE380-1,"")</f>
        <v/>
      </c>
      <c r="EK380" s="58">
        <f>IFERROR($AF381/$AF380-1,"")</f>
        <v/>
      </c>
      <c r="EL380" s="58">
        <f>IFERROR($AG381/$AG380-1,"")</f>
        <v/>
      </c>
      <c r="EM380" s="58">
        <f>IFERROR($BB380/$BB381-1,"")</f>
        <v/>
      </c>
      <c r="EN380" s="58">
        <f>IFERROR($BC380/$BC381-1,"")</f>
        <v/>
      </c>
      <c r="EO380" s="58">
        <f>IFERROR($BD380/$BD381-1,"")</f>
        <v/>
      </c>
      <c r="EP380" s="58">
        <f>IFERROR($BE380/$BE381-1,"")</f>
        <v/>
      </c>
      <c r="EQ380" s="58">
        <f>IFERROR($BF380/$BF381-1,"")</f>
        <v/>
      </c>
      <c r="ER380" s="58">
        <f>IFERROR($BG380/$BG381-1,"")</f>
        <v/>
      </c>
      <c r="ES380" s="58">
        <f>IFERROR($BH380/$BH381-1,"")</f>
        <v/>
      </c>
      <c r="ET380" s="58">
        <f>IFERROR($BI380/$BI381-1,"")</f>
        <v/>
      </c>
      <c r="EU380" s="58">
        <f>IFERROR($BJ380/$BJ381-1,"")</f>
        <v/>
      </c>
      <c r="EV380" s="58">
        <f>IFERROR($BK380/$BK381-1,"")</f>
        <v/>
      </c>
      <c r="EW380" s="58">
        <f>IFERROR($BL380/$BL381-1,"")</f>
        <v/>
      </c>
      <c r="EX380" s="58">
        <f>IFERROR($BM380/$BM381-1,"")</f>
        <v/>
      </c>
      <c r="EY380" s="58">
        <f>IFERROR($BN380/$BN381-1,"")</f>
        <v/>
      </c>
      <c r="EZ380" s="58">
        <f>IFERROR($BO380/$BO381-1,"")</f>
        <v/>
      </c>
      <c r="FA380" s="58">
        <f>IFERROR($BP380/$BP381-1,"")</f>
        <v/>
      </c>
      <c r="FB380" s="58">
        <f>IFERROR($BQ380/$BQ381-1,"")</f>
        <v/>
      </c>
      <c r="FC380" s="58">
        <f>IFERROR($BR380/$BR381-1,"")</f>
        <v/>
      </c>
      <c r="FD380" s="58">
        <f>IFERROR($BS380/$BS381-1,"")</f>
        <v/>
      </c>
      <c r="FE380" s="58">
        <f>IFERROR($BT380/$BT381-1,"")</f>
        <v/>
      </c>
      <c r="FF380" s="58">
        <f>IFERROR($BU380/$BU381-1,"")</f>
        <v/>
      </c>
      <c r="FG380" s="58">
        <f>IFERROR($BV380/$BV381-1,"")</f>
        <v/>
      </c>
      <c r="FH380" s="58">
        <f>IFERROR($BW380/$BW381-1,"")</f>
        <v/>
      </c>
      <c r="FI380" s="58">
        <f>IFERROR($BX380/$BX381-1,"")</f>
        <v/>
      </c>
      <c r="FJ380" s="59">
        <f>$BY380-$BY381</f>
        <v/>
      </c>
      <c r="FK380" s="59">
        <f>$BZ380-$BZ381</f>
        <v/>
      </c>
      <c r="FL380" s="59">
        <f>$CA380-$CA381</f>
        <v/>
      </c>
      <c r="FM380" s="59">
        <f>$CB380-$CB381</f>
        <v/>
      </c>
      <c r="FN380" s="59">
        <f>$CC380-$CC381</f>
        <v/>
      </c>
      <c r="FO380" s="59">
        <f>$CD380-$CD381</f>
        <v/>
      </c>
      <c r="FP380" s="59">
        <f>$CE380-$CE381</f>
        <v/>
      </c>
      <c r="FQ380" s="59">
        <f>$CF380-$CF381</f>
        <v/>
      </c>
      <c r="FR380" s="59">
        <f>$CG380-$CG381</f>
        <v/>
      </c>
      <c r="FS380" s="59">
        <f>$CH380-$CH381</f>
        <v/>
      </c>
      <c r="FT380" s="59">
        <f>$CI380-$CI381</f>
        <v/>
      </c>
      <c r="FU380" s="59">
        <f>$CJ380-$CJ381</f>
        <v/>
      </c>
      <c r="FV380" s="59">
        <f>$CK380-$CK381</f>
        <v/>
      </c>
      <c r="FW380" s="59">
        <f>$CL380-$CL381</f>
        <v/>
      </c>
      <c r="FX380" s="59">
        <f>$CM380-$CM381</f>
        <v/>
      </c>
      <c r="FY380" s="59">
        <f>$CN380-$CN381</f>
        <v/>
      </c>
      <c r="FZ380" s="59">
        <f>$CO380-$CO381</f>
        <v/>
      </c>
      <c r="GA380" s="59">
        <f>$CP380-$CP381</f>
        <v/>
      </c>
      <c r="GB380" s="59">
        <f>$CQ380-$CQ381</f>
        <v/>
      </c>
      <c r="GC380" s="59">
        <f>$CR380-$CR381</f>
        <v/>
      </c>
      <c r="GD380" s="59">
        <f>$CS380-$CS381</f>
        <v/>
      </c>
      <c r="GE380" s="59">
        <f>$CT380-$CT381</f>
        <v/>
      </c>
    </row>
    <row r="381">
      <c r="CU381" s="58">
        <f>IFERROR($B381/$B382-1,"")</f>
        <v/>
      </c>
      <c r="CV381" s="59">
        <f>($F381-$F382)*100</f>
        <v/>
      </c>
      <c r="CW381" s="59">
        <f>($E381-$E382)*100</f>
        <v/>
      </c>
      <c r="CX381" s="58">
        <f>IFERROR($K381/$K382-1,"")</f>
        <v/>
      </c>
      <c r="CY381" s="59">
        <f>($AH381-$AH382)*100</f>
        <v/>
      </c>
      <c r="CZ381" s="59">
        <f>($AI381-$AI382)*100</f>
        <v/>
      </c>
      <c r="DA381" s="59">
        <f>($AJ381-$AJ382)*100</f>
        <v/>
      </c>
      <c r="DB381" s="59">
        <f>($AK381-$AK382)*100</f>
        <v/>
      </c>
      <c r="DC381" s="59">
        <f>($AL381-$AL382)*100</f>
        <v/>
      </c>
      <c r="DD381" s="59">
        <f>($AM381-$AM382)*100</f>
        <v/>
      </c>
      <c r="DE381" s="59">
        <f>($AN381-$AN382)*100</f>
        <v/>
      </c>
      <c r="DF381" s="59">
        <f>($AO381-$AO382)*100</f>
        <v/>
      </c>
      <c r="DG381" s="59">
        <f>($AP381-$AP382)*100</f>
        <v/>
      </c>
      <c r="DH381" s="59">
        <f>($AQ381-$AQ382)*100</f>
        <v/>
      </c>
      <c r="DI381" s="59">
        <f>($AR381-$AR382)*100</f>
        <v/>
      </c>
      <c r="DJ381" s="59">
        <f>($AS381-$AS382)*100</f>
        <v/>
      </c>
      <c r="DK381" s="59">
        <f>($AT381-$AT382)*100</f>
        <v/>
      </c>
      <c r="DL381" s="59">
        <f>($AU381-$AU382)*100</f>
        <v/>
      </c>
      <c r="DM381" s="59">
        <f>($AV381-$AV382)*100</f>
        <v/>
      </c>
      <c r="DN381" s="59">
        <f>($AW381-$AW382)*100</f>
        <v/>
      </c>
      <c r="DO381" s="59">
        <f>($AX381-$AX382)*100</f>
        <v/>
      </c>
      <c r="DP381" s="59">
        <f>($AY381-$AY382)*100</f>
        <v/>
      </c>
      <c r="DQ381" s="59">
        <f>($AZ381-$AZ382)*100</f>
        <v/>
      </c>
      <c r="DR381" s="59">
        <f>($BA381-$BA382)*100</f>
        <v/>
      </c>
      <c r="DS381" s="58">
        <f>IFERROR($N382/$N381-1,"")</f>
        <v/>
      </c>
      <c r="DT381" s="58">
        <f>IFERROR($O382/$O381-1,"")</f>
        <v/>
      </c>
      <c r="DU381" s="58">
        <f>IFERROR($P382/$P381-1,"")</f>
        <v/>
      </c>
      <c r="DV381" s="58">
        <f>IFERROR($Q382/$Q381-1,"")</f>
        <v/>
      </c>
      <c r="DW381" s="58">
        <f>IFERROR($R382/$R381-1,"")</f>
        <v/>
      </c>
      <c r="DX381" s="58">
        <f>IFERROR($S382/$S381-1,"")</f>
        <v/>
      </c>
      <c r="DY381" s="58">
        <f>IFERROR($T382/$T381-1,"")</f>
        <v/>
      </c>
      <c r="DZ381" s="58">
        <f>IFERROR($U382/$U381-1,"")</f>
        <v/>
      </c>
      <c r="EA381" s="58">
        <f>IFERROR($V382/$V381-1,"")</f>
        <v/>
      </c>
      <c r="EB381" s="58">
        <f>IFERROR($W382/$W381-1,"")</f>
        <v/>
      </c>
      <c r="EC381" s="58">
        <f>IFERROR($X382/$X381-1,"")</f>
        <v/>
      </c>
      <c r="ED381" s="58">
        <f>IFERROR($Y382/$Y381-1,"")</f>
        <v/>
      </c>
      <c r="EE381" s="58">
        <f>IFERROR($Z382/$Z381-1,"")</f>
        <v/>
      </c>
      <c r="EF381" s="58">
        <f>IFERROR($AA382/$AA381-1,"")</f>
        <v/>
      </c>
      <c r="EG381" s="58">
        <f>IFERROR($AB382/$AB381-1,"")</f>
        <v/>
      </c>
      <c r="EH381" s="58">
        <f>IFERROR($AC382/$AC381-1,"")</f>
        <v/>
      </c>
      <c r="EI381" s="58">
        <f>IFERROR($AD382/$AD381-1,"")</f>
        <v/>
      </c>
      <c r="EJ381" s="58">
        <f>IFERROR($AE382/$AE381-1,"")</f>
        <v/>
      </c>
      <c r="EK381" s="58">
        <f>IFERROR($AF382/$AF381-1,"")</f>
        <v/>
      </c>
      <c r="EL381" s="58">
        <f>IFERROR($AG382/$AG381-1,"")</f>
        <v/>
      </c>
      <c r="EM381" s="58">
        <f>IFERROR($BB381/$BB382-1,"")</f>
        <v/>
      </c>
      <c r="EN381" s="58">
        <f>IFERROR($BC381/$BC382-1,"")</f>
        <v/>
      </c>
      <c r="EO381" s="58">
        <f>IFERROR($BD381/$BD382-1,"")</f>
        <v/>
      </c>
      <c r="EP381" s="58">
        <f>IFERROR($BE381/$BE382-1,"")</f>
        <v/>
      </c>
      <c r="EQ381" s="58">
        <f>IFERROR($BF381/$BF382-1,"")</f>
        <v/>
      </c>
      <c r="ER381" s="58">
        <f>IFERROR($BG381/$BG382-1,"")</f>
        <v/>
      </c>
      <c r="ES381" s="58">
        <f>IFERROR($BH381/$BH382-1,"")</f>
        <v/>
      </c>
      <c r="ET381" s="58">
        <f>IFERROR($BI381/$BI382-1,"")</f>
        <v/>
      </c>
      <c r="EU381" s="58">
        <f>IFERROR($BJ381/$BJ382-1,"")</f>
        <v/>
      </c>
      <c r="EV381" s="58">
        <f>IFERROR($BK381/$BK382-1,"")</f>
        <v/>
      </c>
      <c r="EW381" s="58">
        <f>IFERROR($BL381/$BL382-1,"")</f>
        <v/>
      </c>
      <c r="EX381" s="58">
        <f>IFERROR($BM381/$BM382-1,"")</f>
        <v/>
      </c>
      <c r="EY381" s="58">
        <f>IFERROR($BN381/$BN382-1,"")</f>
        <v/>
      </c>
      <c r="EZ381" s="58">
        <f>IFERROR($BO381/$BO382-1,"")</f>
        <v/>
      </c>
      <c r="FA381" s="58">
        <f>IFERROR($BP381/$BP382-1,"")</f>
        <v/>
      </c>
      <c r="FB381" s="58">
        <f>IFERROR($BQ381/$BQ382-1,"")</f>
        <v/>
      </c>
      <c r="FC381" s="58">
        <f>IFERROR($BR381/$BR382-1,"")</f>
        <v/>
      </c>
      <c r="FD381" s="58">
        <f>IFERROR($BS381/$BS382-1,"")</f>
        <v/>
      </c>
      <c r="FE381" s="58">
        <f>IFERROR($BT381/$BT382-1,"")</f>
        <v/>
      </c>
      <c r="FF381" s="58">
        <f>IFERROR($BU381/$BU382-1,"")</f>
        <v/>
      </c>
      <c r="FG381" s="58">
        <f>IFERROR($BV381/$BV382-1,"")</f>
        <v/>
      </c>
      <c r="FH381" s="58">
        <f>IFERROR($BW381/$BW382-1,"")</f>
        <v/>
      </c>
      <c r="FI381" s="58">
        <f>IFERROR($BX381/$BX382-1,"")</f>
        <v/>
      </c>
      <c r="FJ381" s="59">
        <f>$BY381-$BY382</f>
        <v/>
      </c>
      <c r="FK381" s="59">
        <f>$BZ381-$BZ382</f>
        <v/>
      </c>
      <c r="FL381" s="59">
        <f>$CA381-$CA382</f>
        <v/>
      </c>
      <c r="FM381" s="59">
        <f>$CB381-$CB382</f>
        <v/>
      </c>
      <c r="FN381" s="59">
        <f>$CC381-$CC382</f>
        <v/>
      </c>
      <c r="FO381" s="59">
        <f>$CD381-$CD382</f>
        <v/>
      </c>
      <c r="FP381" s="59">
        <f>$CE381-$CE382</f>
        <v/>
      </c>
      <c r="FQ381" s="59">
        <f>$CF381-$CF382</f>
        <v/>
      </c>
      <c r="FR381" s="59">
        <f>$CG381-$CG382</f>
        <v/>
      </c>
      <c r="FS381" s="59">
        <f>$CH381-$CH382</f>
        <v/>
      </c>
      <c r="FT381" s="59">
        <f>$CI381-$CI382</f>
        <v/>
      </c>
      <c r="FU381" s="59">
        <f>$CJ381-$CJ382</f>
        <v/>
      </c>
      <c r="FV381" s="59">
        <f>$CK381-$CK382</f>
        <v/>
      </c>
      <c r="FW381" s="59">
        <f>$CL381-$CL382</f>
        <v/>
      </c>
      <c r="FX381" s="59">
        <f>$CM381-$CM382</f>
        <v/>
      </c>
      <c r="FY381" s="59">
        <f>$CN381-$CN382</f>
        <v/>
      </c>
      <c r="FZ381" s="59">
        <f>$CO381-$CO382</f>
        <v/>
      </c>
      <c r="GA381" s="59">
        <f>$CP381-$CP382</f>
        <v/>
      </c>
      <c r="GB381" s="59">
        <f>$CQ381-$CQ382</f>
        <v/>
      </c>
      <c r="GC381" s="59">
        <f>$CR381-$CR382</f>
        <v/>
      </c>
      <c r="GD381" s="59">
        <f>$CS381-$CS382</f>
        <v/>
      </c>
      <c r="GE381" s="59">
        <f>$CT381-$CT382</f>
        <v/>
      </c>
    </row>
    <row r="382">
      <c r="CU382" s="58">
        <f>IFERROR($B382/$B383-1,"")</f>
        <v/>
      </c>
      <c r="CV382" s="59">
        <f>($F382-$F383)*100</f>
        <v/>
      </c>
      <c r="CW382" s="59">
        <f>($E382-$E383)*100</f>
        <v/>
      </c>
      <c r="CX382" s="58">
        <f>IFERROR($K382/$K383-1,"")</f>
        <v/>
      </c>
      <c r="CY382" s="59">
        <f>($AH382-$AH383)*100</f>
        <v/>
      </c>
      <c r="CZ382" s="59">
        <f>($AI382-$AI383)*100</f>
        <v/>
      </c>
      <c r="DA382" s="59">
        <f>($AJ382-$AJ383)*100</f>
        <v/>
      </c>
      <c r="DB382" s="59">
        <f>($AK382-$AK383)*100</f>
        <v/>
      </c>
      <c r="DC382" s="59">
        <f>($AL382-$AL383)*100</f>
        <v/>
      </c>
      <c r="DD382" s="59">
        <f>($AM382-$AM383)*100</f>
        <v/>
      </c>
      <c r="DE382" s="59">
        <f>($AN382-$AN383)*100</f>
        <v/>
      </c>
      <c r="DF382" s="59">
        <f>($AO382-$AO383)*100</f>
        <v/>
      </c>
      <c r="DG382" s="59">
        <f>($AP382-$AP383)*100</f>
        <v/>
      </c>
      <c r="DH382" s="59">
        <f>($AQ382-$AQ383)*100</f>
        <v/>
      </c>
      <c r="DI382" s="59">
        <f>($AR382-$AR383)*100</f>
        <v/>
      </c>
      <c r="DJ382" s="59">
        <f>($AS382-$AS383)*100</f>
        <v/>
      </c>
      <c r="DK382" s="59">
        <f>($AT382-$AT383)*100</f>
        <v/>
      </c>
      <c r="DL382" s="59">
        <f>($AU382-$AU383)*100</f>
        <v/>
      </c>
      <c r="DM382" s="59">
        <f>($AV382-$AV383)*100</f>
        <v/>
      </c>
      <c r="DN382" s="59">
        <f>($AW382-$AW383)*100</f>
        <v/>
      </c>
      <c r="DO382" s="59">
        <f>($AX382-$AX383)*100</f>
        <v/>
      </c>
      <c r="DP382" s="59">
        <f>($AY382-$AY383)*100</f>
        <v/>
      </c>
      <c r="DQ382" s="59">
        <f>($AZ382-$AZ383)*100</f>
        <v/>
      </c>
      <c r="DR382" s="59">
        <f>($BA382-$BA383)*100</f>
        <v/>
      </c>
      <c r="DS382" s="58">
        <f>IFERROR($N383/$N382-1,"")</f>
        <v/>
      </c>
      <c r="DT382" s="58">
        <f>IFERROR($O383/$O382-1,"")</f>
        <v/>
      </c>
      <c r="DU382" s="58">
        <f>IFERROR($P383/$P382-1,"")</f>
        <v/>
      </c>
      <c r="DV382" s="58">
        <f>IFERROR($Q383/$Q382-1,"")</f>
        <v/>
      </c>
      <c r="DW382" s="58">
        <f>IFERROR($R383/$R382-1,"")</f>
        <v/>
      </c>
      <c r="DX382" s="58">
        <f>IFERROR($S383/$S382-1,"")</f>
        <v/>
      </c>
      <c r="DY382" s="58">
        <f>IFERROR($T383/$T382-1,"")</f>
        <v/>
      </c>
      <c r="DZ382" s="58">
        <f>IFERROR($U383/$U382-1,"")</f>
        <v/>
      </c>
      <c r="EA382" s="58">
        <f>IFERROR($V383/$V382-1,"")</f>
        <v/>
      </c>
      <c r="EB382" s="58">
        <f>IFERROR($W383/$W382-1,"")</f>
        <v/>
      </c>
      <c r="EC382" s="58">
        <f>IFERROR($X383/$X382-1,"")</f>
        <v/>
      </c>
      <c r="ED382" s="58">
        <f>IFERROR($Y383/$Y382-1,"")</f>
        <v/>
      </c>
      <c r="EE382" s="58">
        <f>IFERROR($Z383/$Z382-1,"")</f>
        <v/>
      </c>
      <c r="EF382" s="58">
        <f>IFERROR($AA383/$AA382-1,"")</f>
        <v/>
      </c>
      <c r="EG382" s="58">
        <f>IFERROR($AB383/$AB382-1,"")</f>
        <v/>
      </c>
      <c r="EH382" s="58">
        <f>IFERROR($AC383/$AC382-1,"")</f>
        <v/>
      </c>
      <c r="EI382" s="58">
        <f>IFERROR($AD383/$AD382-1,"")</f>
        <v/>
      </c>
      <c r="EJ382" s="58">
        <f>IFERROR($AE383/$AE382-1,"")</f>
        <v/>
      </c>
      <c r="EK382" s="58">
        <f>IFERROR($AF383/$AF382-1,"")</f>
        <v/>
      </c>
      <c r="EL382" s="58">
        <f>IFERROR($AG383/$AG382-1,"")</f>
        <v/>
      </c>
      <c r="EM382" s="58">
        <f>IFERROR($BB382/$BB383-1,"")</f>
        <v/>
      </c>
      <c r="EN382" s="58">
        <f>IFERROR($BC382/$BC383-1,"")</f>
        <v/>
      </c>
      <c r="EO382" s="58">
        <f>IFERROR($BD382/$BD383-1,"")</f>
        <v/>
      </c>
      <c r="EP382" s="58">
        <f>IFERROR($BE382/$BE383-1,"")</f>
        <v/>
      </c>
      <c r="EQ382" s="58">
        <f>IFERROR($BF382/$BF383-1,"")</f>
        <v/>
      </c>
      <c r="ER382" s="58">
        <f>IFERROR($BG382/$BG383-1,"")</f>
        <v/>
      </c>
      <c r="ES382" s="58">
        <f>IFERROR($BH382/$BH383-1,"")</f>
        <v/>
      </c>
      <c r="ET382" s="58">
        <f>IFERROR($BI382/$BI383-1,"")</f>
        <v/>
      </c>
      <c r="EU382" s="58">
        <f>IFERROR($BJ382/$BJ383-1,"")</f>
        <v/>
      </c>
      <c r="EV382" s="58">
        <f>IFERROR($BK382/$BK383-1,"")</f>
        <v/>
      </c>
      <c r="EW382" s="58">
        <f>IFERROR($BL382/$BL383-1,"")</f>
        <v/>
      </c>
      <c r="EX382" s="58">
        <f>IFERROR($BM382/$BM383-1,"")</f>
        <v/>
      </c>
      <c r="EY382" s="58">
        <f>IFERROR($BN382/$BN383-1,"")</f>
        <v/>
      </c>
      <c r="EZ382" s="58">
        <f>IFERROR($BO382/$BO383-1,"")</f>
        <v/>
      </c>
      <c r="FA382" s="58">
        <f>IFERROR($BP382/$BP383-1,"")</f>
        <v/>
      </c>
      <c r="FB382" s="58">
        <f>IFERROR($BQ382/$BQ383-1,"")</f>
        <v/>
      </c>
      <c r="FC382" s="58">
        <f>IFERROR($BR382/$BR383-1,"")</f>
        <v/>
      </c>
      <c r="FD382" s="58">
        <f>IFERROR($BS382/$BS383-1,"")</f>
        <v/>
      </c>
      <c r="FE382" s="58">
        <f>IFERROR($BT382/$BT383-1,"")</f>
        <v/>
      </c>
      <c r="FF382" s="58">
        <f>IFERROR($BU382/$BU383-1,"")</f>
        <v/>
      </c>
      <c r="FG382" s="58">
        <f>IFERROR($BV382/$BV383-1,"")</f>
        <v/>
      </c>
      <c r="FH382" s="58">
        <f>IFERROR($BW382/$BW383-1,"")</f>
        <v/>
      </c>
      <c r="FI382" s="58">
        <f>IFERROR($BX382/$BX383-1,"")</f>
        <v/>
      </c>
      <c r="FJ382" s="59">
        <f>$BY382-$BY383</f>
        <v/>
      </c>
      <c r="FK382" s="59">
        <f>$BZ382-$BZ383</f>
        <v/>
      </c>
      <c r="FL382" s="59">
        <f>$CA382-$CA383</f>
        <v/>
      </c>
      <c r="FM382" s="59">
        <f>$CB382-$CB383</f>
        <v/>
      </c>
      <c r="FN382" s="59">
        <f>$CC382-$CC383</f>
        <v/>
      </c>
      <c r="FO382" s="59">
        <f>$CD382-$CD383</f>
        <v/>
      </c>
      <c r="FP382" s="59">
        <f>$CE382-$CE383</f>
        <v/>
      </c>
      <c r="FQ382" s="59">
        <f>$CF382-$CF383</f>
        <v/>
      </c>
      <c r="FR382" s="59">
        <f>$CG382-$CG383</f>
        <v/>
      </c>
      <c r="FS382" s="59">
        <f>$CH382-$CH383</f>
        <v/>
      </c>
      <c r="FT382" s="59">
        <f>$CI382-$CI383</f>
        <v/>
      </c>
      <c r="FU382" s="59">
        <f>$CJ382-$CJ383</f>
        <v/>
      </c>
      <c r="FV382" s="59">
        <f>$CK382-$CK383</f>
        <v/>
      </c>
      <c r="FW382" s="59">
        <f>$CL382-$CL383</f>
        <v/>
      </c>
      <c r="FX382" s="59">
        <f>$CM382-$CM383</f>
        <v/>
      </c>
      <c r="FY382" s="59">
        <f>$CN382-$CN383</f>
        <v/>
      </c>
      <c r="FZ382" s="59">
        <f>$CO382-$CO383</f>
        <v/>
      </c>
      <c r="GA382" s="59">
        <f>$CP382-$CP383</f>
        <v/>
      </c>
      <c r="GB382" s="59">
        <f>$CQ382-$CQ383</f>
        <v/>
      </c>
      <c r="GC382" s="59">
        <f>$CR382-$CR383</f>
        <v/>
      </c>
      <c r="GD382" s="59">
        <f>$CS382-$CS383</f>
        <v/>
      </c>
      <c r="GE382" s="59">
        <f>$CT382-$CT383</f>
        <v/>
      </c>
    </row>
    <row r="383">
      <c r="CU383" s="58">
        <f>IFERROR($B383/$B384-1,"")</f>
        <v/>
      </c>
      <c r="CV383" s="59">
        <f>($F383-$F384)*100</f>
        <v/>
      </c>
      <c r="CW383" s="59">
        <f>($E383-$E384)*100</f>
        <v/>
      </c>
      <c r="CX383" s="58">
        <f>IFERROR($K383/$K384-1,"")</f>
        <v/>
      </c>
      <c r="CY383" s="59">
        <f>($AH383-$AH384)*100</f>
        <v/>
      </c>
      <c r="CZ383" s="59">
        <f>($AI383-$AI384)*100</f>
        <v/>
      </c>
      <c r="DA383" s="59">
        <f>($AJ383-$AJ384)*100</f>
        <v/>
      </c>
      <c r="DB383" s="59">
        <f>($AK383-$AK384)*100</f>
        <v/>
      </c>
      <c r="DC383" s="59">
        <f>($AL383-$AL384)*100</f>
        <v/>
      </c>
      <c r="DD383" s="59">
        <f>($AM383-$AM384)*100</f>
        <v/>
      </c>
      <c r="DE383" s="59">
        <f>($AN383-$AN384)*100</f>
        <v/>
      </c>
      <c r="DF383" s="59">
        <f>($AO383-$AO384)*100</f>
        <v/>
      </c>
      <c r="DG383" s="59">
        <f>($AP383-$AP384)*100</f>
        <v/>
      </c>
      <c r="DH383" s="59">
        <f>($AQ383-$AQ384)*100</f>
        <v/>
      </c>
      <c r="DI383" s="59">
        <f>($AR383-$AR384)*100</f>
        <v/>
      </c>
      <c r="DJ383" s="59">
        <f>($AS383-$AS384)*100</f>
        <v/>
      </c>
      <c r="DK383" s="59">
        <f>($AT383-$AT384)*100</f>
        <v/>
      </c>
      <c r="DL383" s="59">
        <f>($AU383-$AU384)*100</f>
        <v/>
      </c>
      <c r="DM383" s="59">
        <f>($AV383-$AV384)*100</f>
        <v/>
      </c>
      <c r="DN383" s="59">
        <f>($AW383-$AW384)*100</f>
        <v/>
      </c>
      <c r="DO383" s="59">
        <f>($AX383-$AX384)*100</f>
        <v/>
      </c>
      <c r="DP383" s="59">
        <f>($AY383-$AY384)*100</f>
        <v/>
      </c>
      <c r="DQ383" s="59">
        <f>($AZ383-$AZ384)*100</f>
        <v/>
      </c>
      <c r="DR383" s="59">
        <f>($BA383-$BA384)*100</f>
        <v/>
      </c>
      <c r="DS383" s="58">
        <f>IFERROR($N384/$N383-1,"")</f>
        <v/>
      </c>
      <c r="DT383" s="58">
        <f>IFERROR($O384/$O383-1,"")</f>
        <v/>
      </c>
      <c r="DU383" s="58">
        <f>IFERROR($P384/$P383-1,"")</f>
        <v/>
      </c>
      <c r="DV383" s="58">
        <f>IFERROR($Q384/$Q383-1,"")</f>
        <v/>
      </c>
      <c r="DW383" s="58">
        <f>IFERROR($R384/$R383-1,"")</f>
        <v/>
      </c>
      <c r="DX383" s="58">
        <f>IFERROR($S384/$S383-1,"")</f>
        <v/>
      </c>
      <c r="DY383" s="58">
        <f>IFERROR($T384/$T383-1,"")</f>
        <v/>
      </c>
      <c r="DZ383" s="58">
        <f>IFERROR($U384/$U383-1,"")</f>
        <v/>
      </c>
      <c r="EA383" s="58">
        <f>IFERROR($V384/$V383-1,"")</f>
        <v/>
      </c>
      <c r="EB383" s="58">
        <f>IFERROR($W384/$W383-1,"")</f>
        <v/>
      </c>
      <c r="EC383" s="58">
        <f>IFERROR($X384/$X383-1,"")</f>
        <v/>
      </c>
      <c r="ED383" s="58">
        <f>IFERROR($Y384/$Y383-1,"")</f>
        <v/>
      </c>
      <c r="EE383" s="58">
        <f>IFERROR($Z384/$Z383-1,"")</f>
        <v/>
      </c>
      <c r="EF383" s="58">
        <f>IFERROR($AA384/$AA383-1,"")</f>
        <v/>
      </c>
      <c r="EG383" s="58">
        <f>IFERROR($AB384/$AB383-1,"")</f>
        <v/>
      </c>
      <c r="EH383" s="58">
        <f>IFERROR($AC384/$AC383-1,"")</f>
        <v/>
      </c>
      <c r="EI383" s="58">
        <f>IFERROR($AD384/$AD383-1,"")</f>
        <v/>
      </c>
      <c r="EJ383" s="58">
        <f>IFERROR($AE384/$AE383-1,"")</f>
        <v/>
      </c>
      <c r="EK383" s="58">
        <f>IFERROR($AF384/$AF383-1,"")</f>
        <v/>
      </c>
      <c r="EL383" s="58">
        <f>IFERROR($AG384/$AG383-1,"")</f>
        <v/>
      </c>
      <c r="EM383" s="58">
        <f>IFERROR($BB383/$BB384-1,"")</f>
        <v/>
      </c>
      <c r="EN383" s="58">
        <f>IFERROR($BC383/$BC384-1,"")</f>
        <v/>
      </c>
      <c r="EO383" s="58">
        <f>IFERROR($BD383/$BD384-1,"")</f>
        <v/>
      </c>
      <c r="EP383" s="58">
        <f>IFERROR($BE383/$BE384-1,"")</f>
        <v/>
      </c>
      <c r="EQ383" s="58">
        <f>IFERROR($BF383/$BF384-1,"")</f>
        <v/>
      </c>
      <c r="ER383" s="58">
        <f>IFERROR($BG383/$BG384-1,"")</f>
        <v/>
      </c>
      <c r="ES383" s="58">
        <f>IFERROR($BH383/$BH384-1,"")</f>
        <v/>
      </c>
      <c r="ET383" s="58">
        <f>IFERROR($BI383/$BI384-1,"")</f>
        <v/>
      </c>
      <c r="EU383" s="58">
        <f>IFERROR($BJ383/$BJ384-1,"")</f>
        <v/>
      </c>
      <c r="EV383" s="58">
        <f>IFERROR($BK383/$BK384-1,"")</f>
        <v/>
      </c>
      <c r="EW383" s="58">
        <f>IFERROR($BL383/$BL384-1,"")</f>
        <v/>
      </c>
      <c r="EX383" s="58">
        <f>IFERROR($BM383/$BM384-1,"")</f>
        <v/>
      </c>
      <c r="EY383" s="58">
        <f>IFERROR($BN383/$BN384-1,"")</f>
        <v/>
      </c>
      <c r="EZ383" s="58">
        <f>IFERROR($BO383/$BO384-1,"")</f>
        <v/>
      </c>
      <c r="FA383" s="58">
        <f>IFERROR($BP383/$BP384-1,"")</f>
        <v/>
      </c>
      <c r="FB383" s="58">
        <f>IFERROR($BQ383/$BQ384-1,"")</f>
        <v/>
      </c>
      <c r="FC383" s="58">
        <f>IFERROR($BR383/$BR384-1,"")</f>
        <v/>
      </c>
      <c r="FD383" s="58">
        <f>IFERROR($BS383/$BS384-1,"")</f>
        <v/>
      </c>
      <c r="FE383" s="58">
        <f>IFERROR($BT383/$BT384-1,"")</f>
        <v/>
      </c>
      <c r="FF383" s="58">
        <f>IFERROR($BU383/$BU384-1,"")</f>
        <v/>
      </c>
      <c r="FG383" s="58">
        <f>IFERROR($BV383/$BV384-1,"")</f>
        <v/>
      </c>
      <c r="FH383" s="58">
        <f>IFERROR($BW383/$BW384-1,"")</f>
        <v/>
      </c>
      <c r="FI383" s="58">
        <f>IFERROR($BX383/$BX384-1,"")</f>
        <v/>
      </c>
      <c r="FJ383" s="59">
        <f>$BY383-$BY384</f>
        <v/>
      </c>
      <c r="FK383" s="59">
        <f>$BZ383-$BZ384</f>
        <v/>
      </c>
      <c r="FL383" s="59">
        <f>$CA383-$CA384</f>
        <v/>
      </c>
      <c r="FM383" s="59">
        <f>$CB383-$CB384</f>
        <v/>
      </c>
      <c r="FN383" s="59">
        <f>$CC383-$CC384</f>
        <v/>
      </c>
      <c r="FO383" s="59">
        <f>$CD383-$CD384</f>
        <v/>
      </c>
      <c r="FP383" s="59">
        <f>$CE383-$CE384</f>
        <v/>
      </c>
      <c r="FQ383" s="59">
        <f>$CF383-$CF384</f>
        <v/>
      </c>
      <c r="FR383" s="59">
        <f>$CG383-$CG384</f>
        <v/>
      </c>
      <c r="FS383" s="59">
        <f>$CH383-$CH384</f>
        <v/>
      </c>
      <c r="FT383" s="59">
        <f>$CI383-$CI384</f>
        <v/>
      </c>
      <c r="FU383" s="59">
        <f>$CJ383-$CJ384</f>
        <v/>
      </c>
      <c r="FV383" s="59">
        <f>$CK383-$CK384</f>
        <v/>
      </c>
      <c r="FW383" s="59">
        <f>$CL383-$CL384</f>
        <v/>
      </c>
      <c r="FX383" s="59">
        <f>$CM383-$CM384</f>
        <v/>
      </c>
      <c r="FY383" s="59">
        <f>$CN383-$CN384</f>
        <v/>
      </c>
      <c r="FZ383" s="59">
        <f>$CO383-$CO384</f>
        <v/>
      </c>
      <c r="GA383" s="59">
        <f>$CP383-$CP384</f>
        <v/>
      </c>
      <c r="GB383" s="59">
        <f>$CQ383-$CQ384</f>
        <v/>
      </c>
      <c r="GC383" s="59">
        <f>$CR383-$CR384</f>
        <v/>
      </c>
      <c r="GD383" s="59">
        <f>$CS383-$CS384</f>
        <v/>
      </c>
      <c r="GE383" s="59">
        <f>$CT383-$CT384</f>
        <v/>
      </c>
    </row>
    <row r="384">
      <c r="CU384" s="58">
        <f>IFERROR($B384/$B385-1,"")</f>
        <v/>
      </c>
      <c r="CV384" s="59">
        <f>($F384-$F385)*100</f>
        <v/>
      </c>
      <c r="CW384" s="59">
        <f>($E384-$E385)*100</f>
        <v/>
      </c>
      <c r="CX384" s="58">
        <f>IFERROR($K384/$K385-1,"")</f>
        <v/>
      </c>
      <c r="CY384" s="59">
        <f>($AH384-$AH385)*100</f>
        <v/>
      </c>
      <c r="CZ384" s="59">
        <f>($AI384-$AI385)*100</f>
        <v/>
      </c>
      <c r="DA384" s="59">
        <f>($AJ384-$AJ385)*100</f>
        <v/>
      </c>
      <c r="DB384" s="59">
        <f>($AK384-$AK385)*100</f>
        <v/>
      </c>
      <c r="DC384" s="59">
        <f>($AL384-$AL385)*100</f>
        <v/>
      </c>
      <c r="DD384" s="59">
        <f>($AM384-$AM385)*100</f>
        <v/>
      </c>
      <c r="DE384" s="59">
        <f>($AN384-$AN385)*100</f>
        <v/>
      </c>
      <c r="DF384" s="59">
        <f>($AO384-$AO385)*100</f>
        <v/>
      </c>
      <c r="DG384" s="59">
        <f>($AP384-$AP385)*100</f>
        <v/>
      </c>
      <c r="DH384" s="59">
        <f>($AQ384-$AQ385)*100</f>
        <v/>
      </c>
      <c r="DI384" s="59">
        <f>($AR384-$AR385)*100</f>
        <v/>
      </c>
      <c r="DJ384" s="59">
        <f>($AS384-$AS385)*100</f>
        <v/>
      </c>
      <c r="DK384" s="59">
        <f>($AT384-$AT385)*100</f>
        <v/>
      </c>
      <c r="DL384" s="59">
        <f>($AU384-$AU385)*100</f>
        <v/>
      </c>
      <c r="DM384" s="59">
        <f>($AV384-$AV385)*100</f>
        <v/>
      </c>
      <c r="DN384" s="59">
        <f>($AW384-$AW385)*100</f>
        <v/>
      </c>
      <c r="DO384" s="59">
        <f>($AX384-$AX385)*100</f>
        <v/>
      </c>
      <c r="DP384" s="59">
        <f>($AY384-$AY385)*100</f>
        <v/>
      </c>
      <c r="DQ384" s="59">
        <f>($AZ384-$AZ385)*100</f>
        <v/>
      </c>
      <c r="DR384" s="59">
        <f>($BA384-$BA385)*100</f>
        <v/>
      </c>
      <c r="DS384" s="58">
        <f>IFERROR($N385/$N384-1,"")</f>
        <v/>
      </c>
      <c r="DT384" s="58">
        <f>IFERROR($O385/$O384-1,"")</f>
        <v/>
      </c>
      <c r="DU384" s="58">
        <f>IFERROR($P385/$P384-1,"")</f>
        <v/>
      </c>
      <c r="DV384" s="58">
        <f>IFERROR($Q385/$Q384-1,"")</f>
        <v/>
      </c>
      <c r="DW384" s="58">
        <f>IFERROR($R385/$R384-1,"")</f>
        <v/>
      </c>
      <c r="DX384" s="58">
        <f>IFERROR($S385/$S384-1,"")</f>
        <v/>
      </c>
      <c r="DY384" s="58">
        <f>IFERROR($T385/$T384-1,"")</f>
        <v/>
      </c>
      <c r="DZ384" s="58">
        <f>IFERROR($U385/$U384-1,"")</f>
        <v/>
      </c>
      <c r="EA384" s="58">
        <f>IFERROR($V385/$V384-1,"")</f>
        <v/>
      </c>
      <c r="EB384" s="58">
        <f>IFERROR($W385/$W384-1,"")</f>
        <v/>
      </c>
      <c r="EC384" s="58">
        <f>IFERROR($X385/$X384-1,"")</f>
        <v/>
      </c>
      <c r="ED384" s="58">
        <f>IFERROR($Y385/$Y384-1,"")</f>
        <v/>
      </c>
      <c r="EE384" s="58">
        <f>IFERROR($Z385/$Z384-1,"")</f>
        <v/>
      </c>
      <c r="EF384" s="58">
        <f>IFERROR($AA385/$AA384-1,"")</f>
        <v/>
      </c>
      <c r="EG384" s="58">
        <f>IFERROR($AB385/$AB384-1,"")</f>
        <v/>
      </c>
      <c r="EH384" s="58">
        <f>IFERROR($AC385/$AC384-1,"")</f>
        <v/>
      </c>
      <c r="EI384" s="58">
        <f>IFERROR($AD385/$AD384-1,"")</f>
        <v/>
      </c>
      <c r="EJ384" s="58">
        <f>IFERROR($AE385/$AE384-1,"")</f>
        <v/>
      </c>
      <c r="EK384" s="58">
        <f>IFERROR($AF385/$AF384-1,"")</f>
        <v/>
      </c>
      <c r="EL384" s="58">
        <f>IFERROR($AG385/$AG384-1,"")</f>
        <v/>
      </c>
      <c r="EM384" s="58">
        <f>IFERROR($BB384/$BB385-1,"")</f>
        <v/>
      </c>
      <c r="EN384" s="58">
        <f>IFERROR($BC384/$BC385-1,"")</f>
        <v/>
      </c>
      <c r="EO384" s="58">
        <f>IFERROR($BD384/$BD385-1,"")</f>
        <v/>
      </c>
      <c r="EP384" s="58">
        <f>IFERROR($BE384/$BE385-1,"")</f>
        <v/>
      </c>
      <c r="EQ384" s="58">
        <f>IFERROR($BF384/$BF385-1,"")</f>
        <v/>
      </c>
      <c r="ER384" s="58">
        <f>IFERROR($BG384/$BG385-1,"")</f>
        <v/>
      </c>
      <c r="ES384" s="58">
        <f>IFERROR($BH384/$BH385-1,"")</f>
        <v/>
      </c>
      <c r="ET384" s="58">
        <f>IFERROR($BI384/$BI385-1,"")</f>
        <v/>
      </c>
      <c r="EU384" s="58">
        <f>IFERROR($BJ384/$BJ385-1,"")</f>
        <v/>
      </c>
      <c r="EV384" s="58">
        <f>IFERROR($BK384/$BK385-1,"")</f>
        <v/>
      </c>
      <c r="EW384" s="58">
        <f>IFERROR($BL384/$BL385-1,"")</f>
        <v/>
      </c>
      <c r="EX384" s="58">
        <f>IFERROR($BM384/$BM385-1,"")</f>
        <v/>
      </c>
      <c r="EY384" s="58">
        <f>IFERROR($BN384/$BN385-1,"")</f>
        <v/>
      </c>
      <c r="EZ384" s="58">
        <f>IFERROR($BO384/$BO385-1,"")</f>
        <v/>
      </c>
      <c r="FA384" s="58">
        <f>IFERROR($BP384/$BP385-1,"")</f>
        <v/>
      </c>
      <c r="FB384" s="58">
        <f>IFERROR($BQ384/$BQ385-1,"")</f>
        <v/>
      </c>
      <c r="FC384" s="58">
        <f>IFERROR($BR384/$BR385-1,"")</f>
        <v/>
      </c>
      <c r="FD384" s="58">
        <f>IFERROR($BS384/$BS385-1,"")</f>
        <v/>
      </c>
      <c r="FE384" s="58">
        <f>IFERROR($BT384/$BT385-1,"")</f>
        <v/>
      </c>
      <c r="FF384" s="58">
        <f>IFERROR($BU384/$BU385-1,"")</f>
        <v/>
      </c>
      <c r="FG384" s="58">
        <f>IFERROR($BV384/$BV385-1,"")</f>
        <v/>
      </c>
      <c r="FH384" s="58">
        <f>IFERROR($BW384/$BW385-1,"")</f>
        <v/>
      </c>
      <c r="FI384" s="58">
        <f>IFERROR($BX384/$BX385-1,"")</f>
        <v/>
      </c>
      <c r="FJ384" s="59">
        <f>$BY384-$BY385</f>
        <v/>
      </c>
      <c r="FK384" s="59">
        <f>$BZ384-$BZ385</f>
        <v/>
      </c>
      <c r="FL384" s="59">
        <f>$CA384-$CA385</f>
        <v/>
      </c>
      <c r="FM384" s="59">
        <f>$CB384-$CB385</f>
        <v/>
      </c>
      <c r="FN384" s="59">
        <f>$CC384-$CC385</f>
        <v/>
      </c>
      <c r="FO384" s="59">
        <f>$CD384-$CD385</f>
        <v/>
      </c>
      <c r="FP384" s="59">
        <f>$CE384-$CE385</f>
        <v/>
      </c>
      <c r="FQ384" s="59">
        <f>$CF384-$CF385</f>
        <v/>
      </c>
      <c r="FR384" s="59">
        <f>$CG384-$CG385</f>
        <v/>
      </c>
      <c r="FS384" s="59">
        <f>$CH384-$CH385</f>
        <v/>
      </c>
      <c r="FT384" s="59">
        <f>$CI384-$CI385</f>
        <v/>
      </c>
      <c r="FU384" s="59">
        <f>$CJ384-$CJ385</f>
        <v/>
      </c>
      <c r="FV384" s="59">
        <f>$CK384-$CK385</f>
        <v/>
      </c>
      <c r="FW384" s="59">
        <f>$CL384-$CL385</f>
        <v/>
      </c>
      <c r="FX384" s="59">
        <f>$CM384-$CM385</f>
        <v/>
      </c>
      <c r="FY384" s="59">
        <f>$CN384-$CN385</f>
        <v/>
      </c>
      <c r="FZ384" s="59">
        <f>$CO384-$CO385</f>
        <v/>
      </c>
      <c r="GA384" s="59">
        <f>$CP384-$CP385</f>
        <v/>
      </c>
      <c r="GB384" s="59">
        <f>$CQ384-$CQ385</f>
        <v/>
      </c>
      <c r="GC384" s="59">
        <f>$CR384-$CR385</f>
        <v/>
      </c>
      <c r="GD384" s="59">
        <f>$CS384-$CS385</f>
        <v/>
      </c>
      <c r="GE384" s="59">
        <f>$CT384-$CT385</f>
        <v/>
      </c>
    </row>
    <row r="385">
      <c r="CU385" s="58">
        <f>IFERROR($B385/$B386-1,"")</f>
        <v/>
      </c>
      <c r="CV385" s="59">
        <f>($F385-$F386)*100</f>
        <v/>
      </c>
      <c r="CW385" s="59">
        <f>($E385-$E386)*100</f>
        <v/>
      </c>
      <c r="CX385" s="58">
        <f>IFERROR($K385/$K386-1,"")</f>
        <v/>
      </c>
      <c r="CY385" s="59">
        <f>($AH385-$AH386)*100</f>
        <v/>
      </c>
      <c r="CZ385" s="59">
        <f>($AI385-$AI386)*100</f>
        <v/>
      </c>
      <c r="DA385" s="59">
        <f>($AJ385-$AJ386)*100</f>
        <v/>
      </c>
      <c r="DB385" s="59">
        <f>($AK385-$AK386)*100</f>
        <v/>
      </c>
      <c r="DC385" s="59">
        <f>($AL385-$AL386)*100</f>
        <v/>
      </c>
      <c r="DD385" s="59">
        <f>($AM385-$AM386)*100</f>
        <v/>
      </c>
      <c r="DE385" s="59">
        <f>($AN385-$AN386)*100</f>
        <v/>
      </c>
      <c r="DF385" s="59">
        <f>($AO385-$AO386)*100</f>
        <v/>
      </c>
      <c r="DG385" s="59">
        <f>($AP385-$AP386)*100</f>
        <v/>
      </c>
      <c r="DH385" s="59">
        <f>($AQ385-$AQ386)*100</f>
        <v/>
      </c>
      <c r="DI385" s="59">
        <f>($AR385-$AR386)*100</f>
        <v/>
      </c>
      <c r="DJ385" s="59">
        <f>($AS385-$AS386)*100</f>
        <v/>
      </c>
      <c r="DK385" s="59">
        <f>($AT385-$AT386)*100</f>
        <v/>
      </c>
      <c r="DL385" s="59">
        <f>($AU385-$AU386)*100</f>
        <v/>
      </c>
      <c r="DM385" s="59">
        <f>($AV385-$AV386)*100</f>
        <v/>
      </c>
      <c r="DN385" s="59">
        <f>($AW385-$AW386)*100</f>
        <v/>
      </c>
      <c r="DO385" s="59">
        <f>($AX385-$AX386)*100</f>
        <v/>
      </c>
      <c r="DP385" s="59">
        <f>($AY385-$AY386)*100</f>
        <v/>
      </c>
      <c r="DQ385" s="59">
        <f>($AZ385-$AZ386)*100</f>
        <v/>
      </c>
      <c r="DR385" s="59">
        <f>($BA385-$BA386)*100</f>
        <v/>
      </c>
      <c r="DS385" s="58">
        <f>IFERROR($N386/$N385-1,"")</f>
        <v/>
      </c>
      <c r="DT385" s="58">
        <f>IFERROR($O386/$O385-1,"")</f>
        <v/>
      </c>
      <c r="DU385" s="58">
        <f>IFERROR($P386/$P385-1,"")</f>
        <v/>
      </c>
      <c r="DV385" s="58">
        <f>IFERROR($Q386/$Q385-1,"")</f>
        <v/>
      </c>
      <c r="DW385" s="58">
        <f>IFERROR($R386/$R385-1,"")</f>
        <v/>
      </c>
      <c r="DX385" s="58">
        <f>IFERROR($S386/$S385-1,"")</f>
        <v/>
      </c>
      <c r="DY385" s="58">
        <f>IFERROR($T386/$T385-1,"")</f>
        <v/>
      </c>
      <c r="DZ385" s="58">
        <f>IFERROR($U386/$U385-1,"")</f>
        <v/>
      </c>
      <c r="EA385" s="58">
        <f>IFERROR($V386/$V385-1,"")</f>
        <v/>
      </c>
      <c r="EB385" s="58">
        <f>IFERROR($W386/$W385-1,"")</f>
        <v/>
      </c>
      <c r="EC385" s="58">
        <f>IFERROR($X386/$X385-1,"")</f>
        <v/>
      </c>
      <c r="ED385" s="58">
        <f>IFERROR($Y386/$Y385-1,"")</f>
        <v/>
      </c>
      <c r="EE385" s="58">
        <f>IFERROR($Z386/$Z385-1,"")</f>
        <v/>
      </c>
      <c r="EF385" s="58">
        <f>IFERROR($AA386/$AA385-1,"")</f>
        <v/>
      </c>
      <c r="EG385" s="58">
        <f>IFERROR($AB386/$AB385-1,"")</f>
        <v/>
      </c>
      <c r="EH385" s="58">
        <f>IFERROR($AC386/$AC385-1,"")</f>
        <v/>
      </c>
      <c r="EI385" s="58">
        <f>IFERROR($AD386/$AD385-1,"")</f>
        <v/>
      </c>
      <c r="EJ385" s="58">
        <f>IFERROR($AE386/$AE385-1,"")</f>
        <v/>
      </c>
      <c r="EK385" s="58">
        <f>IFERROR($AF386/$AF385-1,"")</f>
        <v/>
      </c>
      <c r="EL385" s="58">
        <f>IFERROR($AG386/$AG385-1,"")</f>
        <v/>
      </c>
      <c r="EM385" s="58">
        <f>IFERROR($BB385/$BB386-1,"")</f>
        <v/>
      </c>
      <c r="EN385" s="58">
        <f>IFERROR($BC385/$BC386-1,"")</f>
        <v/>
      </c>
      <c r="EO385" s="58">
        <f>IFERROR($BD385/$BD386-1,"")</f>
        <v/>
      </c>
      <c r="EP385" s="58">
        <f>IFERROR($BE385/$BE386-1,"")</f>
        <v/>
      </c>
      <c r="EQ385" s="58">
        <f>IFERROR($BF385/$BF386-1,"")</f>
        <v/>
      </c>
      <c r="ER385" s="58">
        <f>IFERROR($BG385/$BG386-1,"")</f>
        <v/>
      </c>
      <c r="ES385" s="58">
        <f>IFERROR($BH385/$BH386-1,"")</f>
        <v/>
      </c>
      <c r="ET385" s="58">
        <f>IFERROR($BI385/$BI386-1,"")</f>
        <v/>
      </c>
      <c r="EU385" s="58">
        <f>IFERROR($BJ385/$BJ386-1,"")</f>
        <v/>
      </c>
      <c r="EV385" s="58">
        <f>IFERROR($BK385/$BK386-1,"")</f>
        <v/>
      </c>
      <c r="EW385" s="58">
        <f>IFERROR($BL385/$BL386-1,"")</f>
        <v/>
      </c>
      <c r="EX385" s="58">
        <f>IFERROR($BM385/$BM386-1,"")</f>
        <v/>
      </c>
      <c r="EY385" s="58">
        <f>IFERROR($BN385/$BN386-1,"")</f>
        <v/>
      </c>
      <c r="EZ385" s="58">
        <f>IFERROR($BO385/$BO386-1,"")</f>
        <v/>
      </c>
      <c r="FA385" s="58">
        <f>IFERROR($BP385/$BP386-1,"")</f>
        <v/>
      </c>
      <c r="FB385" s="58">
        <f>IFERROR($BQ385/$BQ386-1,"")</f>
        <v/>
      </c>
      <c r="FC385" s="58">
        <f>IFERROR($BR385/$BR386-1,"")</f>
        <v/>
      </c>
      <c r="FD385" s="58">
        <f>IFERROR($BS385/$BS386-1,"")</f>
        <v/>
      </c>
      <c r="FE385" s="58">
        <f>IFERROR($BT385/$BT386-1,"")</f>
        <v/>
      </c>
      <c r="FF385" s="58">
        <f>IFERROR($BU385/$BU386-1,"")</f>
        <v/>
      </c>
      <c r="FG385" s="58">
        <f>IFERROR($BV385/$BV386-1,"")</f>
        <v/>
      </c>
      <c r="FH385" s="58">
        <f>IFERROR($BW385/$BW386-1,"")</f>
        <v/>
      </c>
      <c r="FI385" s="58">
        <f>IFERROR($BX385/$BX386-1,"")</f>
        <v/>
      </c>
      <c r="FJ385" s="59">
        <f>$BY385-$BY386</f>
        <v/>
      </c>
      <c r="FK385" s="59">
        <f>$BZ385-$BZ386</f>
        <v/>
      </c>
      <c r="FL385" s="59">
        <f>$CA385-$CA386</f>
        <v/>
      </c>
      <c r="FM385" s="59">
        <f>$CB385-$CB386</f>
        <v/>
      </c>
      <c r="FN385" s="59">
        <f>$CC385-$CC386</f>
        <v/>
      </c>
      <c r="FO385" s="59">
        <f>$CD385-$CD386</f>
        <v/>
      </c>
      <c r="FP385" s="59">
        <f>$CE385-$CE386</f>
        <v/>
      </c>
      <c r="FQ385" s="59">
        <f>$CF385-$CF386</f>
        <v/>
      </c>
      <c r="FR385" s="59">
        <f>$CG385-$CG386</f>
        <v/>
      </c>
      <c r="FS385" s="59">
        <f>$CH385-$CH386</f>
        <v/>
      </c>
      <c r="FT385" s="59">
        <f>$CI385-$CI386</f>
        <v/>
      </c>
      <c r="FU385" s="59">
        <f>$CJ385-$CJ386</f>
        <v/>
      </c>
      <c r="FV385" s="59">
        <f>$CK385-$CK386</f>
        <v/>
      </c>
      <c r="FW385" s="59">
        <f>$CL385-$CL386</f>
        <v/>
      </c>
      <c r="FX385" s="59">
        <f>$CM385-$CM386</f>
        <v/>
      </c>
      <c r="FY385" s="59">
        <f>$CN385-$CN386</f>
        <v/>
      </c>
      <c r="FZ385" s="59">
        <f>$CO385-$CO386</f>
        <v/>
      </c>
      <c r="GA385" s="59">
        <f>$CP385-$CP386</f>
        <v/>
      </c>
      <c r="GB385" s="59">
        <f>$CQ385-$CQ386</f>
        <v/>
      </c>
      <c r="GC385" s="59">
        <f>$CR385-$CR386</f>
        <v/>
      </c>
      <c r="GD385" s="59">
        <f>$CS385-$CS386</f>
        <v/>
      </c>
      <c r="GE385" s="59">
        <f>$CT385-$CT386</f>
        <v/>
      </c>
    </row>
    <row r="386">
      <c r="CU386" s="58">
        <f>IFERROR($B386/$B387-1,"")</f>
        <v/>
      </c>
      <c r="CV386" s="59">
        <f>($F386-$F387)*100</f>
        <v/>
      </c>
      <c r="CW386" s="59">
        <f>($E386-$E387)*100</f>
        <v/>
      </c>
      <c r="CX386" s="58">
        <f>IFERROR($K386/$K387-1,"")</f>
        <v/>
      </c>
      <c r="CY386" s="59">
        <f>($AH386-$AH387)*100</f>
        <v/>
      </c>
      <c r="CZ386" s="59">
        <f>($AI386-$AI387)*100</f>
        <v/>
      </c>
      <c r="DA386" s="59">
        <f>($AJ386-$AJ387)*100</f>
        <v/>
      </c>
      <c r="DB386" s="59">
        <f>($AK386-$AK387)*100</f>
        <v/>
      </c>
      <c r="DC386" s="59">
        <f>($AL386-$AL387)*100</f>
        <v/>
      </c>
      <c r="DD386" s="59">
        <f>($AM386-$AM387)*100</f>
        <v/>
      </c>
      <c r="DE386" s="59">
        <f>($AN386-$AN387)*100</f>
        <v/>
      </c>
      <c r="DF386" s="59">
        <f>($AO386-$AO387)*100</f>
        <v/>
      </c>
      <c r="DG386" s="59">
        <f>($AP386-$AP387)*100</f>
        <v/>
      </c>
      <c r="DH386" s="59">
        <f>($AQ386-$AQ387)*100</f>
        <v/>
      </c>
      <c r="DI386" s="59">
        <f>($AR386-$AR387)*100</f>
        <v/>
      </c>
      <c r="DJ386" s="59">
        <f>($AS386-$AS387)*100</f>
        <v/>
      </c>
      <c r="DK386" s="59">
        <f>($AT386-$AT387)*100</f>
        <v/>
      </c>
      <c r="DL386" s="59">
        <f>($AU386-$AU387)*100</f>
        <v/>
      </c>
      <c r="DM386" s="59">
        <f>($AV386-$AV387)*100</f>
        <v/>
      </c>
      <c r="DN386" s="59">
        <f>($AW386-$AW387)*100</f>
        <v/>
      </c>
      <c r="DO386" s="59">
        <f>($AX386-$AX387)*100</f>
        <v/>
      </c>
      <c r="DP386" s="59">
        <f>($AY386-$AY387)*100</f>
        <v/>
      </c>
      <c r="DQ386" s="59">
        <f>($AZ386-$AZ387)*100</f>
        <v/>
      </c>
      <c r="DR386" s="59">
        <f>($BA386-$BA387)*100</f>
        <v/>
      </c>
      <c r="DS386" s="58">
        <f>IFERROR($N387/$N386-1,"")</f>
        <v/>
      </c>
      <c r="DT386" s="58">
        <f>IFERROR($O387/$O386-1,"")</f>
        <v/>
      </c>
      <c r="DU386" s="58">
        <f>IFERROR($P387/$P386-1,"")</f>
        <v/>
      </c>
      <c r="DV386" s="58">
        <f>IFERROR($Q387/$Q386-1,"")</f>
        <v/>
      </c>
      <c r="DW386" s="58">
        <f>IFERROR($R387/$R386-1,"")</f>
        <v/>
      </c>
      <c r="DX386" s="58">
        <f>IFERROR($S387/$S386-1,"")</f>
        <v/>
      </c>
      <c r="DY386" s="58">
        <f>IFERROR($T387/$T386-1,"")</f>
        <v/>
      </c>
      <c r="DZ386" s="58">
        <f>IFERROR($U387/$U386-1,"")</f>
        <v/>
      </c>
      <c r="EA386" s="58">
        <f>IFERROR($V387/$V386-1,"")</f>
        <v/>
      </c>
      <c r="EB386" s="58">
        <f>IFERROR($W387/$W386-1,"")</f>
        <v/>
      </c>
      <c r="EC386" s="58">
        <f>IFERROR($X387/$X386-1,"")</f>
        <v/>
      </c>
      <c r="ED386" s="58">
        <f>IFERROR($Y387/$Y386-1,"")</f>
        <v/>
      </c>
      <c r="EE386" s="58">
        <f>IFERROR($Z387/$Z386-1,"")</f>
        <v/>
      </c>
      <c r="EF386" s="58">
        <f>IFERROR($AA387/$AA386-1,"")</f>
        <v/>
      </c>
      <c r="EG386" s="58">
        <f>IFERROR($AB387/$AB386-1,"")</f>
        <v/>
      </c>
      <c r="EH386" s="58">
        <f>IFERROR($AC387/$AC386-1,"")</f>
        <v/>
      </c>
      <c r="EI386" s="58">
        <f>IFERROR($AD387/$AD386-1,"")</f>
        <v/>
      </c>
      <c r="EJ386" s="58">
        <f>IFERROR($AE387/$AE386-1,"")</f>
        <v/>
      </c>
      <c r="EK386" s="58">
        <f>IFERROR($AF387/$AF386-1,"")</f>
        <v/>
      </c>
      <c r="EL386" s="58">
        <f>IFERROR($AG387/$AG386-1,"")</f>
        <v/>
      </c>
      <c r="EM386" s="58">
        <f>IFERROR($BB386/$BB387-1,"")</f>
        <v/>
      </c>
      <c r="EN386" s="58">
        <f>IFERROR($BC386/$BC387-1,"")</f>
        <v/>
      </c>
      <c r="EO386" s="58">
        <f>IFERROR($BD386/$BD387-1,"")</f>
        <v/>
      </c>
      <c r="EP386" s="58">
        <f>IFERROR($BE386/$BE387-1,"")</f>
        <v/>
      </c>
      <c r="EQ386" s="58">
        <f>IFERROR($BF386/$BF387-1,"")</f>
        <v/>
      </c>
      <c r="ER386" s="58">
        <f>IFERROR($BG386/$BG387-1,"")</f>
        <v/>
      </c>
      <c r="ES386" s="58">
        <f>IFERROR($BH386/$BH387-1,"")</f>
        <v/>
      </c>
      <c r="ET386" s="58">
        <f>IFERROR($BI386/$BI387-1,"")</f>
        <v/>
      </c>
      <c r="EU386" s="58">
        <f>IFERROR($BJ386/$BJ387-1,"")</f>
        <v/>
      </c>
      <c r="EV386" s="58">
        <f>IFERROR($BK386/$BK387-1,"")</f>
        <v/>
      </c>
      <c r="EW386" s="58">
        <f>IFERROR($BL386/$BL387-1,"")</f>
        <v/>
      </c>
      <c r="EX386" s="58">
        <f>IFERROR($BM386/$BM387-1,"")</f>
        <v/>
      </c>
      <c r="EY386" s="58">
        <f>IFERROR($BN386/$BN387-1,"")</f>
        <v/>
      </c>
      <c r="EZ386" s="58">
        <f>IFERROR($BO386/$BO387-1,"")</f>
        <v/>
      </c>
      <c r="FA386" s="58">
        <f>IFERROR($BP386/$BP387-1,"")</f>
        <v/>
      </c>
      <c r="FB386" s="58">
        <f>IFERROR($BQ386/$BQ387-1,"")</f>
        <v/>
      </c>
      <c r="FC386" s="58">
        <f>IFERROR($BR386/$BR387-1,"")</f>
        <v/>
      </c>
      <c r="FD386" s="58">
        <f>IFERROR($BS386/$BS387-1,"")</f>
        <v/>
      </c>
      <c r="FE386" s="58">
        <f>IFERROR($BT386/$BT387-1,"")</f>
        <v/>
      </c>
      <c r="FF386" s="58">
        <f>IFERROR($BU386/$BU387-1,"")</f>
        <v/>
      </c>
      <c r="FG386" s="58">
        <f>IFERROR($BV386/$BV387-1,"")</f>
        <v/>
      </c>
      <c r="FH386" s="58">
        <f>IFERROR($BW386/$BW387-1,"")</f>
        <v/>
      </c>
      <c r="FI386" s="58">
        <f>IFERROR($BX386/$BX387-1,"")</f>
        <v/>
      </c>
      <c r="FJ386" s="59">
        <f>$BY386-$BY387</f>
        <v/>
      </c>
      <c r="FK386" s="59">
        <f>$BZ386-$BZ387</f>
        <v/>
      </c>
      <c r="FL386" s="59">
        <f>$CA386-$CA387</f>
        <v/>
      </c>
      <c r="FM386" s="59">
        <f>$CB386-$CB387</f>
        <v/>
      </c>
      <c r="FN386" s="59">
        <f>$CC386-$CC387</f>
        <v/>
      </c>
      <c r="FO386" s="59">
        <f>$CD386-$CD387</f>
        <v/>
      </c>
      <c r="FP386" s="59">
        <f>$CE386-$CE387</f>
        <v/>
      </c>
      <c r="FQ386" s="59">
        <f>$CF386-$CF387</f>
        <v/>
      </c>
      <c r="FR386" s="59">
        <f>$CG386-$CG387</f>
        <v/>
      </c>
      <c r="FS386" s="59">
        <f>$CH386-$CH387</f>
        <v/>
      </c>
      <c r="FT386" s="59">
        <f>$CI386-$CI387</f>
        <v/>
      </c>
      <c r="FU386" s="59">
        <f>$CJ386-$CJ387</f>
        <v/>
      </c>
      <c r="FV386" s="59">
        <f>$CK386-$CK387</f>
        <v/>
      </c>
      <c r="FW386" s="59">
        <f>$CL386-$CL387</f>
        <v/>
      </c>
      <c r="FX386" s="59">
        <f>$CM386-$CM387</f>
        <v/>
      </c>
      <c r="FY386" s="59">
        <f>$CN386-$CN387</f>
        <v/>
      </c>
      <c r="FZ386" s="59">
        <f>$CO386-$CO387</f>
        <v/>
      </c>
      <c r="GA386" s="59">
        <f>$CP386-$CP387</f>
        <v/>
      </c>
      <c r="GB386" s="59">
        <f>$CQ386-$CQ387</f>
        <v/>
      </c>
      <c r="GC386" s="59">
        <f>$CR386-$CR387</f>
        <v/>
      </c>
      <c r="GD386" s="59">
        <f>$CS386-$CS387</f>
        <v/>
      </c>
      <c r="GE386" s="59">
        <f>$CT386-$CT387</f>
        <v/>
      </c>
    </row>
    <row r="387">
      <c r="CU387" s="58">
        <f>IFERROR($B387/$B388-1,"")</f>
        <v/>
      </c>
      <c r="CV387" s="59">
        <f>($F387-$F388)*100</f>
        <v/>
      </c>
      <c r="CW387" s="59">
        <f>($E387-$E388)*100</f>
        <v/>
      </c>
      <c r="CX387" s="58">
        <f>IFERROR($K387/$K388-1,"")</f>
        <v/>
      </c>
      <c r="CY387" s="59">
        <f>($AH387-$AH388)*100</f>
        <v/>
      </c>
      <c r="CZ387" s="59">
        <f>($AI387-$AI388)*100</f>
        <v/>
      </c>
      <c r="DA387" s="59">
        <f>($AJ387-$AJ388)*100</f>
        <v/>
      </c>
      <c r="DB387" s="59">
        <f>($AK387-$AK388)*100</f>
        <v/>
      </c>
      <c r="DC387" s="59">
        <f>($AL387-$AL388)*100</f>
        <v/>
      </c>
      <c r="DD387" s="59">
        <f>($AM387-$AM388)*100</f>
        <v/>
      </c>
      <c r="DE387" s="59">
        <f>($AN387-$AN388)*100</f>
        <v/>
      </c>
      <c r="DF387" s="59">
        <f>($AO387-$AO388)*100</f>
        <v/>
      </c>
      <c r="DG387" s="59">
        <f>($AP387-$AP388)*100</f>
        <v/>
      </c>
      <c r="DH387" s="59">
        <f>($AQ387-$AQ388)*100</f>
        <v/>
      </c>
      <c r="DI387" s="59">
        <f>($AR387-$AR388)*100</f>
        <v/>
      </c>
      <c r="DJ387" s="59">
        <f>($AS387-$AS388)*100</f>
        <v/>
      </c>
      <c r="DK387" s="59">
        <f>($AT387-$AT388)*100</f>
        <v/>
      </c>
      <c r="DL387" s="59">
        <f>($AU387-$AU388)*100</f>
        <v/>
      </c>
      <c r="DM387" s="59">
        <f>($AV387-$AV388)*100</f>
        <v/>
      </c>
      <c r="DN387" s="59">
        <f>($AW387-$AW388)*100</f>
        <v/>
      </c>
      <c r="DO387" s="59">
        <f>($AX387-$AX388)*100</f>
        <v/>
      </c>
      <c r="DP387" s="59">
        <f>($AY387-$AY388)*100</f>
        <v/>
      </c>
      <c r="DQ387" s="59">
        <f>($AZ387-$AZ388)*100</f>
        <v/>
      </c>
      <c r="DR387" s="59">
        <f>($BA387-$BA388)*100</f>
        <v/>
      </c>
      <c r="DS387" s="58">
        <f>IFERROR($N388/$N387-1,"")</f>
        <v/>
      </c>
      <c r="DT387" s="58">
        <f>IFERROR($O388/$O387-1,"")</f>
        <v/>
      </c>
      <c r="DU387" s="58">
        <f>IFERROR($P388/$P387-1,"")</f>
        <v/>
      </c>
      <c r="DV387" s="58">
        <f>IFERROR($Q388/$Q387-1,"")</f>
        <v/>
      </c>
      <c r="DW387" s="58">
        <f>IFERROR($R388/$R387-1,"")</f>
        <v/>
      </c>
      <c r="DX387" s="58">
        <f>IFERROR($S388/$S387-1,"")</f>
        <v/>
      </c>
      <c r="DY387" s="58">
        <f>IFERROR($T388/$T387-1,"")</f>
        <v/>
      </c>
      <c r="DZ387" s="58">
        <f>IFERROR($U388/$U387-1,"")</f>
        <v/>
      </c>
      <c r="EA387" s="58">
        <f>IFERROR($V388/$V387-1,"")</f>
        <v/>
      </c>
      <c r="EB387" s="58">
        <f>IFERROR($W388/$W387-1,"")</f>
        <v/>
      </c>
      <c r="EC387" s="58">
        <f>IFERROR($X388/$X387-1,"")</f>
        <v/>
      </c>
      <c r="ED387" s="58">
        <f>IFERROR($Y388/$Y387-1,"")</f>
        <v/>
      </c>
      <c r="EE387" s="58">
        <f>IFERROR($Z388/$Z387-1,"")</f>
        <v/>
      </c>
      <c r="EF387" s="58">
        <f>IFERROR($AA388/$AA387-1,"")</f>
        <v/>
      </c>
      <c r="EG387" s="58">
        <f>IFERROR($AB388/$AB387-1,"")</f>
        <v/>
      </c>
      <c r="EH387" s="58">
        <f>IFERROR($AC388/$AC387-1,"")</f>
        <v/>
      </c>
      <c r="EI387" s="58">
        <f>IFERROR($AD388/$AD387-1,"")</f>
        <v/>
      </c>
      <c r="EJ387" s="58">
        <f>IFERROR($AE388/$AE387-1,"")</f>
        <v/>
      </c>
      <c r="EK387" s="58">
        <f>IFERROR($AF388/$AF387-1,"")</f>
        <v/>
      </c>
      <c r="EL387" s="58">
        <f>IFERROR($AG388/$AG387-1,"")</f>
        <v/>
      </c>
      <c r="EM387" s="58">
        <f>IFERROR($BB387/$BB388-1,"")</f>
        <v/>
      </c>
      <c r="EN387" s="58">
        <f>IFERROR($BC387/$BC388-1,"")</f>
        <v/>
      </c>
      <c r="EO387" s="58">
        <f>IFERROR($BD387/$BD388-1,"")</f>
        <v/>
      </c>
      <c r="EP387" s="58">
        <f>IFERROR($BE387/$BE388-1,"")</f>
        <v/>
      </c>
      <c r="EQ387" s="58">
        <f>IFERROR($BF387/$BF388-1,"")</f>
        <v/>
      </c>
      <c r="ER387" s="58">
        <f>IFERROR($BG387/$BG388-1,"")</f>
        <v/>
      </c>
      <c r="ES387" s="58">
        <f>IFERROR($BH387/$BH388-1,"")</f>
        <v/>
      </c>
      <c r="ET387" s="58">
        <f>IFERROR($BI387/$BI388-1,"")</f>
        <v/>
      </c>
      <c r="EU387" s="58">
        <f>IFERROR($BJ387/$BJ388-1,"")</f>
        <v/>
      </c>
      <c r="EV387" s="58">
        <f>IFERROR($BK387/$BK388-1,"")</f>
        <v/>
      </c>
      <c r="EW387" s="58">
        <f>IFERROR($BL387/$BL388-1,"")</f>
        <v/>
      </c>
      <c r="EX387" s="58">
        <f>IFERROR($BM387/$BM388-1,"")</f>
        <v/>
      </c>
      <c r="EY387" s="58">
        <f>IFERROR($BN387/$BN388-1,"")</f>
        <v/>
      </c>
      <c r="EZ387" s="58">
        <f>IFERROR($BO387/$BO388-1,"")</f>
        <v/>
      </c>
      <c r="FA387" s="58">
        <f>IFERROR($BP387/$BP388-1,"")</f>
        <v/>
      </c>
      <c r="FB387" s="58">
        <f>IFERROR($BQ387/$BQ388-1,"")</f>
        <v/>
      </c>
      <c r="FC387" s="58">
        <f>IFERROR($BR387/$BR388-1,"")</f>
        <v/>
      </c>
      <c r="FD387" s="58">
        <f>IFERROR($BS387/$BS388-1,"")</f>
        <v/>
      </c>
      <c r="FE387" s="58">
        <f>IFERROR($BT387/$BT388-1,"")</f>
        <v/>
      </c>
      <c r="FF387" s="58">
        <f>IFERROR($BU387/$BU388-1,"")</f>
        <v/>
      </c>
      <c r="FG387" s="58">
        <f>IFERROR($BV387/$BV388-1,"")</f>
        <v/>
      </c>
      <c r="FH387" s="58">
        <f>IFERROR($BW387/$BW388-1,"")</f>
        <v/>
      </c>
      <c r="FI387" s="58">
        <f>IFERROR($BX387/$BX388-1,"")</f>
        <v/>
      </c>
      <c r="FJ387" s="59">
        <f>$BY387-$BY388</f>
        <v/>
      </c>
      <c r="FK387" s="59">
        <f>$BZ387-$BZ388</f>
        <v/>
      </c>
      <c r="FL387" s="59">
        <f>$CA387-$CA388</f>
        <v/>
      </c>
      <c r="FM387" s="59">
        <f>$CB387-$CB388</f>
        <v/>
      </c>
      <c r="FN387" s="59">
        <f>$CC387-$CC388</f>
        <v/>
      </c>
      <c r="FO387" s="59">
        <f>$CD387-$CD388</f>
        <v/>
      </c>
      <c r="FP387" s="59">
        <f>$CE387-$CE388</f>
        <v/>
      </c>
      <c r="FQ387" s="59">
        <f>$CF387-$CF388</f>
        <v/>
      </c>
      <c r="FR387" s="59">
        <f>$CG387-$CG388</f>
        <v/>
      </c>
      <c r="FS387" s="59">
        <f>$CH387-$CH388</f>
        <v/>
      </c>
      <c r="FT387" s="59">
        <f>$CI387-$CI388</f>
        <v/>
      </c>
      <c r="FU387" s="59">
        <f>$CJ387-$CJ388</f>
        <v/>
      </c>
      <c r="FV387" s="59">
        <f>$CK387-$CK388</f>
        <v/>
      </c>
      <c r="FW387" s="59">
        <f>$CL387-$CL388</f>
        <v/>
      </c>
      <c r="FX387" s="59">
        <f>$CM387-$CM388</f>
        <v/>
      </c>
      <c r="FY387" s="59">
        <f>$CN387-$CN388</f>
        <v/>
      </c>
      <c r="FZ387" s="59">
        <f>$CO387-$CO388</f>
        <v/>
      </c>
      <c r="GA387" s="59">
        <f>$CP387-$CP388</f>
        <v/>
      </c>
      <c r="GB387" s="59">
        <f>$CQ387-$CQ388</f>
        <v/>
      </c>
      <c r="GC387" s="59">
        <f>$CR387-$CR388</f>
        <v/>
      </c>
      <c r="GD387" s="59">
        <f>$CS387-$CS388</f>
        <v/>
      </c>
      <c r="GE387" s="59">
        <f>$CT387-$CT388</f>
        <v/>
      </c>
    </row>
    <row r="388">
      <c r="CU388" s="58">
        <f>IFERROR($B388/$B389-1,"")</f>
        <v/>
      </c>
      <c r="CV388" s="59">
        <f>($F388-$F389)*100</f>
        <v/>
      </c>
      <c r="CW388" s="59">
        <f>($E388-$E389)*100</f>
        <v/>
      </c>
      <c r="CX388" s="58">
        <f>IFERROR($K388/$K389-1,"")</f>
        <v/>
      </c>
      <c r="CY388" s="59">
        <f>($AH388-$AH389)*100</f>
        <v/>
      </c>
      <c r="CZ388" s="59">
        <f>($AI388-$AI389)*100</f>
        <v/>
      </c>
      <c r="DA388" s="59">
        <f>($AJ388-$AJ389)*100</f>
        <v/>
      </c>
      <c r="DB388" s="59">
        <f>($AK388-$AK389)*100</f>
        <v/>
      </c>
      <c r="DC388" s="59">
        <f>($AL388-$AL389)*100</f>
        <v/>
      </c>
      <c r="DD388" s="59">
        <f>($AM388-$AM389)*100</f>
        <v/>
      </c>
      <c r="DE388" s="59">
        <f>($AN388-$AN389)*100</f>
        <v/>
      </c>
      <c r="DF388" s="59">
        <f>($AO388-$AO389)*100</f>
        <v/>
      </c>
      <c r="DG388" s="59">
        <f>($AP388-$AP389)*100</f>
        <v/>
      </c>
      <c r="DH388" s="59">
        <f>($AQ388-$AQ389)*100</f>
        <v/>
      </c>
      <c r="DI388" s="59">
        <f>($AR388-$AR389)*100</f>
        <v/>
      </c>
      <c r="DJ388" s="59">
        <f>($AS388-$AS389)*100</f>
        <v/>
      </c>
      <c r="DK388" s="59">
        <f>($AT388-$AT389)*100</f>
        <v/>
      </c>
      <c r="DL388" s="59">
        <f>($AU388-$AU389)*100</f>
        <v/>
      </c>
      <c r="DM388" s="59">
        <f>($AV388-$AV389)*100</f>
        <v/>
      </c>
      <c r="DN388" s="59">
        <f>($AW388-$AW389)*100</f>
        <v/>
      </c>
      <c r="DO388" s="59">
        <f>($AX388-$AX389)*100</f>
        <v/>
      </c>
      <c r="DP388" s="59">
        <f>($AY388-$AY389)*100</f>
        <v/>
      </c>
      <c r="DQ388" s="59">
        <f>($AZ388-$AZ389)*100</f>
        <v/>
      </c>
      <c r="DR388" s="59">
        <f>($BA388-$BA389)*100</f>
        <v/>
      </c>
      <c r="DS388" s="58">
        <f>IFERROR($N389/$N388-1,"")</f>
        <v/>
      </c>
      <c r="DT388" s="58">
        <f>IFERROR($O389/$O388-1,"")</f>
        <v/>
      </c>
      <c r="DU388" s="58">
        <f>IFERROR($P389/$P388-1,"")</f>
        <v/>
      </c>
      <c r="DV388" s="58">
        <f>IFERROR($Q389/$Q388-1,"")</f>
        <v/>
      </c>
      <c r="DW388" s="58">
        <f>IFERROR($R389/$R388-1,"")</f>
        <v/>
      </c>
      <c r="DX388" s="58">
        <f>IFERROR($S389/$S388-1,"")</f>
        <v/>
      </c>
      <c r="DY388" s="58">
        <f>IFERROR($T389/$T388-1,"")</f>
        <v/>
      </c>
      <c r="DZ388" s="58">
        <f>IFERROR($U389/$U388-1,"")</f>
        <v/>
      </c>
      <c r="EA388" s="58">
        <f>IFERROR($V389/$V388-1,"")</f>
        <v/>
      </c>
      <c r="EB388" s="58">
        <f>IFERROR($W389/$W388-1,"")</f>
        <v/>
      </c>
      <c r="EC388" s="58">
        <f>IFERROR($X389/$X388-1,"")</f>
        <v/>
      </c>
      <c r="ED388" s="58">
        <f>IFERROR($Y389/$Y388-1,"")</f>
        <v/>
      </c>
      <c r="EE388" s="58">
        <f>IFERROR($Z389/$Z388-1,"")</f>
        <v/>
      </c>
      <c r="EF388" s="58">
        <f>IFERROR($AA389/$AA388-1,"")</f>
        <v/>
      </c>
      <c r="EG388" s="58">
        <f>IFERROR($AB389/$AB388-1,"")</f>
        <v/>
      </c>
      <c r="EH388" s="58">
        <f>IFERROR($AC389/$AC388-1,"")</f>
        <v/>
      </c>
      <c r="EI388" s="58">
        <f>IFERROR($AD389/$AD388-1,"")</f>
        <v/>
      </c>
      <c r="EJ388" s="58">
        <f>IFERROR($AE389/$AE388-1,"")</f>
        <v/>
      </c>
      <c r="EK388" s="58">
        <f>IFERROR($AF389/$AF388-1,"")</f>
        <v/>
      </c>
      <c r="EL388" s="58">
        <f>IFERROR($AG389/$AG388-1,"")</f>
        <v/>
      </c>
      <c r="EM388" s="58">
        <f>IFERROR($BB388/$BB389-1,"")</f>
        <v/>
      </c>
      <c r="EN388" s="58">
        <f>IFERROR($BC388/$BC389-1,"")</f>
        <v/>
      </c>
      <c r="EO388" s="58">
        <f>IFERROR($BD388/$BD389-1,"")</f>
        <v/>
      </c>
      <c r="EP388" s="58">
        <f>IFERROR($BE388/$BE389-1,"")</f>
        <v/>
      </c>
      <c r="EQ388" s="58">
        <f>IFERROR($BF388/$BF389-1,"")</f>
        <v/>
      </c>
      <c r="ER388" s="58">
        <f>IFERROR($BG388/$BG389-1,"")</f>
        <v/>
      </c>
      <c r="ES388" s="58">
        <f>IFERROR($BH388/$BH389-1,"")</f>
        <v/>
      </c>
      <c r="ET388" s="58">
        <f>IFERROR($BI388/$BI389-1,"")</f>
        <v/>
      </c>
      <c r="EU388" s="58">
        <f>IFERROR($BJ388/$BJ389-1,"")</f>
        <v/>
      </c>
      <c r="EV388" s="58">
        <f>IFERROR($BK388/$BK389-1,"")</f>
        <v/>
      </c>
      <c r="EW388" s="58">
        <f>IFERROR($BL388/$BL389-1,"")</f>
        <v/>
      </c>
      <c r="EX388" s="58">
        <f>IFERROR($BM388/$BM389-1,"")</f>
        <v/>
      </c>
      <c r="EY388" s="58">
        <f>IFERROR($BN388/$BN389-1,"")</f>
        <v/>
      </c>
      <c r="EZ388" s="58">
        <f>IFERROR($BO388/$BO389-1,"")</f>
        <v/>
      </c>
      <c r="FA388" s="58">
        <f>IFERROR($BP388/$BP389-1,"")</f>
        <v/>
      </c>
      <c r="FB388" s="58">
        <f>IFERROR($BQ388/$BQ389-1,"")</f>
        <v/>
      </c>
      <c r="FC388" s="58">
        <f>IFERROR($BR388/$BR389-1,"")</f>
        <v/>
      </c>
      <c r="FD388" s="58">
        <f>IFERROR($BS388/$BS389-1,"")</f>
        <v/>
      </c>
      <c r="FE388" s="58">
        <f>IFERROR($BT388/$BT389-1,"")</f>
        <v/>
      </c>
      <c r="FF388" s="58">
        <f>IFERROR($BU388/$BU389-1,"")</f>
        <v/>
      </c>
      <c r="FG388" s="58">
        <f>IFERROR($BV388/$BV389-1,"")</f>
        <v/>
      </c>
      <c r="FH388" s="58">
        <f>IFERROR($BW388/$BW389-1,"")</f>
        <v/>
      </c>
      <c r="FI388" s="58">
        <f>IFERROR($BX388/$BX389-1,"")</f>
        <v/>
      </c>
      <c r="FJ388" s="59">
        <f>$BY388-$BY389</f>
        <v/>
      </c>
      <c r="FK388" s="59">
        <f>$BZ388-$BZ389</f>
        <v/>
      </c>
      <c r="FL388" s="59">
        <f>$CA388-$CA389</f>
        <v/>
      </c>
      <c r="FM388" s="59">
        <f>$CB388-$CB389</f>
        <v/>
      </c>
      <c r="FN388" s="59">
        <f>$CC388-$CC389</f>
        <v/>
      </c>
      <c r="FO388" s="59">
        <f>$CD388-$CD389</f>
        <v/>
      </c>
      <c r="FP388" s="59">
        <f>$CE388-$CE389</f>
        <v/>
      </c>
      <c r="FQ388" s="59">
        <f>$CF388-$CF389</f>
        <v/>
      </c>
      <c r="FR388" s="59">
        <f>$CG388-$CG389</f>
        <v/>
      </c>
      <c r="FS388" s="59">
        <f>$CH388-$CH389</f>
        <v/>
      </c>
      <c r="FT388" s="59">
        <f>$CI388-$CI389</f>
        <v/>
      </c>
      <c r="FU388" s="59">
        <f>$CJ388-$CJ389</f>
        <v/>
      </c>
      <c r="FV388" s="59">
        <f>$CK388-$CK389</f>
        <v/>
      </c>
      <c r="FW388" s="59">
        <f>$CL388-$CL389</f>
        <v/>
      </c>
      <c r="FX388" s="59">
        <f>$CM388-$CM389</f>
        <v/>
      </c>
      <c r="FY388" s="59">
        <f>$CN388-$CN389</f>
        <v/>
      </c>
      <c r="FZ388" s="59">
        <f>$CO388-$CO389</f>
        <v/>
      </c>
      <c r="GA388" s="59">
        <f>$CP388-$CP389</f>
        <v/>
      </c>
      <c r="GB388" s="59">
        <f>$CQ388-$CQ389</f>
        <v/>
      </c>
      <c r="GC388" s="59">
        <f>$CR388-$CR389</f>
        <v/>
      </c>
      <c r="GD388" s="59">
        <f>$CS388-$CS389</f>
        <v/>
      </c>
      <c r="GE388" s="59">
        <f>$CT388-$CT389</f>
        <v/>
      </c>
    </row>
    <row r="389">
      <c r="CU389" s="58">
        <f>IFERROR($B389/$B390-1,"")</f>
        <v/>
      </c>
      <c r="CV389" s="59">
        <f>($F389-$F390)*100</f>
        <v/>
      </c>
      <c r="CW389" s="59">
        <f>($E389-$E390)*100</f>
        <v/>
      </c>
      <c r="CX389" s="58">
        <f>IFERROR($K389/$K390-1,"")</f>
        <v/>
      </c>
      <c r="CY389" s="59">
        <f>($AH389-$AH390)*100</f>
        <v/>
      </c>
      <c r="CZ389" s="59">
        <f>($AI389-$AI390)*100</f>
        <v/>
      </c>
      <c r="DA389" s="59">
        <f>($AJ389-$AJ390)*100</f>
        <v/>
      </c>
      <c r="DB389" s="59">
        <f>($AK389-$AK390)*100</f>
        <v/>
      </c>
      <c r="DC389" s="59">
        <f>($AL389-$AL390)*100</f>
        <v/>
      </c>
      <c r="DD389" s="59">
        <f>($AM389-$AM390)*100</f>
        <v/>
      </c>
      <c r="DE389" s="59">
        <f>($AN389-$AN390)*100</f>
        <v/>
      </c>
      <c r="DF389" s="59">
        <f>($AO389-$AO390)*100</f>
        <v/>
      </c>
      <c r="DG389" s="59">
        <f>($AP389-$AP390)*100</f>
        <v/>
      </c>
      <c r="DH389" s="59">
        <f>($AQ389-$AQ390)*100</f>
        <v/>
      </c>
      <c r="DI389" s="59">
        <f>($AR389-$AR390)*100</f>
        <v/>
      </c>
      <c r="DJ389" s="59">
        <f>($AS389-$AS390)*100</f>
        <v/>
      </c>
      <c r="DK389" s="59">
        <f>($AT389-$AT390)*100</f>
        <v/>
      </c>
      <c r="DL389" s="59">
        <f>($AU389-$AU390)*100</f>
        <v/>
      </c>
      <c r="DM389" s="59">
        <f>($AV389-$AV390)*100</f>
        <v/>
      </c>
      <c r="DN389" s="59">
        <f>($AW389-$AW390)*100</f>
        <v/>
      </c>
      <c r="DO389" s="59">
        <f>($AX389-$AX390)*100</f>
        <v/>
      </c>
      <c r="DP389" s="59">
        <f>($AY389-$AY390)*100</f>
        <v/>
      </c>
      <c r="DQ389" s="59">
        <f>($AZ389-$AZ390)*100</f>
        <v/>
      </c>
      <c r="DR389" s="59">
        <f>($BA389-$BA390)*100</f>
        <v/>
      </c>
      <c r="DS389" s="58">
        <f>IFERROR($N390/$N389-1,"")</f>
        <v/>
      </c>
      <c r="DT389" s="58">
        <f>IFERROR($O390/$O389-1,"")</f>
        <v/>
      </c>
      <c r="DU389" s="58">
        <f>IFERROR($P390/$P389-1,"")</f>
        <v/>
      </c>
      <c r="DV389" s="58">
        <f>IFERROR($Q390/$Q389-1,"")</f>
        <v/>
      </c>
      <c r="DW389" s="58">
        <f>IFERROR($R390/$R389-1,"")</f>
        <v/>
      </c>
      <c r="DX389" s="58">
        <f>IFERROR($S390/$S389-1,"")</f>
        <v/>
      </c>
      <c r="DY389" s="58">
        <f>IFERROR($T390/$T389-1,"")</f>
        <v/>
      </c>
      <c r="DZ389" s="58">
        <f>IFERROR($U390/$U389-1,"")</f>
        <v/>
      </c>
      <c r="EA389" s="58">
        <f>IFERROR($V390/$V389-1,"")</f>
        <v/>
      </c>
      <c r="EB389" s="58">
        <f>IFERROR($W390/$W389-1,"")</f>
        <v/>
      </c>
      <c r="EC389" s="58">
        <f>IFERROR($X390/$X389-1,"")</f>
        <v/>
      </c>
      <c r="ED389" s="58">
        <f>IFERROR($Y390/$Y389-1,"")</f>
        <v/>
      </c>
      <c r="EE389" s="58">
        <f>IFERROR($Z390/$Z389-1,"")</f>
        <v/>
      </c>
      <c r="EF389" s="58">
        <f>IFERROR($AA390/$AA389-1,"")</f>
        <v/>
      </c>
      <c r="EG389" s="58">
        <f>IFERROR($AB390/$AB389-1,"")</f>
        <v/>
      </c>
      <c r="EH389" s="58">
        <f>IFERROR($AC390/$AC389-1,"")</f>
        <v/>
      </c>
      <c r="EI389" s="58">
        <f>IFERROR($AD390/$AD389-1,"")</f>
        <v/>
      </c>
      <c r="EJ389" s="58">
        <f>IFERROR($AE390/$AE389-1,"")</f>
        <v/>
      </c>
      <c r="EK389" s="58">
        <f>IFERROR($AF390/$AF389-1,"")</f>
        <v/>
      </c>
      <c r="EL389" s="58">
        <f>IFERROR($AG390/$AG389-1,"")</f>
        <v/>
      </c>
      <c r="EM389" s="58">
        <f>IFERROR($BB389/$BB390-1,"")</f>
        <v/>
      </c>
      <c r="EN389" s="58">
        <f>IFERROR($BC389/$BC390-1,"")</f>
        <v/>
      </c>
      <c r="EO389" s="58">
        <f>IFERROR($BD389/$BD390-1,"")</f>
        <v/>
      </c>
      <c r="EP389" s="58">
        <f>IFERROR($BE389/$BE390-1,"")</f>
        <v/>
      </c>
      <c r="EQ389" s="58">
        <f>IFERROR($BF389/$BF390-1,"")</f>
        <v/>
      </c>
      <c r="ER389" s="58">
        <f>IFERROR($BG389/$BG390-1,"")</f>
        <v/>
      </c>
      <c r="ES389" s="58">
        <f>IFERROR($BH389/$BH390-1,"")</f>
        <v/>
      </c>
      <c r="ET389" s="58">
        <f>IFERROR($BI389/$BI390-1,"")</f>
        <v/>
      </c>
      <c r="EU389" s="58">
        <f>IFERROR($BJ389/$BJ390-1,"")</f>
        <v/>
      </c>
      <c r="EV389" s="58">
        <f>IFERROR($BK389/$BK390-1,"")</f>
        <v/>
      </c>
      <c r="EW389" s="58">
        <f>IFERROR($BL389/$BL390-1,"")</f>
        <v/>
      </c>
      <c r="EX389" s="58">
        <f>IFERROR($BM389/$BM390-1,"")</f>
        <v/>
      </c>
      <c r="EY389" s="58">
        <f>IFERROR($BN389/$BN390-1,"")</f>
        <v/>
      </c>
      <c r="EZ389" s="58">
        <f>IFERROR($BO389/$BO390-1,"")</f>
        <v/>
      </c>
      <c r="FA389" s="58">
        <f>IFERROR($BP389/$BP390-1,"")</f>
        <v/>
      </c>
      <c r="FB389" s="58">
        <f>IFERROR($BQ389/$BQ390-1,"")</f>
        <v/>
      </c>
      <c r="FC389" s="58">
        <f>IFERROR($BR389/$BR390-1,"")</f>
        <v/>
      </c>
      <c r="FD389" s="58">
        <f>IFERROR($BS389/$BS390-1,"")</f>
        <v/>
      </c>
      <c r="FE389" s="58">
        <f>IFERROR($BT389/$BT390-1,"")</f>
        <v/>
      </c>
      <c r="FF389" s="58">
        <f>IFERROR($BU389/$BU390-1,"")</f>
        <v/>
      </c>
      <c r="FG389" s="58">
        <f>IFERROR($BV389/$BV390-1,"")</f>
        <v/>
      </c>
      <c r="FH389" s="58">
        <f>IFERROR($BW389/$BW390-1,"")</f>
        <v/>
      </c>
      <c r="FI389" s="58">
        <f>IFERROR($BX389/$BX390-1,"")</f>
        <v/>
      </c>
      <c r="FJ389" s="59">
        <f>$BY389-$BY390</f>
        <v/>
      </c>
      <c r="FK389" s="59">
        <f>$BZ389-$BZ390</f>
        <v/>
      </c>
      <c r="FL389" s="59">
        <f>$CA389-$CA390</f>
        <v/>
      </c>
      <c r="FM389" s="59">
        <f>$CB389-$CB390</f>
        <v/>
      </c>
      <c r="FN389" s="59">
        <f>$CC389-$CC390</f>
        <v/>
      </c>
      <c r="FO389" s="59">
        <f>$CD389-$CD390</f>
        <v/>
      </c>
      <c r="FP389" s="59">
        <f>$CE389-$CE390</f>
        <v/>
      </c>
      <c r="FQ389" s="59">
        <f>$CF389-$CF390</f>
        <v/>
      </c>
      <c r="FR389" s="59">
        <f>$CG389-$CG390</f>
        <v/>
      </c>
      <c r="FS389" s="59">
        <f>$CH389-$CH390</f>
        <v/>
      </c>
      <c r="FT389" s="59">
        <f>$CI389-$CI390</f>
        <v/>
      </c>
      <c r="FU389" s="59">
        <f>$CJ389-$CJ390</f>
        <v/>
      </c>
      <c r="FV389" s="59">
        <f>$CK389-$CK390</f>
        <v/>
      </c>
      <c r="FW389" s="59">
        <f>$CL389-$CL390</f>
        <v/>
      </c>
      <c r="FX389" s="59">
        <f>$CM389-$CM390</f>
        <v/>
      </c>
      <c r="FY389" s="59">
        <f>$CN389-$CN390</f>
        <v/>
      </c>
      <c r="FZ389" s="59">
        <f>$CO389-$CO390</f>
        <v/>
      </c>
      <c r="GA389" s="59">
        <f>$CP389-$CP390</f>
        <v/>
      </c>
      <c r="GB389" s="59">
        <f>$CQ389-$CQ390</f>
        <v/>
      </c>
      <c r="GC389" s="59">
        <f>$CR389-$CR390</f>
        <v/>
      </c>
      <c r="GD389" s="59">
        <f>$CS389-$CS390</f>
        <v/>
      </c>
      <c r="GE389" s="59">
        <f>$CT389-$CT390</f>
        <v/>
      </c>
    </row>
    <row r="390">
      <c r="CU390" s="58">
        <f>IFERROR($B390/$B391-1,"")</f>
        <v/>
      </c>
      <c r="CV390" s="59">
        <f>($F390-$F391)*100</f>
        <v/>
      </c>
      <c r="CW390" s="59">
        <f>($E390-$E391)*100</f>
        <v/>
      </c>
      <c r="CX390" s="58">
        <f>IFERROR($K390/$K391-1,"")</f>
        <v/>
      </c>
      <c r="CY390" s="59">
        <f>($AH390-$AH391)*100</f>
        <v/>
      </c>
      <c r="CZ390" s="59">
        <f>($AI390-$AI391)*100</f>
        <v/>
      </c>
      <c r="DA390" s="59">
        <f>($AJ390-$AJ391)*100</f>
        <v/>
      </c>
      <c r="DB390" s="59">
        <f>($AK390-$AK391)*100</f>
        <v/>
      </c>
      <c r="DC390" s="59">
        <f>($AL390-$AL391)*100</f>
        <v/>
      </c>
      <c r="DD390" s="59">
        <f>($AM390-$AM391)*100</f>
        <v/>
      </c>
      <c r="DE390" s="59">
        <f>($AN390-$AN391)*100</f>
        <v/>
      </c>
      <c r="DF390" s="59">
        <f>($AO390-$AO391)*100</f>
        <v/>
      </c>
      <c r="DG390" s="59">
        <f>($AP390-$AP391)*100</f>
        <v/>
      </c>
      <c r="DH390" s="59">
        <f>($AQ390-$AQ391)*100</f>
        <v/>
      </c>
      <c r="DI390" s="59">
        <f>($AR390-$AR391)*100</f>
        <v/>
      </c>
      <c r="DJ390" s="59">
        <f>($AS390-$AS391)*100</f>
        <v/>
      </c>
      <c r="DK390" s="59">
        <f>($AT390-$AT391)*100</f>
        <v/>
      </c>
      <c r="DL390" s="59">
        <f>($AU390-$AU391)*100</f>
        <v/>
      </c>
      <c r="DM390" s="59">
        <f>($AV390-$AV391)*100</f>
        <v/>
      </c>
      <c r="DN390" s="59">
        <f>($AW390-$AW391)*100</f>
        <v/>
      </c>
      <c r="DO390" s="59">
        <f>($AX390-$AX391)*100</f>
        <v/>
      </c>
      <c r="DP390" s="59">
        <f>($AY390-$AY391)*100</f>
        <v/>
      </c>
      <c r="DQ390" s="59">
        <f>($AZ390-$AZ391)*100</f>
        <v/>
      </c>
      <c r="DR390" s="59">
        <f>($BA390-$BA391)*100</f>
        <v/>
      </c>
      <c r="DS390" s="58">
        <f>IFERROR($N391/$N390-1,"")</f>
        <v/>
      </c>
      <c r="DT390" s="58">
        <f>IFERROR($O391/$O390-1,"")</f>
        <v/>
      </c>
      <c r="DU390" s="58">
        <f>IFERROR($P391/$P390-1,"")</f>
        <v/>
      </c>
      <c r="DV390" s="58">
        <f>IFERROR($Q391/$Q390-1,"")</f>
        <v/>
      </c>
      <c r="DW390" s="58">
        <f>IFERROR($R391/$R390-1,"")</f>
        <v/>
      </c>
      <c r="DX390" s="58">
        <f>IFERROR($S391/$S390-1,"")</f>
        <v/>
      </c>
      <c r="DY390" s="58">
        <f>IFERROR($T391/$T390-1,"")</f>
        <v/>
      </c>
      <c r="DZ390" s="58">
        <f>IFERROR($U391/$U390-1,"")</f>
        <v/>
      </c>
      <c r="EA390" s="58">
        <f>IFERROR($V391/$V390-1,"")</f>
        <v/>
      </c>
      <c r="EB390" s="58">
        <f>IFERROR($W391/$W390-1,"")</f>
        <v/>
      </c>
      <c r="EC390" s="58">
        <f>IFERROR($X391/$X390-1,"")</f>
        <v/>
      </c>
      <c r="ED390" s="58">
        <f>IFERROR($Y391/$Y390-1,"")</f>
        <v/>
      </c>
      <c r="EE390" s="58">
        <f>IFERROR($Z391/$Z390-1,"")</f>
        <v/>
      </c>
      <c r="EF390" s="58">
        <f>IFERROR($AA391/$AA390-1,"")</f>
        <v/>
      </c>
      <c r="EG390" s="58">
        <f>IFERROR($AB391/$AB390-1,"")</f>
        <v/>
      </c>
      <c r="EH390" s="58">
        <f>IFERROR($AC391/$AC390-1,"")</f>
        <v/>
      </c>
      <c r="EI390" s="58">
        <f>IFERROR($AD391/$AD390-1,"")</f>
        <v/>
      </c>
      <c r="EJ390" s="58">
        <f>IFERROR($AE391/$AE390-1,"")</f>
        <v/>
      </c>
      <c r="EK390" s="58">
        <f>IFERROR($AF391/$AF390-1,"")</f>
        <v/>
      </c>
      <c r="EL390" s="58">
        <f>IFERROR($AG391/$AG390-1,"")</f>
        <v/>
      </c>
      <c r="EM390" s="58">
        <f>IFERROR($BB390/$BB391-1,"")</f>
        <v/>
      </c>
      <c r="EN390" s="58">
        <f>IFERROR($BC390/$BC391-1,"")</f>
        <v/>
      </c>
      <c r="EO390" s="58">
        <f>IFERROR($BD390/$BD391-1,"")</f>
        <v/>
      </c>
      <c r="EP390" s="58">
        <f>IFERROR($BE390/$BE391-1,"")</f>
        <v/>
      </c>
      <c r="EQ390" s="58">
        <f>IFERROR($BF390/$BF391-1,"")</f>
        <v/>
      </c>
      <c r="ER390" s="58">
        <f>IFERROR($BG390/$BG391-1,"")</f>
        <v/>
      </c>
      <c r="ES390" s="58">
        <f>IFERROR($BH390/$BH391-1,"")</f>
        <v/>
      </c>
      <c r="ET390" s="58">
        <f>IFERROR($BI390/$BI391-1,"")</f>
        <v/>
      </c>
      <c r="EU390" s="58">
        <f>IFERROR($BJ390/$BJ391-1,"")</f>
        <v/>
      </c>
      <c r="EV390" s="58">
        <f>IFERROR($BK390/$BK391-1,"")</f>
        <v/>
      </c>
      <c r="EW390" s="58">
        <f>IFERROR($BL390/$BL391-1,"")</f>
        <v/>
      </c>
      <c r="EX390" s="58">
        <f>IFERROR($BM390/$BM391-1,"")</f>
        <v/>
      </c>
      <c r="EY390" s="58">
        <f>IFERROR($BN390/$BN391-1,"")</f>
        <v/>
      </c>
      <c r="EZ390" s="58">
        <f>IFERROR($BO390/$BO391-1,"")</f>
        <v/>
      </c>
      <c r="FA390" s="58">
        <f>IFERROR($BP390/$BP391-1,"")</f>
        <v/>
      </c>
      <c r="FB390" s="58">
        <f>IFERROR($BQ390/$BQ391-1,"")</f>
        <v/>
      </c>
      <c r="FC390" s="58">
        <f>IFERROR($BR390/$BR391-1,"")</f>
        <v/>
      </c>
      <c r="FD390" s="58">
        <f>IFERROR($BS390/$BS391-1,"")</f>
        <v/>
      </c>
      <c r="FE390" s="58">
        <f>IFERROR($BT390/$BT391-1,"")</f>
        <v/>
      </c>
      <c r="FF390" s="58">
        <f>IFERROR($BU390/$BU391-1,"")</f>
        <v/>
      </c>
      <c r="FG390" s="58">
        <f>IFERROR($BV390/$BV391-1,"")</f>
        <v/>
      </c>
      <c r="FH390" s="58">
        <f>IFERROR($BW390/$BW391-1,"")</f>
        <v/>
      </c>
      <c r="FI390" s="58">
        <f>IFERROR($BX390/$BX391-1,"")</f>
        <v/>
      </c>
      <c r="FJ390" s="59">
        <f>$BY390-$BY391</f>
        <v/>
      </c>
      <c r="FK390" s="59">
        <f>$BZ390-$BZ391</f>
        <v/>
      </c>
      <c r="FL390" s="59">
        <f>$CA390-$CA391</f>
        <v/>
      </c>
      <c r="FM390" s="59">
        <f>$CB390-$CB391</f>
        <v/>
      </c>
      <c r="FN390" s="59">
        <f>$CC390-$CC391</f>
        <v/>
      </c>
      <c r="FO390" s="59">
        <f>$CD390-$CD391</f>
        <v/>
      </c>
      <c r="FP390" s="59">
        <f>$CE390-$CE391</f>
        <v/>
      </c>
      <c r="FQ390" s="59">
        <f>$CF390-$CF391</f>
        <v/>
      </c>
      <c r="FR390" s="59">
        <f>$CG390-$CG391</f>
        <v/>
      </c>
      <c r="FS390" s="59">
        <f>$CH390-$CH391</f>
        <v/>
      </c>
      <c r="FT390" s="59">
        <f>$CI390-$CI391</f>
        <v/>
      </c>
      <c r="FU390" s="59">
        <f>$CJ390-$CJ391</f>
        <v/>
      </c>
      <c r="FV390" s="59">
        <f>$CK390-$CK391</f>
        <v/>
      </c>
      <c r="FW390" s="59">
        <f>$CL390-$CL391</f>
        <v/>
      </c>
      <c r="FX390" s="59">
        <f>$CM390-$CM391</f>
        <v/>
      </c>
      <c r="FY390" s="59">
        <f>$CN390-$CN391</f>
        <v/>
      </c>
      <c r="FZ390" s="59">
        <f>$CO390-$CO391</f>
        <v/>
      </c>
      <c r="GA390" s="59">
        <f>$CP390-$CP391</f>
        <v/>
      </c>
      <c r="GB390" s="59">
        <f>$CQ390-$CQ391</f>
        <v/>
      </c>
      <c r="GC390" s="59">
        <f>$CR390-$CR391</f>
        <v/>
      </c>
      <c r="GD390" s="59">
        <f>$CS390-$CS391</f>
        <v/>
      </c>
      <c r="GE390" s="59">
        <f>$CT390-$CT391</f>
        <v/>
      </c>
    </row>
    <row r="391">
      <c r="CU391" s="58">
        <f>IFERROR($B391/$B392-1,"")</f>
        <v/>
      </c>
      <c r="CV391" s="59">
        <f>($F391-$F392)*100</f>
        <v/>
      </c>
      <c r="CW391" s="59">
        <f>($E391-$E392)*100</f>
        <v/>
      </c>
      <c r="CX391" s="58">
        <f>IFERROR($K391/$K392-1,"")</f>
        <v/>
      </c>
      <c r="CY391" s="59">
        <f>($AH391-$AH392)*100</f>
        <v/>
      </c>
      <c r="CZ391" s="59">
        <f>($AI391-$AI392)*100</f>
        <v/>
      </c>
      <c r="DA391" s="59">
        <f>($AJ391-$AJ392)*100</f>
        <v/>
      </c>
      <c r="DB391" s="59">
        <f>($AK391-$AK392)*100</f>
        <v/>
      </c>
      <c r="DC391" s="59">
        <f>($AL391-$AL392)*100</f>
        <v/>
      </c>
      <c r="DD391" s="59">
        <f>($AM391-$AM392)*100</f>
        <v/>
      </c>
      <c r="DE391" s="59">
        <f>($AN391-$AN392)*100</f>
        <v/>
      </c>
      <c r="DF391" s="59">
        <f>($AO391-$AO392)*100</f>
        <v/>
      </c>
      <c r="DG391" s="59">
        <f>($AP391-$AP392)*100</f>
        <v/>
      </c>
      <c r="DH391" s="59">
        <f>($AQ391-$AQ392)*100</f>
        <v/>
      </c>
      <c r="DI391" s="59">
        <f>($AR391-$AR392)*100</f>
        <v/>
      </c>
      <c r="DJ391" s="59">
        <f>($AS391-$AS392)*100</f>
        <v/>
      </c>
      <c r="DK391" s="59">
        <f>($AT391-$AT392)*100</f>
        <v/>
      </c>
      <c r="DL391" s="59">
        <f>($AU391-$AU392)*100</f>
        <v/>
      </c>
      <c r="DM391" s="59">
        <f>($AV391-$AV392)*100</f>
        <v/>
      </c>
      <c r="DN391" s="59">
        <f>($AW391-$AW392)*100</f>
        <v/>
      </c>
      <c r="DO391" s="59">
        <f>($AX391-$AX392)*100</f>
        <v/>
      </c>
      <c r="DP391" s="59">
        <f>($AY391-$AY392)*100</f>
        <v/>
      </c>
      <c r="DQ391" s="59">
        <f>($AZ391-$AZ392)*100</f>
        <v/>
      </c>
      <c r="DR391" s="59">
        <f>($BA391-$BA392)*100</f>
        <v/>
      </c>
      <c r="DS391" s="58">
        <f>IFERROR($N392/$N391-1,"")</f>
        <v/>
      </c>
      <c r="DT391" s="58">
        <f>IFERROR($O392/$O391-1,"")</f>
        <v/>
      </c>
      <c r="DU391" s="58">
        <f>IFERROR($P392/$P391-1,"")</f>
        <v/>
      </c>
      <c r="DV391" s="58">
        <f>IFERROR($Q392/$Q391-1,"")</f>
        <v/>
      </c>
      <c r="DW391" s="58">
        <f>IFERROR($R392/$R391-1,"")</f>
        <v/>
      </c>
      <c r="DX391" s="58">
        <f>IFERROR($S392/$S391-1,"")</f>
        <v/>
      </c>
      <c r="DY391" s="58">
        <f>IFERROR($T392/$T391-1,"")</f>
        <v/>
      </c>
      <c r="DZ391" s="58">
        <f>IFERROR($U392/$U391-1,"")</f>
        <v/>
      </c>
      <c r="EA391" s="58">
        <f>IFERROR($V392/$V391-1,"")</f>
        <v/>
      </c>
      <c r="EB391" s="58">
        <f>IFERROR($W392/$W391-1,"")</f>
        <v/>
      </c>
      <c r="EC391" s="58">
        <f>IFERROR($X392/$X391-1,"")</f>
        <v/>
      </c>
      <c r="ED391" s="58">
        <f>IFERROR($Y392/$Y391-1,"")</f>
        <v/>
      </c>
      <c r="EE391" s="58">
        <f>IFERROR($Z392/$Z391-1,"")</f>
        <v/>
      </c>
      <c r="EF391" s="58">
        <f>IFERROR($AA392/$AA391-1,"")</f>
        <v/>
      </c>
      <c r="EG391" s="58">
        <f>IFERROR($AB392/$AB391-1,"")</f>
        <v/>
      </c>
      <c r="EH391" s="58">
        <f>IFERROR($AC392/$AC391-1,"")</f>
        <v/>
      </c>
      <c r="EI391" s="58">
        <f>IFERROR($AD392/$AD391-1,"")</f>
        <v/>
      </c>
      <c r="EJ391" s="58">
        <f>IFERROR($AE392/$AE391-1,"")</f>
        <v/>
      </c>
      <c r="EK391" s="58">
        <f>IFERROR($AF392/$AF391-1,"")</f>
        <v/>
      </c>
      <c r="EL391" s="58">
        <f>IFERROR($AG392/$AG391-1,"")</f>
        <v/>
      </c>
      <c r="EM391" s="58">
        <f>IFERROR($BB391/$BB392-1,"")</f>
        <v/>
      </c>
      <c r="EN391" s="58">
        <f>IFERROR($BC391/$BC392-1,"")</f>
        <v/>
      </c>
      <c r="EO391" s="58">
        <f>IFERROR($BD391/$BD392-1,"")</f>
        <v/>
      </c>
      <c r="EP391" s="58">
        <f>IFERROR($BE391/$BE392-1,"")</f>
        <v/>
      </c>
      <c r="EQ391" s="58">
        <f>IFERROR($BF391/$BF392-1,"")</f>
        <v/>
      </c>
      <c r="ER391" s="58">
        <f>IFERROR($BG391/$BG392-1,"")</f>
        <v/>
      </c>
      <c r="ES391" s="58">
        <f>IFERROR($BH391/$BH392-1,"")</f>
        <v/>
      </c>
      <c r="ET391" s="58">
        <f>IFERROR($BI391/$BI392-1,"")</f>
        <v/>
      </c>
      <c r="EU391" s="58">
        <f>IFERROR($BJ391/$BJ392-1,"")</f>
        <v/>
      </c>
      <c r="EV391" s="58">
        <f>IFERROR($BK391/$BK392-1,"")</f>
        <v/>
      </c>
      <c r="EW391" s="58">
        <f>IFERROR($BL391/$BL392-1,"")</f>
        <v/>
      </c>
      <c r="EX391" s="58">
        <f>IFERROR($BM391/$BM392-1,"")</f>
        <v/>
      </c>
      <c r="EY391" s="58">
        <f>IFERROR($BN391/$BN392-1,"")</f>
        <v/>
      </c>
      <c r="EZ391" s="58">
        <f>IFERROR($BO391/$BO392-1,"")</f>
        <v/>
      </c>
      <c r="FA391" s="58">
        <f>IFERROR($BP391/$BP392-1,"")</f>
        <v/>
      </c>
      <c r="FB391" s="58">
        <f>IFERROR($BQ391/$BQ392-1,"")</f>
        <v/>
      </c>
      <c r="FC391" s="58">
        <f>IFERROR($BR391/$BR392-1,"")</f>
        <v/>
      </c>
      <c r="FD391" s="58">
        <f>IFERROR($BS391/$BS392-1,"")</f>
        <v/>
      </c>
      <c r="FE391" s="58">
        <f>IFERROR($BT391/$BT392-1,"")</f>
        <v/>
      </c>
      <c r="FF391" s="58">
        <f>IFERROR($BU391/$BU392-1,"")</f>
        <v/>
      </c>
      <c r="FG391" s="58">
        <f>IFERROR($BV391/$BV392-1,"")</f>
        <v/>
      </c>
      <c r="FH391" s="58">
        <f>IFERROR($BW391/$BW392-1,"")</f>
        <v/>
      </c>
      <c r="FI391" s="58">
        <f>IFERROR($BX391/$BX392-1,"")</f>
        <v/>
      </c>
      <c r="FJ391" s="59">
        <f>$BY391-$BY392</f>
        <v/>
      </c>
      <c r="FK391" s="59">
        <f>$BZ391-$BZ392</f>
        <v/>
      </c>
      <c r="FL391" s="59">
        <f>$CA391-$CA392</f>
        <v/>
      </c>
      <c r="FM391" s="59">
        <f>$CB391-$CB392</f>
        <v/>
      </c>
      <c r="FN391" s="59">
        <f>$CC391-$CC392</f>
        <v/>
      </c>
      <c r="FO391" s="59">
        <f>$CD391-$CD392</f>
        <v/>
      </c>
      <c r="FP391" s="59">
        <f>$CE391-$CE392</f>
        <v/>
      </c>
      <c r="FQ391" s="59">
        <f>$CF391-$CF392</f>
        <v/>
      </c>
      <c r="FR391" s="59">
        <f>$CG391-$CG392</f>
        <v/>
      </c>
      <c r="FS391" s="59">
        <f>$CH391-$CH392</f>
        <v/>
      </c>
      <c r="FT391" s="59">
        <f>$CI391-$CI392</f>
        <v/>
      </c>
      <c r="FU391" s="59">
        <f>$CJ391-$CJ392</f>
        <v/>
      </c>
      <c r="FV391" s="59">
        <f>$CK391-$CK392</f>
        <v/>
      </c>
      <c r="FW391" s="59">
        <f>$CL391-$CL392</f>
        <v/>
      </c>
      <c r="FX391" s="59">
        <f>$CM391-$CM392</f>
        <v/>
      </c>
      <c r="FY391" s="59">
        <f>$CN391-$CN392</f>
        <v/>
      </c>
      <c r="FZ391" s="59">
        <f>$CO391-$CO392</f>
        <v/>
      </c>
      <c r="GA391" s="59">
        <f>$CP391-$CP392</f>
        <v/>
      </c>
      <c r="GB391" s="59">
        <f>$CQ391-$CQ392</f>
        <v/>
      </c>
      <c r="GC391" s="59">
        <f>$CR391-$CR392</f>
        <v/>
      </c>
      <c r="GD391" s="59">
        <f>$CS391-$CS392</f>
        <v/>
      </c>
      <c r="GE391" s="59">
        <f>$CT391-$CT392</f>
        <v/>
      </c>
    </row>
    <row r="392">
      <c r="CU392" s="58">
        <f>IFERROR($B392/$B393-1,"")</f>
        <v/>
      </c>
      <c r="CV392" s="59">
        <f>($F392-$F393)*100</f>
        <v/>
      </c>
      <c r="CW392" s="59">
        <f>($E392-$E393)*100</f>
        <v/>
      </c>
      <c r="CX392" s="58">
        <f>IFERROR($K392/$K393-1,"")</f>
        <v/>
      </c>
      <c r="CY392" s="59">
        <f>($AH392-$AH393)*100</f>
        <v/>
      </c>
      <c r="CZ392" s="59">
        <f>($AI392-$AI393)*100</f>
        <v/>
      </c>
      <c r="DA392" s="59">
        <f>($AJ392-$AJ393)*100</f>
        <v/>
      </c>
      <c r="DB392" s="59">
        <f>($AK392-$AK393)*100</f>
        <v/>
      </c>
      <c r="DC392" s="59">
        <f>($AL392-$AL393)*100</f>
        <v/>
      </c>
      <c r="DD392" s="59">
        <f>($AM392-$AM393)*100</f>
        <v/>
      </c>
      <c r="DE392" s="59">
        <f>($AN392-$AN393)*100</f>
        <v/>
      </c>
      <c r="DF392" s="59">
        <f>($AO392-$AO393)*100</f>
        <v/>
      </c>
      <c r="DG392" s="59">
        <f>($AP392-$AP393)*100</f>
        <v/>
      </c>
      <c r="DH392" s="59">
        <f>($AQ392-$AQ393)*100</f>
        <v/>
      </c>
      <c r="DI392" s="59">
        <f>($AR392-$AR393)*100</f>
        <v/>
      </c>
      <c r="DJ392" s="59">
        <f>($AS392-$AS393)*100</f>
        <v/>
      </c>
      <c r="DK392" s="59">
        <f>($AT392-$AT393)*100</f>
        <v/>
      </c>
      <c r="DL392" s="59">
        <f>($AU392-$AU393)*100</f>
        <v/>
      </c>
      <c r="DM392" s="59">
        <f>($AV392-$AV393)*100</f>
        <v/>
      </c>
      <c r="DN392" s="59">
        <f>($AW392-$AW393)*100</f>
        <v/>
      </c>
      <c r="DO392" s="59">
        <f>($AX392-$AX393)*100</f>
        <v/>
      </c>
      <c r="DP392" s="59">
        <f>($AY392-$AY393)*100</f>
        <v/>
      </c>
      <c r="DQ392" s="59">
        <f>($AZ392-$AZ393)*100</f>
        <v/>
      </c>
      <c r="DR392" s="59">
        <f>($BA392-$BA393)*100</f>
        <v/>
      </c>
      <c r="DS392" s="58">
        <f>IFERROR($N393/$N392-1,"")</f>
        <v/>
      </c>
      <c r="DT392" s="58">
        <f>IFERROR($O393/$O392-1,"")</f>
        <v/>
      </c>
      <c r="DU392" s="58">
        <f>IFERROR($P393/$P392-1,"")</f>
        <v/>
      </c>
      <c r="DV392" s="58">
        <f>IFERROR($Q393/$Q392-1,"")</f>
        <v/>
      </c>
      <c r="DW392" s="58">
        <f>IFERROR($R393/$R392-1,"")</f>
        <v/>
      </c>
      <c r="DX392" s="58">
        <f>IFERROR($S393/$S392-1,"")</f>
        <v/>
      </c>
      <c r="DY392" s="58">
        <f>IFERROR($T393/$T392-1,"")</f>
        <v/>
      </c>
      <c r="DZ392" s="58">
        <f>IFERROR($U393/$U392-1,"")</f>
        <v/>
      </c>
      <c r="EA392" s="58">
        <f>IFERROR($V393/$V392-1,"")</f>
        <v/>
      </c>
      <c r="EB392" s="58">
        <f>IFERROR($W393/$W392-1,"")</f>
        <v/>
      </c>
      <c r="EC392" s="58">
        <f>IFERROR($X393/$X392-1,"")</f>
        <v/>
      </c>
      <c r="ED392" s="58">
        <f>IFERROR($Y393/$Y392-1,"")</f>
        <v/>
      </c>
      <c r="EE392" s="58">
        <f>IFERROR($Z393/$Z392-1,"")</f>
        <v/>
      </c>
      <c r="EF392" s="58">
        <f>IFERROR($AA393/$AA392-1,"")</f>
        <v/>
      </c>
      <c r="EG392" s="58">
        <f>IFERROR($AB393/$AB392-1,"")</f>
        <v/>
      </c>
      <c r="EH392" s="58">
        <f>IFERROR($AC393/$AC392-1,"")</f>
        <v/>
      </c>
      <c r="EI392" s="58">
        <f>IFERROR($AD393/$AD392-1,"")</f>
        <v/>
      </c>
      <c r="EJ392" s="58">
        <f>IFERROR($AE393/$AE392-1,"")</f>
        <v/>
      </c>
      <c r="EK392" s="58">
        <f>IFERROR($AF393/$AF392-1,"")</f>
        <v/>
      </c>
      <c r="EL392" s="58">
        <f>IFERROR($AG393/$AG392-1,"")</f>
        <v/>
      </c>
      <c r="EM392" s="58">
        <f>IFERROR($BB392/$BB393-1,"")</f>
        <v/>
      </c>
      <c r="EN392" s="58">
        <f>IFERROR($BC392/$BC393-1,"")</f>
        <v/>
      </c>
      <c r="EO392" s="58">
        <f>IFERROR($BD392/$BD393-1,"")</f>
        <v/>
      </c>
      <c r="EP392" s="58">
        <f>IFERROR($BE392/$BE393-1,"")</f>
        <v/>
      </c>
      <c r="EQ392" s="58">
        <f>IFERROR($BF392/$BF393-1,"")</f>
        <v/>
      </c>
      <c r="ER392" s="58">
        <f>IFERROR($BG392/$BG393-1,"")</f>
        <v/>
      </c>
      <c r="ES392" s="58">
        <f>IFERROR($BH392/$BH393-1,"")</f>
        <v/>
      </c>
      <c r="ET392" s="58">
        <f>IFERROR($BI392/$BI393-1,"")</f>
        <v/>
      </c>
      <c r="EU392" s="58">
        <f>IFERROR($BJ392/$BJ393-1,"")</f>
        <v/>
      </c>
      <c r="EV392" s="58">
        <f>IFERROR($BK392/$BK393-1,"")</f>
        <v/>
      </c>
      <c r="EW392" s="58">
        <f>IFERROR($BL392/$BL393-1,"")</f>
        <v/>
      </c>
      <c r="EX392" s="58">
        <f>IFERROR($BM392/$BM393-1,"")</f>
        <v/>
      </c>
      <c r="EY392" s="58">
        <f>IFERROR($BN392/$BN393-1,"")</f>
        <v/>
      </c>
      <c r="EZ392" s="58">
        <f>IFERROR($BO392/$BO393-1,"")</f>
        <v/>
      </c>
      <c r="FA392" s="58">
        <f>IFERROR($BP392/$BP393-1,"")</f>
        <v/>
      </c>
      <c r="FB392" s="58">
        <f>IFERROR($BQ392/$BQ393-1,"")</f>
        <v/>
      </c>
      <c r="FC392" s="58">
        <f>IFERROR($BR392/$BR393-1,"")</f>
        <v/>
      </c>
      <c r="FD392" s="58">
        <f>IFERROR($BS392/$BS393-1,"")</f>
        <v/>
      </c>
      <c r="FE392" s="58">
        <f>IFERROR($BT392/$BT393-1,"")</f>
        <v/>
      </c>
      <c r="FF392" s="58">
        <f>IFERROR($BU392/$BU393-1,"")</f>
        <v/>
      </c>
      <c r="FG392" s="58">
        <f>IFERROR($BV392/$BV393-1,"")</f>
        <v/>
      </c>
      <c r="FH392" s="58">
        <f>IFERROR($BW392/$BW393-1,"")</f>
        <v/>
      </c>
      <c r="FI392" s="58">
        <f>IFERROR($BX392/$BX393-1,"")</f>
        <v/>
      </c>
      <c r="FJ392" s="59">
        <f>$BY392-$BY393</f>
        <v/>
      </c>
      <c r="FK392" s="59">
        <f>$BZ392-$BZ393</f>
        <v/>
      </c>
      <c r="FL392" s="59">
        <f>$CA392-$CA393</f>
        <v/>
      </c>
      <c r="FM392" s="59">
        <f>$CB392-$CB393</f>
        <v/>
      </c>
      <c r="FN392" s="59">
        <f>$CC392-$CC393</f>
        <v/>
      </c>
      <c r="FO392" s="59">
        <f>$CD392-$CD393</f>
        <v/>
      </c>
      <c r="FP392" s="59">
        <f>$CE392-$CE393</f>
        <v/>
      </c>
      <c r="FQ392" s="59">
        <f>$CF392-$CF393</f>
        <v/>
      </c>
      <c r="FR392" s="59">
        <f>$CG392-$CG393</f>
        <v/>
      </c>
      <c r="FS392" s="59">
        <f>$CH392-$CH393</f>
        <v/>
      </c>
      <c r="FT392" s="59">
        <f>$CI392-$CI393</f>
        <v/>
      </c>
      <c r="FU392" s="59">
        <f>$CJ392-$CJ393</f>
        <v/>
      </c>
      <c r="FV392" s="59">
        <f>$CK392-$CK393</f>
        <v/>
      </c>
      <c r="FW392" s="59">
        <f>$CL392-$CL393</f>
        <v/>
      </c>
      <c r="FX392" s="59">
        <f>$CM392-$CM393</f>
        <v/>
      </c>
      <c r="FY392" s="59">
        <f>$CN392-$CN393</f>
        <v/>
      </c>
      <c r="FZ392" s="59">
        <f>$CO392-$CO393</f>
        <v/>
      </c>
      <c r="GA392" s="59">
        <f>$CP392-$CP393</f>
        <v/>
      </c>
      <c r="GB392" s="59">
        <f>$CQ392-$CQ393</f>
        <v/>
      </c>
      <c r="GC392" s="59">
        <f>$CR392-$CR393</f>
        <v/>
      </c>
      <c r="GD392" s="59">
        <f>$CS392-$CS393</f>
        <v/>
      </c>
      <c r="GE392" s="59">
        <f>$CT392-$CT393</f>
        <v/>
      </c>
    </row>
    <row r="393">
      <c r="CU393" s="58">
        <f>IFERROR($B393/$B394-1,"")</f>
        <v/>
      </c>
      <c r="CV393" s="59">
        <f>($F393-$F394)*100</f>
        <v/>
      </c>
      <c r="CW393" s="59">
        <f>($E393-$E394)*100</f>
        <v/>
      </c>
      <c r="CX393" s="58">
        <f>IFERROR($K393/$K394-1,"")</f>
        <v/>
      </c>
      <c r="CY393" s="59">
        <f>($AH393-$AH394)*100</f>
        <v/>
      </c>
      <c r="CZ393" s="59">
        <f>($AI393-$AI394)*100</f>
        <v/>
      </c>
      <c r="DA393" s="59">
        <f>($AJ393-$AJ394)*100</f>
        <v/>
      </c>
      <c r="DB393" s="59">
        <f>($AK393-$AK394)*100</f>
        <v/>
      </c>
      <c r="DC393" s="59">
        <f>($AL393-$AL394)*100</f>
        <v/>
      </c>
      <c r="DD393" s="59">
        <f>($AM393-$AM394)*100</f>
        <v/>
      </c>
      <c r="DE393" s="59">
        <f>($AN393-$AN394)*100</f>
        <v/>
      </c>
      <c r="DF393" s="59">
        <f>($AO393-$AO394)*100</f>
        <v/>
      </c>
      <c r="DG393" s="59">
        <f>($AP393-$AP394)*100</f>
        <v/>
      </c>
      <c r="DH393" s="59">
        <f>($AQ393-$AQ394)*100</f>
        <v/>
      </c>
      <c r="DI393" s="59">
        <f>($AR393-$AR394)*100</f>
        <v/>
      </c>
      <c r="DJ393" s="59">
        <f>($AS393-$AS394)*100</f>
        <v/>
      </c>
      <c r="DK393" s="59">
        <f>($AT393-$AT394)*100</f>
        <v/>
      </c>
      <c r="DL393" s="59">
        <f>($AU393-$AU394)*100</f>
        <v/>
      </c>
      <c r="DM393" s="59">
        <f>($AV393-$AV394)*100</f>
        <v/>
      </c>
      <c r="DN393" s="59">
        <f>($AW393-$AW394)*100</f>
        <v/>
      </c>
      <c r="DO393" s="59">
        <f>($AX393-$AX394)*100</f>
        <v/>
      </c>
      <c r="DP393" s="59">
        <f>($AY393-$AY394)*100</f>
        <v/>
      </c>
      <c r="DQ393" s="59">
        <f>($AZ393-$AZ394)*100</f>
        <v/>
      </c>
      <c r="DR393" s="59">
        <f>($BA393-$BA394)*100</f>
        <v/>
      </c>
      <c r="DS393" s="58">
        <f>IFERROR($N394/$N393-1,"")</f>
        <v/>
      </c>
      <c r="DT393" s="58">
        <f>IFERROR($O394/$O393-1,"")</f>
        <v/>
      </c>
      <c r="DU393" s="58">
        <f>IFERROR($P394/$P393-1,"")</f>
        <v/>
      </c>
      <c r="DV393" s="58">
        <f>IFERROR($Q394/$Q393-1,"")</f>
        <v/>
      </c>
      <c r="DW393" s="58">
        <f>IFERROR($R394/$R393-1,"")</f>
        <v/>
      </c>
      <c r="DX393" s="58">
        <f>IFERROR($S394/$S393-1,"")</f>
        <v/>
      </c>
      <c r="DY393" s="58">
        <f>IFERROR($T394/$T393-1,"")</f>
        <v/>
      </c>
      <c r="DZ393" s="58">
        <f>IFERROR($U394/$U393-1,"")</f>
        <v/>
      </c>
      <c r="EA393" s="58">
        <f>IFERROR($V394/$V393-1,"")</f>
        <v/>
      </c>
      <c r="EB393" s="58">
        <f>IFERROR($W394/$W393-1,"")</f>
        <v/>
      </c>
      <c r="EC393" s="58">
        <f>IFERROR($X394/$X393-1,"")</f>
        <v/>
      </c>
      <c r="ED393" s="58">
        <f>IFERROR($Y394/$Y393-1,"")</f>
        <v/>
      </c>
      <c r="EE393" s="58">
        <f>IFERROR($Z394/$Z393-1,"")</f>
        <v/>
      </c>
      <c r="EF393" s="58">
        <f>IFERROR($AA394/$AA393-1,"")</f>
        <v/>
      </c>
      <c r="EG393" s="58">
        <f>IFERROR($AB394/$AB393-1,"")</f>
        <v/>
      </c>
      <c r="EH393" s="58">
        <f>IFERROR($AC394/$AC393-1,"")</f>
        <v/>
      </c>
      <c r="EI393" s="58">
        <f>IFERROR($AD394/$AD393-1,"")</f>
        <v/>
      </c>
      <c r="EJ393" s="58">
        <f>IFERROR($AE394/$AE393-1,"")</f>
        <v/>
      </c>
      <c r="EK393" s="58">
        <f>IFERROR($AF394/$AF393-1,"")</f>
        <v/>
      </c>
      <c r="EL393" s="58">
        <f>IFERROR($AG394/$AG393-1,"")</f>
        <v/>
      </c>
      <c r="EM393" s="58">
        <f>IFERROR($BB393/$BB394-1,"")</f>
        <v/>
      </c>
      <c r="EN393" s="58">
        <f>IFERROR($BC393/$BC394-1,"")</f>
        <v/>
      </c>
      <c r="EO393" s="58">
        <f>IFERROR($BD393/$BD394-1,"")</f>
        <v/>
      </c>
      <c r="EP393" s="58">
        <f>IFERROR($BE393/$BE394-1,"")</f>
        <v/>
      </c>
      <c r="EQ393" s="58">
        <f>IFERROR($BF393/$BF394-1,"")</f>
        <v/>
      </c>
      <c r="ER393" s="58">
        <f>IFERROR($BG393/$BG394-1,"")</f>
        <v/>
      </c>
      <c r="ES393" s="58">
        <f>IFERROR($BH393/$BH394-1,"")</f>
        <v/>
      </c>
      <c r="ET393" s="58">
        <f>IFERROR($BI393/$BI394-1,"")</f>
        <v/>
      </c>
      <c r="EU393" s="58">
        <f>IFERROR($BJ393/$BJ394-1,"")</f>
        <v/>
      </c>
      <c r="EV393" s="58">
        <f>IFERROR($BK393/$BK394-1,"")</f>
        <v/>
      </c>
      <c r="EW393" s="58">
        <f>IFERROR($BL393/$BL394-1,"")</f>
        <v/>
      </c>
      <c r="EX393" s="58">
        <f>IFERROR($BM393/$BM394-1,"")</f>
        <v/>
      </c>
      <c r="EY393" s="58">
        <f>IFERROR($BN393/$BN394-1,"")</f>
        <v/>
      </c>
      <c r="EZ393" s="58">
        <f>IFERROR($BO393/$BO394-1,"")</f>
        <v/>
      </c>
      <c r="FA393" s="58">
        <f>IFERROR($BP393/$BP394-1,"")</f>
        <v/>
      </c>
      <c r="FB393" s="58">
        <f>IFERROR($BQ393/$BQ394-1,"")</f>
        <v/>
      </c>
      <c r="FC393" s="58">
        <f>IFERROR($BR393/$BR394-1,"")</f>
        <v/>
      </c>
      <c r="FD393" s="58">
        <f>IFERROR($BS393/$BS394-1,"")</f>
        <v/>
      </c>
      <c r="FE393" s="58">
        <f>IFERROR($BT393/$BT394-1,"")</f>
        <v/>
      </c>
      <c r="FF393" s="58">
        <f>IFERROR($BU393/$BU394-1,"")</f>
        <v/>
      </c>
      <c r="FG393" s="58">
        <f>IFERROR($BV393/$BV394-1,"")</f>
        <v/>
      </c>
      <c r="FH393" s="58">
        <f>IFERROR($BW393/$BW394-1,"")</f>
        <v/>
      </c>
      <c r="FI393" s="58">
        <f>IFERROR($BX393/$BX394-1,"")</f>
        <v/>
      </c>
      <c r="FJ393" s="59">
        <f>$BY393-$BY394</f>
        <v/>
      </c>
      <c r="FK393" s="59">
        <f>$BZ393-$BZ394</f>
        <v/>
      </c>
      <c r="FL393" s="59">
        <f>$CA393-$CA394</f>
        <v/>
      </c>
      <c r="FM393" s="59">
        <f>$CB393-$CB394</f>
        <v/>
      </c>
      <c r="FN393" s="59">
        <f>$CC393-$CC394</f>
        <v/>
      </c>
      <c r="FO393" s="59">
        <f>$CD393-$CD394</f>
        <v/>
      </c>
      <c r="FP393" s="59">
        <f>$CE393-$CE394</f>
        <v/>
      </c>
      <c r="FQ393" s="59">
        <f>$CF393-$CF394</f>
        <v/>
      </c>
      <c r="FR393" s="59">
        <f>$CG393-$CG394</f>
        <v/>
      </c>
      <c r="FS393" s="59">
        <f>$CH393-$CH394</f>
        <v/>
      </c>
      <c r="FT393" s="59">
        <f>$CI393-$CI394</f>
        <v/>
      </c>
      <c r="FU393" s="59">
        <f>$CJ393-$CJ394</f>
        <v/>
      </c>
      <c r="FV393" s="59">
        <f>$CK393-$CK394</f>
        <v/>
      </c>
      <c r="FW393" s="59">
        <f>$CL393-$CL394</f>
        <v/>
      </c>
      <c r="FX393" s="59">
        <f>$CM393-$CM394</f>
        <v/>
      </c>
      <c r="FY393" s="59">
        <f>$CN393-$CN394</f>
        <v/>
      </c>
      <c r="FZ393" s="59">
        <f>$CO393-$CO394</f>
        <v/>
      </c>
      <c r="GA393" s="59">
        <f>$CP393-$CP394</f>
        <v/>
      </c>
      <c r="GB393" s="59">
        <f>$CQ393-$CQ394</f>
        <v/>
      </c>
      <c r="GC393" s="59">
        <f>$CR393-$CR394</f>
        <v/>
      </c>
      <c r="GD393" s="59">
        <f>$CS393-$CS394</f>
        <v/>
      </c>
      <c r="GE393" s="59">
        <f>$CT393-$CT394</f>
        <v/>
      </c>
    </row>
    <row r="394">
      <c r="CU394" s="58">
        <f>IFERROR($B394/$B395-1,"")</f>
        <v/>
      </c>
      <c r="CV394" s="59">
        <f>($F394-$F395)*100</f>
        <v/>
      </c>
      <c r="CW394" s="59">
        <f>($E394-$E395)*100</f>
        <v/>
      </c>
      <c r="CX394" s="58">
        <f>IFERROR($K394/$K395-1,"")</f>
        <v/>
      </c>
      <c r="CY394" s="59">
        <f>($AH394-$AH395)*100</f>
        <v/>
      </c>
      <c r="CZ394" s="59">
        <f>($AI394-$AI395)*100</f>
        <v/>
      </c>
      <c r="DA394" s="59">
        <f>($AJ394-$AJ395)*100</f>
        <v/>
      </c>
      <c r="DB394" s="59">
        <f>($AK394-$AK395)*100</f>
        <v/>
      </c>
      <c r="DC394" s="59">
        <f>($AL394-$AL395)*100</f>
        <v/>
      </c>
      <c r="DD394" s="59">
        <f>($AM394-$AM395)*100</f>
        <v/>
      </c>
      <c r="DE394" s="59">
        <f>($AN394-$AN395)*100</f>
        <v/>
      </c>
      <c r="DF394" s="59">
        <f>($AO394-$AO395)*100</f>
        <v/>
      </c>
      <c r="DG394" s="59">
        <f>($AP394-$AP395)*100</f>
        <v/>
      </c>
      <c r="DH394" s="59">
        <f>($AQ394-$AQ395)*100</f>
        <v/>
      </c>
      <c r="DI394" s="59">
        <f>($AR394-$AR395)*100</f>
        <v/>
      </c>
      <c r="DJ394" s="59">
        <f>($AS394-$AS395)*100</f>
        <v/>
      </c>
      <c r="DK394" s="59">
        <f>($AT394-$AT395)*100</f>
        <v/>
      </c>
      <c r="DL394" s="59">
        <f>($AU394-$AU395)*100</f>
        <v/>
      </c>
      <c r="DM394" s="59">
        <f>($AV394-$AV395)*100</f>
        <v/>
      </c>
      <c r="DN394" s="59">
        <f>($AW394-$AW395)*100</f>
        <v/>
      </c>
      <c r="DO394" s="59">
        <f>($AX394-$AX395)*100</f>
        <v/>
      </c>
      <c r="DP394" s="59">
        <f>($AY394-$AY395)*100</f>
        <v/>
      </c>
      <c r="DQ394" s="59">
        <f>($AZ394-$AZ395)*100</f>
        <v/>
      </c>
      <c r="DR394" s="59">
        <f>($BA394-$BA395)*100</f>
        <v/>
      </c>
      <c r="DS394" s="58">
        <f>IFERROR($N395/$N394-1,"")</f>
        <v/>
      </c>
      <c r="DT394" s="58">
        <f>IFERROR($O395/$O394-1,"")</f>
        <v/>
      </c>
      <c r="DU394" s="58">
        <f>IFERROR($P395/$P394-1,"")</f>
        <v/>
      </c>
      <c r="DV394" s="58">
        <f>IFERROR($Q395/$Q394-1,"")</f>
        <v/>
      </c>
      <c r="DW394" s="58">
        <f>IFERROR($R395/$R394-1,"")</f>
        <v/>
      </c>
      <c r="DX394" s="58">
        <f>IFERROR($S395/$S394-1,"")</f>
        <v/>
      </c>
      <c r="DY394" s="58">
        <f>IFERROR($T395/$T394-1,"")</f>
        <v/>
      </c>
      <c r="DZ394" s="58">
        <f>IFERROR($U395/$U394-1,"")</f>
        <v/>
      </c>
      <c r="EA394" s="58">
        <f>IFERROR($V395/$V394-1,"")</f>
        <v/>
      </c>
      <c r="EB394" s="58">
        <f>IFERROR($W395/$W394-1,"")</f>
        <v/>
      </c>
      <c r="EC394" s="58">
        <f>IFERROR($X395/$X394-1,"")</f>
        <v/>
      </c>
      <c r="ED394" s="58">
        <f>IFERROR($Y395/$Y394-1,"")</f>
        <v/>
      </c>
      <c r="EE394" s="58">
        <f>IFERROR($Z395/$Z394-1,"")</f>
        <v/>
      </c>
      <c r="EF394" s="58">
        <f>IFERROR($AA395/$AA394-1,"")</f>
        <v/>
      </c>
      <c r="EG394" s="58">
        <f>IFERROR($AB395/$AB394-1,"")</f>
        <v/>
      </c>
      <c r="EH394" s="58">
        <f>IFERROR($AC395/$AC394-1,"")</f>
        <v/>
      </c>
      <c r="EI394" s="58">
        <f>IFERROR($AD395/$AD394-1,"")</f>
        <v/>
      </c>
      <c r="EJ394" s="58">
        <f>IFERROR($AE395/$AE394-1,"")</f>
        <v/>
      </c>
      <c r="EK394" s="58">
        <f>IFERROR($AF395/$AF394-1,"")</f>
        <v/>
      </c>
      <c r="EL394" s="58">
        <f>IFERROR($AG395/$AG394-1,"")</f>
        <v/>
      </c>
      <c r="EM394" s="58">
        <f>IFERROR($BB394/$BB395-1,"")</f>
        <v/>
      </c>
      <c r="EN394" s="58">
        <f>IFERROR($BC394/$BC395-1,"")</f>
        <v/>
      </c>
      <c r="EO394" s="58">
        <f>IFERROR($BD394/$BD395-1,"")</f>
        <v/>
      </c>
      <c r="EP394" s="58">
        <f>IFERROR($BE394/$BE395-1,"")</f>
        <v/>
      </c>
      <c r="EQ394" s="58">
        <f>IFERROR($BF394/$BF395-1,"")</f>
        <v/>
      </c>
      <c r="ER394" s="58">
        <f>IFERROR($BG394/$BG395-1,"")</f>
        <v/>
      </c>
      <c r="ES394" s="58">
        <f>IFERROR($BH394/$BH395-1,"")</f>
        <v/>
      </c>
      <c r="ET394" s="58">
        <f>IFERROR($BI394/$BI395-1,"")</f>
        <v/>
      </c>
      <c r="EU394" s="58">
        <f>IFERROR($BJ394/$BJ395-1,"")</f>
        <v/>
      </c>
      <c r="EV394" s="58">
        <f>IFERROR($BK394/$BK395-1,"")</f>
        <v/>
      </c>
      <c r="EW394" s="58">
        <f>IFERROR($BL394/$BL395-1,"")</f>
        <v/>
      </c>
      <c r="EX394" s="58">
        <f>IFERROR($BM394/$BM395-1,"")</f>
        <v/>
      </c>
      <c r="EY394" s="58">
        <f>IFERROR($BN394/$BN395-1,"")</f>
        <v/>
      </c>
      <c r="EZ394" s="58">
        <f>IFERROR($BO394/$BO395-1,"")</f>
        <v/>
      </c>
      <c r="FA394" s="58">
        <f>IFERROR($BP394/$BP395-1,"")</f>
        <v/>
      </c>
      <c r="FB394" s="58">
        <f>IFERROR($BQ394/$BQ395-1,"")</f>
        <v/>
      </c>
      <c r="FC394" s="58">
        <f>IFERROR($BR394/$BR395-1,"")</f>
        <v/>
      </c>
      <c r="FD394" s="58">
        <f>IFERROR($BS394/$BS395-1,"")</f>
        <v/>
      </c>
      <c r="FE394" s="58">
        <f>IFERROR($BT394/$BT395-1,"")</f>
        <v/>
      </c>
      <c r="FF394" s="58">
        <f>IFERROR($BU394/$BU395-1,"")</f>
        <v/>
      </c>
      <c r="FG394" s="58">
        <f>IFERROR($BV394/$BV395-1,"")</f>
        <v/>
      </c>
      <c r="FH394" s="58">
        <f>IFERROR($BW394/$BW395-1,"")</f>
        <v/>
      </c>
      <c r="FI394" s="58">
        <f>IFERROR($BX394/$BX395-1,"")</f>
        <v/>
      </c>
      <c r="FJ394" s="59">
        <f>$BY394-$BY395</f>
        <v/>
      </c>
      <c r="FK394" s="59">
        <f>$BZ394-$BZ395</f>
        <v/>
      </c>
      <c r="FL394" s="59">
        <f>$CA394-$CA395</f>
        <v/>
      </c>
      <c r="FM394" s="59">
        <f>$CB394-$CB395</f>
        <v/>
      </c>
      <c r="FN394" s="59">
        <f>$CC394-$CC395</f>
        <v/>
      </c>
      <c r="FO394" s="59">
        <f>$CD394-$CD395</f>
        <v/>
      </c>
      <c r="FP394" s="59">
        <f>$CE394-$CE395</f>
        <v/>
      </c>
      <c r="FQ394" s="59">
        <f>$CF394-$CF395</f>
        <v/>
      </c>
      <c r="FR394" s="59">
        <f>$CG394-$CG395</f>
        <v/>
      </c>
      <c r="FS394" s="59">
        <f>$CH394-$CH395</f>
        <v/>
      </c>
      <c r="FT394" s="59">
        <f>$CI394-$CI395</f>
        <v/>
      </c>
      <c r="FU394" s="59">
        <f>$CJ394-$CJ395</f>
        <v/>
      </c>
      <c r="FV394" s="59">
        <f>$CK394-$CK395</f>
        <v/>
      </c>
      <c r="FW394" s="59">
        <f>$CL394-$CL395</f>
        <v/>
      </c>
      <c r="FX394" s="59">
        <f>$CM394-$CM395</f>
        <v/>
      </c>
      <c r="FY394" s="59">
        <f>$CN394-$CN395</f>
        <v/>
      </c>
      <c r="FZ394" s="59">
        <f>$CO394-$CO395</f>
        <v/>
      </c>
      <c r="GA394" s="59">
        <f>$CP394-$CP395</f>
        <v/>
      </c>
      <c r="GB394" s="59">
        <f>$CQ394-$CQ395</f>
        <v/>
      </c>
      <c r="GC394" s="59">
        <f>$CR394-$CR395</f>
        <v/>
      </c>
      <c r="GD394" s="59">
        <f>$CS394-$CS395</f>
        <v/>
      </c>
      <c r="GE394" s="59">
        <f>$CT394-$CT395</f>
        <v/>
      </c>
    </row>
    <row r="395">
      <c r="CU395" s="58">
        <f>IFERROR($B395/$B396-1,"")</f>
        <v/>
      </c>
      <c r="CV395" s="59">
        <f>($F395-$F396)*100</f>
        <v/>
      </c>
      <c r="CW395" s="59">
        <f>($E395-$E396)*100</f>
        <v/>
      </c>
      <c r="CX395" s="58">
        <f>IFERROR($K395/$K396-1,"")</f>
        <v/>
      </c>
      <c r="CY395" s="59">
        <f>($AH395-$AH396)*100</f>
        <v/>
      </c>
      <c r="CZ395" s="59">
        <f>($AI395-$AI396)*100</f>
        <v/>
      </c>
      <c r="DA395" s="59">
        <f>($AJ395-$AJ396)*100</f>
        <v/>
      </c>
      <c r="DB395" s="59">
        <f>($AK395-$AK396)*100</f>
        <v/>
      </c>
      <c r="DC395" s="59">
        <f>($AL395-$AL396)*100</f>
        <v/>
      </c>
      <c r="DD395" s="59">
        <f>($AM395-$AM396)*100</f>
        <v/>
      </c>
      <c r="DE395" s="59">
        <f>($AN395-$AN396)*100</f>
        <v/>
      </c>
      <c r="DF395" s="59">
        <f>($AO395-$AO396)*100</f>
        <v/>
      </c>
      <c r="DG395" s="59">
        <f>($AP395-$AP396)*100</f>
        <v/>
      </c>
      <c r="DH395" s="59">
        <f>($AQ395-$AQ396)*100</f>
        <v/>
      </c>
      <c r="DI395" s="59">
        <f>($AR395-$AR396)*100</f>
        <v/>
      </c>
      <c r="DJ395" s="59">
        <f>($AS395-$AS396)*100</f>
        <v/>
      </c>
      <c r="DK395" s="59">
        <f>($AT395-$AT396)*100</f>
        <v/>
      </c>
      <c r="DL395" s="59">
        <f>($AU395-$AU396)*100</f>
        <v/>
      </c>
      <c r="DM395" s="59">
        <f>($AV395-$AV396)*100</f>
        <v/>
      </c>
      <c r="DN395" s="59">
        <f>($AW395-$AW396)*100</f>
        <v/>
      </c>
      <c r="DO395" s="59">
        <f>($AX395-$AX396)*100</f>
        <v/>
      </c>
      <c r="DP395" s="59">
        <f>($AY395-$AY396)*100</f>
        <v/>
      </c>
      <c r="DQ395" s="59">
        <f>($AZ395-$AZ396)*100</f>
        <v/>
      </c>
      <c r="DR395" s="59">
        <f>($BA395-$BA396)*100</f>
        <v/>
      </c>
      <c r="DS395" s="58">
        <f>IFERROR($N396/$N395-1,"")</f>
        <v/>
      </c>
      <c r="DT395" s="58">
        <f>IFERROR($O396/$O395-1,"")</f>
        <v/>
      </c>
      <c r="DU395" s="58">
        <f>IFERROR($P396/$P395-1,"")</f>
        <v/>
      </c>
      <c r="DV395" s="58">
        <f>IFERROR($Q396/$Q395-1,"")</f>
        <v/>
      </c>
      <c r="DW395" s="58">
        <f>IFERROR($R396/$R395-1,"")</f>
        <v/>
      </c>
      <c r="DX395" s="58">
        <f>IFERROR($S396/$S395-1,"")</f>
        <v/>
      </c>
      <c r="DY395" s="58">
        <f>IFERROR($T396/$T395-1,"")</f>
        <v/>
      </c>
      <c r="DZ395" s="58">
        <f>IFERROR($U396/$U395-1,"")</f>
        <v/>
      </c>
      <c r="EA395" s="58">
        <f>IFERROR($V396/$V395-1,"")</f>
        <v/>
      </c>
      <c r="EB395" s="58">
        <f>IFERROR($W396/$W395-1,"")</f>
        <v/>
      </c>
      <c r="EC395" s="58">
        <f>IFERROR($X396/$X395-1,"")</f>
        <v/>
      </c>
      <c r="ED395" s="58">
        <f>IFERROR($Y396/$Y395-1,"")</f>
        <v/>
      </c>
      <c r="EE395" s="58">
        <f>IFERROR($Z396/$Z395-1,"")</f>
        <v/>
      </c>
      <c r="EF395" s="58">
        <f>IFERROR($AA396/$AA395-1,"")</f>
        <v/>
      </c>
      <c r="EG395" s="58">
        <f>IFERROR($AB396/$AB395-1,"")</f>
        <v/>
      </c>
      <c r="EH395" s="58">
        <f>IFERROR($AC396/$AC395-1,"")</f>
        <v/>
      </c>
      <c r="EI395" s="58">
        <f>IFERROR($AD396/$AD395-1,"")</f>
        <v/>
      </c>
      <c r="EJ395" s="58">
        <f>IFERROR($AE396/$AE395-1,"")</f>
        <v/>
      </c>
      <c r="EK395" s="58">
        <f>IFERROR($AF396/$AF395-1,"")</f>
        <v/>
      </c>
      <c r="EL395" s="58">
        <f>IFERROR($AG396/$AG395-1,"")</f>
        <v/>
      </c>
      <c r="EM395" s="58">
        <f>IFERROR($BB395/$BB396-1,"")</f>
        <v/>
      </c>
      <c r="EN395" s="58">
        <f>IFERROR($BC395/$BC396-1,"")</f>
        <v/>
      </c>
      <c r="EO395" s="58">
        <f>IFERROR($BD395/$BD396-1,"")</f>
        <v/>
      </c>
      <c r="EP395" s="58">
        <f>IFERROR($BE395/$BE396-1,"")</f>
        <v/>
      </c>
      <c r="EQ395" s="58">
        <f>IFERROR($BF395/$BF396-1,"")</f>
        <v/>
      </c>
      <c r="ER395" s="58">
        <f>IFERROR($BG395/$BG396-1,"")</f>
        <v/>
      </c>
      <c r="ES395" s="58">
        <f>IFERROR($BH395/$BH396-1,"")</f>
        <v/>
      </c>
      <c r="ET395" s="58">
        <f>IFERROR($BI395/$BI396-1,"")</f>
        <v/>
      </c>
      <c r="EU395" s="58">
        <f>IFERROR($BJ395/$BJ396-1,"")</f>
        <v/>
      </c>
      <c r="EV395" s="58">
        <f>IFERROR($BK395/$BK396-1,"")</f>
        <v/>
      </c>
      <c r="EW395" s="58">
        <f>IFERROR($BL395/$BL396-1,"")</f>
        <v/>
      </c>
      <c r="EX395" s="58">
        <f>IFERROR($BM395/$BM396-1,"")</f>
        <v/>
      </c>
      <c r="EY395" s="58">
        <f>IFERROR($BN395/$BN396-1,"")</f>
        <v/>
      </c>
      <c r="EZ395" s="58">
        <f>IFERROR($BO395/$BO396-1,"")</f>
        <v/>
      </c>
      <c r="FA395" s="58">
        <f>IFERROR($BP395/$BP396-1,"")</f>
        <v/>
      </c>
      <c r="FB395" s="58">
        <f>IFERROR($BQ395/$BQ396-1,"")</f>
        <v/>
      </c>
      <c r="FC395" s="58">
        <f>IFERROR($BR395/$BR396-1,"")</f>
        <v/>
      </c>
      <c r="FD395" s="58">
        <f>IFERROR($BS395/$BS396-1,"")</f>
        <v/>
      </c>
      <c r="FE395" s="58">
        <f>IFERROR($BT395/$BT396-1,"")</f>
        <v/>
      </c>
      <c r="FF395" s="58">
        <f>IFERROR($BU395/$BU396-1,"")</f>
        <v/>
      </c>
      <c r="FG395" s="58">
        <f>IFERROR($BV395/$BV396-1,"")</f>
        <v/>
      </c>
      <c r="FH395" s="58">
        <f>IFERROR($BW395/$BW396-1,"")</f>
        <v/>
      </c>
      <c r="FI395" s="58">
        <f>IFERROR($BX395/$BX396-1,"")</f>
        <v/>
      </c>
      <c r="FJ395" s="59">
        <f>$BY395-$BY396</f>
        <v/>
      </c>
      <c r="FK395" s="59">
        <f>$BZ395-$BZ396</f>
        <v/>
      </c>
      <c r="FL395" s="59">
        <f>$CA395-$CA396</f>
        <v/>
      </c>
      <c r="FM395" s="59">
        <f>$CB395-$CB396</f>
        <v/>
      </c>
      <c r="FN395" s="59">
        <f>$CC395-$CC396</f>
        <v/>
      </c>
      <c r="FO395" s="59">
        <f>$CD395-$CD396</f>
        <v/>
      </c>
      <c r="FP395" s="59">
        <f>$CE395-$CE396</f>
        <v/>
      </c>
      <c r="FQ395" s="59">
        <f>$CF395-$CF396</f>
        <v/>
      </c>
      <c r="FR395" s="59">
        <f>$CG395-$CG396</f>
        <v/>
      </c>
      <c r="FS395" s="59">
        <f>$CH395-$CH396</f>
        <v/>
      </c>
      <c r="FT395" s="59">
        <f>$CI395-$CI396</f>
        <v/>
      </c>
      <c r="FU395" s="59">
        <f>$CJ395-$CJ396</f>
        <v/>
      </c>
      <c r="FV395" s="59">
        <f>$CK395-$CK396</f>
        <v/>
      </c>
      <c r="FW395" s="59">
        <f>$CL395-$CL396</f>
        <v/>
      </c>
      <c r="FX395" s="59">
        <f>$CM395-$CM396</f>
        <v/>
      </c>
      <c r="FY395" s="59">
        <f>$CN395-$CN396</f>
        <v/>
      </c>
      <c r="FZ395" s="59">
        <f>$CO395-$CO396</f>
        <v/>
      </c>
      <c r="GA395" s="59">
        <f>$CP395-$CP396</f>
        <v/>
      </c>
      <c r="GB395" s="59">
        <f>$CQ395-$CQ396</f>
        <v/>
      </c>
      <c r="GC395" s="59">
        <f>$CR395-$CR396</f>
        <v/>
      </c>
      <c r="GD395" s="59">
        <f>$CS395-$CS396</f>
        <v/>
      </c>
      <c r="GE395" s="59">
        <f>$CT395-$CT396</f>
        <v/>
      </c>
    </row>
    <row r="396">
      <c r="CU396" s="58">
        <f>IFERROR($B396/$B397-1,"")</f>
        <v/>
      </c>
      <c r="CV396" s="59">
        <f>($F396-$F397)*100</f>
        <v/>
      </c>
      <c r="CW396" s="59">
        <f>($E396-$E397)*100</f>
        <v/>
      </c>
      <c r="CX396" s="58">
        <f>IFERROR($K396/$K397-1,"")</f>
        <v/>
      </c>
      <c r="CY396" s="59">
        <f>($AH396-$AH397)*100</f>
        <v/>
      </c>
      <c r="CZ396" s="59">
        <f>($AI396-$AI397)*100</f>
        <v/>
      </c>
      <c r="DA396" s="59">
        <f>($AJ396-$AJ397)*100</f>
        <v/>
      </c>
      <c r="DB396" s="59">
        <f>($AK396-$AK397)*100</f>
        <v/>
      </c>
      <c r="DC396" s="59">
        <f>($AL396-$AL397)*100</f>
        <v/>
      </c>
      <c r="DD396" s="59">
        <f>($AM396-$AM397)*100</f>
        <v/>
      </c>
      <c r="DE396" s="59">
        <f>($AN396-$AN397)*100</f>
        <v/>
      </c>
      <c r="DF396" s="59">
        <f>($AO396-$AO397)*100</f>
        <v/>
      </c>
      <c r="DG396" s="59">
        <f>($AP396-$AP397)*100</f>
        <v/>
      </c>
      <c r="DH396" s="59">
        <f>($AQ396-$AQ397)*100</f>
        <v/>
      </c>
      <c r="DI396" s="59">
        <f>($AR396-$AR397)*100</f>
        <v/>
      </c>
      <c r="DJ396" s="59">
        <f>($AS396-$AS397)*100</f>
        <v/>
      </c>
      <c r="DK396" s="59">
        <f>($AT396-$AT397)*100</f>
        <v/>
      </c>
      <c r="DL396" s="59">
        <f>($AU396-$AU397)*100</f>
        <v/>
      </c>
      <c r="DM396" s="59">
        <f>($AV396-$AV397)*100</f>
        <v/>
      </c>
      <c r="DN396" s="59">
        <f>($AW396-$AW397)*100</f>
        <v/>
      </c>
      <c r="DO396" s="59">
        <f>($AX396-$AX397)*100</f>
        <v/>
      </c>
      <c r="DP396" s="59">
        <f>($AY396-$AY397)*100</f>
        <v/>
      </c>
      <c r="DQ396" s="59">
        <f>($AZ396-$AZ397)*100</f>
        <v/>
      </c>
      <c r="DR396" s="59">
        <f>($BA396-$BA397)*100</f>
        <v/>
      </c>
      <c r="DS396" s="58">
        <f>IFERROR($N397/$N396-1,"")</f>
        <v/>
      </c>
      <c r="DT396" s="58">
        <f>IFERROR($O397/$O396-1,"")</f>
        <v/>
      </c>
      <c r="DU396" s="58">
        <f>IFERROR($P397/$P396-1,"")</f>
        <v/>
      </c>
      <c r="DV396" s="58">
        <f>IFERROR($Q397/$Q396-1,"")</f>
        <v/>
      </c>
      <c r="DW396" s="58">
        <f>IFERROR($R397/$R396-1,"")</f>
        <v/>
      </c>
      <c r="DX396" s="58">
        <f>IFERROR($S397/$S396-1,"")</f>
        <v/>
      </c>
      <c r="DY396" s="58">
        <f>IFERROR($T397/$T396-1,"")</f>
        <v/>
      </c>
      <c r="DZ396" s="58">
        <f>IFERROR($U397/$U396-1,"")</f>
        <v/>
      </c>
      <c r="EA396" s="58">
        <f>IFERROR($V397/$V396-1,"")</f>
        <v/>
      </c>
      <c r="EB396" s="58">
        <f>IFERROR($W397/$W396-1,"")</f>
        <v/>
      </c>
      <c r="EC396" s="58">
        <f>IFERROR($X397/$X396-1,"")</f>
        <v/>
      </c>
      <c r="ED396" s="58">
        <f>IFERROR($Y397/$Y396-1,"")</f>
        <v/>
      </c>
      <c r="EE396" s="58">
        <f>IFERROR($Z397/$Z396-1,"")</f>
        <v/>
      </c>
      <c r="EF396" s="58">
        <f>IFERROR($AA397/$AA396-1,"")</f>
        <v/>
      </c>
      <c r="EG396" s="58">
        <f>IFERROR($AB397/$AB396-1,"")</f>
        <v/>
      </c>
      <c r="EH396" s="58">
        <f>IFERROR($AC397/$AC396-1,"")</f>
        <v/>
      </c>
      <c r="EI396" s="58">
        <f>IFERROR($AD397/$AD396-1,"")</f>
        <v/>
      </c>
      <c r="EJ396" s="58">
        <f>IFERROR($AE397/$AE396-1,"")</f>
        <v/>
      </c>
      <c r="EK396" s="58">
        <f>IFERROR($AF397/$AF396-1,"")</f>
        <v/>
      </c>
      <c r="EL396" s="58">
        <f>IFERROR($AG397/$AG396-1,"")</f>
        <v/>
      </c>
      <c r="EM396" s="58">
        <f>IFERROR($BB396/$BB397-1,"")</f>
        <v/>
      </c>
      <c r="EN396" s="58">
        <f>IFERROR($BC396/$BC397-1,"")</f>
        <v/>
      </c>
      <c r="EO396" s="58">
        <f>IFERROR($BD396/$BD397-1,"")</f>
        <v/>
      </c>
      <c r="EP396" s="58">
        <f>IFERROR($BE396/$BE397-1,"")</f>
        <v/>
      </c>
      <c r="EQ396" s="58">
        <f>IFERROR($BF396/$BF397-1,"")</f>
        <v/>
      </c>
      <c r="ER396" s="58">
        <f>IFERROR($BG396/$BG397-1,"")</f>
        <v/>
      </c>
      <c r="ES396" s="58">
        <f>IFERROR($BH396/$BH397-1,"")</f>
        <v/>
      </c>
      <c r="ET396" s="58">
        <f>IFERROR($BI396/$BI397-1,"")</f>
        <v/>
      </c>
      <c r="EU396" s="58">
        <f>IFERROR($BJ396/$BJ397-1,"")</f>
        <v/>
      </c>
      <c r="EV396" s="58">
        <f>IFERROR($BK396/$BK397-1,"")</f>
        <v/>
      </c>
      <c r="EW396" s="58">
        <f>IFERROR($BL396/$BL397-1,"")</f>
        <v/>
      </c>
      <c r="EX396" s="58">
        <f>IFERROR($BM396/$BM397-1,"")</f>
        <v/>
      </c>
      <c r="EY396" s="58">
        <f>IFERROR($BN396/$BN397-1,"")</f>
        <v/>
      </c>
      <c r="EZ396" s="58">
        <f>IFERROR($BO396/$BO397-1,"")</f>
        <v/>
      </c>
      <c r="FA396" s="58">
        <f>IFERROR($BP396/$BP397-1,"")</f>
        <v/>
      </c>
      <c r="FB396" s="58">
        <f>IFERROR($BQ396/$BQ397-1,"")</f>
        <v/>
      </c>
      <c r="FC396" s="58">
        <f>IFERROR($BR396/$BR397-1,"")</f>
        <v/>
      </c>
      <c r="FD396" s="58">
        <f>IFERROR($BS396/$BS397-1,"")</f>
        <v/>
      </c>
      <c r="FE396" s="58">
        <f>IFERROR($BT396/$BT397-1,"")</f>
        <v/>
      </c>
      <c r="FF396" s="58">
        <f>IFERROR($BU396/$BU397-1,"")</f>
        <v/>
      </c>
      <c r="FG396" s="58">
        <f>IFERROR($BV396/$BV397-1,"")</f>
        <v/>
      </c>
      <c r="FH396" s="58">
        <f>IFERROR($BW396/$BW397-1,"")</f>
        <v/>
      </c>
      <c r="FI396" s="58">
        <f>IFERROR($BX396/$BX397-1,"")</f>
        <v/>
      </c>
      <c r="FJ396" s="59">
        <f>$BY396-$BY397</f>
        <v/>
      </c>
      <c r="FK396" s="59">
        <f>$BZ396-$BZ397</f>
        <v/>
      </c>
      <c r="FL396" s="59">
        <f>$CA396-$CA397</f>
        <v/>
      </c>
      <c r="FM396" s="59">
        <f>$CB396-$CB397</f>
        <v/>
      </c>
      <c r="FN396" s="59">
        <f>$CC396-$CC397</f>
        <v/>
      </c>
      <c r="FO396" s="59">
        <f>$CD396-$CD397</f>
        <v/>
      </c>
      <c r="FP396" s="59">
        <f>$CE396-$CE397</f>
        <v/>
      </c>
      <c r="FQ396" s="59">
        <f>$CF396-$CF397</f>
        <v/>
      </c>
      <c r="FR396" s="59">
        <f>$CG396-$CG397</f>
        <v/>
      </c>
      <c r="FS396" s="59">
        <f>$CH396-$CH397</f>
        <v/>
      </c>
      <c r="FT396" s="59">
        <f>$CI396-$CI397</f>
        <v/>
      </c>
      <c r="FU396" s="59">
        <f>$CJ396-$CJ397</f>
        <v/>
      </c>
      <c r="FV396" s="59">
        <f>$CK396-$CK397</f>
        <v/>
      </c>
      <c r="FW396" s="59">
        <f>$CL396-$CL397</f>
        <v/>
      </c>
      <c r="FX396" s="59">
        <f>$CM396-$CM397</f>
        <v/>
      </c>
      <c r="FY396" s="59">
        <f>$CN396-$CN397</f>
        <v/>
      </c>
      <c r="FZ396" s="59">
        <f>$CO396-$CO397</f>
        <v/>
      </c>
      <c r="GA396" s="59">
        <f>$CP396-$CP397</f>
        <v/>
      </c>
      <c r="GB396" s="59">
        <f>$CQ396-$CQ397</f>
        <v/>
      </c>
      <c r="GC396" s="59">
        <f>$CR396-$CR397</f>
        <v/>
      </c>
      <c r="GD396" s="59">
        <f>$CS396-$CS397</f>
        <v/>
      </c>
      <c r="GE396" s="59">
        <f>$CT396-$CT397</f>
        <v/>
      </c>
    </row>
    <row r="397">
      <c r="CU397" s="58">
        <f>IFERROR($B397/$B398-1,"")</f>
        <v/>
      </c>
      <c r="CV397" s="59">
        <f>($F397-$F398)*100</f>
        <v/>
      </c>
      <c r="CW397" s="59">
        <f>($E397-$E398)*100</f>
        <v/>
      </c>
      <c r="CX397" s="58">
        <f>IFERROR($K397/$K398-1,"")</f>
        <v/>
      </c>
      <c r="CY397" s="59">
        <f>($AH397-$AH398)*100</f>
        <v/>
      </c>
      <c r="CZ397" s="59">
        <f>($AI397-$AI398)*100</f>
        <v/>
      </c>
      <c r="DA397" s="59">
        <f>($AJ397-$AJ398)*100</f>
        <v/>
      </c>
      <c r="DB397" s="59">
        <f>($AK397-$AK398)*100</f>
        <v/>
      </c>
      <c r="DC397" s="59">
        <f>($AL397-$AL398)*100</f>
        <v/>
      </c>
      <c r="DD397" s="59">
        <f>($AM397-$AM398)*100</f>
        <v/>
      </c>
      <c r="DE397" s="59">
        <f>($AN397-$AN398)*100</f>
        <v/>
      </c>
      <c r="DF397" s="59">
        <f>($AO397-$AO398)*100</f>
        <v/>
      </c>
      <c r="DG397" s="59">
        <f>($AP397-$AP398)*100</f>
        <v/>
      </c>
      <c r="DH397" s="59">
        <f>($AQ397-$AQ398)*100</f>
        <v/>
      </c>
      <c r="DI397" s="59">
        <f>($AR397-$AR398)*100</f>
        <v/>
      </c>
      <c r="DJ397" s="59">
        <f>($AS397-$AS398)*100</f>
        <v/>
      </c>
      <c r="DK397" s="59">
        <f>($AT397-$AT398)*100</f>
        <v/>
      </c>
      <c r="DL397" s="59">
        <f>($AU397-$AU398)*100</f>
        <v/>
      </c>
      <c r="DM397" s="59">
        <f>($AV397-$AV398)*100</f>
        <v/>
      </c>
      <c r="DN397" s="59">
        <f>($AW397-$AW398)*100</f>
        <v/>
      </c>
      <c r="DO397" s="59">
        <f>($AX397-$AX398)*100</f>
        <v/>
      </c>
      <c r="DP397" s="59">
        <f>($AY397-$AY398)*100</f>
        <v/>
      </c>
      <c r="DQ397" s="59">
        <f>($AZ397-$AZ398)*100</f>
        <v/>
      </c>
      <c r="DR397" s="59">
        <f>($BA397-$BA398)*100</f>
        <v/>
      </c>
      <c r="DS397" s="58">
        <f>IFERROR($N398/$N397-1,"")</f>
        <v/>
      </c>
      <c r="DT397" s="58">
        <f>IFERROR($O398/$O397-1,"")</f>
        <v/>
      </c>
      <c r="DU397" s="58">
        <f>IFERROR($P398/$P397-1,"")</f>
        <v/>
      </c>
      <c r="DV397" s="58">
        <f>IFERROR($Q398/$Q397-1,"")</f>
        <v/>
      </c>
      <c r="DW397" s="58">
        <f>IFERROR($R398/$R397-1,"")</f>
        <v/>
      </c>
      <c r="DX397" s="58">
        <f>IFERROR($S398/$S397-1,"")</f>
        <v/>
      </c>
      <c r="DY397" s="58">
        <f>IFERROR($T398/$T397-1,"")</f>
        <v/>
      </c>
      <c r="DZ397" s="58">
        <f>IFERROR($U398/$U397-1,"")</f>
        <v/>
      </c>
      <c r="EA397" s="58">
        <f>IFERROR($V398/$V397-1,"")</f>
        <v/>
      </c>
      <c r="EB397" s="58">
        <f>IFERROR($W398/$W397-1,"")</f>
        <v/>
      </c>
      <c r="EC397" s="58">
        <f>IFERROR($X398/$X397-1,"")</f>
        <v/>
      </c>
      <c r="ED397" s="58">
        <f>IFERROR($Y398/$Y397-1,"")</f>
        <v/>
      </c>
      <c r="EE397" s="58">
        <f>IFERROR($Z398/$Z397-1,"")</f>
        <v/>
      </c>
      <c r="EF397" s="58">
        <f>IFERROR($AA398/$AA397-1,"")</f>
        <v/>
      </c>
      <c r="EG397" s="58">
        <f>IFERROR($AB398/$AB397-1,"")</f>
        <v/>
      </c>
      <c r="EH397" s="58">
        <f>IFERROR($AC398/$AC397-1,"")</f>
        <v/>
      </c>
      <c r="EI397" s="58">
        <f>IFERROR($AD398/$AD397-1,"")</f>
        <v/>
      </c>
      <c r="EJ397" s="58">
        <f>IFERROR($AE398/$AE397-1,"")</f>
        <v/>
      </c>
      <c r="EK397" s="58">
        <f>IFERROR($AF398/$AF397-1,"")</f>
        <v/>
      </c>
      <c r="EL397" s="58">
        <f>IFERROR($AG398/$AG397-1,"")</f>
        <v/>
      </c>
      <c r="EM397" s="58">
        <f>IFERROR($BB397/$BB398-1,"")</f>
        <v/>
      </c>
      <c r="EN397" s="58">
        <f>IFERROR($BC397/$BC398-1,"")</f>
        <v/>
      </c>
      <c r="EO397" s="58">
        <f>IFERROR($BD397/$BD398-1,"")</f>
        <v/>
      </c>
      <c r="EP397" s="58">
        <f>IFERROR($BE397/$BE398-1,"")</f>
        <v/>
      </c>
      <c r="EQ397" s="58">
        <f>IFERROR($BF397/$BF398-1,"")</f>
        <v/>
      </c>
      <c r="ER397" s="58">
        <f>IFERROR($BG397/$BG398-1,"")</f>
        <v/>
      </c>
      <c r="ES397" s="58">
        <f>IFERROR($BH397/$BH398-1,"")</f>
        <v/>
      </c>
      <c r="ET397" s="58">
        <f>IFERROR($BI397/$BI398-1,"")</f>
        <v/>
      </c>
      <c r="EU397" s="58">
        <f>IFERROR($BJ397/$BJ398-1,"")</f>
        <v/>
      </c>
      <c r="EV397" s="58">
        <f>IFERROR($BK397/$BK398-1,"")</f>
        <v/>
      </c>
      <c r="EW397" s="58">
        <f>IFERROR($BL397/$BL398-1,"")</f>
        <v/>
      </c>
      <c r="EX397" s="58">
        <f>IFERROR($BM397/$BM398-1,"")</f>
        <v/>
      </c>
      <c r="EY397" s="58">
        <f>IFERROR($BN397/$BN398-1,"")</f>
        <v/>
      </c>
      <c r="EZ397" s="58">
        <f>IFERROR($BO397/$BO398-1,"")</f>
        <v/>
      </c>
      <c r="FA397" s="58">
        <f>IFERROR($BP397/$BP398-1,"")</f>
        <v/>
      </c>
      <c r="FB397" s="58">
        <f>IFERROR($BQ397/$BQ398-1,"")</f>
        <v/>
      </c>
      <c r="FC397" s="58">
        <f>IFERROR($BR397/$BR398-1,"")</f>
        <v/>
      </c>
      <c r="FD397" s="58">
        <f>IFERROR($BS397/$BS398-1,"")</f>
        <v/>
      </c>
      <c r="FE397" s="58">
        <f>IFERROR($BT397/$BT398-1,"")</f>
        <v/>
      </c>
      <c r="FF397" s="58">
        <f>IFERROR($BU397/$BU398-1,"")</f>
        <v/>
      </c>
      <c r="FG397" s="58">
        <f>IFERROR($BV397/$BV398-1,"")</f>
        <v/>
      </c>
      <c r="FH397" s="58">
        <f>IFERROR($BW397/$BW398-1,"")</f>
        <v/>
      </c>
      <c r="FI397" s="58">
        <f>IFERROR($BX397/$BX398-1,"")</f>
        <v/>
      </c>
      <c r="FJ397" s="59">
        <f>$BY397-$BY398</f>
        <v/>
      </c>
      <c r="FK397" s="59">
        <f>$BZ397-$BZ398</f>
        <v/>
      </c>
      <c r="FL397" s="59">
        <f>$CA397-$CA398</f>
        <v/>
      </c>
      <c r="FM397" s="59">
        <f>$CB397-$CB398</f>
        <v/>
      </c>
      <c r="FN397" s="59">
        <f>$CC397-$CC398</f>
        <v/>
      </c>
      <c r="FO397" s="59">
        <f>$CD397-$CD398</f>
        <v/>
      </c>
      <c r="FP397" s="59">
        <f>$CE397-$CE398</f>
        <v/>
      </c>
      <c r="FQ397" s="59">
        <f>$CF397-$CF398</f>
        <v/>
      </c>
      <c r="FR397" s="59">
        <f>$CG397-$CG398</f>
        <v/>
      </c>
      <c r="FS397" s="59">
        <f>$CH397-$CH398</f>
        <v/>
      </c>
      <c r="FT397" s="59">
        <f>$CI397-$CI398</f>
        <v/>
      </c>
      <c r="FU397" s="59">
        <f>$CJ397-$CJ398</f>
        <v/>
      </c>
      <c r="FV397" s="59">
        <f>$CK397-$CK398</f>
        <v/>
      </c>
      <c r="FW397" s="59">
        <f>$CL397-$CL398</f>
        <v/>
      </c>
      <c r="FX397" s="59">
        <f>$CM397-$CM398</f>
        <v/>
      </c>
      <c r="FY397" s="59">
        <f>$CN397-$CN398</f>
        <v/>
      </c>
      <c r="FZ397" s="59">
        <f>$CO397-$CO398</f>
        <v/>
      </c>
      <c r="GA397" s="59">
        <f>$CP397-$CP398</f>
        <v/>
      </c>
      <c r="GB397" s="59">
        <f>$CQ397-$CQ398</f>
        <v/>
      </c>
      <c r="GC397" s="59">
        <f>$CR397-$CR398</f>
        <v/>
      </c>
      <c r="GD397" s="59">
        <f>$CS397-$CS398</f>
        <v/>
      </c>
      <c r="GE397" s="59">
        <f>$CT397-$CT398</f>
        <v/>
      </c>
    </row>
    <row r="398">
      <c r="CU398" s="58">
        <f>IFERROR($B398/$B399-1,"")</f>
        <v/>
      </c>
      <c r="CV398" s="59">
        <f>($F398-$F399)*100</f>
        <v/>
      </c>
      <c r="CW398" s="59">
        <f>($E398-$E399)*100</f>
        <v/>
      </c>
      <c r="CX398" s="58">
        <f>IFERROR($K398/$K399-1,"")</f>
        <v/>
      </c>
      <c r="CY398" s="59">
        <f>($AH398-$AH399)*100</f>
        <v/>
      </c>
      <c r="CZ398" s="59">
        <f>($AI398-$AI399)*100</f>
        <v/>
      </c>
      <c r="DA398" s="59">
        <f>($AJ398-$AJ399)*100</f>
        <v/>
      </c>
      <c r="DB398" s="59">
        <f>($AK398-$AK399)*100</f>
        <v/>
      </c>
      <c r="DC398" s="59">
        <f>($AL398-$AL399)*100</f>
        <v/>
      </c>
      <c r="DD398" s="59">
        <f>($AM398-$AM399)*100</f>
        <v/>
      </c>
      <c r="DE398" s="59">
        <f>($AN398-$AN399)*100</f>
        <v/>
      </c>
      <c r="DF398" s="59">
        <f>($AO398-$AO399)*100</f>
        <v/>
      </c>
      <c r="DG398" s="59">
        <f>($AP398-$AP399)*100</f>
        <v/>
      </c>
      <c r="DH398" s="59">
        <f>($AQ398-$AQ399)*100</f>
        <v/>
      </c>
      <c r="DI398" s="59">
        <f>($AR398-$AR399)*100</f>
        <v/>
      </c>
      <c r="DJ398" s="59">
        <f>($AS398-$AS399)*100</f>
        <v/>
      </c>
      <c r="DK398" s="59">
        <f>($AT398-$AT399)*100</f>
        <v/>
      </c>
      <c r="DL398" s="59">
        <f>($AU398-$AU399)*100</f>
        <v/>
      </c>
      <c r="DM398" s="59">
        <f>($AV398-$AV399)*100</f>
        <v/>
      </c>
      <c r="DN398" s="59">
        <f>($AW398-$AW399)*100</f>
        <v/>
      </c>
      <c r="DO398" s="59">
        <f>($AX398-$AX399)*100</f>
        <v/>
      </c>
      <c r="DP398" s="59">
        <f>($AY398-$AY399)*100</f>
        <v/>
      </c>
      <c r="DQ398" s="59">
        <f>($AZ398-$AZ399)*100</f>
        <v/>
      </c>
      <c r="DR398" s="59">
        <f>($BA398-$BA399)*100</f>
        <v/>
      </c>
      <c r="DS398" s="58">
        <f>IFERROR($N399/$N398-1,"")</f>
        <v/>
      </c>
      <c r="DT398" s="58">
        <f>IFERROR($O399/$O398-1,"")</f>
        <v/>
      </c>
      <c r="DU398" s="58">
        <f>IFERROR($P399/$P398-1,"")</f>
        <v/>
      </c>
      <c r="DV398" s="58">
        <f>IFERROR($Q399/$Q398-1,"")</f>
        <v/>
      </c>
      <c r="DW398" s="58">
        <f>IFERROR($R399/$R398-1,"")</f>
        <v/>
      </c>
      <c r="DX398" s="58">
        <f>IFERROR($S399/$S398-1,"")</f>
        <v/>
      </c>
      <c r="DY398" s="58">
        <f>IFERROR($T399/$T398-1,"")</f>
        <v/>
      </c>
      <c r="DZ398" s="58">
        <f>IFERROR($U399/$U398-1,"")</f>
        <v/>
      </c>
      <c r="EA398" s="58">
        <f>IFERROR($V399/$V398-1,"")</f>
        <v/>
      </c>
      <c r="EB398" s="58">
        <f>IFERROR($W399/$W398-1,"")</f>
        <v/>
      </c>
      <c r="EC398" s="58">
        <f>IFERROR($X399/$X398-1,"")</f>
        <v/>
      </c>
      <c r="ED398" s="58">
        <f>IFERROR($Y399/$Y398-1,"")</f>
        <v/>
      </c>
      <c r="EE398" s="58">
        <f>IFERROR($Z399/$Z398-1,"")</f>
        <v/>
      </c>
      <c r="EF398" s="58">
        <f>IFERROR($AA399/$AA398-1,"")</f>
        <v/>
      </c>
      <c r="EG398" s="58">
        <f>IFERROR($AB399/$AB398-1,"")</f>
        <v/>
      </c>
      <c r="EH398" s="58">
        <f>IFERROR($AC399/$AC398-1,"")</f>
        <v/>
      </c>
      <c r="EI398" s="58">
        <f>IFERROR($AD399/$AD398-1,"")</f>
        <v/>
      </c>
      <c r="EJ398" s="58">
        <f>IFERROR($AE399/$AE398-1,"")</f>
        <v/>
      </c>
      <c r="EK398" s="58">
        <f>IFERROR($AF399/$AF398-1,"")</f>
        <v/>
      </c>
      <c r="EL398" s="58">
        <f>IFERROR($AG399/$AG398-1,"")</f>
        <v/>
      </c>
      <c r="EM398" s="58">
        <f>IFERROR($BB398/$BB399-1,"")</f>
        <v/>
      </c>
      <c r="EN398" s="58">
        <f>IFERROR($BC398/$BC399-1,"")</f>
        <v/>
      </c>
      <c r="EO398" s="58">
        <f>IFERROR($BD398/$BD399-1,"")</f>
        <v/>
      </c>
      <c r="EP398" s="58">
        <f>IFERROR($BE398/$BE399-1,"")</f>
        <v/>
      </c>
      <c r="EQ398" s="58">
        <f>IFERROR($BF398/$BF399-1,"")</f>
        <v/>
      </c>
      <c r="ER398" s="58">
        <f>IFERROR($BG398/$BG399-1,"")</f>
        <v/>
      </c>
      <c r="ES398" s="58">
        <f>IFERROR($BH398/$BH399-1,"")</f>
        <v/>
      </c>
      <c r="ET398" s="58">
        <f>IFERROR($BI398/$BI399-1,"")</f>
        <v/>
      </c>
      <c r="EU398" s="58">
        <f>IFERROR($BJ398/$BJ399-1,"")</f>
        <v/>
      </c>
      <c r="EV398" s="58">
        <f>IFERROR($BK398/$BK399-1,"")</f>
        <v/>
      </c>
      <c r="EW398" s="58">
        <f>IFERROR($BL398/$BL399-1,"")</f>
        <v/>
      </c>
      <c r="EX398" s="58">
        <f>IFERROR($BM398/$BM399-1,"")</f>
        <v/>
      </c>
      <c r="EY398" s="58">
        <f>IFERROR($BN398/$BN399-1,"")</f>
        <v/>
      </c>
      <c r="EZ398" s="58">
        <f>IFERROR($BO398/$BO399-1,"")</f>
        <v/>
      </c>
      <c r="FA398" s="58">
        <f>IFERROR($BP398/$BP399-1,"")</f>
        <v/>
      </c>
      <c r="FB398" s="58">
        <f>IFERROR($BQ398/$BQ399-1,"")</f>
        <v/>
      </c>
      <c r="FC398" s="58">
        <f>IFERROR($BR398/$BR399-1,"")</f>
        <v/>
      </c>
      <c r="FD398" s="58">
        <f>IFERROR($BS398/$BS399-1,"")</f>
        <v/>
      </c>
      <c r="FE398" s="58">
        <f>IFERROR($BT398/$BT399-1,"")</f>
        <v/>
      </c>
      <c r="FF398" s="58">
        <f>IFERROR($BU398/$BU399-1,"")</f>
        <v/>
      </c>
      <c r="FG398" s="58">
        <f>IFERROR($BV398/$BV399-1,"")</f>
        <v/>
      </c>
      <c r="FH398" s="58">
        <f>IFERROR($BW398/$BW399-1,"")</f>
        <v/>
      </c>
      <c r="FI398" s="58">
        <f>IFERROR($BX398/$BX399-1,"")</f>
        <v/>
      </c>
      <c r="FJ398" s="59">
        <f>$BY398-$BY399</f>
        <v/>
      </c>
      <c r="FK398" s="59">
        <f>$BZ398-$BZ399</f>
        <v/>
      </c>
      <c r="FL398" s="59">
        <f>$CA398-$CA399</f>
        <v/>
      </c>
      <c r="FM398" s="59">
        <f>$CB398-$CB399</f>
        <v/>
      </c>
      <c r="FN398" s="59">
        <f>$CC398-$CC399</f>
        <v/>
      </c>
      <c r="FO398" s="59">
        <f>$CD398-$CD399</f>
        <v/>
      </c>
      <c r="FP398" s="59">
        <f>$CE398-$CE399</f>
        <v/>
      </c>
      <c r="FQ398" s="59">
        <f>$CF398-$CF399</f>
        <v/>
      </c>
      <c r="FR398" s="59">
        <f>$CG398-$CG399</f>
        <v/>
      </c>
      <c r="FS398" s="59">
        <f>$CH398-$CH399</f>
        <v/>
      </c>
      <c r="FT398" s="59">
        <f>$CI398-$CI399</f>
        <v/>
      </c>
      <c r="FU398" s="59">
        <f>$CJ398-$CJ399</f>
        <v/>
      </c>
      <c r="FV398" s="59">
        <f>$CK398-$CK399</f>
        <v/>
      </c>
      <c r="FW398" s="59">
        <f>$CL398-$CL399</f>
        <v/>
      </c>
      <c r="FX398" s="59">
        <f>$CM398-$CM399</f>
        <v/>
      </c>
      <c r="FY398" s="59">
        <f>$CN398-$CN399</f>
        <v/>
      </c>
      <c r="FZ398" s="59">
        <f>$CO398-$CO399</f>
        <v/>
      </c>
      <c r="GA398" s="59">
        <f>$CP398-$CP399</f>
        <v/>
      </c>
      <c r="GB398" s="59">
        <f>$CQ398-$CQ399</f>
        <v/>
      </c>
      <c r="GC398" s="59">
        <f>$CR398-$CR399</f>
        <v/>
      </c>
      <c r="GD398" s="59">
        <f>$CS398-$CS399</f>
        <v/>
      </c>
      <c r="GE398" s="59">
        <f>$CT398-$CT399</f>
        <v/>
      </c>
    </row>
    <row r="399">
      <c r="CU399" s="58">
        <f>IFERROR($B399/$B400-1,"")</f>
        <v/>
      </c>
      <c r="CV399" s="59">
        <f>($F399-$F400)*100</f>
        <v/>
      </c>
      <c r="CW399" s="59">
        <f>($E399-$E400)*100</f>
        <v/>
      </c>
      <c r="CX399" s="58">
        <f>IFERROR($K399/$K400-1,"")</f>
        <v/>
      </c>
      <c r="CY399" s="59">
        <f>($AH399-$AH400)*100</f>
        <v/>
      </c>
      <c r="CZ399" s="59">
        <f>($AI399-$AI400)*100</f>
        <v/>
      </c>
      <c r="DA399" s="59">
        <f>($AJ399-$AJ400)*100</f>
        <v/>
      </c>
      <c r="DB399" s="59">
        <f>($AK399-$AK400)*100</f>
        <v/>
      </c>
      <c r="DC399" s="59">
        <f>($AL399-$AL400)*100</f>
        <v/>
      </c>
      <c r="DD399" s="59">
        <f>($AM399-$AM400)*100</f>
        <v/>
      </c>
      <c r="DE399" s="59">
        <f>($AN399-$AN400)*100</f>
        <v/>
      </c>
      <c r="DF399" s="59">
        <f>($AO399-$AO400)*100</f>
        <v/>
      </c>
      <c r="DG399" s="59">
        <f>($AP399-$AP400)*100</f>
        <v/>
      </c>
      <c r="DH399" s="59">
        <f>($AQ399-$AQ400)*100</f>
        <v/>
      </c>
      <c r="DI399" s="59">
        <f>($AR399-$AR400)*100</f>
        <v/>
      </c>
      <c r="DJ399" s="59">
        <f>($AS399-$AS400)*100</f>
        <v/>
      </c>
      <c r="DK399" s="59">
        <f>($AT399-$AT400)*100</f>
        <v/>
      </c>
      <c r="DL399" s="59">
        <f>($AU399-$AU400)*100</f>
        <v/>
      </c>
      <c r="DM399" s="59">
        <f>($AV399-$AV400)*100</f>
        <v/>
      </c>
      <c r="DN399" s="59">
        <f>($AW399-$AW400)*100</f>
        <v/>
      </c>
      <c r="DO399" s="59">
        <f>($AX399-$AX400)*100</f>
        <v/>
      </c>
      <c r="DP399" s="59">
        <f>($AY399-$AY400)*100</f>
        <v/>
      </c>
      <c r="DQ399" s="59">
        <f>($AZ399-$AZ400)*100</f>
        <v/>
      </c>
      <c r="DR399" s="59">
        <f>($BA399-$BA400)*100</f>
        <v/>
      </c>
      <c r="DS399" s="58">
        <f>IFERROR($N400/$N399-1,"")</f>
        <v/>
      </c>
      <c r="DT399" s="58">
        <f>IFERROR($O400/$O399-1,"")</f>
        <v/>
      </c>
      <c r="DU399" s="58">
        <f>IFERROR($P400/$P399-1,"")</f>
        <v/>
      </c>
      <c r="DV399" s="58">
        <f>IFERROR($Q400/$Q399-1,"")</f>
        <v/>
      </c>
      <c r="DW399" s="58">
        <f>IFERROR($R400/$R399-1,"")</f>
        <v/>
      </c>
      <c r="DX399" s="58">
        <f>IFERROR($S400/$S399-1,"")</f>
        <v/>
      </c>
      <c r="DY399" s="58">
        <f>IFERROR($T400/$T399-1,"")</f>
        <v/>
      </c>
      <c r="DZ399" s="58">
        <f>IFERROR($U400/$U399-1,"")</f>
        <v/>
      </c>
      <c r="EA399" s="58">
        <f>IFERROR($V400/$V399-1,"")</f>
        <v/>
      </c>
      <c r="EB399" s="58">
        <f>IFERROR($W400/$W399-1,"")</f>
        <v/>
      </c>
      <c r="EC399" s="58">
        <f>IFERROR($X400/$X399-1,"")</f>
        <v/>
      </c>
      <c r="ED399" s="58">
        <f>IFERROR($Y400/$Y399-1,"")</f>
        <v/>
      </c>
      <c r="EE399" s="58">
        <f>IFERROR($Z400/$Z399-1,"")</f>
        <v/>
      </c>
      <c r="EF399" s="58">
        <f>IFERROR($AA400/$AA399-1,"")</f>
        <v/>
      </c>
      <c r="EG399" s="58">
        <f>IFERROR($AB400/$AB399-1,"")</f>
        <v/>
      </c>
      <c r="EH399" s="58">
        <f>IFERROR($AC400/$AC399-1,"")</f>
        <v/>
      </c>
      <c r="EI399" s="58">
        <f>IFERROR($AD400/$AD399-1,"")</f>
        <v/>
      </c>
      <c r="EJ399" s="58">
        <f>IFERROR($AE400/$AE399-1,"")</f>
        <v/>
      </c>
      <c r="EK399" s="58">
        <f>IFERROR($AF400/$AF399-1,"")</f>
        <v/>
      </c>
      <c r="EL399" s="58">
        <f>IFERROR($AG400/$AG399-1,"")</f>
        <v/>
      </c>
      <c r="EM399" s="58">
        <f>IFERROR($BB399/$BB400-1,"")</f>
        <v/>
      </c>
      <c r="EN399" s="58">
        <f>IFERROR($BC399/$BC400-1,"")</f>
        <v/>
      </c>
      <c r="EO399" s="58">
        <f>IFERROR($BD399/$BD400-1,"")</f>
        <v/>
      </c>
      <c r="EP399" s="58">
        <f>IFERROR($BE399/$BE400-1,"")</f>
        <v/>
      </c>
      <c r="EQ399" s="58">
        <f>IFERROR($BF399/$BF400-1,"")</f>
        <v/>
      </c>
      <c r="ER399" s="58">
        <f>IFERROR($BG399/$BG400-1,"")</f>
        <v/>
      </c>
      <c r="ES399" s="58">
        <f>IFERROR($BH399/$BH400-1,"")</f>
        <v/>
      </c>
      <c r="ET399" s="58">
        <f>IFERROR($BI399/$BI400-1,"")</f>
        <v/>
      </c>
      <c r="EU399" s="58">
        <f>IFERROR($BJ399/$BJ400-1,"")</f>
        <v/>
      </c>
      <c r="EV399" s="58">
        <f>IFERROR($BK399/$BK400-1,"")</f>
        <v/>
      </c>
      <c r="EW399" s="58">
        <f>IFERROR($BL399/$BL400-1,"")</f>
        <v/>
      </c>
      <c r="EX399" s="58">
        <f>IFERROR($BM399/$BM400-1,"")</f>
        <v/>
      </c>
      <c r="EY399" s="58">
        <f>IFERROR($BN399/$BN400-1,"")</f>
        <v/>
      </c>
      <c r="EZ399" s="58">
        <f>IFERROR($BO399/$BO400-1,"")</f>
        <v/>
      </c>
      <c r="FA399" s="58">
        <f>IFERROR($BP399/$BP400-1,"")</f>
        <v/>
      </c>
      <c r="FB399" s="58">
        <f>IFERROR($BQ399/$BQ400-1,"")</f>
        <v/>
      </c>
      <c r="FC399" s="58">
        <f>IFERROR($BR399/$BR400-1,"")</f>
        <v/>
      </c>
      <c r="FD399" s="58">
        <f>IFERROR($BS399/$BS400-1,"")</f>
        <v/>
      </c>
      <c r="FE399" s="58">
        <f>IFERROR($BT399/$BT400-1,"")</f>
        <v/>
      </c>
      <c r="FF399" s="58">
        <f>IFERROR($BU399/$BU400-1,"")</f>
        <v/>
      </c>
      <c r="FG399" s="58">
        <f>IFERROR($BV399/$BV400-1,"")</f>
        <v/>
      </c>
      <c r="FH399" s="58">
        <f>IFERROR($BW399/$BW400-1,"")</f>
        <v/>
      </c>
      <c r="FI399" s="58">
        <f>IFERROR($BX399/$BX400-1,"")</f>
        <v/>
      </c>
      <c r="FJ399" s="59">
        <f>$BY399-$BY400</f>
        <v/>
      </c>
      <c r="FK399" s="59">
        <f>$BZ399-$BZ400</f>
        <v/>
      </c>
      <c r="FL399" s="59">
        <f>$CA399-$CA400</f>
        <v/>
      </c>
      <c r="FM399" s="59">
        <f>$CB399-$CB400</f>
        <v/>
      </c>
      <c r="FN399" s="59">
        <f>$CC399-$CC400</f>
        <v/>
      </c>
      <c r="FO399" s="59">
        <f>$CD399-$CD400</f>
        <v/>
      </c>
      <c r="FP399" s="59">
        <f>$CE399-$CE400</f>
        <v/>
      </c>
      <c r="FQ399" s="59">
        <f>$CF399-$CF400</f>
        <v/>
      </c>
      <c r="FR399" s="59">
        <f>$CG399-$CG400</f>
        <v/>
      </c>
      <c r="FS399" s="59">
        <f>$CH399-$CH400</f>
        <v/>
      </c>
      <c r="FT399" s="59">
        <f>$CI399-$CI400</f>
        <v/>
      </c>
      <c r="FU399" s="59">
        <f>$CJ399-$CJ400</f>
        <v/>
      </c>
      <c r="FV399" s="59">
        <f>$CK399-$CK400</f>
        <v/>
      </c>
      <c r="FW399" s="59">
        <f>$CL399-$CL400</f>
        <v/>
      </c>
      <c r="FX399" s="59">
        <f>$CM399-$CM400</f>
        <v/>
      </c>
      <c r="FY399" s="59">
        <f>$CN399-$CN400</f>
        <v/>
      </c>
      <c r="FZ399" s="59">
        <f>$CO399-$CO400</f>
        <v/>
      </c>
      <c r="GA399" s="59">
        <f>$CP399-$CP400</f>
        <v/>
      </c>
      <c r="GB399" s="59">
        <f>$CQ399-$CQ400</f>
        <v/>
      </c>
      <c r="GC399" s="59">
        <f>$CR399-$CR400</f>
        <v/>
      </c>
      <c r="GD399" s="59">
        <f>$CS399-$CS400</f>
        <v/>
      </c>
      <c r="GE399" s="59">
        <f>$CT399-$CT400</f>
        <v/>
      </c>
    </row>
    <row r="400">
      <c r="CU400" s="58">
        <f>IFERROR($B400/$B401-1,"")</f>
        <v/>
      </c>
      <c r="CV400" s="59">
        <f>($F400-$F401)*100</f>
        <v/>
      </c>
      <c r="CW400" s="59">
        <f>($E400-$E401)*100</f>
        <v/>
      </c>
      <c r="CX400" s="58">
        <f>IFERROR($K400/$K401-1,"")</f>
        <v/>
      </c>
      <c r="CY400" s="59">
        <f>($AH400-$AH401)*100</f>
        <v/>
      </c>
      <c r="CZ400" s="59">
        <f>($AI400-$AI401)*100</f>
        <v/>
      </c>
      <c r="DA400" s="59">
        <f>($AJ400-$AJ401)*100</f>
        <v/>
      </c>
      <c r="DB400" s="59">
        <f>($AK400-$AK401)*100</f>
        <v/>
      </c>
      <c r="DC400" s="59">
        <f>($AL400-$AL401)*100</f>
        <v/>
      </c>
      <c r="DD400" s="59">
        <f>($AM400-$AM401)*100</f>
        <v/>
      </c>
      <c r="DE400" s="59">
        <f>($AN400-$AN401)*100</f>
        <v/>
      </c>
      <c r="DF400" s="59">
        <f>($AO400-$AO401)*100</f>
        <v/>
      </c>
      <c r="DG400" s="59">
        <f>($AP400-$AP401)*100</f>
        <v/>
      </c>
      <c r="DH400" s="59">
        <f>($AQ400-$AQ401)*100</f>
        <v/>
      </c>
      <c r="DI400" s="59">
        <f>($AR400-$AR401)*100</f>
        <v/>
      </c>
      <c r="DJ400" s="59">
        <f>($AS400-$AS401)*100</f>
        <v/>
      </c>
      <c r="DK400" s="59">
        <f>($AT400-$AT401)*100</f>
        <v/>
      </c>
      <c r="DL400" s="59">
        <f>($AU400-$AU401)*100</f>
        <v/>
      </c>
      <c r="DM400" s="59">
        <f>($AV400-$AV401)*100</f>
        <v/>
      </c>
      <c r="DN400" s="59">
        <f>($AW400-$AW401)*100</f>
        <v/>
      </c>
      <c r="DO400" s="59">
        <f>($AX400-$AX401)*100</f>
        <v/>
      </c>
      <c r="DP400" s="59">
        <f>($AY400-$AY401)*100</f>
        <v/>
      </c>
      <c r="DQ400" s="59">
        <f>($AZ400-$AZ401)*100</f>
        <v/>
      </c>
      <c r="DR400" s="59">
        <f>($BA400-$BA401)*100</f>
        <v/>
      </c>
      <c r="DS400" s="58">
        <f>IFERROR($N401/$N400-1,"")</f>
        <v/>
      </c>
      <c r="DT400" s="58">
        <f>IFERROR($O401/$O400-1,"")</f>
        <v/>
      </c>
      <c r="DU400" s="58">
        <f>IFERROR($P401/$P400-1,"")</f>
        <v/>
      </c>
      <c r="DV400" s="58">
        <f>IFERROR($Q401/$Q400-1,"")</f>
        <v/>
      </c>
      <c r="DW400" s="58">
        <f>IFERROR($R401/$R400-1,"")</f>
        <v/>
      </c>
      <c r="DX400" s="58">
        <f>IFERROR($S401/$S400-1,"")</f>
        <v/>
      </c>
      <c r="DY400" s="58">
        <f>IFERROR($T401/$T400-1,"")</f>
        <v/>
      </c>
      <c r="DZ400" s="58">
        <f>IFERROR($U401/$U400-1,"")</f>
        <v/>
      </c>
      <c r="EA400" s="58">
        <f>IFERROR($V401/$V400-1,"")</f>
        <v/>
      </c>
      <c r="EB400" s="58">
        <f>IFERROR($W401/$W400-1,"")</f>
        <v/>
      </c>
      <c r="EC400" s="58">
        <f>IFERROR($X401/$X400-1,"")</f>
        <v/>
      </c>
      <c r="ED400" s="58">
        <f>IFERROR($Y401/$Y400-1,"")</f>
        <v/>
      </c>
      <c r="EE400" s="58">
        <f>IFERROR($Z401/$Z400-1,"")</f>
        <v/>
      </c>
      <c r="EF400" s="58">
        <f>IFERROR($AA401/$AA400-1,"")</f>
        <v/>
      </c>
      <c r="EG400" s="58">
        <f>IFERROR($AB401/$AB400-1,"")</f>
        <v/>
      </c>
      <c r="EH400" s="58">
        <f>IFERROR($AC401/$AC400-1,"")</f>
        <v/>
      </c>
      <c r="EI400" s="58">
        <f>IFERROR($AD401/$AD400-1,"")</f>
        <v/>
      </c>
      <c r="EJ400" s="58">
        <f>IFERROR($AE401/$AE400-1,"")</f>
        <v/>
      </c>
      <c r="EK400" s="58">
        <f>IFERROR($AF401/$AF400-1,"")</f>
        <v/>
      </c>
      <c r="EL400" s="58">
        <f>IFERROR($AG401/$AG400-1,"")</f>
        <v/>
      </c>
      <c r="EM400" s="58">
        <f>IFERROR($BB400/$BB401-1,"")</f>
        <v/>
      </c>
      <c r="EN400" s="58">
        <f>IFERROR($BC400/$BC401-1,"")</f>
        <v/>
      </c>
      <c r="EO400" s="58">
        <f>IFERROR($BD400/$BD401-1,"")</f>
        <v/>
      </c>
      <c r="EP400" s="58">
        <f>IFERROR($BE400/$BE401-1,"")</f>
        <v/>
      </c>
      <c r="EQ400" s="58">
        <f>IFERROR($BF400/$BF401-1,"")</f>
        <v/>
      </c>
      <c r="ER400" s="58">
        <f>IFERROR($BG400/$BG401-1,"")</f>
        <v/>
      </c>
      <c r="ES400" s="58">
        <f>IFERROR($BH400/$BH401-1,"")</f>
        <v/>
      </c>
      <c r="ET400" s="58">
        <f>IFERROR($BI400/$BI401-1,"")</f>
        <v/>
      </c>
      <c r="EU400" s="58">
        <f>IFERROR($BJ400/$BJ401-1,"")</f>
        <v/>
      </c>
      <c r="EV400" s="58">
        <f>IFERROR($BK400/$BK401-1,"")</f>
        <v/>
      </c>
      <c r="EW400" s="58">
        <f>IFERROR($BL400/$BL401-1,"")</f>
        <v/>
      </c>
      <c r="EX400" s="58">
        <f>IFERROR($BM400/$BM401-1,"")</f>
        <v/>
      </c>
      <c r="EY400" s="58">
        <f>IFERROR($BN400/$BN401-1,"")</f>
        <v/>
      </c>
      <c r="EZ400" s="58">
        <f>IFERROR($BO400/$BO401-1,"")</f>
        <v/>
      </c>
      <c r="FA400" s="58">
        <f>IFERROR($BP400/$BP401-1,"")</f>
        <v/>
      </c>
      <c r="FB400" s="58">
        <f>IFERROR($BQ400/$BQ401-1,"")</f>
        <v/>
      </c>
      <c r="FC400" s="58">
        <f>IFERROR($BR400/$BR401-1,"")</f>
        <v/>
      </c>
      <c r="FD400" s="58">
        <f>IFERROR($BS400/$BS401-1,"")</f>
        <v/>
      </c>
      <c r="FE400" s="58">
        <f>IFERROR($BT400/$BT401-1,"")</f>
        <v/>
      </c>
      <c r="FF400" s="58">
        <f>IFERROR($BU400/$BU401-1,"")</f>
        <v/>
      </c>
      <c r="FG400" s="58">
        <f>IFERROR($BV400/$BV401-1,"")</f>
        <v/>
      </c>
      <c r="FH400" s="58">
        <f>IFERROR($BW400/$BW401-1,"")</f>
        <v/>
      </c>
      <c r="FI400" s="58">
        <f>IFERROR($BX400/$BX401-1,"")</f>
        <v/>
      </c>
      <c r="FJ400" s="59">
        <f>$BY400-$BY401</f>
        <v/>
      </c>
      <c r="FK400" s="59">
        <f>$BZ400-$BZ401</f>
        <v/>
      </c>
      <c r="FL400" s="59">
        <f>$CA400-$CA401</f>
        <v/>
      </c>
      <c r="FM400" s="59">
        <f>$CB400-$CB401</f>
        <v/>
      </c>
      <c r="FN400" s="59">
        <f>$CC400-$CC401</f>
        <v/>
      </c>
      <c r="FO400" s="59">
        <f>$CD400-$CD401</f>
        <v/>
      </c>
      <c r="FP400" s="59">
        <f>$CE400-$CE401</f>
        <v/>
      </c>
      <c r="FQ400" s="59">
        <f>$CF400-$CF401</f>
        <v/>
      </c>
      <c r="FR400" s="59">
        <f>$CG400-$CG401</f>
        <v/>
      </c>
      <c r="FS400" s="59">
        <f>$CH400-$CH401</f>
        <v/>
      </c>
      <c r="FT400" s="59">
        <f>$CI400-$CI401</f>
        <v/>
      </c>
      <c r="FU400" s="59">
        <f>$CJ400-$CJ401</f>
        <v/>
      </c>
      <c r="FV400" s="59">
        <f>$CK400-$CK401</f>
        <v/>
      </c>
      <c r="FW400" s="59">
        <f>$CL400-$CL401</f>
        <v/>
      </c>
      <c r="FX400" s="59">
        <f>$CM400-$CM401</f>
        <v/>
      </c>
      <c r="FY400" s="59">
        <f>$CN400-$CN401</f>
        <v/>
      </c>
      <c r="FZ400" s="59">
        <f>$CO400-$CO401</f>
        <v/>
      </c>
      <c r="GA400" s="59">
        <f>$CP400-$CP401</f>
        <v/>
      </c>
      <c r="GB400" s="59">
        <f>$CQ400-$CQ401</f>
        <v/>
      </c>
      <c r="GC400" s="59">
        <f>$CR400-$CR401</f>
        <v/>
      </c>
      <c r="GD400" s="59">
        <f>$CS400-$CS401</f>
        <v/>
      </c>
      <c r="GE400" s="59">
        <f>$CT400-$CT401</f>
        <v/>
      </c>
    </row>
    <row r="401">
      <c r="CU401" s="58">
        <f>IFERROR($B401/$B402-1,"")</f>
        <v/>
      </c>
      <c r="CV401" s="59">
        <f>($F401-$F402)*100</f>
        <v/>
      </c>
      <c r="CW401" s="59">
        <f>($E401-$E402)*100</f>
        <v/>
      </c>
      <c r="CX401" s="58">
        <f>IFERROR($K401/$K402-1,"")</f>
        <v/>
      </c>
      <c r="CY401" s="59">
        <f>($AH401-$AH402)*100</f>
        <v/>
      </c>
      <c r="CZ401" s="59">
        <f>($AI401-$AI402)*100</f>
        <v/>
      </c>
      <c r="DA401" s="59">
        <f>($AJ401-$AJ402)*100</f>
        <v/>
      </c>
      <c r="DB401" s="59">
        <f>($AK401-$AK402)*100</f>
        <v/>
      </c>
      <c r="DC401" s="59">
        <f>($AL401-$AL402)*100</f>
        <v/>
      </c>
      <c r="DD401" s="59">
        <f>($AM401-$AM402)*100</f>
        <v/>
      </c>
      <c r="DE401" s="59">
        <f>($AN401-$AN402)*100</f>
        <v/>
      </c>
      <c r="DF401" s="59">
        <f>($AO401-$AO402)*100</f>
        <v/>
      </c>
      <c r="DG401" s="59">
        <f>($AP401-$AP402)*100</f>
        <v/>
      </c>
      <c r="DH401" s="59">
        <f>($AQ401-$AQ402)*100</f>
        <v/>
      </c>
      <c r="DI401" s="59">
        <f>($AR401-$AR402)*100</f>
        <v/>
      </c>
      <c r="DJ401" s="59">
        <f>($AS401-$AS402)*100</f>
        <v/>
      </c>
      <c r="DK401" s="59">
        <f>($AT401-$AT402)*100</f>
        <v/>
      </c>
      <c r="DL401" s="59">
        <f>($AU401-$AU402)*100</f>
        <v/>
      </c>
      <c r="DM401" s="59">
        <f>($AV401-$AV402)*100</f>
        <v/>
      </c>
      <c r="DN401" s="59">
        <f>($AW401-$AW402)*100</f>
        <v/>
      </c>
      <c r="DO401" s="59">
        <f>($AX401-$AX402)*100</f>
        <v/>
      </c>
      <c r="DP401" s="59">
        <f>($AY401-$AY402)*100</f>
        <v/>
      </c>
      <c r="DQ401" s="59">
        <f>($AZ401-$AZ402)*100</f>
        <v/>
      </c>
      <c r="DR401" s="59">
        <f>($BA401-$BA402)*100</f>
        <v/>
      </c>
      <c r="DS401" s="58">
        <f>IFERROR($N402/$N401-1,"")</f>
        <v/>
      </c>
      <c r="DT401" s="58">
        <f>IFERROR($O402/$O401-1,"")</f>
        <v/>
      </c>
      <c r="DU401" s="58">
        <f>IFERROR($P402/$P401-1,"")</f>
        <v/>
      </c>
      <c r="DV401" s="58">
        <f>IFERROR($Q402/$Q401-1,"")</f>
        <v/>
      </c>
      <c r="DW401" s="58">
        <f>IFERROR($R402/$R401-1,"")</f>
        <v/>
      </c>
      <c r="DX401" s="58">
        <f>IFERROR($S402/$S401-1,"")</f>
        <v/>
      </c>
      <c r="DY401" s="58">
        <f>IFERROR($T402/$T401-1,"")</f>
        <v/>
      </c>
      <c r="DZ401" s="58">
        <f>IFERROR($U402/$U401-1,"")</f>
        <v/>
      </c>
      <c r="EA401" s="58">
        <f>IFERROR($V402/$V401-1,"")</f>
        <v/>
      </c>
      <c r="EB401" s="58">
        <f>IFERROR($W402/$W401-1,"")</f>
        <v/>
      </c>
      <c r="EC401" s="58">
        <f>IFERROR($X402/$X401-1,"")</f>
        <v/>
      </c>
      <c r="ED401" s="58">
        <f>IFERROR($Y402/$Y401-1,"")</f>
        <v/>
      </c>
      <c r="EE401" s="58">
        <f>IFERROR($Z402/$Z401-1,"")</f>
        <v/>
      </c>
      <c r="EF401" s="58">
        <f>IFERROR($AA402/$AA401-1,"")</f>
        <v/>
      </c>
      <c r="EG401" s="58">
        <f>IFERROR($AB402/$AB401-1,"")</f>
        <v/>
      </c>
      <c r="EH401" s="58">
        <f>IFERROR($AC402/$AC401-1,"")</f>
        <v/>
      </c>
      <c r="EI401" s="58">
        <f>IFERROR($AD402/$AD401-1,"")</f>
        <v/>
      </c>
      <c r="EJ401" s="58">
        <f>IFERROR($AE402/$AE401-1,"")</f>
        <v/>
      </c>
      <c r="EK401" s="58">
        <f>IFERROR($AF402/$AF401-1,"")</f>
        <v/>
      </c>
      <c r="EL401" s="58">
        <f>IFERROR($AG402/$AG401-1,"")</f>
        <v/>
      </c>
      <c r="EM401" s="58">
        <f>IFERROR($BB401/$BB402-1,"")</f>
        <v/>
      </c>
      <c r="EN401" s="58">
        <f>IFERROR($BC401/$BC402-1,"")</f>
        <v/>
      </c>
      <c r="EO401" s="58">
        <f>IFERROR($BD401/$BD402-1,"")</f>
        <v/>
      </c>
      <c r="EP401" s="58">
        <f>IFERROR($BE401/$BE402-1,"")</f>
        <v/>
      </c>
      <c r="EQ401" s="58">
        <f>IFERROR($BF401/$BF402-1,"")</f>
        <v/>
      </c>
      <c r="ER401" s="58">
        <f>IFERROR($BG401/$BG402-1,"")</f>
        <v/>
      </c>
      <c r="ES401" s="58">
        <f>IFERROR($BH401/$BH402-1,"")</f>
        <v/>
      </c>
      <c r="ET401" s="58">
        <f>IFERROR($BI401/$BI402-1,"")</f>
        <v/>
      </c>
      <c r="EU401" s="58">
        <f>IFERROR($BJ401/$BJ402-1,"")</f>
        <v/>
      </c>
      <c r="EV401" s="58">
        <f>IFERROR($BK401/$BK402-1,"")</f>
        <v/>
      </c>
      <c r="EW401" s="58">
        <f>IFERROR($BL401/$BL402-1,"")</f>
        <v/>
      </c>
      <c r="EX401" s="58">
        <f>IFERROR($BM401/$BM402-1,"")</f>
        <v/>
      </c>
      <c r="EY401" s="58">
        <f>IFERROR($BN401/$BN402-1,"")</f>
        <v/>
      </c>
      <c r="EZ401" s="58">
        <f>IFERROR($BO401/$BO402-1,"")</f>
        <v/>
      </c>
      <c r="FA401" s="58">
        <f>IFERROR($BP401/$BP402-1,"")</f>
        <v/>
      </c>
      <c r="FB401" s="58">
        <f>IFERROR($BQ401/$BQ402-1,"")</f>
        <v/>
      </c>
      <c r="FC401" s="58">
        <f>IFERROR($BR401/$BR402-1,"")</f>
        <v/>
      </c>
      <c r="FD401" s="58">
        <f>IFERROR($BS401/$BS402-1,"")</f>
        <v/>
      </c>
      <c r="FE401" s="58">
        <f>IFERROR($BT401/$BT402-1,"")</f>
        <v/>
      </c>
      <c r="FF401" s="58">
        <f>IFERROR($BU401/$BU402-1,"")</f>
        <v/>
      </c>
      <c r="FG401" s="58">
        <f>IFERROR($BV401/$BV402-1,"")</f>
        <v/>
      </c>
      <c r="FH401" s="58">
        <f>IFERROR($BW401/$BW402-1,"")</f>
        <v/>
      </c>
      <c r="FI401" s="58">
        <f>IFERROR($BX401/$BX402-1,"")</f>
        <v/>
      </c>
      <c r="FJ401" s="59">
        <f>$BY401-$BY402</f>
        <v/>
      </c>
      <c r="FK401" s="59">
        <f>$BZ401-$BZ402</f>
        <v/>
      </c>
      <c r="FL401" s="59">
        <f>$CA401-$CA402</f>
        <v/>
      </c>
      <c r="FM401" s="59">
        <f>$CB401-$CB402</f>
        <v/>
      </c>
      <c r="FN401" s="59">
        <f>$CC401-$CC402</f>
        <v/>
      </c>
      <c r="FO401" s="59">
        <f>$CD401-$CD402</f>
        <v/>
      </c>
      <c r="FP401" s="59">
        <f>$CE401-$CE402</f>
        <v/>
      </c>
      <c r="FQ401" s="59">
        <f>$CF401-$CF402</f>
        <v/>
      </c>
      <c r="FR401" s="59">
        <f>$CG401-$CG402</f>
        <v/>
      </c>
      <c r="FS401" s="59">
        <f>$CH401-$CH402</f>
        <v/>
      </c>
      <c r="FT401" s="59">
        <f>$CI401-$CI402</f>
        <v/>
      </c>
      <c r="FU401" s="59">
        <f>$CJ401-$CJ402</f>
        <v/>
      </c>
      <c r="FV401" s="59">
        <f>$CK401-$CK402</f>
        <v/>
      </c>
      <c r="FW401" s="59">
        <f>$CL401-$CL402</f>
        <v/>
      </c>
      <c r="FX401" s="59">
        <f>$CM401-$CM402</f>
        <v/>
      </c>
      <c r="FY401" s="59">
        <f>$CN401-$CN402</f>
        <v/>
      </c>
      <c r="FZ401" s="59">
        <f>$CO401-$CO402</f>
        <v/>
      </c>
      <c r="GA401" s="59">
        <f>$CP401-$CP402</f>
        <v/>
      </c>
      <c r="GB401" s="59">
        <f>$CQ401-$CQ402</f>
        <v/>
      </c>
      <c r="GC401" s="59">
        <f>$CR401-$CR402</f>
        <v/>
      </c>
      <c r="GD401" s="59">
        <f>$CS401-$CS402</f>
        <v/>
      </c>
      <c r="GE401" s="59">
        <f>$CT401-$CT402</f>
        <v/>
      </c>
    </row>
    <row r="402">
      <c r="CU402" s="58">
        <f>IFERROR($B402/$B403-1,"")</f>
        <v/>
      </c>
      <c r="CV402" s="59">
        <f>($F402-$F403)*100</f>
        <v/>
      </c>
      <c r="CW402" s="59">
        <f>($E402-$E403)*100</f>
        <v/>
      </c>
      <c r="CX402" s="58">
        <f>IFERROR($K402/$K403-1,"")</f>
        <v/>
      </c>
      <c r="CY402" s="59">
        <f>($AH402-$AH403)*100</f>
        <v/>
      </c>
      <c r="CZ402" s="59">
        <f>($AI402-$AI403)*100</f>
        <v/>
      </c>
      <c r="DA402" s="59">
        <f>($AJ402-$AJ403)*100</f>
        <v/>
      </c>
      <c r="DB402" s="59">
        <f>($AK402-$AK403)*100</f>
        <v/>
      </c>
      <c r="DC402" s="59">
        <f>($AL402-$AL403)*100</f>
        <v/>
      </c>
      <c r="DD402" s="59">
        <f>($AM402-$AM403)*100</f>
        <v/>
      </c>
      <c r="DE402" s="59">
        <f>($AN402-$AN403)*100</f>
        <v/>
      </c>
      <c r="DF402" s="59">
        <f>($AO402-$AO403)*100</f>
        <v/>
      </c>
      <c r="DG402" s="59">
        <f>($AP402-$AP403)*100</f>
        <v/>
      </c>
      <c r="DH402" s="59">
        <f>($AQ402-$AQ403)*100</f>
        <v/>
      </c>
      <c r="DI402" s="59">
        <f>($AR402-$AR403)*100</f>
        <v/>
      </c>
      <c r="DJ402" s="59">
        <f>($AS402-$AS403)*100</f>
        <v/>
      </c>
      <c r="DK402" s="59">
        <f>($AT402-$AT403)*100</f>
        <v/>
      </c>
      <c r="DL402" s="59">
        <f>($AU402-$AU403)*100</f>
        <v/>
      </c>
      <c r="DM402" s="59">
        <f>($AV402-$AV403)*100</f>
        <v/>
      </c>
      <c r="DN402" s="59">
        <f>($AW402-$AW403)*100</f>
        <v/>
      </c>
      <c r="DO402" s="59">
        <f>($AX402-$AX403)*100</f>
        <v/>
      </c>
      <c r="DP402" s="59">
        <f>($AY402-$AY403)*100</f>
        <v/>
      </c>
      <c r="DQ402" s="59">
        <f>($AZ402-$AZ403)*100</f>
        <v/>
      </c>
      <c r="DR402" s="59">
        <f>($BA402-$BA403)*100</f>
        <v/>
      </c>
      <c r="DS402" s="58">
        <f>IFERROR($N403/$N402-1,"")</f>
        <v/>
      </c>
      <c r="DT402" s="58">
        <f>IFERROR($O403/$O402-1,"")</f>
        <v/>
      </c>
      <c r="DU402" s="58">
        <f>IFERROR($P403/$P402-1,"")</f>
        <v/>
      </c>
      <c r="DV402" s="58">
        <f>IFERROR($Q403/$Q402-1,"")</f>
        <v/>
      </c>
      <c r="DW402" s="58">
        <f>IFERROR($R403/$R402-1,"")</f>
        <v/>
      </c>
      <c r="DX402" s="58">
        <f>IFERROR($S403/$S402-1,"")</f>
        <v/>
      </c>
      <c r="DY402" s="58">
        <f>IFERROR($T403/$T402-1,"")</f>
        <v/>
      </c>
      <c r="DZ402" s="58">
        <f>IFERROR($U403/$U402-1,"")</f>
        <v/>
      </c>
      <c r="EA402" s="58">
        <f>IFERROR($V403/$V402-1,"")</f>
        <v/>
      </c>
      <c r="EB402" s="58">
        <f>IFERROR($W403/$W402-1,"")</f>
        <v/>
      </c>
      <c r="EC402" s="58">
        <f>IFERROR($X403/$X402-1,"")</f>
        <v/>
      </c>
      <c r="ED402" s="58">
        <f>IFERROR($Y403/$Y402-1,"")</f>
        <v/>
      </c>
      <c r="EE402" s="58">
        <f>IFERROR($Z403/$Z402-1,"")</f>
        <v/>
      </c>
      <c r="EF402" s="58">
        <f>IFERROR($AA403/$AA402-1,"")</f>
        <v/>
      </c>
      <c r="EG402" s="58">
        <f>IFERROR($AB403/$AB402-1,"")</f>
        <v/>
      </c>
      <c r="EH402" s="58">
        <f>IFERROR($AC403/$AC402-1,"")</f>
        <v/>
      </c>
      <c r="EI402" s="58">
        <f>IFERROR($AD403/$AD402-1,"")</f>
        <v/>
      </c>
      <c r="EJ402" s="58">
        <f>IFERROR($AE403/$AE402-1,"")</f>
        <v/>
      </c>
      <c r="EK402" s="58">
        <f>IFERROR($AF403/$AF402-1,"")</f>
        <v/>
      </c>
      <c r="EL402" s="58">
        <f>IFERROR($AG403/$AG402-1,"")</f>
        <v/>
      </c>
      <c r="EM402" s="58">
        <f>IFERROR($BB402/$BB403-1,"")</f>
        <v/>
      </c>
      <c r="EN402" s="58">
        <f>IFERROR($BC402/$BC403-1,"")</f>
        <v/>
      </c>
      <c r="EO402" s="58">
        <f>IFERROR($BD402/$BD403-1,"")</f>
        <v/>
      </c>
      <c r="EP402" s="58">
        <f>IFERROR($BE402/$BE403-1,"")</f>
        <v/>
      </c>
      <c r="EQ402" s="58">
        <f>IFERROR($BF402/$BF403-1,"")</f>
        <v/>
      </c>
      <c r="ER402" s="58">
        <f>IFERROR($BG402/$BG403-1,"")</f>
        <v/>
      </c>
      <c r="ES402" s="58">
        <f>IFERROR($BH402/$BH403-1,"")</f>
        <v/>
      </c>
      <c r="ET402" s="58">
        <f>IFERROR($BI402/$BI403-1,"")</f>
        <v/>
      </c>
      <c r="EU402" s="58">
        <f>IFERROR($BJ402/$BJ403-1,"")</f>
        <v/>
      </c>
      <c r="EV402" s="58">
        <f>IFERROR($BK402/$BK403-1,"")</f>
        <v/>
      </c>
      <c r="EW402" s="58">
        <f>IFERROR($BL402/$BL403-1,"")</f>
        <v/>
      </c>
      <c r="EX402" s="58">
        <f>IFERROR($BM402/$BM403-1,"")</f>
        <v/>
      </c>
      <c r="EY402" s="58">
        <f>IFERROR($BN402/$BN403-1,"")</f>
        <v/>
      </c>
      <c r="EZ402" s="58">
        <f>IFERROR($BO402/$BO403-1,"")</f>
        <v/>
      </c>
      <c r="FA402" s="58">
        <f>IFERROR($BP402/$BP403-1,"")</f>
        <v/>
      </c>
      <c r="FB402" s="58">
        <f>IFERROR($BQ402/$BQ403-1,"")</f>
        <v/>
      </c>
      <c r="FC402" s="58">
        <f>IFERROR($BR402/$BR403-1,"")</f>
        <v/>
      </c>
      <c r="FD402" s="58">
        <f>IFERROR($BS402/$BS403-1,"")</f>
        <v/>
      </c>
      <c r="FE402" s="58">
        <f>IFERROR($BT402/$BT403-1,"")</f>
        <v/>
      </c>
      <c r="FF402" s="58">
        <f>IFERROR($BU402/$BU403-1,"")</f>
        <v/>
      </c>
      <c r="FG402" s="58">
        <f>IFERROR($BV402/$BV403-1,"")</f>
        <v/>
      </c>
      <c r="FH402" s="58">
        <f>IFERROR($BW402/$BW403-1,"")</f>
        <v/>
      </c>
      <c r="FI402" s="58">
        <f>IFERROR($BX402/$BX403-1,"")</f>
        <v/>
      </c>
      <c r="FJ402" s="59">
        <f>$BY402-$BY403</f>
        <v/>
      </c>
      <c r="FK402" s="59">
        <f>$BZ402-$BZ403</f>
        <v/>
      </c>
      <c r="FL402" s="59">
        <f>$CA402-$CA403</f>
        <v/>
      </c>
      <c r="FM402" s="59">
        <f>$CB402-$CB403</f>
        <v/>
      </c>
      <c r="FN402" s="59">
        <f>$CC402-$CC403</f>
        <v/>
      </c>
      <c r="FO402" s="59">
        <f>$CD402-$CD403</f>
        <v/>
      </c>
      <c r="FP402" s="59">
        <f>$CE402-$CE403</f>
        <v/>
      </c>
      <c r="FQ402" s="59">
        <f>$CF402-$CF403</f>
        <v/>
      </c>
      <c r="FR402" s="59">
        <f>$CG402-$CG403</f>
        <v/>
      </c>
      <c r="FS402" s="59">
        <f>$CH402-$CH403</f>
        <v/>
      </c>
      <c r="FT402" s="59">
        <f>$CI402-$CI403</f>
        <v/>
      </c>
      <c r="FU402" s="59">
        <f>$CJ402-$CJ403</f>
        <v/>
      </c>
      <c r="FV402" s="59">
        <f>$CK402-$CK403</f>
        <v/>
      </c>
      <c r="FW402" s="59">
        <f>$CL402-$CL403</f>
        <v/>
      </c>
      <c r="FX402" s="59">
        <f>$CM402-$CM403</f>
        <v/>
      </c>
      <c r="FY402" s="59">
        <f>$CN402-$CN403</f>
        <v/>
      </c>
      <c r="FZ402" s="59">
        <f>$CO402-$CO403</f>
        <v/>
      </c>
      <c r="GA402" s="59">
        <f>$CP402-$CP403</f>
        <v/>
      </c>
      <c r="GB402" s="59">
        <f>$CQ402-$CQ403</f>
        <v/>
      </c>
      <c r="GC402" s="59">
        <f>$CR402-$CR403</f>
        <v/>
      </c>
      <c r="GD402" s="59">
        <f>$CS402-$CS403</f>
        <v/>
      </c>
      <c r="GE402" s="59">
        <f>$CT402-$CT403</f>
        <v/>
      </c>
    </row>
    <row r="403">
      <c r="CU403" s="58">
        <f>IFERROR($B403/$B404-1,"")</f>
        <v/>
      </c>
      <c r="CV403" s="59">
        <f>($F403-$F404)*100</f>
        <v/>
      </c>
      <c r="CW403" s="59">
        <f>($E403-$E404)*100</f>
        <v/>
      </c>
      <c r="CX403" s="58">
        <f>IFERROR($K403/$K404-1,"")</f>
        <v/>
      </c>
      <c r="CY403" s="59">
        <f>($AH403-$AH404)*100</f>
        <v/>
      </c>
      <c r="CZ403" s="59">
        <f>($AI403-$AI404)*100</f>
        <v/>
      </c>
      <c r="DA403" s="59">
        <f>($AJ403-$AJ404)*100</f>
        <v/>
      </c>
      <c r="DB403" s="59">
        <f>($AK403-$AK404)*100</f>
        <v/>
      </c>
      <c r="DC403" s="59">
        <f>($AL403-$AL404)*100</f>
        <v/>
      </c>
      <c r="DD403" s="59">
        <f>($AM403-$AM404)*100</f>
        <v/>
      </c>
      <c r="DE403" s="59">
        <f>($AN403-$AN404)*100</f>
        <v/>
      </c>
      <c r="DF403" s="59">
        <f>($AO403-$AO404)*100</f>
        <v/>
      </c>
      <c r="DG403" s="59">
        <f>($AP403-$AP404)*100</f>
        <v/>
      </c>
      <c r="DH403" s="59">
        <f>($AQ403-$AQ404)*100</f>
        <v/>
      </c>
      <c r="DI403" s="59">
        <f>($AR403-$AR404)*100</f>
        <v/>
      </c>
      <c r="DJ403" s="59">
        <f>($AS403-$AS404)*100</f>
        <v/>
      </c>
      <c r="DK403" s="59">
        <f>($AT403-$AT404)*100</f>
        <v/>
      </c>
      <c r="DL403" s="59">
        <f>($AU403-$AU404)*100</f>
        <v/>
      </c>
      <c r="DM403" s="59">
        <f>($AV403-$AV404)*100</f>
        <v/>
      </c>
      <c r="DN403" s="59">
        <f>($AW403-$AW404)*100</f>
        <v/>
      </c>
      <c r="DO403" s="59">
        <f>($AX403-$AX404)*100</f>
        <v/>
      </c>
      <c r="DP403" s="59">
        <f>($AY403-$AY404)*100</f>
        <v/>
      </c>
      <c r="DQ403" s="59">
        <f>($AZ403-$AZ404)*100</f>
        <v/>
      </c>
      <c r="DR403" s="59">
        <f>($BA403-$BA404)*100</f>
        <v/>
      </c>
      <c r="DS403" s="58">
        <f>IFERROR($N404/$N403-1,"")</f>
        <v/>
      </c>
      <c r="DT403" s="58">
        <f>IFERROR($O404/$O403-1,"")</f>
        <v/>
      </c>
      <c r="DU403" s="58">
        <f>IFERROR($P404/$P403-1,"")</f>
        <v/>
      </c>
      <c r="DV403" s="58">
        <f>IFERROR($Q404/$Q403-1,"")</f>
        <v/>
      </c>
      <c r="DW403" s="58">
        <f>IFERROR($R404/$R403-1,"")</f>
        <v/>
      </c>
      <c r="DX403" s="58">
        <f>IFERROR($S404/$S403-1,"")</f>
        <v/>
      </c>
      <c r="DY403" s="58">
        <f>IFERROR($T404/$T403-1,"")</f>
        <v/>
      </c>
      <c r="DZ403" s="58">
        <f>IFERROR($U404/$U403-1,"")</f>
        <v/>
      </c>
      <c r="EA403" s="58">
        <f>IFERROR($V404/$V403-1,"")</f>
        <v/>
      </c>
      <c r="EB403" s="58">
        <f>IFERROR($W404/$W403-1,"")</f>
        <v/>
      </c>
      <c r="EC403" s="58">
        <f>IFERROR($X404/$X403-1,"")</f>
        <v/>
      </c>
      <c r="ED403" s="58">
        <f>IFERROR($Y404/$Y403-1,"")</f>
        <v/>
      </c>
      <c r="EE403" s="58">
        <f>IFERROR($Z404/$Z403-1,"")</f>
        <v/>
      </c>
      <c r="EF403" s="58">
        <f>IFERROR($AA404/$AA403-1,"")</f>
        <v/>
      </c>
      <c r="EG403" s="58">
        <f>IFERROR($AB404/$AB403-1,"")</f>
        <v/>
      </c>
      <c r="EH403" s="58">
        <f>IFERROR($AC404/$AC403-1,"")</f>
        <v/>
      </c>
      <c r="EI403" s="58">
        <f>IFERROR($AD404/$AD403-1,"")</f>
        <v/>
      </c>
      <c r="EJ403" s="58">
        <f>IFERROR($AE404/$AE403-1,"")</f>
        <v/>
      </c>
      <c r="EK403" s="58">
        <f>IFERROR($AF404/$AF403-1,"")</f>
        <v/>
      </c>
      <c r="EL403" s="58">
        <f>IFERROR($AG404/$AG403-1,"")</f>
        <v/>
      </c>
      <c r="EM403" s="58">
        <f>IFERROR($BB403/$BB404-1,"")</f>
        <v/>
      </c>
      <c r="EN403" s="58">
        <f>IFERROR($BC403/$BC404-1,"")</f>
        <v/>
      </c>
      <c r="EO403" s="58">
        <f>IFERROR($BD403/$BD404-1,"")</f>
        <v/>
      </c>
      <c r="EP403" s="58">
        <f>IFERROR($BE403/$BE404-1,"")</f>
        <v/>
      </c>
      <c r="EQ403" s="58">
        <f>IFERROR($BF403/$BF404-1,"")</f>
        <v/>
      </c>
      <c r="ER403" s="58">
        <f>IFERROR($BG403/$BG404-1,"")</f>
        <v/>
      </c>
      <c r="ES403" s="58">
        <f>IFERROR($BH403/$BH404-1,"")</f>
        <v/>
      </c>
      <c r="ET403" s="58">
        <f>IFERROR($BI403/$BI404-1,"")</f>
        <v/>
      </c>
      <c r="EU403" s="58">
        <f>IFERROR($BJ403/$BJ404-1,"")</f>
        <v/>
      </c>
      <c r="EV403" s="58">
        <f>IFERROR($BK403/$BK404-1,"")</f>
        <v/>
      </c>
      <c r="EW403" s="58">
        <f>IFERROR($BL403/$BL404-1,"")</f>
        <v/>
      </c>
      <c r="EX403" s="58">
        <f>IFERROR($BM403/$BM404-1,"")</f>
        <v/>
      </c>
      <c r="EY403" s="58">
        <f>IFERROR($BN403/$BN404-1,"")</f>
        <v/>
      </c>
      <c r="EZ403" s="58">
        <f>IFERROR($BO403/$BO404-1,"")</f>
        <v/>
      </c>
      <c r="FA403" s="58">
        <f>IFERROR($BP403/$BP404-1,"")</f>
        <v/>
      </c>
      <c r="FB403" s="58">
        <f>IFERROR($BQ403/$BQ404-1,"")</f>
        <v/>
      </c>
      <c r="FC403" s="58">
        <f>IFERROR($BR403/$BR404-1,"")</f>
        <v/>
      </c>
      <c r="FD403" s="58">
        <f>IFERROR($BS403/$BS404-1,"")</f>
        <v/>
      </c>
      <c r="FE403" s="58">
        <f>IFERROR($BT403/$BT404-1,"")</f>
        <v/>
      </c>
      <c r="FF403" s="58">
        <f>IFERROR($BU403/$BU404-1,"")</f>
        <v/>
      </c>
      <c r="FG403" s="58">
        <f>IFERROR($BV403/$BV404-1,"")</f>
        <v/>
      </c>
      <c r="FH403" s="58">
        <f>IFERROR($BW403/$BW404-1,"")</f>
        <v/>
      </c>
      <c r="FI403" s="58">
        <f>IFERROR($BX403/$BX404-1,"")</f>
        <v/>
      </c>
      <c r="FJ403" s="59">
        <f>$BY403-$BY404</f>
        <v/>
      </c>
      <c r="FK403" s="59">
        <f>$BZ403-$BZ404</f>
        <v/>
      </c>
      <c r="FL403" s="59">
        <f>$CA403-$CA404</f>
        <v/>
      </c>
      <c r="FM403" s="59">
        <f>$CB403-$CB404</f>
        <v/>
      </c>
      <c r="FN403" s="59">
        <f>$CC403-$CC404</f>
        <v/>
      </c>
      <c r="FO403" s="59">
        <f>$CD403-$CD404</f>
        <v/>
      </c>
      <c r="FP403" s="59">
        <f>$CE403-$CE404</f>
        <v/>
      </c>
      <c r="FQ403" s="59">
        <f>$CF403-$CF404</f>
        <v/>
      </c>
      <c r="FR403" s="59">
        <f>$CG403-$CG404</f>
        <v/>
      </c>
      <c r="FS403" s="59">
        <f>$CH403-$CH404</f>
        <v/>
      </c>
      <c r="FT403" s="59">
        <f>$CI403-$CI404</f>
        <v/>
      </c>
      <c r="FU403" s="59">
        <f>$CJ403-$CJ404</f>
        <v/>
      </c>
      <c r="FV403" s="59">
        <f>$CK403-$CK404</f>
        <v/>
      </c>
      <c r="FW403" s="59">
        <f>$CL403-$CL404</f>
        <v/>
      </c>
      <c r="FX403" s="59">
        <f>$CM403-$CM404</f>
        <v/>
      </c>
      <c r="FY403" s="59">
        <f>$CN403-$CN404</f>
        <v/>
      </c>
      <c r="FZ403" s="59">
        <f>$CO403-$CO404</f>
        <v/>
      </c>
      <c r="GA403" s="59">
        <f>$CP403-$CP404</f>
        <v/>
      </c>
      <c r="GB403" s="59">
        <f>$CQ403-$CQ404</f>
        <v/>
      </c>
      <c r="GC403" s="59">
        <f>$CR403-$CR404</f>
        <v/>
      </c>
      <c r="GD403" s="59">
        <f>$CS403-$CS404</f>
        <v/>
      </c>
      <c r="GE403" s="59">
        <f>$CT403-$CT404</f>
        <v/>
      </c>
    </row>
    <row r="404">
      <c r="CU404" s="58">
        <f>IFERROR($B404/$B405-1,"")</f>
        <v/>
      </c>
      <c r="CV404" s="59">
        <f>($F404-$F405)*100</f>
        <v/>
      </c>
      <c r="CW404" s="59">
        <f>($E404-$E405)*100</f>
        <v/>
      </c>
      <c r="CX404" s="58">
        <f>IFERROR($K404/$K405-1,"")</f>
        <v/>
      </c>
      <c r="CY404" s="59">
        <f>($AH404-$AH405)*100</f>
        <v/>
      </c>
      <c r="CZ404" s="59">
        <f>($AI404-$AI405)*100</f>
        <v/>
      </c>
      <c r="DA404" s="59">
        <f>($AJ404-$AJ405)*100</f>
        <v/>
      </c>
      <c r="DB404" s="59">
        <f>($AK404-$AK405)*100</f>
        <v/>
      </c>
      <c r="DC404" s="59">
        <f>($AL404-$AL405)*100</f>
        <v/>
      </c>
      <c r="DD404" s="59">
        <f>($AM404-$AM405)*100</f>
        <v/>
      </c>
      <c r="DE404" s="59">
        <f>($AN404-$AN405)*100</f>
        <v/>
      </c>
      <c r="DF404" s="59">
        <f>($AO404-$AO405)*100</f>
        <v/>
      </c>
      <c r="DG404" s="59">
        <f>($AP404-$AP405)*100</f>
        <v/>
      </c>
      <c r="DH404" s="59">
        <f>($AQ404-$AQ405)*100</f>
        <v/>
      </c>
      <c r="DI404" s="59">
        <f>($AR404-$AR405)*100</f>
        <v/>
      </c>
      <c r="DJ404" s="59">
        <f>($AS404-$AS405)*100</f>
        <v/>
      </c>
      <c r="DK404" s="59">
        <f>($AT404-$AT405)*100</f>
        <v/>
      </c>
      <c r="DL404" s="59">
        <f>($AU404-$AU405)*100</f>
        <v/>
      </c>
      <c r="DM404" s="59">
        <f>($AV404-$AV405)*100</f>
        <v/>
      </c>
      <c r="DN404" s="59">
        <f>($AW404-$AW405)*100</f>
        <v/>
      </c>
      <c r="DO404" s="59">
        <f>($AX404-$AX405)*100</f>
        <v/>
      </c>
      <c r="DP404" s="59">
        <f>($AY404-$AY405)*100</f>
        <v/>
      </c>
      <c r="DQ404" s="59">
        <f>($AZ404-$AZ405)*100</f>
        <v/>
      </c>
      <c r="DR404" s="59">
        <f>($BA404-$BA405)*100</f>
        <v/>
      </c>
      <c r="DS404" s="58">
        <f>IFERROR($N405/$N404-1,"")</f>
        <v/>
      </c>
      <c r="DT404" s="58">
        <f>IFERROR($O405/$O404-1,"")</f>
        <v/>
      </c>
      <c r="DU404" s="58">
        <f>IFERROR($P405/$P404-1,"")</f>
        <v/>
      </c>
      <c r="DV404" s="58">
        <f>IFERROR($Q405/$Q404-1,"")</f>
        <v/>
      </c>
      <c r="DW404" s="58">
        <f>IFERROR($R405/$R404-1,"")</f>
        <v/>
      </c>
      <c r="DX404" s="58">
        <f>IFERROR($S405/$S404-1,"")</f>
        <v/>
      </c>
      <c r="DY404" s="58">
        <f>IFERROR($T405/$T404-1,"")</f>
        <v/>
      </c>
      <c r="DZ404" s="58">
        <f>IFERROR($U405/$U404-1,"")</f>
        <v/>
      </c>
      <c r="EA404" s="58">
        <f>IFERROR($V405/$V404-1,"")</f>
        <v/>
      </c>
      <c r="EB404" s="58">
        <f>IFERROR($W405/$W404-1,"")</f>
        <v/>
      </c>
      <c r="EC404" s="58">
        <f>IFERROR($X405/$X404-1,"")</f>
        <v/>
      </c>
      <c r="ED404" s="58">
        <f>IFERROR($Y405/$Y404-1,"")</f>
        <v/>
      </c>
      <c r="EE404" s="58">
        <f>IFERROR($Z405/$Z404-1,"")</f>
        <v/>
      </c>
      <c r="EF404" s="58">
        <f>IFERROR($AA405/$AA404-1,"")</f>
        <v/>
      </c>
      <c r="EG404" s="58">
        <f>IFERROR($AB405/$AB404-1,"")</f>
        <v/>
      </c>
      <c r="EH404" s="58">
        <f>IFERROR($AC405/$AC404-1,"")</f>
        <v/>
      </c>
      <c r="EI404" s="58">
        <f>IFERROR($AD405/$AD404-1,"")</f>
        <v/>
      </c>
      <c r="EJ404" s="58">
        <f>IFERROR($AE405/$AE404-1,"")</f>
        <v/>
      </c>
      <c r="EK404" s="58">
        <f>IFERROR($AF405/$AF404-1,"")</f>
        <v/>
      </c>
      <c r="EL404" s="58">
        <f>IFERROR($AG405/$AG404-1,"")</f>
        <v/>
      </c>
      <c r="EM404" s="58">
        <f>IFERROR($BB404/$BB405-1,"")</f>
        <v/>
      </c>
      <c r="EN404" s="58">
        <f>IFERROR($BC404/$BC405-1,"")</f>
        <v/>
      </c>
      <c r="EO404" s="58">
        <f>IFERROR($BD404/$BD405-1,"")</f>
        <v/>
      </c>
      <c r="EP404" s="58">
        <f>IFERROR($BE404/$BE405-1,"")</f>
        <v/>
      </c>
      <c r="EQ404" s="58">
        <f>IFERROR($BF404/$BF405-1,"")</f>
        <v/>
      </c>
      <c r="ER404" s="58">
        <f>IFERROR($BG404/$BG405-1,"")</f>
        <v/>
      </c>
      <c r="ES404" s="58">
        <f>IFERROR($BH404/$BH405-1,"")</f>
        <v/>
      </c>
      <c r="ET404" s="58">
        <f>IFERROR($BI404/$BI405-1,"")</f>
        <v/>
      </c>
      <c r="EU404" s="58">
        <f>IFERROR($BJ404/$BJ405-1,"")</f>
        <v/>
      </c>
      <c r="EV404" s="58">
        <f>IFERROR($BK404/$BK405-1,"")</f>
        <v/>
      </c>
      <c r="EW404" s="58">
        <f>IFERROR($BL404/$BL405-1,"")</f>
        <v/>
      </c>
      <c r="EX404" s="58">
        <f>IFERROR($BM404/$BM405-1,"")</f>
        <v/>
      </c>
      <c r="EY404" s="58">
        <f>IFERROR($BN404/$BN405-1,"")</f>
        <v/>
      </c>
      <c r="EZ404" s="58">
        <f>IFERROR($BO404/$BO405-1,"")</f>
        <v/>
      </c>
      <c r="FA404" s="58">
        <f>IFERROR($BP404/$BP405-1,"")</f>
        <v/>
      </c>
      <c r="FB404" s="58">
        <f>IFERROR($BQ404/$BQ405-1,"")</f>
        <v/>
      </c>
      <c r="FC404" s="58">
        <f>IFERROR($BR404/$BR405-1,"")</f>
        <v/>
      </c>
      <c r="FD404" s="58">
        <f>IFERROR($BS404/$BS405-1,"")</f>
        <v/>
      </c>
      <c r="FE404" s="58">
        <f>IFERROR($BT404/$BT405-1,"")</f>
        <v/>
      </c>
      <c r="FF404" s="58">
        <f>IFERROR($BU404/$BU405-1,"")</f>
        <v/>
      </c>
      <c r="FG404" s="58">
        <f>IFERROR($BV404/$BV405-1,"")</f>
        <v/>
      </c>
      <c r="FH404" s="58">
        <f>IFERROR($BW404/$BW405-1,"")</f>
        <v/>
      </c>
      <c r="FI404" s="58">
        <f>IFERROR($BX404/$BX405-1,"")</f>
        <v/>
      </c>
      <c r="FJ404" s="59">
        <f>$BY404-$BY405</f>
        <v/>
      </c>
      <c r="FK404" s="59">
        <f>$BZ404-$BZ405</f>
        <v/>
      </c>
      <c r="FL404" s="59">
        <f>$CA404-$CA405</f>
        <v/>
      </c>
      <c r="FM404" s="59">
        <f>$CB404-$CB405</f>
        <v/>
      </c>
      <c r="FN404" s="59">
        <f>$CC404-$CC405</f>
        <v/>
      </c>
      <c r="FO404" s="59">
        <f>$CD404-$CD405</f>
        <v/>
      </c>
      <c r="FP404" s="59">
        <f>$CE404-$CE405</f>
        <v/>
      </c>
      <c r="FQ404" s="59">
        <f>$CF404-$CF405</f>
        <v/>
      </c>
      <c r="FR404" s="59">
        <f>$CG404-$CG405</f>
        <v/>
      </c>
      <c r="FS404" s="59">
        <f>$CH404-$CH405</f>
        <v/>
      </c>
      <c r="FT404" s="59">
        <f>$CI404-$CI405</f>
        <v/>
      </c>
      <c r="FU404" s="59">
        <f>$CJ404-$CJ405</f>
        <v/>
      </c>
      <c r="FV404" s="59">
        <f>$CK404-$CK405</f>
        <v/>
      </c>
      <c r="FW404" s="59">
        <f>$CL404-$CL405</f>
        <v/>
      </c>
      <c r="FX404" s="59">
        <f>$CM404-$CM405</f>
        <v/>
      </c>
      <c r="FY404" s="59">
        <f>$CN404-$CN405</f>
        <v/>
      </c>
      <c r="FZ404" s="59">
        <f>$CO404-$CO405</f>
        <v/>
      </c>
      <c r="GA404" s="59">
        <f>$CP404-$CP405</f>
        <v/>
      </c>
      <c r="GB404" s="59">
        <f>$CQ404-$CQ405</f>
        <v/>
      </c>
      <c r="GC404" s="59">
        <f>$CR404-$CR405</f>
        <v/>
      </c>
      <c r="GD404" s="59">
        <f>$CS404-$CS405</f>
        <v/>
      </c>
      <c r="GE404" s="59">
        <f>$CT404-$CT405</f>
        <v/>
      </c>
    </row>
    <row r="405">
      <c r="CU405" s="58">
        <f>IFERROR($B405/$B406-1,"")</f>
        <v/>
      </c>
      <c r="CV405" s="59">
        <f>($F405-$F406)*100</f>
        <v/>
      </c>
      <c r="CW405" s="59">
        <f>($E405-$E406)*100</f>
        <v/>
      </c>
      <c r="CX405" s="58">
        <f>IFERROR($K405/$K406-1,"")</f>
        <v/>
      </c>
      <c r="CY405" s="59">
        <f>($AH405-$AH406)*100</f>
        <v/>
      </c>
      <c r="CZ405" s="59">
        <f>($AI405-$AI406)*100</f>
        <v/>
      </c>
      <c r="DA405" s="59">
        <f>($AJ405-$AJ406)*100</f>
        <v/>
      </c>
      <c r="DB405" s="59">
        <f>($AK405-$AK406)*100</f>
        <v/>
      </c>
      <c r="DC405" s="59">
        <f>($AL405-$AL406)*100</f>
        <v/>
      </c>
      <c r="DD405" s="59">
        <f>($AM405-$AM406)*100</f>
        <v/>
      </c>
      <c r="DE405" s="59">
        <f>($AN405-$AN406)*100</f>
        <v/>
      </c>
      <c r="DF405" s="59">
        <f>($AO405-$AO406)*100</f>
        <v/>
      </c>
      <c r="DG405" s="59">
        <f>($AP405-$AP406)*100</f>
        <v/>
      </c>
      <c r="DH405" s="59">
        <f>($AQ405-$AQ406)*100</f>
        <v/>
      </c>
      <c r="DI405" s="59">
        <f>($AR405-$AR406)*100</f>
        <v/>
      </c>
      <c r="DJ405" s="59">
        <f>($AS405-$AS406)*100</f>
        <v/>
      </c>
      <c r="DK405" s="59">
        <f>($AT405-$AT406)*100</f>
        <v/>
      </c>
      <c r="DL405" s="59">
        <f>($AU405-$AU406)*100</f>
        <v/>
      </c>
      <c r="DM405" s="59">
        <f>($AV405-$AV406)*100</f>
        <v/>
      </c>
      <c r="DN405" s="59">
        <f>($AW405-$AW406)*100</f>
        <v/>
      </c>
      <c r="DO405" s="59">
        <f>($AX405-$AX406)*100</f>
        <v/>
      </c>
      <c r="DP405" s="59">
        <f>($AY405-$AY406)*100</f>
        <v/>
      </c>
      <c r="DQ405" s="59">
        <f>($AZ405-$AZ406)*100</f>
        <v/>
      </c>
      <c r="DR405" s="59">
        <f>($BA405-$BA406)*100</f>
        <v/>
      </c>
      <c r="DS405" s="58">
        <f>IFERROR($N406/$N405-1,"")</f>
        <v/>
      </c>
      <c r="DT405" s="58">
        <f>IFERROR($O406/$O405-1,"")</f>
        <v/>
      </c>
      <c r="DU405" s="58">
        <f>IFERROR($P406/$P405-1,"")</f>
        <v/>
      </c>
      <c r="DV405" s="58">
        <f>IFERROR($Q406/$Q405-1,"")</f>
        <v/>
      </c>
      <c r="DW405" s="58">
        <f>IFERROR($R406/$R405-1,"")</f>
        <v/>
      </c>
      <c r="DX405" s="58">
        <f>IFERROR($S406/$S405-1,"")</f>
        <v/>
      </c>
      <c r="DY405" s="58">
        <f>IFERROR($T406/$T405-1,"")</f>
        <v/>
      </c>
      <c r="DZ405" s="58">
        <f>IFERROR($U406/$U405-1,"")</f>
        <v/>
      </c>
      <c r="EA405" s="58">
        <f>IFERROR($V406/$V405-1,"")</f>
        <v/>
      </c>
      <c r="EB405" s="58">
        <f>IFERROR($W406/$W405-1,"")</f>
        <v/>
      </c>
      <c r="EC405" s="58">
        <f>IFERROR($X406/$X405-1,"")</f>
        <v/>
      </c>
      <c r="ED405" s="58">
        <f>IFERROR($Y406/$Y405-1,"")</f>
        <v/>
      </c>
      <c r="EE405" s="58">
        <f>IFERROR($Z406/$Z405-1,"")</f>
        <v/>
      </c>
      <c r="EF405" s="58">
        <f>IFERROR($AA406/$AA405-1,"")</f>
        <v/>
      </c>
      <c r="EG405" s="58">
        <f>IFERROR($AB406/$AB405-1,"")</f>
        <v/>
      </c>
      <c r="EH405" s="58">
        <f>IFERROR($AC406/$AC405-1,"")</f>
        <v/>
      </c>
      <c r="EI405" s="58">
        <f>IFERROR($AD406/$AD405-1,"")</f>
        <v/>
      </c>
      <c r="EJ405" s="58">
        <f>IFERROR($AE406/$AE405-1,"")</f>
        <v/>
      </c>
      <c r="EK405" s="58">
        <f>IFERROR($AF406/$AF405-1,"")</f>
        <v/>
      </c>
      <c r="EL405" s="58">
        <f>IFERROR($AG406/$AG405-1,"")</f>
        <v/>
      </c>
      <c r="EM405" s="58">
        <f>IFERROR($BB405/$BB406-1,"")</f>
        <v/>
      </c>
      <c r="EN405" s="58">
        <f>IFERROR($BC405/$BC406-1,"")</f>
        <v/>
      </c>
      <c r="EO405" s="58">
        <f>IFERROR($BD405/$BD406-1,"")</f>
        <v/>
      </c>
      <c r="EP405" s="58">
        <f>IFERROR($BE405/$BE406-1,"")</f>
        <v/>
      </c>
      <c r="EQ405" s="58">
        <f>IFERROR($BF405/$BF406-1,"")</f>
        <v/>
      </c>
      <c r="ER405" s="58">
        <f>IFERROR($BG405/$BG406-1,"")</f>
        <v/>
      </c>
      <c r="ES405" s="58">
        <f>IFERROR($BH405/$BH406-1,"")</f>
        <v/>
      </c>
      <c r="ET405" s="58">
        <f>IFERROR($BI405/$BI406-1,"")</f>
        <v/>
      </c>
      <c r="EU405" s="58">
        <f>IFERROR($BJ405/$BJ406-1,"")</f>
        <v/>
      </c>
      <c r="EV405" s="58">
        <f>IFERROR($BK405/$BK406-1,"")</f>
        <v/>
      </c>
      <c r="EW405" s="58">
        <f>IFERROR($BL405/$BL406-1,"")</f>
        <v/>
      </c>
      <c r="EX405" s="58">
        <f>IFERROR($BM405/$BM406-1,"")</f>
        <v/>
      </c>
      <c r="EY405" s="58">
        <f>IFERROR($BN405/$BN406-1,"")</f>
        <v/>
      </c>
      <c r="EZ405" s="58">
        <f>IFERROR($BO405/$BO406-1,"")</f>
        <v/>
      </c>
      <c r="FA405" s="58">
        <f>IFERROR($BP405/$BP406-1,"")</f>
        <v/>
      </c>
      <c r="FB405" s="58">
        <f>IFERROR($BQ405/$BQ406-1,"")</f>
        <v/>
      </c>
      <c r="FC405" s="58">
        <f>IFERROR($BR405/$BR406-1,"")</f>
        <v/>
      </c>
      <c r="FD405" s="58">
        <f>IFERROR($BS405/$BS406-1,"")</f>
        <v/>
      </c>
      <c r="FE405" s="58">
        <f>IFERROR($BT405/$BT406-1,"")</f>
        <v/>
      </c>
      <c r="FF405" s="58">
        <f>IFERROR($BU405/$BU406-1,"")</f>
        <v/>
      </c>
      <c r="FG405" s="58">
        <f>IFERROR($BV405/$BV406-1,"")</f>
        <v/>
      </c>
      <c r="FH405" s="58">
        <f>IFERROR($BW405/$BW406-1,"")</f>
        <v/>
      </c>
      <c r="FI405" s="58">
        <f>IFERROR($BX405/$BX406-1,"")</f>
        <v/>
      </c>
      <c r="FJ405" s="59">
        <f>$BY405-$BY406</f>
        <v/>
      </c>
      <c r="FK405" s="59">
        <f>$BZ405-$BZ406</f>
        <v/>
      </c>
      <c r="FL405" s="59">
        <f>$CA405-$CA406</f>
        <v/>
      </c>
      <c r="FM405" s="59">
        <f>$CB405-$CB406</f>
        <v/>
      </c>
      <c r="FN405" s="59">
        <f>$CC405-$CC406</f>
        <v/>
      </c>
      <c r="FO405" s="59">
        <f>$CD405-$CD406</f>
        <v/>
      </c>
      <c r="FP405" s="59">
        <f>$CE405-$CE406</f>
        <v/>
      </c>
      <c r="FQ405" s="59">
        <f>$CF405-$CF406</f>
        <v/>
      </c>
      <c r="FR405" s="59">
        <f>$CG405-$CG406</f>
        <v/>
      </c>
      <c r="FS405" s="59">
        <f>$CH405-$CH406</f>
        <v/>
      </c>
      <c r="FT405" s="59">
        <f>$CI405-$CI406</f>
        <v/>
      </c>
      <c r="FU405" s="59">
        <f>$CJ405-$CJ406</f>
        <v/>
      </c>
      <c r="FV405" s="59">
        <f>$CK405-$CK406</f>
        <v/>
      </c>
      <c r="FW405" s="59">
        <f>$CL405-$CL406</f>
        <v/>
      </c>
      <c r="FX405" s="59">
        <f>$CM405-$CM406</f>
        <v/>
      </c>
      <c r="FY405" s="59">
        <f>$CN405-$CN406</f>
        <v/>
      </c>
      <c r="FZ405" s="59">
        <f>$CO405-$CO406</f>
        <v/>
      </c>
      <c r="GA405" s="59">
        <f>$CP405-$CP406</f>
        <v/>
      </c>
      <c r="GB405" s="59">
        <f>$CQ405-$CQ406</f>
        <v/>
      </c>
      <c r="GC405" s="59">
        <f>$CR405-$CR406</f>
        <v/>
      </c>
      <c r="GD405" s="59">
        <f>$CS405-$CS406</f>
        <v/>
      </c>
      <c r="GE405" s="59">
        <f>$CT405-$CT406</f>
        <v/>
      </c>
    </row>
    <row r="406">
      <c r="CU406" s="58">
        <f>IFERROR($B406/$B407-1,"")</f>
        <v/>
      </c>
      <c r="CV406" s="59">
        <f>($F406-$F407)*100</f>
        <v/>
      </c>
      <c r="CW406" s="59">
        <f>($E406-$E407)*100</f>
        <v/>
      </c>
      <c r="CX406" s="58">
        <f>IFERROR($K406/$K407-1,"")</f>
        <v/>
      </c>
      <c r="CY406" s="59">
        <f>($AH406-$AH407)*100</f>
        <v/>
      </c>
      <c r="CZ406" s="59">
        <f>($AI406-$AI407)*100</f>
        <v/>
      </c>
      <c r="DA406" s="59">
        <f>($AJ406-$AJ407)*100</f>
        <v/>
      </c>
      <c r="DB406" s="59">
        <f>($AK406-$AK407)*100</f>
        <v/>
      </c>
      <c r="DC406" s="59">
        <f>($AL406-$AL407)*100</f>
        <v/>
      </c>
      <c r="DD406" s="59">
        <f>($AM406-$AM407)*100</f>
        <v/>
      </c>
      <c r="DE406" s="59">
        <f>($AN406-$AN407)*100</f>
        <v/>
      </c>
      <c r="DF406" s="59">
        <f>($AO406-$AO407)*100</f>
        <v/>
      </c>
      <c r="DG406" s="59">
        <f>($AP406-$AP407)*100</f>
        <v/>
      </c>
      <c r="DH406" s="59">
        <f>($AQ406-$AQ407)*100</f>
        <v/>
      </c>
      <c r="DI406" s="59">
        <f>($AR406-$AR407)*100</f>
        <v/>
      </c>
      <c r="DJ406" s="59">
        <f>($AS406-$AS407)*100</f>
        <v/>
      </c>
      <c r="DK406" s="59">
        <f>($AT406-$AT407)*100</f>
        <v/>
      </c>
      <c r="DL406" s="59">
        <f>($AU406-$AU407)*100</f>
        <v/>
      </c>
      <c r="DM406" s="59">
        <f>($AV406-$AV407)*100</f>
        <v/>
      </c>
      <c r="DN406" s="59">
        <f>($AW406-$AW407)*100</f>
        <v/>
      </c>
      <c r="DO406" s="59">
        <f>($AX406-$AX407)*100</f>
        <v/>
      </c>
      <c r="DP406" s="59">
        <f>($AY406-$AY407)*100</f>
        <v/>
      </c>
      <c r="DQ406" s="59">
        <f>($AZ406-$AZ407)*100</f>
        <v/>
      </c>
      <c r="DR406" s="59">
        <f>($BA406-$BA407)*100</f>
        <v/>
      </c>
      <c r="DS406" s="58">
        <f>IFERROR($N407/$N406-1,"")</f>
        <v/>
      </c>
      <c r="DT406" s="58">
        <f>IFERROR($O407/$O406-1,"")</f>
        <v/>
      </c>
      <c r="DU406" s="58">
        <f>IFERROR($P407/$P406-1,"")</f>
        <v/>
      </c>
      <c r="DV406" s="58">
        <f>IFERROR($Q407/$Q406-1,"")</f>
        <v/>
      </c>
      <c r="DW406" s="58">
        <f>IFERROR($R407/$R406-1,"")</f>
        <v/>
      </c>
      <c r="DX406" s="58">
        <f>IFERROR($S407/$S406-1,"")</f>
        <v/>
      </c>
      <c r="DY406" s="58">
        <f>IFERROR($T407/$T406-1,"")</f>
        <v/>
      </c>
      <c r="DZ406" s="58">
        <f>IFERROR($U407/$U406-1,"")</f>
        <v/>
      </c>
      <c r="EA406" s="58">
        <f>IFERROR($V407/$V406-1,"")</f>
        <v/>
      </c>
      <c r="EB406" s="58">
        <f>IFERROR($W407/$W406-1,"")</f>
        <v/>
      </c>
      <c r="EC406" s="58">
        <f>IFERROR($X407/$X406-1,"")</f>
        <v/>
      </c>
      <c r="ED406" s="58">
        <f>IFERROR($Y407/$Y406-1,"")</f>
        <v/>
      </c>
      <c r="EE406" s="58">
        <f>IFERROR($Z407/$Z406-1,"")</f>
        <v/>
      </c>
      <c r="EF406" s="58">
        <f>IFERROR($AA407/$AA406-1,"")</f>
        <v/>
      </c>
      <c r="EG406" s="58">
        <f>IFERROR($AB407/$AB406-1,"")</f>
        <v/>
      </c>
      <c r="EH406" s="58">
        <f>IFERROR($AC407/$AC406-1,"")</f>
        <v/>
      </c>
      <c r="EI406" s="58">
        <f>IFERROR($AD407/$AD406-1,"")</f>
        <v/>
      </c>
      <c r="EJ406" s="58">
        <f>IFERROR($AE407/$AE406-1,"")</f>
        <v/>
      </c>
      <c r="EK406" s="58">
        <f>IFERROR($AF407/$AF406-1,"")</f>
        <v/>
      </c>
      <c r="EL406" s="58">
        <f>IFERROR($AG407/$AG406-1,"")</f>
        <v/>
      </c>
      <c r="EM406" s="58">
        <f>IFERROR($BB406/$BB407-1,"")</f>
        <v/>
      </c>
      <c r="EN406" s="58">
        <f>IFERROR($BC406/$BC407-1,"")</f>
        <v/>
      </c>
      <c r="EO406" s="58">
        <f>IFERROR($BD406/$BD407-1,"")</f>
        <v/>
      </c>
      <c r="EP406" s="58">
        <f>IFERROR($BE406/$BE407-1,"")</f>
        <v/>
      </c>
      <c r="EQ406" s="58">
        <f>IFERROR($BF406/$BF407-1,"")</f>
        <v/>
      </c>
      <c r="ER406" s="58">
        <f>IFERROR($BG406/$BG407-1,"")</f>
        <v/>
      </c>
      <c r="ES406" s="58">
        <f>IFERROR($BH406/$BH407-1,"")</f>
        <v/>
      </c>
      <c r="ET406" s="58">
        <f>IFERROR($BI406/$BI407-1,"")</f>
        <v/>
      </c>
      <c r="EU406" s="58">
        <f>IFERROR($BJ406/$BJ407-1,"")</f>
        <v/>
      </c>
      <c r="EV406" s="58">
        <f>IFERROR($BK406/$BK407-1,"")</f>
        <v/>
      </c>
      <c r="EW406" s="58">
        <f>IFERROR($BL406/$BL407-1,"")</f>
        <v/>
      </c>
      <c r="EX406" s="58">
        <f>IFERROR($BM406/$BM407-1,"")</f>
        <v/>
      </c>
      <c r="EY406" s="58">
        <f>IFERROR($BN406/$BN407-1,"")</f>
        <v/>
      </c>
      <c r="EZ406" s="58">
        <f>IFERROR($BO406/$BO407-1,"")</f>
        <v/>
      </c>
      <c r="FA406" s="58">
        <f>IFERROR($BP406/$BP407-1,"")</f>
        <v/>
      </c>
      <c r="FB406" s="58">
        <f>IFERROR($BQ406/$BQ407-1,"")</f>
        <v/>
      </c>
      <c r="FC406" s="58">
        <f>IFERROR($BR406/$BR407-1,"")</f>
        <v/>
      </c>
      <c r="FD406" s="58">
        <f>IFERROR($BS406/$BS407-1,"")</f>
        <v/>
      </c>
      <c r="FE406" s="58">
        <f>IFERROR($BT406/$BT407-1,"")</f>
        <v/>
      </c>
      <c r="FF406" s="58">
        <f>IFERROR($BU406/$BU407-1,"")</f>
        <v/>
      </c>
      <c r="FG406" s="58">
        <f>IFERROR($BV406/$BV407-1,"")</f>
        <v/>
      </c>
      <c r="FH406" s="58">
        <f>IFERROR($BW406/$BW407-1,"")</f>
        <v/>
      </c>
      <c r="FI406" s="58">
        <f>IFERROR($BX406/$BX407-1,"")</f>
        <v/>
      </c>
      <c r="FJ406" s="59">
        <f>$BY406-$BY407</f>
        <v/>
      </c>
      <c r="FK406" s="59">
        <f>$BZ406-$BZ407</f>
        <v/>
      </c>
      <c r="FL406" s="59">
        <f>$CA406-$CA407</f>
        <v/>
      </c>
      <c r="FM406" s="59">
        <f>$CB406-$CB407</f>
        <v/>
      </c>
      <c r="FN406" s="59">
        <f>$CC406-$CC407</f>
        <v/>
      </c>
      <c r="FO406" s="59">
        <f>$CD406-$CD407</f>
        <v/>
      </c>
      <c r="FP406" s="59">
        <f>$CE406-$CE407</f>
        <v/>
      </c>
      <c r="FQ406" s="59">
        <f>$CF406-$CF407</f>
        <v/>
      </c>
      <c r="FR406" s="59">
        <f>$CG406-$CG407</f>
        <v/>
      </c>
      <c r="FS406" s="59">
        <f>$CH406-$CH407</f>
        <v/>
      </c>
      <c r="FT406" s="59">
        <f>$CI406-$CI407</f>
        <v/>
      </c>
      <c r="FU406" s="59">
        <f>$CJ406-$CJ407</f>
        <v/>
      </c>
      <c r="FV406" s="59">
        <f>$CK406-$CK407</f>
        <v/>
      </c>
      <c r="FW406" s="59">
        <f>$CL406-$CL407</f>
        <v/>
      </c>
      <c r="FX406" s="59">
        <f>$CM406-$CM407</f>
        <v/>
      </c>
      <c r="FY406" s="59">
        <f>$CN406-$CN407</f>
        <v/>
      </c>
      <c r="FZ406" s="59">
        <f>$CO406-$CO407</f>
        <v/>
      </c>
      <c r="GA406" s="59">
        <f>$CP406-$CP407</f>
        <v/>
      </c>
      <c r="GB406" s="59">
        <f>$CQ406-$CQ407</f>
        <v/>
      </c>
      <c r="GC406" s="59">
        <f>$CR406-$CR407</f>
        <v/>
      </c>
      <c r="GD406" s="59">
        <f>$CS406-$CS407</f>
        <v/>
      </c>
      <c r="GE406" s="59">
        <f>$CT406-$CT407</f>
        <v/>
      </c>
    </row>
    <row r="407">
      <c r="CU407" s="58">
        <f>IFERROR($B407/$B408-1,"")</f>
        <v/>
      </c>
      <c r="CV407" s="59">
        <f>($F407-$F408)*100</f>
        <v/>
      </c>
      <c r="CW407" s="59">
        <f>($E407-$E408)*100</f>
        <v/>
      </c>
      <c r="CX407" s="58">
        <f>IFERROR($K407/$K408-1,"")</f>
        <v/>
      </c>
      <c r="CY407" s="59">
        <f>($AH407-$AH408)*100</f>
        <v/>
      </c>
      <c r="CZ407" s="59">
        <f>($AI407-$AI408)*100</f>
        <v/>
      </c>
      <c r="DA407" s="59">
        <f>($AJ407-$AJ408)*100</f>
        <v/>
      </c>
      <c r="DB407" s="59">
        <f>($AK407-$AK408)*100</f>
        <v/>
      </c>
      <c r="DC407" s="59">
        <f>($AL407-$AL408)*100</f>
        <v/>
      </c>
      <c r="DD407" s="59">
        <f>($AM407-$AM408)*100</f>
        <v/>
      </c>
      <c r="DE407" s="59">
        <f>($AN407-$AN408)*100</f>
        <v/>
      </c>
      <c r="DF407" s="59">
        <f>($AO407-$AO408)*100</f>
        <v/>
      </c>
      <c r="DG407" s="59">
        <f>($AP407-$AP408)*100</f>
        <v/>
      </c>
      <c r="DH407" s="59">
        <f>($AQ407-$AQ408)*100</f>
        <v/>
      </c>
      <c r="DI407" s="59">
        <f>($AR407-$AR408)*100</f>
        <v/>
      </c>
      <c r="DJ407" s="59">
        <f>($AS407-$AS408)*100</f>
        <v/>
      </c>
      <c r="DK407" s="59">
        <f>($AT407-$AT408)*100</f>
        <v/>
      </c>
      <c r="DL407" s="59">
        <f>($AU407-$AU408)*100</f>
        <v/>
      </c>
      <c r="DM407" s="59">
        <f>($AV407-$AV408)*100</f>
        <v/>
      </c>
      <c r="DN407" s="59">
        <f>($AW407-$AW408)*100</f>
        <v/>
      </c>
      <c r="DO407" s="59">
        <f>($AX407-$AX408)*100</f>
        <v/>
      </c>
      <c r="DP407" s="59">
        <f>($AY407-$AY408)*100</f>
        <v/>
      </c>
      <c r="DQ407" s="59">
        <f>($AZ407-$AZ408)*100</f>
        <v/>
      </c>
      <c r="DR407" s="59">
        <f>($BA407-$BA408)*100</f>
        <v/>
      </c>
      <c r="DS407" s="58">
        <f>IFERROR($N408/$N407-1,"")</f>
        <v/>
      </c>
      <c r="DT407" s="58">
        <f>IFERROR($O408/$O407-1,"")</f>
        <v/>
      </c>
      <c r="DU407" s="58">
        <f>IFERROR($P408/$P407-1,"")</f>
        <v/>
      </c>
      <c r="DV407" s="58">
        <f>IFERROR($Q408/$Q407-1,"")</f>
        <v/>
      </c>
      <c r="DW407" s="58">
        <f>IFERROR($R408/$R407-1,"")</f>
        <v/>
      </c>
      <c r="DX407" s="58">
        <f>IFERROR($S408/$S407-1,"")</f>
        <v/>
      </c>
      <c r="DY407" s="58">
        <f>IFERROR($T408/$T407-1,"")</f>
        <v/>
      </c>
      <c r="DZ407" s="58">
        <f>IFERROR($U408/$U407-1,"")</f>
        <v/>
      </c>
      <c r="EA407" s="58">
        <f>IFERROR($V408/$V407-1,"")</f>
        <v/>
      </c>
      <c r="EB407" s="58">
        <f>IFERROR($W408/$W407-1,"")</f>
        <v/>
      </c>
      <c r="EC407" s="58">
        <f>IFERROR($X408/$X407-1,"")</f>
        <v/>
      </c>
      <c r="ED407" s="58">
        <f>IFERROR($Y408/$Y407-1,"")</f>
        <v/>
      </c>
      <c r="EE407" s="58">
        <f>IFERROR($Z408/$Z407-1,"")</f>
        <v/>
      </c>
      <c r="EF407" s="58">
        <f>IFERROR($AA408/$AA407-1,"")</f>
        <v/>
      </c>
      <c r="EG407" s="58">
        <f>IFERROR($AB408/$AB407-1,"")</f>
        <v/>
      </c>
      <c r="EH407" s="58">
        <f>IFERROR($AC408/$AC407-1,"")</f>
        <v/>
      </c>
      <c r="EI407" s="58">
        <f>IFERROR($AD408/$AD407-1,"")</f>
        <v/>
      </c>
      <c r="EJ407" s="58">
        <f>IFERROR($AE408/$AE407-1,"")</f>
        <v/>
      </c>
      <c r="EK407" s="58">
        <f>IFERROR($AF408/$AF407-1,"")</f>
        <v/>
      </c>
      <c r="EL407" s="58">
        <f>IFERROR($AG408/$AG407-1,"")</f>
        <v/>
      </c>
      <c r="EM407" s="58">
        <f>IFERROR($BB407/$BB408-1,"")</f>
        <v/>
      </c>
      <c r="EN407" s="58">
        <f>IFERROR($BC407/$BC408-1,"")</f>
        <v/>
      </c>
      <c r="EO407" s="58">
        <f>IFERROR($BD407/$BD408-1,"")</f>
        <v/>
      </c>
      <c r="EP407" s="58">
        <f>IFERROR($BE407/$BE408-1,"")</f>
        <v/>
      </c>
      <c r="EQ407" s="58">
        <f>IFERROR($BF407/$BF408-1,"")</f>
        <v/>
      </c>
      <c r="ER407" s="58">
        <f>IFERROR($BG407/$BG408-1,"")</f>
        <v/>
      </c>
      <c r="ES407" s="58">
        <f>IFERROR($BH407/$BH408-1,"")</f>
        <v/>
      </c>
      <c r="ET407" s="58">
        <f>IFERROR($BI407/$BI408-1,"")</f>
        <v/>
      </c>
      <c r="EU407" s="58">
        <f>IFERROR($BJ407/$BJ408-1,"")</f>
        <v/>
      </c>
      <c r="EV407" s="58">
        <f>IFERROR($BK407/$BK408-1,"")</f>
        <v/>
      </c>
      <c r="EW407" s="58">
        <f>IFERROR($BL407/$BL408-1,"")</f>
        <v/>
      </c>
      <c r="EX407" s="58">
        <f>IFERROR($BM407/$BM408-1,"")</f>
        <v/>
      </c>
      <c r="EY407" s="58">
        <f>IFERROR($BN407/$BN408-1,"")</f>
        <v/>
      </c>
      <c r="EZ407" s="58">
        <f>IFERROR($BO407/$BO408-1,"")</f>
        <v/>
      </c>
      <c r="FA407" s="58">
        <f>IFERROR($BP407/$BP408-1,"")</f>
        <v/>
      </c>
      <c r="FB407" s="58">
        <f>IFERROR($BQ407/$BQ408-1,"")</f>
        <v/>
      </c>
      <c r="FC407" s="58">
        <f>IFERROR($BR407/$BR408-1,"")</f>
        <v/>
      </c>
      <c r="FD407" s="58">
        <f>IFERROR($BS407/$BS408-1,"")</f>
        <v/>
      </c>
      <c r="FE407" s="58">
        <f>IFERROR($BT407/$BT408-1,"")</f>
        <v/>
      </c>
      <c r="FF407" s="58">
        <f>IFERROR($BU407/$BU408-1,"")</f>
        <v/>
      </c>
      <c r="FG407" s="58">
        <f>IFERROR($BV407/$BV408-1,"")</f>
        <v/>
      </c>
      <c r="FH407" s="58">
        <f>IFERROR($BW407/$BW408-1,"")</f>
        <v/>
      </c>
      <c r="FI407" s="58">
        <f>IFERROR($BX407/$BX408-1,"")</f>
        <v/>
      </c>
      <c r="FJ407" s="59">
        <f>$BY407-$BY408</f>
        <v/>
      </c>
      <c r="FK407" s="59">
        <f>$BZ407-$BZ408</f>
        <v/>
      </c>
      <c r="FL407" s="59">
        <f>$CA407-$CA408</f>
        <v/>
      </c>
      <c r="FM407" s="59">
        <f>$CB407-$CB408</f>
        <v/>
      </c>
      <c r="FN407" s="59">
        <f>$CC407-$CC408</f>
        <v/>
      </c>
      <c r="FO407" s="59">
        <f>$CD407-$CD408</f>
        <v/>
      </c>
      <c r="FP407" s="59">
        <f>$CE407-$CE408</f>
        <v/>
      </c>
      <c r="FQ407" s="59">
        <f>$CF407-$CF408</f>
        <v/>
      </c>
      <c r="FR407" s="59">
        <f>$CG407-$CG408</f>
        <v/>
      </c>
      <c r="FS407" s="59">
        <f>$CH407-$CH408</f>
        <v/>
      </c>
      <c r="FT407" s="59">
        <f>$CI407-$CI408</f>
        <v/>
      </c>
      <c r="FU407" s="59">
        <f>$CJ407-$CJ408</f>
        <v/>
      </c>
      <c r="FV407" s="59">
        <f>$CK407-$CK408</f>
        <v/>
      </c>
      <c r="FW407" s="59">
        <f>$CL407-$CL408</f>
        <v/>
      </c>
      <c r="FX407" s="59">
        <f>$CM407-$CM408</f>
        <v/>
      </c>
      <c r="FY407" s="59">
        <f>$CN407-$CN408</f>
        <v/>
      </c>
      <c r="FZ407" s="59">
        <f>$CO407-$CO408</f>
        <v/>
      </c>
      <c r="GA407" s="59">
        <f>$CP407-$CP408</f>
        <v/>
      </c>
      <c r="GB407" s="59">
        <f>$CQ407-$CQ408</f>
        <v/>
      </c>
      <c r="GC407" s="59">
        <f>$CR407-$CR408</f>
        <v/>
      </c>
      <c r="GD407" s="59">
        <f>$CS407-$CS408</f>
        <v/>
      </c>
      <c r="GE407" s="59">
        <f>$CT407-$CT408</f>
        <v/>
      </c>
    </row>
    <row r="408">
      <c r="CU408" s="58">
        <f>IFERROR($B408/$B409-1,"")</f>
        <v/>
      </c>
      <c r="CV408" s="59">
        <f>($F408-$F409)*100</f>
        <v/>
      </c>
      <c r="CW408" s="59">
        <f>($E408-$E409)*100</f>
        <v/>
      </c>
      <c r="CX408" s="58">
        <f>IFERROR($K408/$K409-1,"")</f>
        <v/>
      </c>
      <c r="CY408" s="59">
        <f>($AH408-$AH409)*100</f>
        <v/>
      </c>
      <c r="CZ408" s="59">
        <f>($AI408-$AI409)*100</f>
        <v/>
      </c>
      <c r="DA408" s="59">
        <f>($AJ408-$AJ409)*100</f>
        <v/>
      </c>
      <c r="DB408" s="59">
        <f>($AK408-$AK409)*100</f>
        <v/>
      </c>
      <c r="DC408" s="59">
        <f>($AL408-$AL409)*100</f>
        <v/>
      </c>
      <c r="DD408" s="59">
        <f>($AM408-$AM409)*100</f>
        <v/>
      </c>
      <c r="DE408" s="59">
        <f>($AN408-$AN409)*100</f>
        <v/>
      </c>
      <c r="DF408" s="59">
        <f>($AO408-$AO409)*100</f>
        <v/>
      </c>
      <c r="DG408" s="59">
        <f>($AP408-$AP409)*100</f>
        <v/>
      </c>
      <c r="DH408" s="59">
        <f>($AQ408-$AQ409)*100</f>
        <v/>
      </c>
      <c r="DI408" s="59">
        <f>($AR408-$AR409)*100</f>
        <v/>
      </c>
      <c r="DJ408" s="59">
        <f>($AS408-$AS409)*100</f>
        <v/>
      </c>
      <c r="DK408" s="59">
        <f>($AT408-$AT409)*100</f>
        <v/>
      </c>
      <c r="DL408" s="59">
        <f>($AU408-$AU409)*100</f>
        <v/>
      </c>
      <c r="DM408" s="59">
        <f>($AV408-$AV409)*100</f>
        <v/>
      </c>
      <c r="DN408" s="59">
        <f>($AW408-$AW409)*100</f>
        <v/>
      </c>
      <c r="DO408" s="59">
        <f>($AX408-$AX409)*100</f>
        <v/>
      </c>
      <c r="DP408" s="59">
        <f>($AY408-$AY409)*100</f>
        <v/>
      </c>
      <c r="DQ408" s="59">
        <f>($AZ408-$AZ409)*100</f>
        <v/>
      </c>
      <c r="DR408" s="59">
        <f>($BA408-$BA409)*100</f>
        <v/>
      </c>
      <c r="DS408" s="58">
        <f>IFERROR($N409/$N408-1,"")</f>
        <v/>
      </c>
      <c r="DT408" s="58">
        <f>IFERROR($O409/$O408-1,"")</f>
        <v/>
      </c>
      <c r="DU408" s="58">
        <f>IFERROR($P409/$P408-1,"")</f>
        <v/>
      </c>
      <c r="DV408" s="58">
        <f>IFERROR($Q409/$Q408-1,"")</f>
        <v/>
      </c>
      <c r="DW408" s="58">
        <f>IFERROR($R409/$R408-1,"")</f>
        <v/>
      </c>
      <c r="DX408" s="58">
        <f>IFERROR($S409/$S408-1,"")</f>
        <v/>
      </c>
      <c r="DY408" s="58">
        <f>IFERROR($T409/$T408-1,"")</f>
        <v/>
      </c>
      <c r="DZ408" s="58">
        <f>IFERROR($U409/$U408-1,"")</f>
        <v/>
      </c>
      <c r="EA408" s="58">
        <f>IFERROR($V409/$V408-1,"")</f>
        <v/>
      </c>
      <c r="EB408" s="58">
        <f>IFERROR($W409/$W408-1,"")</f>
        <v/>
      </c>
      <c r="EC408" s="58">
        <f>IFERROR($X409/$X408-1,"")</f>
        <v/>
      </c>
      <c r="ED408" s="58">
        <f>IFERROR($Y409/$Y408-1,"")</f>
        <v/>
      </c>
      <c r="EE408" s="58">
        <f>IFERROR($Z409/$Z408-1,"")</f>
        <v/>
      </c>
      <c r="EF408" s="58">
        <f>IFERROR($AA409/$AA408-1,"")</f>
        <v/>
      </c>
      <c r="EG408" s="58">
        <f>IFERROR($AB409/$AB408-1,"")</f>
        <v/>
      </c>
      <c r="EH408" s="58">
        <f>IFERROR($AC409/$AC408-1,"")</f>
        <v/>
      </c>
      <c r="EI408" s="58">
        <f>IFERROR($AD409/$AD408-1,"")</f>
        <v/>
      </c>
      <c r="EJ408" s="58">
        <f>IFERROR($AE409/$AE408-1,"")</f>
        <v/>
      </c>
      <c r="EK408" s="58">
        <f>IFERROR($AF409/$AF408-1,"")</f>
        <v/>
      </c>
      <c r="EL408" s="58">
        <f>IFERROR($AG409/$AG408-1,"")</f>
        <v/>
      </c>
      <c r="EM408" s="58">
        <f>IFERROR($BB408/$BB409-1,"")</f>
        <v/>
      </c>
      <c r="EN408" s="58">
        <f>IFERROR($BC408/$BC409-1,"")</f>
        <v/>
      </c>
      <c r="EO408" s="58">
        <f>IFERROR($BD408/$BD409-1,"")</f>
        <v/>
      </c>
      <c r="EP408" s="58">
        <f>IFERROR($BE408/$BE409-1,"")</f>
        <v/>
      </c>
      <c r="EQ408" s="58">
        <f>IFERROR($BF408/$BF409-1,"")</f>
        <v/>
      </c>
      <c r="ER408" s="58">
        <f>IFERROR($BG408/$BG409-1,"")</f>
        <v/>
      </c>
      <c r="ES408" s="58">
        <f>IFERROR($BH408/$BH409-1,"")</f>
        <v/>
      </c>
      <c r="ET408" s="58">
        <f>IFERROR($BI408/$BI409-1,"")</f>
        <v/>
      </c>
      <c r="EU408" s="58">
        <f>IFERROR($BJ408/$BJ409-1,"")</f>
        <v/>
      </c>
      <c r="EV408" s="58">
        <f>IFERROR($BK408/$BK409-1,"")</f>
        <v/>
      </c>
      <c r="EW408" s="58">
        <f>IFERROR($BL408/$BL409-1,"")</f>
        <v/>
      </c>
      <c r="EX408" s="58">
        <f>IFERROR($BM408/$BM409-1,"")</f>
        <v/>
      </c>
      <c r="EY408" s="58">
        <f>IFERROR($BN408/$BN409-1,"")</f>
        <v/>
      </c>
      <c r="EZ408" s="58">
        <f>IFERROR($BO408/$BO409-1,"")</f>
        <v/>
      </c>
      <c r="FA408" s="58">
        <f>IFERROR($BP408/$BP409-1,"")</f>
        <v/>
      </c>
      <c r="FB408" s="58">
        <f>IFERROR($BQ408/$BQ409-1,"")</f>
        <v/>
      </c>
      <c r="FC408" s="58">
        <f>IFERROR($BR408/$BR409-1,"")</f>
        <v/>
      </c>
      <c r="FD408" s="58">
        <f>IFERROR($BS408/$BS409-1,"")</f>
        <v/>
      </c>
      <c r="FE408" s="58">
        <f>IFERROR($BT408/$BT409-1,"")</f>
        <v/>
      </c>
      <c r="FF408" s="58">
        <f>IFERROR($BU408/$BU409-1,"")</f>
        <v/>
      </c>
      <c r="FG408" s="58">
        <f>IFERROR($BV408/$BV409-1,"")</f>
        <v/>
      </c>
      <c r="FH408" s="58">
        <f>IFERROR($BW408/$BW409-1,"")</f>
        <v/>
      </c>
      <c r="FI408" s="58">
        <f>IFERROR($BX408/$BX409-1,"")</f>
        <v/>
      </c>
      <c r="FJ408" s="59">
        <f>$BY408-$BY409</f>
        <v/>
      </c>
      <c r="FK408" s="59">
        <f>$BZ408-$BZ409</f>
        <v/>
      </c>
      <c r="FL408" s="59">
        <f>$CA408-$CA409</f>
        <v/>
      </c>
      <c r="FM408" s="59">
        <f>$CB408-$CB409</f>
        <v/>
      </c>
      <c r="FN408" s="59">
        <f>$CC408-$CC409</f>
        <v/>
      </c>
      <c r="FO408" s="59">
        <f>$CD408-$CD409</f>
        <v/>
      </c>
      <c r="FP408" s="59">
        <f>$CE408-$CE409</f>
        <v/>
      </c>
      <c r="FQ408" s="59">
        <f>$CF408-$CF409</f>
        <v/>
      </c>
      <c r="FR408" s="59">
        <f>$CG408-$CG409</f>
        <v/>
      </c>
      <c r="FS408" s="59">
        <f>$CH408-$CH409</f>
        <v/>
      </c>
      <c r="FT408" s="59">
        <f>$CI408-$CI409</f>
        <v/>
      </c>
      <c r="FU408" s="59">
        <f>$CJ408-$CJ409</f>
        <v/>
      </c>
      <c r="FV408" s="59">
        <f>$CK408-$CK409</f>
        <v/>
      </c>
      <c r="FW408" s="59">
        <f>$CL408-$CL409</f>
        <v/>
      </c>
      <c r="FX408" s="59">
        <f>$CM408-$CM409</f>
        <v/>
      </c>
      <c r="FY408" s="59">
        <f>$CN408-$CN409</f>
        <v/>
      </c>
      <c r="FZ408" s="59">
        <f>$CO408-$CO409</f>
        <v/>
      </c>
      <c r="GA408" s="59">
        <f>$CP408-$CP409</f>
        <v/>
      </c>
      <c r="GB408" s="59">
        <f>$CQ408-$CQ409</f>
        <v/>
      </c>
      <c r="GC408" s="59">
        <f>$CR408-$CR409</f>
        <v/>
      </c>
      <c r="GD408" s="59">
        <f>$CS408-$CS409</f>
        <v/>
      </c>
      <c r="GE408" s="59">
        <f>$CT408-$CT409</f>
        <v/>
      </c>
    </row>
    <row r="409">
      <c r="CU409" s="58">
        <f>IFERROR($B409/$B410-1,"")</f>
        <v/>
      </c>
      <c r="CV409" s="59">
        <f>($F409-$F410)*100</f>
        <v/>
      </c>
      <c r="CW409" s="59">
        <f>($E409-$E410)*100</f>
        <v/>
      </c>
      <c r="CX409" s="58">
        <f>IFERROR($K409/$K410-1,"")</f>
        <v/>
      </c>
      <c r="CY409" s="59">
        <f>($AH409-$AH410)*100</f>
        <v/>
      </c>
      <c r="CZ409" s="59">
        <f>($AI409-$AI410)*100</f>
        <v/>
      </c>
      <c r="DA409" s="59">
        <f>($AJ409-$AJ410)*100</f>
        <v/>
      </c>
      <c r="DB409" s="59">
        <f>($AK409-$AK410)*100</f>
        <v/>
      </c>
      <c r="DC409" s="59">
        <f>($AL409-$AL410)*100</f>
        <v/>
      </c>
      <c r="DD409" s="59">
        <f>($AM409-$AM410)*100</f>
        <v/>
      </c>
      <c r="DE409" s="59">
        <f>($AN409-$AN410)*100</f>
        <v/>
      </c>
      <c r="DF409" s="59">
        <f>($AO409-$AO410)*100</f>
        <v/>
      </c>
      <c r="DG409" s="59">
        <f>($AP409-$AP410)*100</f>
        <v/>
      </c>
      <c r="DH409" s="59">
        <f>($AQ409-$AQ410)*100</f>
        <v/>
      </c>
      <c r="DI409" s="59">
        <f>($AR409-$AR410)*100</f>
        <v/>
      </c>
      <c r="DJ409" s="59">
        <f>($AS409-$AS410)*100</f>
        <v/>
      </c>
      <c r="DK409" s="59">
        <f>($AT409-$AT410)*100</f>
        <v/>
      </c>
      <c r="DL409" s="59">
        <f>($AU409-$AU410)*100</f>
        <v/>
      </c>
      <c r="DM409" s="59">
        <f>($AV409-$AV410)*100</f>
        <v/>
      </c>
      <c r="DN409" s="59">
        <f>($AW409-$AW410)*100</f>
        <v/>
      </c>
      <c r="DO409" s="59">
        <f>($AX409-$AX410)*100</f>
        <v/>
      </c>
      <c r="DP409" s="59">
        <f>($AY409-$AY410)*100</f>
        <v/>
      </c>
      <c r="DQ409" s="59">
        <f>($AZ409-$AZ410)*100</f>
        <v/>
      </c>
      <c r="DR409" s="59">
        <f>($BA409-$BA410)*100</f>
        <v/>
      </c>
      <c r="DS409" s="58">
        <f>IFERROR($N410/$N409-1,"")</f>
        <v/>
      </c>
      <c r="DT409" s="58">
        <f>IFERROR($O410/$O409-1,"")</f>
        <v/>
      </c>
      <c r="DU409" s="58">
        <f>IFERROR($P410/$P409-1,"")</f>
        <v/>
      </c>
      <c r="DV409" s="58">
        <f>IFERROR($Q410/$Q409-1,"")</f>
        <v/>
      </c>
      <c r="DW409" s="58">
        <f>IFERROR($R410/$R409-1,"")</f>
        <v/>
      </c>
      <c r="DX409" s="58">
        <f>IFERROR($S410/$S409-1,"")</f>
        <v/>
      </c>
      <c r="DY409" s="58">
        <f>IFERROR($T410/$T409-1,"")</f>
        <v/>
      </c>
      <c r="DZ409" s="58">
        <f>IFERROR($U410/$U409-1,"")</f>
        <v/>
      </c>
      <c r="EA409" s="58">
        <f>IFERROR($V410/$V409-1,"")</f>
        <v/>
      </c>
      <c r="EB409" s="58">
        <f>IFERROR($W410/$W409-1,"")</f>
        <v/>
      </c>
      <c r="EC409" s="58">
        <f>IFERROR($X410/$X409-1,"")</f>
        <v/>
      </c>
      <c r="ED409" s="58">
        <f>IFERROR($Y410/$Y409-1,"")</f>
        <v/>
      </c>
      <c r="EE409" s="58">
        <f>IFERROR($Z410/$Z409-1,"")</f>
        <v/>
      </c>
      <c r="EF409" s="58">
        <f>IFERROR($AA410/$AA409-1,"")</f>
        <v/>
      </c>
      <c r="EG409" s="58">
        <f>IFERROR($AB410/$AB409-1,"")</f>
        <v/>
      </c>
      <c r="EH409" s="58">
        <f>IFERROR($AC410/$AC409-1,"")</f>
        <v/>
      </c>
      <c r="EI409" s="58">
        <f>IFERROR($AD410/$AD409-1,"")</f>
        <v/>
      </c>
      <c r="EJ409" s="58">
        <f>IFERROR($AE410/$AE409-1,"")</f>
        <v/>
      </c>
      <c r="EK409" s="58">
        <f>IFERROR($AF410/$AF409-1,"")</f>
        <v/>
      </c>
      <c r="EL409" s="58">
        <f>IFERROR($AG410/$AG409-1,"")</f>
        <v/>
      </c>
      <c r="EM409" s="58">
        <f>IFERROR($BB409/$BB410-1,"")</f>
        <v/>
      </c>
      <c r="EN409" s="58">
        <f>IFERROR($BC409/$BC410-1,"")</f>
        <v/>
      </c>
      <c r="EO409" s="58">
        <f>IFERROR($BD409/$BD410-1,"")</f>
        <v/>
      </c>
      <c r="EP409" s="58">
        <f>IFERROR($BE409/$BE410-1,"")</f>
        <v/>
      </c>
      <c r="EQ409" s="58">
        <f>IFERROR($BF409/$BF410-1,"")</f>
        <v/>
      </c>
      <c r="ER409" s="58">
        <f>IFERROR($BG409/$BG410-1,"")</f>
        <v/>
      </c>
      <c r="ES409" s="58">
        <f>IFERROR($BH409/$BH410-1,"")</f>
        <v/>
      </c>
      <c r="ET409" s="58">
        <f>IFERROR($BI409/$BI410-1,"")</f>
        <v/>
      </c>
      <c r="EU409" s="58">
        <f>IFERROR($BJ409/$BJ410-1,"")</f>
        <v/>
      </c>
      <c r="EV409" s="58">
        <f>IFERROR($BK409/$BK410-1,"")</f>
        <v/>
      </c>
      <c r="EW409" s="58">
        <f>IFERROR($BL409/$BL410-1,"")</f>
        <v/>
      </c>
      <c r="EX409" s="58">
        <f>IFERROR($BM409/$BM410-1,"")</f>
        <v/>
      </c>
      <c r="EY409" s="58">
        <f>IFERROR($BN409/$BN410-1,"")</f>
        <v/>
      </c>
      <c r="EZ409" s="58">
        <f>IFERROR($BO409/$BO410-1,"")</f>
        <v/>
      </c>
      <c r="FA409" s="58">
        <f>IFERROR($BP409/$BP410-1,"")</f>
        <v/>
      </c>
      <c r="FB409" s="58">
        <f>IFERROR($BQ409/$BQ410-1,"")</f>
        <v/>
      </c>
      <c r="FC409" s="58">
        <f>IFERROR($BR409/$BR410-1,"")</f>
        <v/>
      </c>
      <c r="FD409" s="58">
        <f>IFERROR($BS409/$BS410-1,"")</f>
        <v/>
      </c>
      <c r="FE409" s="58">
        <f>IFERROR($BT409/$BT410-1,"")</f>
        <v/>
      </c>
      <c r="FF409" s="58">
        <f>IFERROR($BU409/$BU410-1,"")</f>
        <v/>
      </c>
      <c r="FG409" s="58">
        <f>IFERROR($BV409/$BV410-1,"")</f>
        <v/>
      </c>
      <c r="FH409" s="58">
        <f>IFERROR($BW409/$BW410-1,"")</f>
        <v/>
      </c>
      <c r="FI409" s="58">
        <f>IFERROR($BX409/$BX410-1,"")</f>
        <v/>
      </c>
      <c r="FJ409" s="59">
        <f>$BY409-$BY410</f>
        <v/>
      </c>
      <c r="FK409" s="59">
        <f>$BZ409-$BZ410</f>
        <v/>
      </c>
      <c r="FL409" s="59">
        <f>$CA409-$CA410</f>
        <v/>
      </c>
      <c r="FM409" s="59">
        <f>$CB409-$CB410</f>
        <v/>
      </c>
      <c r="FN409" s="59">
        <f>$CC409-$CC410</f>
        <v/>
      </c>
      <c r="FO409" s="59">
        <f>$CD409-$CD410</f>
        <v/>
      </c>
      <c r="FP409" s="59">
        <f>$CE409-$CE410</f>
        <v/>
      </c>
      <c r="FQ409" s="59">
        <f>$CF409-$CF410</f>
        <v/>
      </c>
      <c r="FR409" s="59">
        <f>$CG409-$CG410</f>
        <v/>
      </c>
      <c r="FS409" s="59">
        <f>$CH409-$CH410</f>
        <v/>
      </c>
      <c r="FT409" s="59">
        <f>$CI409-$CI410</f>
        <v/>
      </c>
      <c r="FU409" s="59">
        <f>$CJ409-$CJ410</f>
        <v/>
      </c>
      <c r="FV409" s="59">
        <f>$CK409-$CK410</f>
        <v/>
      </c>
      <c r="FW409" s="59">
        <f>$CL409-$CL410</f>
        <v/>
      </c>
      <c r="FX409" s="59">
        <f>$CM409-$CM410</f>
        <v/>
      </c>
      <c r="FY409" s="59">
        <f>$CN409-$CN410</f>
        <v/>
      </c>
      <c r="FZ409" s="59">
        <f>$CO409-$CO410</f>
        <v/>
      </c>
      <c r="GA409" s="59">
        <f>$CP409-$CP410</f>
        <v/>
      </c>
      <c r="GB409" s="59">
        <f>$CQ409-$CQ410</f>
        <v/>
      </c>
      <c r="GC409" s="59">
        <f>$CR409-$CR410</f>
        <v/>
      </c>
      <c r="GD409" s="59">
        <f>$CS409-$CS410</f>
        <v/>
      </c>
      <c r="GE409" s="59">
        <f>$CT409-$CT410</f>
        <v/>
      </c>
    </row>
    <row r="410">
      <c r="CU410" s="58">
        <f>IFERROR($B410/$B411-1,"")</f>
        <v/>
      </c>
      <c r="CV410" s="59">
        <f>($F410-$F411)*100</f>
        <v/>
      </c>
      <c r="CW410" s="59">
        <f>($E410-$E411)*100</f>
        <v/>
      </c>
      <c r="CX410" s="58">
        <f>IFERROR($K410/$K411-1,"")</f>
        <v/>
      </c>
      <c r="CY410" s="59">
        <f>($AH410-$AH411)*100</f>
        <v/>
      </c>
      <c r="CZ410" s="59">
        <f>($AI410-$AI411)*100</f>
        <v/>
      </c>
      <c r="DA410" s="59">
        <f>($AJ410-$AJ411)*100</f>
        <v/>
      </c>
      <c r="DB410" s="59">
        <f>($AK410-$AK411)*100</f>
        <v/>
      </c>
      <c r="DC410" s="59">
        <f>($AL410-$AL411)*100</f>
        <v/>
      </c>
      <c r="DD410" s="59">
        <f>($AM410-$AM411)*100</f>
        <v/>
      </c>
      <c r="DE410" s="59">
        <f>($AN410-$AN411)*100</f>
        <v/>
      </c>
      <c r="DF410" s="59">
        <f>($AO410-$AO411)*100</f>
        <v/>
      </c>
      <c r="DG410" s="59">
        <f>($AP410-$AP411)*100</f>
        <v/>
      </c>
      <c r="DH410" s="59">
        <f>($AQ410-$AQ411)*100</f>
        <v/>
      </c>
      <c r="DI410" s="59">
        <f>($AR410-$AR411)*100</f>
        <v/>
      </c>
      <c r="DJ410" s="59">
        <f>($AS410-$AS411)*100</f>
        <v/>
      </c>
      <c r="DK410" s="59">
        <f>($AT410-$AT411)*100</f>
        <v/>
      </c>
      <c r="DL410" s="59">
        <f>($AU410-$AU411)*100</f>
        <v/>
      </c>
      <c r="DM410" s="59">
        <f>($AV410-$AV411)*100</f>
        <v/>
      </c>
      <c r="DN410" s="59">
        <f>($AW410-$AW411)*100</f>
        <v/>
      </c>
      <c r="DO410" s="59">
        <f>($AX410-$AX411)*100</f>
        <v/>
      </c>
      <c r="DP410" s="59">
        <f>($AY410-$AY411)*100</f>
        <v/>
      </c>
      <c r="DQ410" s="59">
        <f>($AZ410-$AZ411)*100</f>
        <v/>
      </c>
      <c r="DR410" s="59">
        <f>($BA410-$BA411)*100</f>
        <v/>
      </c>
      <c r="DS410" s="58">
        <f>IFERROR($N411/$N410-1,"")</f>
        <v/>
      </c>
      <c r="DT410" s="58">
        <f>IFERROR($O411/$O410-1,"")</f>
        <v/>
      </c>
      <c r="DU410" s="58">
        <f>IFERROR($P411/$P410-1,"")</f>
        <v/>
      </c>
      <c r="DV410" s="58">
        <f>IFERROR($Q411/$Q410-1,"")</f>
        <v/>
      </c>
      <c r="DW410" s="58">
        <f>IFERROR($R411/$R410-1,"")</f>
        <v/>
      </c>
      <c r="DX410" s="58">
        <f>IFERROR($S411/$S410-1,"")</f>
        <v/>
      </c>
      <c r="DY410" s="58">
        <f>IFERROR($T411/$T410-1,"")</f>
        <v/>
      </c>
      <c r="DZ410" s="58">
        <f>IFERROR($U411/$U410-1,"")</f>
        <v/>
      </c>
      <c r="EA410" s="58">
        <f>IFERROR($V411/$V410-1,"")</f>
        <v/>
      </c>
      <c r="EB410" s="58">
        <f>IFERROR($W411/$W410-1,"")</f>
        <v/>
      </c>
      <c r="EC410" s="58">
        <f>IFERROR($X411/$X410-1,"")</f>
        <v/>
      </c>
      <c r="ED410" s="58">
        <f>IFERROR($Y411/$Y410-1,"")</f>
        <v/>
      </c>
      <c r="EE410" s="58">
        <f>IFERROR($Z411/$Z410-1,"")</f>
        <v/>
      </c>
      <c r="EF410" s="58">
        <f>IFERROR($AA411/$AA410-1,"")</f>
        <v/>
      </c>
      <c r="EG410" s="58">
        <f>IFERROR($AB411/$AB410-1,"")</f>
        <v/>
      </c>
      <c r="EH410" s="58">
        <f>IFERROR($AC411/$AC410-1,"")</f>
        <v/>
      </c>
      <c r="EI410" s="58">
        <f>IFERROR($AD411/$AD410-1,"")</f>
        <v/>
      </c>
      <c r="EJ410" s="58">
        <f>IFERROR($AE411/$AE410-1,"")</f>
        <v/>
      </c>
      <c r="EK410" s="58">
        <f>IFERROR($AF411/$AF410-1,"")</f>
        <v/>
      </c>
      <c r="EL410" s="58">
        <f>IFERROR($AG411/$AG410-1,"")</f>
        <v/>
      </c>
      <c r="EM410" s="58">
        <f>IFERROR($BB410/$BB411-1,"")</f>
        <v/>
      </c>
      <c r="EN410" s="58">
        <f>IFERROR($BC410/$BC411-1,"")</f>
        <v/>
      </c>
      <c r="EO410" s="58">
        <f>IFERROR($BD410/$BD411-1,"")</f>
        <v/>
      </c>
      <c r="EP410" s="58">
        <f>IFERROR($BE410/$BE411-1,"")</f>
        <v/>
      </c>
      <c r="EQ410" s="58">
        <f>IFERROR($BF410/$BF411-1,"")</f>
        <v/>
      </c>
      <c r="ER410" s="58">
        <f>IFERROR($BG410/$BG411-1,"")</f>
        <v/>
      </c>
      <c r="ES410" s="58">
        <f>IFERROR($BH410/$BH411-1,"")</f>
        <v/>
      </c>
      <c r="ET410" s="58">
        <f>IFERROR($BI410/$BI411-1,"")</f>
        <v/>
      </c>
      <c r="EU410" s="58">
        <f>IFERROR($BJ410/$BJ411-1,"")</f>
        <v/>
      </c>
      <c r="EV410" s="58">
        <f>IFERROR($BK410/$BK411-1,"")</f>
        <v/>
      </c>
      <c r="EW410" s="58">
        <f>IFERROR($BL410/$BL411-1,"")</f>
        <v/>
      </c>
      <c r="EX410" s="58">
        <f>IFERROR($BM410/$BM411-1,"")</f>
        <v/>
      </c>
      <c r="EY410" s="58">
        <f>IFERROR($BN410/$BN411-1,"")</f>
        <v/>
      </c>
      <c r="EZ410" s="58">
        <f>IFERROR($BO410/$BO411-1,"")</f>
        <v/>
      </c>
      <c r="FA410" s="58">
        <f>IFERROR($BP410/$BP411-1,"")</f>
        <v/>
      </c>
      <c r="FB410" s="58">
        <f>IFERROR($BQ410/$BQ411-1,"")</f>
        <v/>
      </c>
      <c r="FC410" s="58">
        <f>IFERROR($BR410/$BR411-1,"")</f>
        <v/>
      </c>
      <c r="FD410" s="58">
        <f>IFERROR($BS410/$BS411-1,"")</f>
        <v/>
      </c>
      <c r="FE410" s="58">
        <f>IFERROR($BT410/$BT411-1,"")</f>
        <v/>
      </c>
      <c r="FF410" s="58">
        <f>IFERROR($BU410/$BU411-1,"")</f>
        <v/>
      </c>
      <c r="FG410" s="58">
        <f>IFERROR($BV410/$BV411-1,"")</f>
        <v/>
      </c>
      <c r="FH410" s="58">
        <f>IFERROR($BW410/$BW411-1,"")</f>
        <v/>
      </c>
      <c r="FI410" s="58">
        <f>IFERROR($BX410/$BX411-1,"")</f>
        <v/>
      </c>
      <c r="FJ410" s="59">
        <f>$BY410-$BY411</f>
        <v/>
      </c>
      <c r="FK410" s="59">
        <f>$BZ410-$BZ411</f>
        <v/>
      </c>
      <c r="FL410" s="59">
        <f>$CA410-$CA411</f>
        <v/>
      </c>
      <c r="FM410" s="59">
        <f>$CB410-$CB411</f>
        <v/>
      </c>
      <c r="FN410" s="59">
        <f>$CC410-$CC411</f>
        <v/>
      </c>
      <c r="FO410" s="59">
        <f>$CD410-$CD411</f>
        <v/>
      </c>
      <c r="FP410" s="59">
        <f>$CE410-$CE411</f>
        <v/>
      </c>
      <c r="FQ410" s="59">
        <f>$CF410-$CF411</f>
        <v/>
      </c>
      <c r="FR410" s="59">
        <f>$CG410-$CG411</f>
        <v/>
      </c>
      <c r="FS410" s="59">
        <f>$CH410-$CH411</f>
        <v/>
      </c>
      <c r="FT410" s="59">
        <f>$CI410-$CI411</f>
        <v/>
      </c>
      <c r="FU410" s="59">
        <f>$CJ410-$CJ411</f>
        <v/>
      </c>
      <c r="FV410" s="59">
        <f>$CK410-$CK411</f>
        <v/>
      </c>
      <c r="FW410" s="59">
        <f>$CL410-$CL411</f>
        <v/>
      </c>
      <c r="FX410" s="59">
        <f>$CM410-$CM411</f>
        <v/>
      </c>
      <c r="FY410" s="59">
        <f>$CN410-$CN411</f>
        <v/>
      </c>
      <c r="FZ410" s="59">
        <f>$CO410-$CO411</f>
        <v/>
      </c>
      <c r="GA410" s="59">
        <f>$CP410-$CP411</f>
        <v/>
      </c>
      <c r="GB410" s="59">
        <f>$CQ410-$CQ411</f>
        <v/>
      </c>
      <c r="GC410" s="59">
        <f>$CR410-$CR411</f>
        <v/>
      </c>
      <c r="GD410" s="59">
        <f>$CS410-$CS411</f>
        <v/>
      </c>
      <c r="GE410" s="59">
        <f>$CT410-$CT411</f>
        <v/>
      </c>
    </row>
    <row r="411">
      <c r="CU411" s="58">
        <f>IFERROR($B411/$B412-1,"")</f>
        <v/>
      </c>
      <c r="CV411" s="59">
        <f>($F411-$F412)*100</f>
        <v/>
      </c>
      <c r="CW411" s="59">
        <f>($E411-$E412)*100</f>
        <v/>
      </c>
      <c r="CX411" s="58">
        <f>IFERROR($K411/$K412-1,"")</f>
        <v/>
      </c>
      <c r="CY411" s="59">
        <f>($AH411-$AH412)*100</f>
        <v/>
      </c>
      <c r="CZ411" s="59">
        <f>($AI411-$AI412)*100</f>
        <v/>
      </c>
      <c r="DA411" s="59">
        <f>($AJ411-$AJ412)*100</f>
        <v/>
      </c>
      <c r="DB411" s="59">
        <f>($AK411-$AK412)*100</f>
        <v/>
      </c>
      <c r="DC411" s="59">
        <f>($AL411-$AL412)*100</f>
        <v/>
      </c>
      <c r="DD411" s="59">
        <f>($AM411-$AM412)*100</f>
        <v/>
      </c>
      <c r="DE411" s="59">
        <f>($AN411-$AN412)*100</f>
        <v/>
      </c>
      <c r="DF411" s="59">
        <f>($AO411-$AO412)*100</f>
        <v/>
      </c>
      <c r="DG411" s="59">
        <f>($AP411-$AP412)*100</f>
        <v/>
      </c>
      <c r="DH411" s="59">
        <f>($AQ411-$AQ412)*100</f>
        <v/>
      </c>
      <c r="DI411" s="59">
        <f>($AR411-$AR412)*100</f>
        <v/>
      </c>
      <c r="DJ411" s="59">
        <f>($AS411-$AS412)*100</f>
        <v/>
      </c>
      <c r="DK411" s="59">
        <f>($AT411-$AT412)*100</f>
        <v/>
      </c>
      <c r="DL411" s="59">
        <f>($AU411-$AU412)*100</f>
        <v/>
      </c>
      <c r="DM411" s="59">
        <f>($AV411-$AV412)*100</f>
        <v/>
      </c>
      <c r="DN411" s="59">
        <f>($AW411-$AW412)*100</f>
        <v/>
      </c>
      <c r="DO411" s="59">
        <f>($AX411-$AX412)*100</f>
        <v/>
      </c>
      <c r="DP411" s="59">
        <f>($AY411-$AY412)*100</f>
        <v/>
      </c>
      <c r="DQ411" s="59">
        <f>($AZ411-$AZ412)*100</f>
        <v/>
      </c>
      <c r="DR411" s="59">
        <f>($BA411-$BA412)*100</f>
        <v/>
      </c>
      <c r="DS411" s="58">
        <f>IFERROR($N412/$N411-1,"")</f>
        <v/>
      </c>
      <c r="DT411" s="58">
        <f>IFERROR($O412/$O411-1,"")</f>
        <v/>
      </c>
      <c r="DU411" s="58">
        <f>IFERROR($P412/$P411-1,"")</f>
        <v/>
      </c>
      <c r="DV411" s="58">
        <f>IFERROR($Q412/$Q411-1,"")</f>
        <v/>
      </c>
      <c r="DW411" s="58">
        <f>IFERROR($R412/$R411-1,"")</f>
        <v/>
      </c>
      <c r="DX411" s="58">
        <f>IFERROR($S412/$S411-1,"")</f>
        <v/>
      </c>
      <c r="DY411" s="58">
        <f>IFERROR($T412/$T411-1,"")</f>
        <v/>
      </c>
      <c r="DZ411" s="58">
        <f>IFERROR($U412/$U411-1,"")</f>
        <v/>
      </c>
      <c r="EA411" s="58">
        <f>IFERROR($V412/$V411-1,"")</f>
        <v/>
      </c>
      <c r="EB411" s="58">
        <f>IFERROR($W412/$W411-1,"")</f>
        <v/>
      </c>
      <c r="EC411" s="58">
        <f>IFERROR($X412/$X411-1,"")</f>
        <v/>
      </c>
      <c r="ED411" s="58">
        <f>IFERROR($Y412/$Y411-1,"")</f>
        <v/>
      </c>
      <c r="EE411" s="58">
        <f>IFERROR($Z412/$Z411-1,"")</f>
        <v/>
      </c>
      <c r="EF411" s="58">
        <f>IFERROR($AA412/$AA411-1,"")</f>
        <v/>
      </c>
      <c r="EG411" s="58">
        <f>IFERROR($AB412/$AB411-1,"")</f>
        <v/>
      </c>
      <c r="EH411" s="58">
        <f>IFERROR($AC412/$AC411-1,"")</f>
        <v/>
      </c>
      <c r="EI411" s="58">
        <f>IFERROR($AD412/$AD411-1,"")</f>
        <v/>
      </c>
      <c r="EJ411" s="58">
        <f>IFERROR($AE412/$AE411-1,"")</f>
        <v/>
      </c>
      <c r="EK411" s="58">
        <f>IFERROR($AF412/$AF411-1,"")</f>
        <v/>
      </c>
      <c r="EL411" s="58">
        <f>IFERROR($AG412/$AG411-1,"")</f>
        <v/>
      </c>
      <c r="EM411" s="58">
        <f>IFERROR($BB411/$BB412-1,"")</f>
        <v/>
      </c>
      <c r="EN411" s="58">
        <f>IFERROR($BC411/$BC412-1,"")</f>
        <v/>
      </c>
      <c r="EO411" s="58">
        <f>IFERROR($BD411/$BD412-1,"")</f>
        <v/>
      </c>
      <c r="EP411" s="58">
        <f>IFERROR($BE411/$BE412-1,"")</f>
        <v/>
      </c>
      <c r="EQ411" s="58">
        <f>IFERROR($BF411/$BF412-1,"")</f>
        <v/>
      </c>
      <c r="ER411" s="58">
        <f>IFERROR($BG411/$BG412-1,"")</f>
        <v/>
      </c>
      <c r="ES411" s="58">
        <f>IFERROR($BH411/$BH412-1,"")</f>
        <v/>
      </c>
      <c r="ET411" s="58">
        <f>IFERROR($BI411/$BI412-1,"")</f>
        <v/>
      </c>
      <c r="EU411" s="58">
        <f>IFERROR($BJ411/$BJ412-1,"")</f>
        <v/>
      </c>
      <c r="EV411" s="58">
        <f>IFERROR($BK411/$BK412-1,"")</f>
        <v/>
      </c>
      <c r="EW411" s="58">
        <f>IFERROR($BL411/$BL412-1,"")</f>
        <v/>
      </c>
      <c r="EX411" s="58">
        <f>IFERROR($BM411/$BM412-1,"")</f>
        <v/>
      </c>
      <c r="EY411" s="58">
        <f>IFERROR($BN411/$BN412-1,"")</f>
        <v/>
      </c>
      <c r="EZ411" s="58">
        <f>IFERROR($BO411/$BO412-1,"")</f>
        <v/>
      </c>
      <c r="FA411" s="58">
        <f>IFERROR($BP411/$BP412-1,"")</f>
        <v/>
      </c>
      <c r="FB411" s="58">
        <f>IFERROR($BQ411/$BQ412-1,"")</f>
        <v/>
      </c>
      <c r="FC411" s="58">
        <f>IFERROR($BR411/$BR412-1,"")</f>
        <v/>
      </c>
      <c r="FD411" s="58">
        <f>IFERROR($BS411/$BS412-1,"")</f>
        <v/>
      </c>
      <c r="FE411" s="58">
        <f>IFERROR($BT411/$BT412-1,"")</f>
        <v/>
      </c>
      <c r="FF411" s="58">
        <f>IFERROR($BU411/$BU412-1,"")</f>
        <v/>
      </c>
      <c r="FG411" s="58">
        <f>IFERROR($BV411/$BV412-1,"")</f>
        <v/>
      </c>
      <c r="FH411" s="58">
        <f>IFERROR($BW411/$BW412-1,"")</f>
        <v/>
      </c>
      <c r="FI411" s="58">
        <f>IFERROR($BX411/$BX412-1,"")</f>
        <v/>
      </c>
      <c r="FJ411" s="59">
        <f>$BY411-$BY412</f>
        <v/>
      </c>
      <c r="FK411" s="59">
        <f>$BZ411-$BZ412</f>
        <v/>
      </c>
      <c r="FL411" s="59">
        <f>$CA411-$CA412</f>
        <v/>
      </c>
      <c r="FM411" s="59">
        <f>$CB411-$CB412</f>
        <v/>
      </c>
      <c r="FN411" s="59">
        <f>$CC411-$CC412</f>
        <v/>
      </c>
      <c r="FO411" s="59">
        <f>$CD411-$CD412</f>
        <v/>
      </c>
      <c r="FP411" s="59">
        <f>$CE411-$CE412</f>
        <v/>
      </c>
      <c r="FQ411" s="59">
        <f>$CF411-$CF412</f>
        <v/>
      </c>
      <c r="FR411" s="59">
        <f>$CG411-$CG412</f>
        <v/>
      </c>
      <c r="FS411" s="59">
        <f>$CH411-$CH412</f>
        <v/>
      </c>
      <c r="FT411" s="59">
        <f>$CI411-$CI412</f>
        <v/>
      </c>
      <c r="FU411" s="59">
        <f>$CJ411-$CJ412</f>
        <v/>
      </c>
      <c r="FV411" s="59">
        <f>$CK411-$CK412</f>
        <v/>
      </c>
      <c r="FW411" s="59">
        <f>$CL411-$CL412</f>
        <v/>
      </c>
      <c r="FX411" s="59">
        <f>$CM411-$CM412</f>
        <v/>
      </c>
      <c r="FY411" s="59">
        <f>$CN411-$CN412</f>
        <v/>
      </c>
      <c r="FZ411" s="59">
        <f>$CO411-$CO412</f>
        <v/>
      </c>
      <c r="GA411" s="59">
        <f>$CP411-$CP412</f>
        <v/>
      </c>
      <c r="GB411" s="59">
        <f>$CQ411-$CQ412</f>
        <v/>
      </c>
      <c r="GC411" s="59">
        <f>$CR411-$CR412</f>
        <v/>
      </c>
      <c r="GD411" s="59">
        <f>$CS411-$CS412</f>
        <v/>
      </c>
      <c r="GE411" s="59">
        <f>$CT411-$CT412</f>
        <v/>
      </c>
    </row>
    <row r="412">
      <c r="CU412" s="58">
        <f>IFERROR($B412/$B413-1,"")</f>
        <v/>
      </c>
      <c r="CV412" s="59">
        <f>($F412-$F413)*100</f>
        <v/>
      </c>
      <c r="CW412" s="59">
        <f>($E412-$E413)*100</f>
        <v/>
      </c>
      <c r="CX412" s="58">
        <f>IFERROR($K412/$K413-1,"")</f>
        <v/>
      </c>
      <c r="CY412" s="59">
        <f>($AH412-$AH413)*100</f>
        <v/>
      </c>
      <c r="CZ412" s="59">
        <f>($AI412-$AI413)*100</f>
        <v/>
      </c>
      <c r="DA412" s="59">
        <f>($AJ412-$AJ413)*100</f>
        <v/>
      </c>
      <c r="DB412" s="59">
        <f>($AK412-$AK413)*100</f>
        <v/>
      </c>
      <c r="DC412" s="59">
        <f>($AL412-$AL413)*100</f>
        <v/>
      </c>
      <c r="DD412" s="59">
        <f>($AM412-$AM413)*100</f>
        <v/>
      </c>
      <c r="DE412" s="59">
        <f>($AN412-$AN413)*100</f>
        <v/>
      </c>
      <c r="DF412" s="59">
        <f>($AO412-$AO413)*100</f>
        <v/>
      </c>
      <c r="DG412" s="59">
        <f>($AP412-$AP413)*100</f>
        <v/>
      </c>
      <c r="DH412" s="59">
        <f>($AQ412-$AQ413)*100</f>
        <v/>
      </c>
      <c r="DI412" s="59">
        <f>($AR412-$AR413)*100</f>
        <v/>
      </c>
      <c r="DJ412" s="59">
        <f>($AS412-$AS413)*100</f>
        <v/>
      </c>
      <c r="DK412" s="59">
        <f>($AT412-$AT413)*100</f>
        <v/>
      </c>
      <c r="DL412" s="59">
        <f>($AU412-$AU413)*100</f>
        <v/>
      </c>
      <c r="DM412" s="59">
        <f>($AV412-$AV413)*100</f>
        <v/>
      </c>
      <c r="DN412" s="59">
        <f>($AW412-$AW413)*100</f>
        <v/>
      </c>
      <c r="DO412" s="59">
        <f>($AX412-$AX413)*100</f>
        <v/>
      </c>
      <c r="DP412" s="59">
        <f>($AY412-$AY413)*100</f>
        <v/>
      </c>
      <c r="DQ412" s="59">
        <f>($AZ412-$AZ413)*100</f>
        <v/>
      </c>
      <c r="DR412" s="59">
        <f>($BA412-$BA413)*100</f>
        <v/>
      </c>
      <c r="DS412" s="58">
        <f>IFERROR($N413/$N412-1,"")</f>
        <v/>
      </c>
      <c r="DT412" s="58">
        <f>IFERROR($O413/$O412-1,"")</f>
        <v/>
      </c>
      <c r="DU412" s="58">
        <f>IFERROR($P413/$P412-1,"")</f>
        <v/>
      </c>
      <c r="DV412" s="58">
        <f>IFERROR($Q413/$Q412-1,"")</f>
        <v/>
      </c>
      <c r="DW412" s="58">
        <f>IFERROR($R413/$R412-1,"")</f>
        <v/>
      </c>
      <c r="DX412" s="58">
        <f>IFERROR($S413/$S412-1,"")</f>
        <v/>
      </c>
      <c r="DY412" s="58">
        <f>IFERROR($T413/$T412-1,"")</f>
        <v/>
      </c>
      <c r="DZ412" s="58">
        <f>IFERROR($U413/$U412-1,"")</f>
        <v/>
      </c>
      <c r="EA412" s="58">
        <f>IFERROR($V413/$V412-1,"")</f>
        <v/>
      </c>
      <c r="EB412" s="58">
        <f>IFERROR($W413/$W412-1,"")</f>
        <v/>
      </c>
      <c r="EC412" s="58">
        <f>IFERROR($X413/$X412-1,"")</f>
        <v/>
      </c>
      <c r="ED412" s="58">
        <f>IFERROR($Y413/$Y412-1,"")</f>
        <v/>
      </c>
      <c r="EE412" s="58">
        <f>IFERROR($Z413/$Z412-1,"")</f>
        <v/>
      </c>
      <c r="EF412" s="58">
        <f>IFERROR($AA413/$AA412-1,"")</f>
        <v/>
      </c>
      <c r="EG412" s="58">
        <f>IFERROR($AB413/$AB412-1,"")</f>
        <v/>
      </c>
      <c r="EH412" s="58">
        <f>IFERROR($AC413/$AC412-1,"")</f>
        <v/>
      </c>
      <c r="EI412" s="58">
        <f>IFERROR($AD413/$AD412-1,"")</f>
        <v/>
      </c>
      <c r="EJ412" s="58">
        <f>IFERROR($AE413/$AE412-1,"")</f>
        <v/>
      </c>
      <c r="EK412" s="58">
        <f>IFERROR($AF413/$AF412-1,"")</f>
        <v/>
      </c>
      <c r="EL412" s="58">
        <f>IFERROR($AG413/$AG412-1,"")</f>
        <v/>
      </c>
      <c r="EM412" s="58">
        <f>IFERROR($BB412/$BB413-1,"")</f>
        <v/>
      </c>
      <c r="EN412" s="58">
        <f>IFERROR($BC412/$BC413-1,"")</f>
        <v/>
      </c>
      <c r="EO412" s="58">
        <f>IFERROR($BD412/$BD413-1,"")</f>
        <v/>
      </c>
      <c r="EP412" s="58">
        <f>IFERROR($BE412/$BE413-1,"")</f>
        <v/>
      </c>
      <c r="EQ412" s="58">
        <f>IFERROR($BF412/$BF413-1,"")</f>
        <v/>
      </c>
      <c r="ER412" s="58">
        <f>IFERROR($BG412/$BG413-1,"")</f>
        <v/>
      </c>
      <c r="ES412" s="58">
        <f>IFERROR($BH412/$BH413-1,"")</f>
        <v/>
      </c>
      <c r="ET412" s="58">
        <f>IFERROR($BI412/$BI413-1,"")</f>
        <v/>
      </c>
      <c r="EU412" s="58">
        <f>IFERROR($BJ412/$BJ413-1,"")</f>
        <v/>
      </c>
      <c r="EV412" s="58">
        <f>IFERROR($BK412/$BK413-1,"")</f>
        <v/>
      </c>
      <c r="EW412" s="58">
        <f>IFERROR($BL412/$BL413-1,"")</f>
        <v/>
      </c>
      <c r="EX412" s="58">
        <f>IFERROR($BM412/$BM413-1,"")</f>
        <v/>
      </c>
      <c r="EY412" s="58">
        <f>IFERROR($BN412/$BN413-1,"")</f>
        <v/>
      </c>
      <c r="EZ412" s="58">
        <f>IFERROR($BO412/$BO413-1,"")</f>
        <v/>
      </c>
      <c r="FA412" s="58">
        <f>IFERROR($BP412/$BP413-1,"")</f>
        <v/>
      </c>
      <c r="FB412" s="58">
        <f>IFERROR($BQ412/$BQ413-1,"")</f>
        <v/>
      </c>
      <c r="FC412" s="58">
        <f>IFERROR($BR412/$BR413-1,"")</f>
        <v/>
      </c>
      <c r="FD412" s="58">
        <f>IFERROR($BS412/$BS413-1,"")</f>
        <v/>
      </c>
      <c r="FE412" s="58">
        <f>IFERROR($BT412/$BT413-1,"")</f>
        <v/>
      </c>
      <c r="FF412" s="58">
        <f>IFERROR($BU412/$BU413-1,"")</f>
        <v/>
      </c>
      <c r="FG412" s="58">
        <f>IFERROR($BV412/$BV413-1,"")</f>
        <v/>
      </c>
      <c r="FH412" s="58">
        <f>IFERROR($BW412/$BW413-1,"")</f>
        <v/>
      </c>
      <c r="FI412" s="58">
        <f>IFERROR($BX412/$BX413-1,"")</f>
        <v/>
      </c>
      <c r="FJ412" s="59">
        <f>$BY412-$BY413</f>
        <v/>
      </c>
      <c r="FK412" s="59">
        <f>$BZ412-$BZ413</f>
        <v/>
      </c>
      <c r="FL412" s="59">
        <f>$CA412-$CA413</f>
        <v/>
      </c>
      <c r="FM412" s="59">
        <f>$CB412-$CB413</f>
        <v/>
      </c>
      <c r="FN412" s="59">
        <f>$CC412-$CC413</f>
        <v/>
      </c>
      <c r="FO412" s="59">
        <f>$CD412-$CD413</f>
        <v/>
      </c>
      <c r="FP412" s="59">
        <f>$CE412-$CE413</f>
        <v/>
      </c>
      <c r="FQ412" s="59">
        <f>$CF412-$CF413</f>
        <v/>
      </c>
      <c r="FR412" s="59">
        <f>$CG412-$CG413</f>
        <v/>
      </c>
      <c r="FS412" s="59">
        <f>$CH412-$CH413</f>
        <v/>
      </c>
      <c r="FT412" s="59">
        <f>$CI412-$CI413</f>
        <v/>
      </c>
      <c r="FU412" s="59">
        <f>$CJ412-$CJ413</f>
        <v/>
      </c>
      <c r="FV412" s="59">
        <f>$CK412-$CK413</f>
        <v/>
      </c>
      <c r="FW412" s="59">
        <f>$CL412-$CL413</f>
        <v/>
      </c>
      <c r="FX412" s="59">
        <f>$CM412-$CM413</f>
        <v/>
      </c>
      <c r="FY412" s="59">
        <f>$CN412-$CN413</f>
        <v/>
      </c>
      <c r="FZ412" s="59">
        <f>$CO412-$CO413</f>
        <v/>
      </c>
      <c r="GA412" s="59">
        <f>$CP412-$CP413</f>
        <v/>
      </c>
      <c r="GB412" s="59">
        <f>$CQ412-$CQ413</f>
        <v/>
      </c>
      <c r="GC412" s="59">
        <f>$CR412-$CR413</f>
        <v/>
      </c>
      <c r="GD412" s="59">
        <f>$CS412-$CS413</f>
        <v/>
      </c>
      <c r="GE412" s="59">
        <f>$CT412-$CT413</f>
        <v/>
      </c>
    </row>
    <row r="413">
      <c r="CU413" s="58">
        <f>IFERROR($B413/$B414-1,"")</f>
        <v/>
      </c>
      <c r="CV413" s="59">
        <f>($F413-$F414)*100</f>
        <v/>
      </c>
      <c r="CW413" s="59">
        <f>($E413-$E414)*100</f>
        <v/>
      </c>
      <c r="CX413" s="58">
        <f>IFERROR($K413/$K414-1,"")</f>
        <v/>
      </c>
      <c r="CY413" s="59">
        <f>($AH413-$AH414)*100</f>
        <v/>
      </c>
      <c r="CZ413" s="59">
        <f>($AI413-$AI414)*100</f>
        <v/>
      </c>
      <c r="DA413" s="59">
        <f>($AJ413-$AJ414)*100</f>
        <v/>
      </c>
      <c r="DB413" s="59">
        <f>($AK413-$AK414)*100</f>
        <v/>
      </c>
      <c r="DC413" s="59">
        <f>($AL413-$AL414)*100</f>
        <v/>
      </c>
      <c r="DD413" s="59">
        <f>($AM413-$AM414)*100</f>
        <v/>
      </c>
      <c r="DE413" s="59">
        <f>($AN413-$AN414)*100</f>
        <v/>
      </c>
      <c r="DF413" s="59">
        <f>($AO413-$AO414)*100</f>
        <v/>
      </c>
      <c r="DG413" s="59">
        <f>($AP413-$AP414)*100</f>
        <v/>
      </c>
      <c r="DH413" s="59">
        <f>($AQ413-$AQ414)*100</f>
        <v/>
      </c>
      <c r="DI413" s="59">
        <f>($AR413-$AR414)*100</f>
        <v/>
      </c>
      <c r="DJ413" s="59">
        <f>($AS413-$AS414)*100</f>
        <v/>
      </c>
      <c r="DK413" s="59">
        <f>($AT413-$AT414)*100</f>
        <v/>
      </c>
      <c r="DL413" s="59">
        <f>($AU413-$AU414)*100</f>
        <v/>
      </c>
      <c r="DM413" s="59">
        <f>($AV413-$AV414)*100</f>
        <v/>
      </c>
      <c r="DN413" s="59">
        <f>($AW413-$AW414)*100</f>
        <v/>
      </c>
      <c r="DO413" s="59">
        <f>($AX413-$AX414)*100</f>
        <v/>
      </c>
      <c r="DP413" s="59">
        <f>($AY413-$AY414)*100</f>
        <v/>
      </c>
      <c r="DQ413" s="59">
        <f>($AZ413-$AZ414)*100</f>
        <v/>
      </c>
      <c r="DR413" s="59">
        <f>($BA413-$BA414)*100</f>
        <v/>
      </c>
      <c r="DS413" s="58">
        <f>IFERROR($N414/$N413-1,"")</f>
        <v/>
      </c>
      <c r="DT413" s="58">
        <f>IFERROR($O414/$O413-1,"")</f>
        <v/>
      </c>
      <c r="DU413" s="58">
        <f>IFERROR($P414/$P413-1,"")</f>
        <v/>
      </c>
      <c r="DV413" s="58">
        <f>IFERROR($Q414/$Q413-1,"")</f>
        <v/>
      </c>
      <c r="DW413" s="58">
        <f>IFERROR($R414/$R413-1,"")</f>
        <v/>
      </c>
      <c r="DX413" s="58">
        <f>IFERROR($S414/$S413-1,"")</f>
        <v/>
      </c>
      <c r="DY413" s="58">
        <f>IFERROR($T414/$T413-1,"")</f>
        <v/>
      </c>
      <c r="DZ413" s="58">
        <f>IFERROR($U414/$U413-1,"")</f>
        <v/>
      </c>
      <c r="EA413" s="58">
        <f>IFERROR($V414/$V413-1,"")</f>
        <v/>
      </c>
      <c r="EB413" s="58">
        <f>IFERROR($W414/$W413-1,"")</f>
        <v/>
      </c>
      <c r="EC413" s="58">
        <f>IFERROR($X414/$X413-1,"")</f>
        <v/>
      </c>
      <c r="ED413" s="58">
        <f>IFERROR($Y414/$Y413-1,"")</f>
        <v/>
      </c>
      <c r="EE413" s="58">
        <f>IFERROR($Z414/$Z413-1,"")</f>
        <v/>
      </c>
      <c r="EF413" s="58">
        <f>IFERROR($AA414/$AA413-1,"")</f>
        <v/>
      </c>
      <c r="EG413" s="58">
        <f>IFERROR($AB414/$AB413-1,"")</f>
        <v/>
      </c>
      <c r="EH413" s="58">
        <f>IFERROR($AC414/$AC413-1,"")</f>
        <v/>
      </c>
      <c r="EI413" s="58">
        <f>IFERROR($AD414/$AD413-1,"")</f>
        <v/>
      </c>
      <c r="EJ413" s="58">
        <f>IFERROR($AE414/$AE413-1,"")</f>
        <v/>
      </c>
      <c r="EK413" s="58">
        <f>IFERROR($AF414/$AF413-1,"")</f>
        <v/>
      </c>
      <c r="EL413" s="58">
        <f>IFERROR($AG414/$AG413-1,"")</f>
        <v/>
      </c>
      <c r="EM413" s="58">
        <f>IFERROR($BB413/$BB414-1,"")</f>
        <v/>
      </c>
      <c r="EN413" s="58">
        <f>IFERROR($BC413/$BC414-1,"")</f>
        <v/>
      </c>
      <c r="EO413" s="58">
        <f>IFERROR($BD413/$BD414-1,"")</f>
        <v/>
      </c>
      <c r="EP413" s="58">
        <f>IFERROR($BE413/$BE414-1,"")</f>
        <v/>
      </c>
      <c r="EQ413" s="58">
        <f>IFERROR($BF413/$BF414-1,"")</f>
        <v/>
      </c>
      <c r="ER413" s="58">
        <f>IFERROR($BG413/$BG414-1,"")</f>
        <v/>
      </c>
      <c r="ES413" s="58">
        <f>IFERROR($BH413/$BH414-1,"")</f>
        <v/>
      </c>
      <c r="ET413" s="58">
        <f>IFERROR($BI413/$BI414-1,"")</f>
        <v/>
      </c>
      <c r="EU413" s="58">
        <f>IFERROR($BJ413/$BJ414-1,"")</f>
        <v/>
      </c>
      <c r="EV413" s="58">
        <f>IFERROR($BK413/$BK414-1,"")</f>
        <v/>
      </c>
      <c r="EW413" s="58">
        <f>IFERROR($BL413/$BL414-1,"")</f>
        <v/>
      </c>
      <c r="EX413" s="58">
        <f>IFERROR($BM413/$BM414-1,"")</f>
        <v/>
      </c>
      <c r="EY413" s="58">
        <f>IFERROR($BN413/$BN414-1,"")</f>
        <v/>
      </c>
      <c r="EZ413" s="58">
        <f>IFERROR($BO413/$BO414-1,"")</f>
        <v/>
      </c>
      <c r="FA413" s="58">
        <f>IFERROR($BP413/$BP414-1,"")</f>
        <v/>
      </c>
      <c r="FB413" s="58">
        <f>IFERROR($BQ413/$BQ414-1,"")</f>
        <v/>
      </c>
      <c r="FC413" s="58">
        <f>IFERROR($BR413/$BR414-1,"")</f>
        <v/>
      </c>
      <c r="FD413" s="58">
        <f>IFERROR($BS413/$BS414-1,"")</f>
        <v/>
      </c>
      <c r="FE413" s="58">
        <f>IFERROR($BT413/$BT414-1,"")</f>
        <v/>
      </c>
      <c r="FF413" s="58">
        <f>IFERROR($BU413/$BU414-1,"")</f>
        <v/>
      </c>
      <c r="FG413" s="58">
        <f>IFERROR($BV413/$BV414-1,"")</f>
        <v/>
      </c>
      <c r="FH413" s="58">
        <f>IFERROR($BW413/$BW414-1,"")</f>
        <v/>
      </c>
      <c r="FI413" s="58">
        <f>IFERROR($BX413/$BX414-1,"")</f>
        <v/>
      </c>
      <c r="FJ413" s="59">
        <f>$BY413-$BY414</f>
        <v/>
      </c>
      <c r="FK413" s="59">
        <f>$BZ413-$BZ414</f>
        <v/>
      </c>
      <c r="FL413" s="59">
        <f>$CA413-$CA414</f>
        <v/>
      </c>
      <c r="FM413" s="59">
        <f>$CB413-$CB414</f>
        <v/>
      </c>
      <c r="FN413" s="59">
        <f>$CC413-$CC414</f>
        <v/>
      </c>
      <c r="FO413" s="59">
        <f>$CD413-$CD414</f>
        <v/>
      </c>
      <c r="FP413" s="59">
        <f>$CE413-$CE414</f>
        <v/>
      </c>
      <c r="FQ413" s="59">
        <f>$CF413-$CF414</f>
        <v/>
      </c>
      <c r="FR413" s="59">
        <f>$CG413-$CG414</f>
        <v/>
      </c>
      <c r="FS413" s="59">
        <f>$CH413-$CH414</f>
        <v/>
      </c>
      <c r="FT413" s="59">
        <f>$CI413-$CI414</f>
        <v/>
      </c>
      <c r="FU413" s="59">
        <f>$CJ413-$CJ414</f>
        <v/>
      </c>
      <c r="FV413" s="59">
        <f>$CK413-$CK414</f>
        <v/>
      </c>
      <c r="FW413" s="59">
        <f>$CL413-$CL414</f>
        <v/>
      </c>
      <c r="FX413" s="59">
        <f>$CM413-$CM414</f>
        <v/>
      </c>
      <c r="FY413" s="59">
        <f>$CN413-$CN414</f>
        <v/>
      </c>
      <c r="FZ413" s="59">
        <f>$CO413-$CO414</f>
        <v/>
      </c>
      <c r="GA413" s="59">
        <f>$CP413-$CP414</f>
        <v/>
      </c>
      <c r="GB413" s="59">
        <f>$CQ413-$CQ414</f>
        <v/>
      </c>
      <c r="GC413" s="59">
        <f>$CR413-$CR414</f>
        <v/>
      </c>
      <c r="GD413" s="59">
        <f>$CS413-$CS414</f>
        <v/>
      </c>
      <c r="GE413" s="59">
        <f>$CT413-$CT414</f>
        <v/>
      </c>
    </row>
    <row r="414">
      <c r="CU414" s="58">
        <f>IFERROR($B414/$B415-1,"")</f>
        <v/>
      </c>
      <c r="CV414" s="59">
        <f>($F414-$F415)*100</f>
        <v/>
      </c>
      <c r="CW414" s="59">
        <f>($E414-$E415)*100</f>
        <v/>
      </c>
      <c r="CX414" s="58">
        <f>IFERROR($K414/$K415-1,"")</f>
        <v/>
      </c>
      <c r="CY414" s="59">
        <f>($AH414-$AH415)*100</f>
        <v/>
      </c>
      <c r="CZ414" s="59">
        <f>($AI414-$AI415)*100</f>
        <v/>
      </c>
      <c r="DA414" s="59">
        <f>($AJ414-$AJ415)*100</f>
        <v/>
      </c>
      <c r="DB414" s="59">
        <f>($AK414-$AK415)*100</f>
        <v/>
      </c>
      <c r="DC414" s="59">
        <f>($AL414-$AL415)*100</f>
        <v/>
      </c>
      <c r="DD414" s="59">
        <f>($AM414-$AM415)*100</f>
        <v/>
      </c>
      <c r="DE414" s="59">
        <f>($AN414-$AN415)*100</f>
        <v/>
      </c>
      <c r="DF414" s="59">
        <f>($AO414-$AO415)*100</f>
        <v/>
      </c>
      <c r="DG414" s="59">
        <f>($AP414-$AP415)*100</f>
        <v/>
      </c>
      <c r="DH414" s="59">
        <f>($AQ414-$AQ415)*100</f>
        <v/>
      </c>
      <c r="DI414" s="59">
        <f>($AR414-$AR415)*100</f>
        <v/>
      </c>
      <c r="DJ414" s="59">
        <f>($AS414-$AS415)*100</f>
        <v/>
      </c>
      <c r="DK414" s="59">
        <f>($AT414-$AT415)*100</f>
        <v/>
      </c>
      <c r="DL414" s="59">
        <f>($AU414-$AU415)*100</f>
        <v/>
      </c>
      <c r="DM414" s="59">
        <f>($AV414-$AV415)*100</f>
        <v/>
      </c>
      <c r="DN414" s="59">
        <f>($AW414-$AW415)*100</f>
        <v/>
      </c>
      <c r="DO414" s="59">
        <f>($AX414-$AX415)*100</f>
        <v/>
      </c>
      <c r="DP414" s="59">
        <f>($AY414-$AY415)*100</f>
        <v/>
      </c>
      <c r="DQ414" s="59">
        <f>($AZ414-$AZ415)*100</f>
        <v/>
      </c>
      <c r="DR414" s="59">
        <f>($BA414-$BA415)*100</f>
        <v/>
      </c>
      <c r="DS414" s="58">
        <f>IFERROR($N415/$N414-1,"")</f>
        <v/>
      </c>
      <c r="DT414" s="58">
        <f>IFERROR($O415/$O414-1,"")</f>
        <v/>
      </c>
      <c r="DU414" s="58">
        <f>IFERROR($P415/$P414-1,"")</f>
        <v/>
      </c>
      <c r="DV414" s="58">
        <f>IFERROR($Q415/$Q414-1,"")</f>
        <v/>
      </c>
      <c r="DW414" s="58">
        <f>IFERROR($R415/$R414-1,"")</f>
        <v/>
      </c>
      <c r="DX414" s="58">
        <f>IFERROR($S415/$S414-1,"")</f>
        <v/>
      </c>
      <c r="DY414" s="58">
        <f>IFERROR($T415/$T414-1,"")</f>
        <v/>
      </c>
      <c r="DZ414" s="58">
        <f>IFERROR($U415/$U414-1,"")</f>
        <v/>
      </c>
      <c r="EA414" s="58">
        <f>IFERROR($V415/$V414-1,"")</f>
        <v/>
      </c>
      <c r="EB414" s="58">
        <f>IFERROR($W415/$W414-1,"")</f>
        <v/>
      </c>
      <c r="EC414" s="58">
        <f>IFERROR($X415/$X414-1,"")</f>
        <v/>
      </c>
      <c r="ED414" s="58">
        <f>IFERROR($Y415/$Y414-1,"")</f>
        <v/>
      </c>
      <c r="EE414" s="58">
        <f>IFERROR($Z415/$Z414-1,"")</f>
        <v/>
      </c>
      <c r="EF414" s="58">
        <f>IFERROR($AA415/$AA414-1,"")</f>
        <v/>
      </c>
      <c r="EG414" s="58">
        <f>IFERROR($AB415/$AB414-1,"")</f>
        <v/>
      </c>
      <c r="EH414" s="58">
        <f>IFERROR($AC415/$AC414-1,"")</f>
        <v/>
      </c>
      <c r="EI414" s="58">
        <f>IFERROR($AD415/$AD414-1,"")</f>
        <v/>
      </c>
      <c r="EJ414" s="58">
        <f>IFERROR($AE415/$AE414-1,"")</f>
        <v/>
      </c>
      <c r="EK414" s="58">
        <f>IFERROR($AF415/$AF414-1,"")</f>
        <v/>
      </c>
      <c r="EL414" s="58">
        <f>IFERROR($AG415/$AG414-1,"")</f>
        <v/>
      </c>
      <c r="EM414" s="58">
        <f>IFERROR($BB414/$BB415-1,"")</f>
        <v/>
      </c>
      <c r="EN414" s="58">
        <f>IFERROR($BC414/$BC415-1,"")</f>
        <v/>
      </c>
      <c r="EO414" s="58">
        <f>IFERROR($BD414/$BD415-1,"")</f>
        <v/>
      </c>
      <c r="EP414" s="58">
        <f>IFERROR($BE414/$BE415-1,"")</f>
        <v/>
      </c>
      <c r="EQ414" s="58">
        <f>IFERROR($BF414/$BF415-1,"")</f>
        <v/>
      </c>
      <c r="ER414" s="58">
        <f>IFERROR($BG414/$BG415-1,"")</f>
        <v/>
      </c>
      <c r="ES414" s="58">
        <f>IFERROR($BH414/$BH415-1,"")</f>
        <v/>
      </c>
      <c r="ET414" s="58">
        <f>IFERROR($BI414/$BI415-1,"")</f>
        <v/>
      </c>
      <c r="EU414" s="58">
        <f>IFERROR($BJ414/$BJ415-1,"")</f>
        <v/>
      </c>
      <c r="EV414" s="58">
        <f>IFERROR($BK414/$BK415-1,"")</f>
        <v/>
      </c>
      <c r="EW414" s="58">
        <f>IFERROR($BL414/$BL415-1,"")</f>
        <v/>
      </c>
      <c r="EX414" s="58">
        <f>IFERROR($BM414/$BM415-1,"")</f>
        <v/>
      </c>
      <c r="EY414" s="58">
        <f>IFERROR($BN414/$BN415-1,"")</f>
        <v/>
      </c>
      <c r="EZ414" s="58">
        <f>IFERROR($BO414/$BO415-1,"")</f>
        <v/>
      </c>
      <c r="FA414" s="58">
        <f>IFERROR($BP414/$BP415-1,"")</f>
        <v/>
      </c>
      <c r="FB414" s="58">
        <f>IFERROR($BQ414/$BQ415-1,"")</f>
        <v/>
      </c>
      <c r="FC414" s="58">
        <f>IFERROR($BR414/$BR415-1,"")</f>
        <v/>
      </c>
      <c r="FD414" s="58">
        <f>IFERROR($BS414/$BS415-1,"")</f>
        <v/>
      </c>
      <c r="FE414" s="58">
        <f>IFERROR($BT414/$BT415-1,"")</f>
        <v/>
      </c>
      <c r="FF414" s="58">
        <f>IFERROR($BU414/$BU415-1,"")</f>
        <v/>
      </c>
      <c r="FG414" s="58">
        <f>IFERROR($BV414/$BV415-1,"")</f>
        <v/>
      </c>
      <c r="FH414" s="58">
        <f>IFERROR($BW414/$BW415-1,"")</f>
        <v/>
      </c>
      <c r="FI414" s="58">
        <f>IFERROR($BX414/$BX415-1,"")</f>
        <v/>
      </c>
      <c r="FJ414" s="59">
        <f>$BY414-$BY415</f>
        <v/>
      </c>
      <c r="FK414" s="59">
        <f>$BZ414-$BZ415</f>
        <v/>
      </c>
      <c r="FL414" s="59">
        <f>$CA414-$CA415</f>
        <v/>
      </c>
      <c r="FM414" s="59">
        <f>$CB414-$CB415</f>
        <v/>
      </c>
      <c r="FN414" s="59">
        <f>$CC414-$CC415</f>
        <v/>
      </c>
      <c r="FO414" s="59">
        <f>$CD414-$CD415</f>
        <v/>
      </c>
      <c r="FP414" s="59">
        <f>$CE414-$CE415</f>
        <v/>
      </c>
      <c r="FQ414" s="59">
        <f>$CF414-$CF415</f>
        <v/>
      </c>
      <c r="FR414" s="59">
        <f>$CG414-$CG415</f>
        <v/>
      </c>
      <c r="FS414" s="59">
        <f>$CH414-$CH415</f>
        <v/>
      </c>
      <c r="FT414" s="59">
        <f>$CI414-$CI415</f>
        <v/>
      </c>
      <c r="FU414" s="59">
        <f>$CJ414-$CJ415</f>
        <v/>
      </c>
      <c r="FV414" s="59">
        <f>$CK414-$CK415</f>
        <v/>
      </c>
      <c r="FW414" s="59">
        <f>$CL414-$CL415</f>
        <v/>
      </c>
      <c r="FX414" s="59">
        <f>$CM414-$CM415</f>
        <v/>
      </c>
      <c r="FY414" s="59">
        <f>$CN414-$CN415</f>
        <v/>
      </c>
      <c r="FZ414" s="59">
        <f>$CO414-$CO415</f>
        <v/>
      </c>
      <c r="GA414" s="59">
        <f>$CP414-$CP415</f>
        <v/>
      </c>
      <c r="GB414" s="59">
        <f>$CQ414-$CQ415</f>
        <v/>
      </c>
      <c r="GC414" s="59">
        <f>$CR414-$CR415</f>
        <v/>
      </c>
      <c r="GD414" s="59">
        <f>$CS414-$CS415</f>
        <v/>
      </c>
      <c r="GE414" s="59">
        <f>$CT414-$CT415</f>
        <v/>
      </c>
    </row>
    <row r="415">
      <c r="CU415" s="58">
        <f>IFERROR($B415/$B416-1,"")</f>
        <v/>
      </c>
      <c r="CV415" s="59">
        <f>($F415-$F416)*100</f>
        <v/>
      </c>
      <c r="CW415" s="59">
        <f>($E415-$E416)*100</f>
        <v/>
      </c>
      <c r="CX415" s="58">
        <f>IFERROR($K415/$K416-1,"")</f>
        <v/>
      </c>
      <c r="CY415" s="59">
        <f>($AH415-$AH416)*100</f>
        <v/>
      </c>
      <c r="CZ415" s="59">
        <f>($AI415-$AI416)*100</f>
        <v/>
      </c>
      <c r="DA415" s="59">
        <f>($AJ415-$AJ416)*100</f>
        <v/>
      </c>
      <c r="DB415" s="59">
        <f>($AK415-$AK416)*100</f>
        <v/>
      </c>
      <c r="DC415" s="59">
        <f>($AL415-$AL416)*100</f>
        <v/>
      </c>
      <c r="DD415" s="59">
        <f>($AM415-$AM416)*100</f>
        <v/>
      </c>
      <c r="DE415" s="59">
        <f>($AN415-$AN416)*100</f>
        <v/>
      </c>
      <c r="DF415" s="59">
        <f>($AO415-$AO416)*100</f>
        <v/>
      </c>
      <c r="DG415" s="59">
        <f>($AP415-$AP416)*100</f>
        <v/>
      </c>
      <c r="DH415" s="59">
        <f>($AQ415-$AQ416)*100</f>
        <v/>
      </c>
      <c r="DI415" s="59">
        <f>($AR415-$AR416)*100</f>
        <v/>
      </c>
      <c r="DJ415" s="59">
        <f>($AS415-$AS416)*100</f>
        <v/>
      </c>
      <c r="DK415" s="59">
        <f>($AT415-$AT416)*100</f>
        <v/>
      </c>
      <c r="DL415" s="59">
        <f>($AU415-$AU416)*100</f>
        <v/>
      </c>
      <c r="DM415" s="59">
        <f>($AV415-$AV416)*100</f>
        <v/>
      </c>
      <c r="DN415" s="59">
        <f>($AW415-$AW416)*100</f>
        <v/>
      </c>
      <c r="DO415" s="59">
        <f>($AX415-$AX416)*100</f>
        <v/>
      </c>
      <c r="DP415" s="59">
        <f>($AY415-$AY416)*100</f>
        <v/>
      </c>
      <c r="DQ415" s="59">
        <f>($AZ415-$AZ416)*100</f>
        <v/>
      </c>
      <c r="DR415" s="59">
        <f>($BA415-$BA416)*100</f>
        <v/>
      </c>
      <c r="DS415" s="58">
        <f>IFERROR($N416/$N415-1,"")</f>
        <v/>
      </c>
      <c r="DT415" s="58">
        <f>IFERROR($O416/$O415-1,"")</f>
        <v/>
      </c>
      <c r="DU415" s="58">
        <f>IFERROR($P416/$P415-1,"")</f>
        <v/>
      </c>
      <c r="DV415" s="58">
        <f>IFERROR($Q416/$Q415-1,"")</f>
        <v/>
      </c>
      <c r="DW415" s="58">
        <f>IFERROR($R416/$R415-1,"")</f>
        <v/>
      </c>
      <c r="DX415" s="58">
        <f>IFERROR($S416/$S415-1,"")</f>
        <v/>
      </c>
      <c r="DY415" s="58">
        <f>IFERROR($T416/$T415-1,"")</f>
        <v/>
      </c>
      <c r="DZ415" s="58">
        <f>IFERROR($U416/$U415-1,"")</f>
        <v/>
      </c>
      <c r="EA415" s="58">
        <f>IFERROR($V416/$V415-1,"")</f>
        <v/>
      </c>
      <c r="EB415" s="58">
        <f>IFERROR($W416/$W415-1,"")</f>
        <v/>
      </c>
      <c r="EC415" s="58">
        <f>IFERROR($X416/$X415-1,"")</f>
        <v/>
      </c>
      <c r="ED415" s="58">
        <f>IFERROR($Y416/$Y415-1,"")</f>
        <v/>
      </c>
      <c r="EE415" s="58">
        <f>IFERROR($Z416/$Z415-1,"")</f>
        <v/>
      </c>
      <c r="EF415" s="58">
        <f>IFERROR($AA416/$AA415-1,"")</f>
        <v/>
      </c>
      <c r="EG415" s="58">
        <f>IFERROR($AB416/$AB415-1,"")</f>
        <v/>
      </c>
      <c r="EH415" s="58">
        <f>IFERROR($AC416/$AC415-1,"")</f>
        <v/>
      </c>
      <c r="EI415" s="58">
        <f>IFERROR($AD416/$AD415-1,"")</f>
        <v/>
      </c>
      <c r="EJ415" s="58">
        <f>IFERROR($AE416/$AE415-1,"")</f>
        <v/>
      </c>
      <c r="EK415" s="58">
        <f>IFERROR($AF416/$AF415-1,"")</f>
        <v/>
      </c>
      <c r="EL415" s="58">
        <f>IFERROR($AG416/$AG415-1,"")</f>
        <v/>
      </c>
      <c r="EM415" s="58">
        <f>IFERROR($BB415/$BB416-1,"")</f>
        <v/>
      </c>
      <c r="EN415" s="58">
        <f>IFERROR($BC415/$BC416-1,"")</f>
        <v/>
      </c>
      <c r="EO415" s="58">
        <f>IFERROR($BD415/$BD416-1,"")</f>
        <v/>
      </c>
      <c r="EP415" s="58">
        <f>IFERROR($BE415/$BE416-1,"")</f>
        <v/>
      </c>
      <c r="EQ415" s="58">
        <f>IFERROR($BF415/$BF416-1,"")</f>
        <v/>
      </c>
      <c r="ER415" s="58">
        <f>IFERROR($BG415/$BG416-1,"")</f>
        <v/>
      </c>
      <c r="ES415" s="58">
        <f>IFERROR($BH415/$BH416-1,"")</f>
        <v/>
      </c>
      <c r="ET415" s="58">
        <f>IFERROR($BI415/$BI416-1,"")</f>
        <v/>
      </c>
      <c r="EU415" s="58">
        <f>IFERROR($BJ415/$BJ416-1,"")</f>
        <v/>
      </c>
      <c r="EV415" s="58">
        <f>IFERROR($BK415/$BK416-1,"")</f>
        <v/>
      </c>
      <c r="EW415" s="58">
        <f>IFERROR($BL415/$BL416-1,"")</f>
        <v/>
      </c>
      <c r="EX415" s="58">
        <f>IFERROR($BM415/$BM416-1,"")</f>
        <v/>
      </c>
      <c r="EY415" s="58">
        <f>IFERROR($BN415/$BN416-1,"")</f>
        <v/>
      </c>
      <c r="EZ415" s="58">
        <f>IFERROR($BO415/$BO416-1,"")</f>
        <v/>
      </c>
      <c r="FA415" s="58">
        <f>IFERROR($BP415/$BP416-1,"")</f>
        <v/>
      </c>
      <c r="FB415" s="58">
        <f>IFERROR($BQ415/$BQ416-1,"")</f>
        <v/>
      </c>
      <c r="FC415" s="58">
        <f>IFERROR($BR415/$BR416-1,"")</f>
        <v/>
      </c>
      <c r="FD415" s="58">
        <f>IFERROR($BS415/$BS416-1,"")</f>
        <v/>
      </c>
      <c r="FE415" s="58">
        <f>IFERROR($BT415/$BT416-1,"")</f>
        <v/>
      </c>
      <c r="FF415" s="58">
        <f>IFERROR($BU415/$BU416-1,"")</f>
        <v/>
      </c>
      <c r="FG415" s="58">
        <f>IFERROR($BV415/$BV416-1,"")</f>
        <v/>
      </c>
      <c r="FH415" s="58">
        <f>IFERROR($BW415/$BW416-1,"")</f>
        <v/>
      </c>
      <c r="FI415" s="58">
        <f>IFERROR($BX415/$BX416-1,"")</f>
        <v/>
      </c>
      <c r="FJ415" s="59">
        <f>$BY415-$BY416</f>
        <v/>
      </c>
      <c r="FK415" s="59">
        <f>$BZ415-$BZ416</f>
        <v/>
      </c>
      <c r="FL415" s="59">
        <f>$CA415-$CA416</f>
        <v/>
      </c>
      <c r="FM415" s="59">
        <f>$CB415-$CB416</f>
        <v/>
      </c>
      <c r="FN415" s="59">
        <f>$CC415-$CC416</f>
        <v/>
      </c>
      <c r="FO415" s="59">
        <f>$CD415-$CD416</f>
        <v/>
      </c>
      <c r="FP415" s="59">
        <f>$CE415-$CE416</f>
        <v/>
      </c>
      <c r="FQ415" s="59">
        <f>$CF415-$CF416</f>
        <v/>
      </c>
      <c r="FR415" s="59">
        <f>$CG415-$CG416</f>
        <v/>
      </c>
      <c r="FS415" s="59">
        <f>$CH415-$CH416</f>
        <v/>
      </c>
      <c r="FT415" s="59">
        <f>$CI415-$CI416</f>
        <v/>
      </c>
      <c r="FU415" s="59">
        <f>$CJ415-$CJ416</f>
        <v/>
      </c>
      <c r="FV415" s="59">
        <f>$CK415-$CK416</f>
        <v/>
      </c>
      <c r="FW415" s="59">
        <f>$CL415-$CL416</f>
        <v/>
      </c>
      <c r="FX415" s="59">
        <f>$CM415-$CM416</f>
        <v/>
      </c>
      <c r="FY415" s="59">
        <f>$CN415-$CN416</f>
        <v/>
      </c>
      <c r="FZ415" s="59">
        <f>$CO415-$CO416</f>
        <v/>
      </c>
      <c r="GA415" s="59">
        <f>$CP415-$CP416</f>
        <v/>
      </c>
      <c r="GB415" s="59">
        <f>$CQ415-$CQ416</f>
        <v/>
      </c>
      <c r="GC415" s="59">
        <f>$CR415-$CR416</f>
        <v/>
      </c>
      <c r="GD415" s="59">
        <f>$CS415-$CS416</f>
        <v/>
      </c>
      <c r="GE415" s="59">
        <f>$CT415-$CT416</f>
        <v/>
      </c>
    </row>
    <row r="416">
      <c r="CU416" s="58">
        <f>IFERROR($B416/$B417-1,"")</f>
        <v/>
      </c>
      <c r="CV416" s="59">
        <f>($F416-$F417)*100</f>
        <v/>
      </c>
      <c r="CW416" s="59">
        <f>($E416-$E417)*100</f>
        <v/>
      </c>
      <c r="CX416" s="58">
        <f>IFERROR($K416/$K417-1,"")</f>
        <v/>
      </c>
      <c r="CY416" s="59">
        <f>($AH416-$AH417)*100</f>
        <v/>
      </c>
      <c r="CZ416" s="59">
        <f>($AI416-$AI417)*100</f>
        <v/>
      </c>
      <c r="DA416" s="59">
        <f>($AJ416-$AJ417)*100</f>
        <v/>
      </c>
      <c r="DB416" s="59">
        <f>($AK416-$AK417)*100</f>
        <v/>
      </c>
      <c r="DC416" s="59">
        <f>($AL416-$AL417)*100</f>
        <v/>
      </c>
      <c r="DD416" s="59">
        <f>($AM416-$AM417)*100</f>
        <v/>
      </c>
      <c r="DE416" s="59">
        <f>($AN416-$AN417)*100</f>
        <v/>
      </c>
      <c r="DF416" s="59">
        <f>($AO416-$AO417)*100</f>
        <v/>
      </c>
      <c r="DG416" s="59">
        <f>($AP416-$AP417)*100</f>
        <v/>
      </c>
      <c r="DH416" s="59">
        <f>($AQ416-$AQ417)*100</f>
        <v/>
      </c>
      <c r="DI416" s="59">
        <f>($AR416-$AR417)*100</f>
        <v/>
      </c>
      <c r="DJ416" s="59">
        <f>($AS416-$AS417)*100</f>
        <v/>
      </c>
      <c r="DK416" s="59">
        <f>($AT416-$AT417)*100</f>
        <v/>
      </c>
      <c r="DL416" s="59">
        <f>($AU416-$AU417)*100</f>
        <v/>
      </c>
      <c r="DM416" s="59">
        <f>($AV416-$AV417)*100</f>
        <v/>
      </c>
      <c r="DN416" s="59">
        <f>($AW416-$AW417)*100</f>
        <v/>
      </c>
      <c r="DO416" s="59">
        <f>($AX416-$AX417)*100</f>
        <v/>
      </c>
      <c r="DP416" s="59">
        <f>($AY416-$AY417)*100</f>
        <v/>
      </c>
      <c r="DQ416" s="59">
        <f>($AZ416-$AZ417)*100</f>
        <v/>
      </c>
      <c r="DR416" s="59">
        <f>($BA416-$BA417)*100</f>
        <v/>
      </c>
      <c r="DS416" s="58">
        <f>IFERROR($N417/$N416-1,"")</f>
        <v/>
      </c>
      <c r="DT416" s="58">
        <f>IFERROR($O417/$O416-1,"")</f>
        <v/>
      </c>
      <c r="DU416" s="58">
        <f>IFERROR($P417/$P416-1,"")</f>
        <v/>
      </c>
      <c r="DV416" s="58">
        <f>IFERROR($Q417/$Q416-1,"")</f>
        <v/>
      </c>
      <c r="DW416" s="58">
        <f>IFERROR($R417/$R416-1,"")</f>
        <v/>
      </c>
      <c r="DX416" s="58">
        <f>IFERROR($S417/$S416-1,"")</f>
        <v/>
      </c>
      <c r="DY416" s="58">
        <f>IFERROR($T417/$T416-1,"")</f>
        <v/>
      </c>
      <c r="DZ416" s="58">
        <f>IFERROR($U417/$U416-1,"")</f>
        <v/>
      </c>
      <c r="EA416" s="58">
        <f>IFERROR($V417/$V416-1,"")</f>
        <v/>
      </c>
      <c r="EB416" s="58">
        <f>IFERROR($W417/$W416-1,"")</f>
        <v/>
      </c>
      <c r="EC416" s="58">
        <f>IFERROR($X417/$X416-1,"")</f>
        <v/>
      </c>
      <c r="ED416" s="58">
        <f>IFERROR($Y417/$Y416-1,"")</f>
        <v/>
      </c>
      <c r="EE416" s="58">
        <f>IFERROR($Z417/$Z416-1,"")</f>
        <v/>
      </c>
      <c r="EF416" s="58">
        <f>IFERROR($AA417/$AA416-1,"")</f>
        <v/>
      </c>
      <c r="EG416" s="58">
        <f>IFERROR($AB417/$AB416-1,"")</f>
        <v/>
      </c>
      <c r="EH416" s="58">
        <f>IFERROR($AC417/$AC416-1,"")</f>
        <v/>
      </c>
      <c r="EI416" s="58">
        <f>IFERROR($AD417/$AD416-1,"")</f>
        <v/>
      </c>
      <c r="EJ416" s="58">
        <f>IFERROR($AE417/$AE416-1,"")</f>
        <v/>
      </c>
      <c r="EK416" s="58">
        <f>IFERROR($AF417/$AF416-1,"")</f>
        <v/>
      </c>
      <c r="EL416" s="58">
        <f>IFERROR($AG417/$AG416-1,"")</f>
        <v/>
      </c>
      <c r="EM416" s="58">
        <f>IFERROR($BB416/$BB417-1,"")</f>
        <v/>
      </c>
      <c r="EN416" s="58">
        <f>IFERROR($BC416/$BC417-1,"")</f>
        <v/>
      </c>
      <c r="EO416" s="58">
        <f>IFERROR($BD416/$BD417-1,"")</f>
        <v/>
      </c>
      <c r="EP416" s="58">
        <f>IFERROR($BE416/$BE417-1,"")</f>
        <v/>
      </c>
      <c r="EQ416" s="58">
        <f>IFERROR($BF416/$BF417-1,"")</f>
        <v/>
      </c>
      <c r="ER416" s="58">
        <f>IFERROR($BG416/$BG417-1,"")</f>
        <v/>
      </c>
      <c r="ES416" s="58">
        <f>IFERROR($BH416/$BH417-1,"")</f>
        <v/>
      </c>
      <c r="ET416" s="58">
        <f>IFERROR($BI416/$BI417-1,"")</f>
        <v/>
      </c>
      <c r="EU416" s="58">
        <f>IFERROR($BJ416/$BJ417-1,"")</f>
        <v/>
      </c>
      <c r="EV416" s="58">
        <f>IFERROR($BK416/$BK417-1,"")</f>
        <v/>
      </c>
      <c r="EW416" s="58">
        <f>IFERROR($BL416/$BL417-1,"")</f>
        <v/>
      </c>
      <c r="EX416" s="58">
        <f>IFERROR($BM416/$BM417-1,"")</f>
        <v/>
      </c>
      <c r="EY416" s="58">
        <f>IFERROR($BN416/$BN417-1,"")</f>
        <v/>
      </c>
      <c r="EZ416" s="58">
        <f>IFERROR($BO416/$BO417-1,"")</f>
        <v/>
      </c>
      <c r="FA416" s="58">
        <f>IFERROR($BP416/$BP417-1,"")</f>
        <v/>
      </c>
      <c r="FB416" s="58">
        <f>IFERROR($BQ416/$BQ417-1,"")</f>
        <v/>
      </c>
      <c r="FC416" s="58">
        <f>IFERROR($BR416/$BR417-1,"")</f>
        <v/>
      </c>
      <c r="FD416" s="58">
        <f>IFERROR($BS416/$BS417-1,"")</f>
        <v/>
      </c>
      <c r="FE416" s="58">
        <f>IFERROR($BT416/$BT417-1,"")</f>
        <v/>
      </c>
      <c r="FF416" s="58">
        <f>IFERROR($BU416/$BU417-1,"")</f>
        <v/>
      </c>
      <c r="FG416" s="58">
        <f>IFERROR($BV416/$BV417-1,"")</f>
        <v/>
      </c>
      <c r="FH416" s="58">
        <f>IFERROR($BW416/$BW417-1,"")</f>
        <v/>
      </c>
      <c r="FI416" s="58">
        <f>IFERROR($BX416/$BX417-1,"")</f>
        <v/>
      </c>
      <c r="FJ416" s="59">
        <f>$BY416-$BY417</f>
        <v/>
      </c>
      <c r="FK416" s="59">
        <f>$BZ416-$BZ417</f>
        <v/>
      </c>
      <c r="FL416" s="59">
        <f>$CA416-$CA417</f>
        <v/>
      </c>
      <c r="FM416" s="59">
        <f>$CB416-$CB417</f>
        <v/>
      </c>
      <c r="FN416" s="59">
        <f>$CC416-$CC417</f>
        <v/>
      </c>
      <c r="FO416" s="59">
        <f>$CD416-$CD417</f>
        <v/>
      </c>
      <c r="FP416" s="59">
        <f>$CE416-$CE417</f>
        <v/>
      </c>
      <c r="FQ416" s="59">
        <f>$CF416-$CF417</f>
        <v/>
      </c>
      <c r="FR416" s="59">
        <f>$CG416-$CG417</f>
        <v/>
      </c>
      <c r="FS416" s="59">
        <f>$CH416-$CH417</f>
        <v/>
      </c>
      <c r="FT416" s="59">
        <f>$CI416-$CI417</f>
        <v/>
      </c>
      <c r="FU416" s="59">
        <f>$CJ416-$CJ417</f>
        <v/>
      </c>
      <c r="FV416" s="59">
        <f>$CK416-$CK417</f>
        <v/>
      </c>
      <c r="FW416" s="59">
        <f>$CL416-$CL417</f>
        <v/>
      </c>
      <c r="FX416" s="59">
        <f>$CM416-$CM417</f>
        <v/>
      </c>
      <c r="FY416" s="59">
        <f>$CN416-$CN417</f>
        <v/>
      </c>
      <c r="FZ416" s="59">
        <f>$CO416-$CO417</f>
        <v/>
      </c>
      <c r="GA416" s="59">
        <f>$CP416-$CP417</f>
        <v/>
      </c>
      <c r="GB416" s="59">
        <f>$CQ416-$CQ417</f>
        <v/>
      </c>
      <c r="GC416" s="59">
        <f>$CR416-$CR417</f>
        <v/>
      </c>
      <c r="GD416" s="59">
        <f>$CS416-$CS417</f>
        <v/>
      </c>
      <c r="GE416" s="59">
        <f>$CT416-$CT417</f>
        <v/>
      </c>
    </row>
    <row r="417">
      <c r="CU417" s="58">
        <f>IFERROR($B417/$B418-1,"")</f>
        <v/>
      </c>
      <c r="CV417" s="59">
        <f>($F417-$F418)*100</f>
        <v/>
      </c>
      <c r="CW417" s="59">
        <f>($E417-$E418)*100</f>
        <v/>
      </c>
      <c r="CX417" s="58">
        <f>IFERROR($K417/$K418-1,"")</f>
        <v/>
      </c>
      <c r="CY417" s="59">
        <f>($AH417-$AH418)*100</f>
        <v/>
      </c>
      <c r="CZ417" s="59">
        <f>($AI417-$AI418)*100</f>
        <v/>
      </c>
      <c r="DA417" s="59">
        <f>($AJ417-$AJ418)*100</f>
        <v/>
      </c>
      <c r="DB417" s="59">
        <f>($AK417-$AK418)*100</f>
        <v/>
      </c>
      <c r="DC417" s="59">
        <f>($AL417-$AL418)*100</f>
        <v/>
      </c>
      <c r="DD417" s="59">
        <f>($AM417-$AM418)*100</f>
        <v/>
      </c>
      <c r="DE417" s="59">
        <f>($AN417-$AN418)*100</f>
        <v/>
      </c>
      <c r="DF417" s="59">
        <f>($AO417-$AO418)*100</f>
        <v/>
      </c>
      <c r="DG417" s="59">
        <f>($AP417-$AP418)*100</f>
        <v/>
      </c>
      <c r="DH417" s="59">
        <f>($AQ417-$AQ418)*100</f>
        <v/>
      </c>
      <c r="DI417" s="59">
        <f>($AR417-$AR418)*100</f>
        <v/>
      </c>
      <c r="DJ417" s="59">
        <f>($AS417-$AS418)*100</f>
        <v/>
      </c>
      <c r="DK417" s="59">
        <f>($AT417-$AT418)*100</f>
        <v/>
      </c>
      <c r="DL417" s="59">
        <f>($AU417-$AU418)*100</f>
        <v/>
      </c>
      <c r="DM417" s="59">
        <f>($AV417-$AV418)*100</f>
        <v/>
      </c>
      <c r="DN417" s="59">
        <f>($AW417-$AW418)*100</f>
        <v/>
      </c>
      <c r="DO417" s="59">
        <f>($AX417-$AX418)*100</f>
        <v/>
      </c>
      <c r="DP417" s="59">
        <f>($AY417-$AY418)*100</f>
        <v/>
      </c>
      <c r="DQ417" s="59">
        <f>($AZ417-$AZ418)*100</f>
        <v/>
      </c>
      <c r="DR417" s="59">
        <f>($BA417-$BA418)*100</f>
        <v/>
      </c>
      <c r="DS417" s="58">
        <f>IFERROR($N418/$N417-1,"")</f>
        <v/>
      </c>
      <c r="DT417" s="58">
        <f>IFERROR($O418/$O417-1,"")</f>
        <v/>
      </c>
      <c r="DU417" s="58">
        <f>IFERROR($P418/$P417-1,"")</f>
        <v/>
      </c>
      <c r="DV417" s="58">
        <f>IFERROR($Q418/$Q417-1,"")</f>
        <v/>
      </c>
      <c r="DW417" s="58">
        <f>IFERROR($R418/$R417-1,"")</f>
        <v/>
      </c>
      <c r="DX417" s="58">
        <f>IFERROR($S418/$S417-1,"")</f>
        <v/>
      </c>
      <c r="DY417" s="58">
        <f>IFERROR($T418/$T417-1,"")</f>
        <v/>
      </c>
      <c r="DZ417" s="58">
        <f>IFERROR($U418/$U417-1,"")</f>
        <v/>
      </c>
      <c r="EA417" s="58">
        <f>IFERROR($V418/$V417-1,"")</f>
        <v/>
      </c>
      <c r="EB417" s="58">
        <f>IFERROR($W418/$W417-1,"")</f>
        <v/>
      </c>
      <c r="EC417" s="58">
        <f>IFERROR($X418/$X417-1,"")</f>
        <v/>
      </c>
      <c r="ED417" s="58">
        <f>IFERROR($Y418/$Y417-1,"")</f>
        <v/>
      </c>
      <c r="EE417" s="58">
        <f>IFERROR($Z418/$Z417-1,"")</f>
        <v/>
      </c>
      <c r="EF417" s="58">
        <f>IFERROR($AA418/$AA417-1,"")</f>
        <v/>
      </c>
      <c r="EG417" s="58">
        <f>IFERROR($AB418/$AB417-1,"")</f>
        <v/>
      </c>
      <c r="EH417" s="58">
        <f>IFERROR($AC418/$AC417-1,"")</f>
        <v/>
      </c>
      <c r="EI417" s="58">
        <f>IFERROR($AD418/$AD417-1,"")</f>
        <v/>
      </c>
      <c r="EJ417" s="58">
        <f>IFERROR($AE418/$AE417-1,"")</f>
        <v/>
      </c>
      <c r="EK417" s="58">
        <f>IFERROR($AF418/$AF417-1,"")</f>
        <v/>
      </c>
      <c r="EL417" s="58">
        <f>IFERROR($AG418/$AG417-1,"")</f>
        <v/>
      </c>
      <c r="EM417" s="58">
        <f>IFERROR($BB417/$BB418-1,"")</f>
        <v/>
      </c>
      <c r="EN417" s="58">
        <f>IFERROR($BC417/$BC418-1,"")</f>
        <v/>
      </c>
      <c r="EO417" s="58">
        <f>IFERROR($BD417/$BD418-1,"")</f>
        <v/>
      </c>
      <c r="EP417" s="58">
        <f>IFERROR($BE417/$BE418-1,"")</f>
        <v/>
      </c>
      <c r="EQ417" s="58">
        <f>IFERROR($BF417/$BF418-1,"")</f>
        <v/>
      </c>
      <c r="ER417" s="58">
        <f>IFERROR($BG417/$BG418-1,"")</f>
        <v/>
      </c>
      <c r="ES417" s="58">
        <f>IFERROR($BH417/$BH418-1,"")</f>
        <v/>
      </c>
      <c r="ET417" s="58">
        <f>IFERROR($BI417/$BI418-1,"")</f>
        <v/>
      </c>
      <c r="EU417" s="58">
        <f>IFERROR($BJ417/$BJ418-1,"")</f>
        <v/>
      </c>
      <c r="EV417" s="58">
        <f>IFERROR($BK417/$BK418-1,"")</f>
        <v/>
      </c>
      <c r="EW417" s="58">
        <f>IFERROR($BL417/$BL418-1,"")</f>
        <v/>
      </c>
      <c r="EX417" s="58">
        <f>IFERROR($BM417/$BM418-1,"")</f>
        <v/>
      </c>
      <c r="EY417" s="58">
        <f>IFERROR($BN417/$BN418-1,"")</f>
        <v/>
      </c>
      <c r="EZ417" s="58">
        <f>IFERROR($BO417/$BO418-1,"")</f>
        <v/>
      </c>
      <c r="FA417" s="58">
        <f>IFERROR($BP417/$BP418-1,"")</f>
        <v/>
      </c>
      <c r="FB417" s="58">
        <f>IFERROR($BQ417/$BQ418-1,"")</f>
        <v/>
      </c>
      <c r="FC417" s="58">
        <f>IFERROR($BR417/$BR418-1,"")</f>
        <v/>
      </c>
      <c r="FD417" s="58">
        <f>IFERROR($BS417/$BS418-1,"")</f>
        <v/>
      </c>
      <c r="FE417" s="58">
        <f>IFERROR($BT417/$BT418-1,"")</f>
        <v/>
      </c>
      <c r="FF417" s="58">
        <f>IFERROR($BU417/$BU418-1,"")</f>
        <v/>
      </c>
      <c r="FG417" s="58">
        <f>IFERROR($BV417/$BV418-1,"")</f>
        <v/>
      </c>
      <c r="FH417" s="58">
        <f>IFERROR($BW417/$BW418-1,"")</f>
        <v/>
      </c>
      <c r="FI417" s="58">
        <f>IFERROR($BX417/$BX418-1,"")</f>
        <v/>
      </c>
      <c r="FJ417" s="59">
        <f>$BY417-$BY418</f>
        <v/>
      </c>
      <c r="FK417" s="59">
        <f>$BZ417-$BZ418</f>
        <v/>
      </c>
      <c r="FL417" s="59">
        <f>$CA417-$CA418</f>
        <v/>
      </c>
      <c r="FM417" s="59">
        <f>$CB417-$CB418</f>
        <v/>
      </c>
      <c r="FN417" s="59">
        <f>$CC417-$CC418</f>
        <v/>
      </c>
      <c r="FO417" s="59">
        <f>$CD417-$CD418</f>
        <v/>
      </c>
      <c r="FP417" s="59">
        <f>$CE417-$CE418</f>
        <v/>
      </c>
      <c r="FQ417" s="59">
        <f>$CF417-$CF418</f>
        <v/>
      </c>
      <c r="FR417" s="59">
        <f>$CG417-$CG418</f>
        <v/>
      </c>
      <c r="FS417" s="59">
        <f>$CH417-$CH418</f>
        <v/>
      </c>
      <c r="FT417" s="59">
        <f>$CI417-$CI418</f>
        <v/>
      </c>
      <c r="FU417" s="59">
        <f>$CJ417-$CJ418</f>
        <v/>
      </c>
      <c r="FV417" s="59">
        <f>$CK417-$CK418</f>
        <v/>
      </c>
      <c r="FW417" s="59">
        <f>$CL417-$CL418</f>
        <v/>
      </c>
      <c r="FX417" s="59">
        <f>$CM417-$CM418</f>
        <v/>
      </c>
      <c r="FY417" s="59">
        <f>$CN417-$CN418</f>
        <v/>
      </c>
      <c r="FZ417" s="59">
        <f>$CO417-$CO418</f>
        <v/>
      </c>
      <c r="GA417" s="59">
        <f>$CP417-$CP418</f>
        <v/>
      </c>
      <c r="GB417" s="59">
        <f>$CQ417-$CQ418</f>
        <v/>
      </c>
      <c r="GC417" s="59">
        <f>$CR417-$CR418</f>
        <v/>
      </c>
      <c r="GD417" s="59">
        <f>$CS417-$CS418</f>
        <v/>
      </c>
      <c r="GE417" s="59">
        <f>$CT417-$CT418</f>
        <v/>
      </c>
    </row>
    <row r="418">
      <c r="CU418" s="58">
        <f>IFERROR($B418/$B419-1,"")</f>
        <v/>
      </c>
      <c r="CV418" s="59">
        <f>($F418-$F419)*100</f>
        <v/>
      </c>
      <c r="CW418" s="59">
        <f>($E418-$E419)*100</f>
        <v/>
      </c>
      <c r="CX418" s="58">
        <f>IFERROR($K418/$K419-1,"")</f>
        <v/>
      </c>
      <c r="CY418" s="59">
        <f>($AH418-$AH419)*100</f>
        <v/>
      </c>
      <c r="CZ418" s="59">
        <f>($AI418-$AI419)*100</f>
        <v/>
      </c>
      <c r="DA418" s="59">
        <f>($AJ418-$AJ419)*100</f>
        <v/>
      </c>
      <c r="DB418" s="59">
        <f>($AK418-$AK419)*100</f>
        <v/>
      </c>
      <c r="DC418" s="59">
        <f>($AL418-$AL419)*100</f>
        <v/>
      </c>
      <c r="DD418" s="59">
        <f>($AM418-$AM419)*100</f>
        <v/>
      </c>
      <c r="DE418" s="59">
        <f>($AN418-$AN419)*100</f>
        <v/>
      </c>
      <c r="DF418" s="59">
        <f>($AO418-$AO419)*100</f>
        <v/>
      </c>
      <c r="DG418" s="59">
        <f>($AP418-$AP419)*100</f>
        <v/>
      </c>
      <c r="DH418" s="59">
        <f>($AQ418-$AQ419)*100</f>
        <v/>
      </c>
      <c r="DI418" s="59">
        <f>($AR418-$AR419)*100</f>
        <v/>
      </c>
      <c r="DJ418" s="59">
        <f>($AS418-$AS419)*100</f>
        <v/>
      </c>
      <c r="DK418" s="59">
        <f>($AT418-$AT419)*100</f>
        <v/>
      </c>
      <c r="DL418" s="59">
        <f>($AU418-$AU419)*100</f>
        <v/>
      </c>
      <c r="DM418" s="59">
        <f>($AV418-$AV419)*100</f>
        <v/>
      </c>
      <c r="DN418" s="59">
        <f>($AW418-$AW419)*100</f>
        <v/>
      </c>
      <c r="DO418" s="59">
        <f>($AX418-$AX419)*100</f>
        <v/>
      </c>
      <c r="DP418" s="59">
        <f>($AY418-$AY419)*100</f>
        <v/>
      </c>
      <c r="DQ418" s="59">
        <f>($AZ418-$AZ419)*100</f>
        <v/>
      </c>
      <c r="DR418" s="59">
        <f>($BA418-$BA419)*100</f>
        <v/>
      </c>
      <c r="DS418" s="58">
        <f>IFERROR($N419/$N418-1,"")</f>
        <v/>
      </c>
      <c r="DT418" s="58">
        <f>IFERROR($O419/$O418-1,"")</f>
        <v/>
      </c>
      <c r="DU418" s="58">
        <f>IFERROR($P419/$P418-1,"")</f>
        <v/>
      </c>
      <c r="DV418" s="58">
        <f>IFERROR($Q419/$Q418-1,"")</f>
        <v/>
      </c>
      <c r="DW418" s="58">
        <f>IFERROR($R419/$R418-1,"")</f>
        <v/>
      </c>
      <c r="DX418" s="58">
        <f>IFERROR($S419/$S418-1,"")</f>
        <v/>
      </c>
      <c r="DY418" s="58">
        <f>IFERROR($T419/$T418-1,"")</f>
        <v/>
      </c>
      <c r="DZ418" s="58">
        <f>IFERROR($U419/$U418-1,"")</f>
        <v/>
      </c>
      <c r="EA418" s="58">
        <f>IFERROR($V419/$V418-1,"")</f>
        <v/>
      </c>
      <c r="EB418" s="58">
        <f>IFERROR($W419/$W418-1,"")</f>
        <v/>
      </c>
      <c r="EC418" s="58">
        <f>IFERROR($X419/$X418-1,"")</f>
        <v/>
      </c>
      <c r="ED418" s="58">
        <f>IFERROR($Y419/$Y418-1,"")</f>
        <v/>
      </c>
      <c r="EE418" s="58">
        <f>IFERROR($Z419/$Z418-1,"")</f>
        <v/>
      </c>
      <c r="EF418" s="58">
        <f>IFERROR($AA419/$AA418-1,"")</f>
        <v/>
      </c>
      <c r="EG418" s="58">
        <f>IFERROR($AB419/$AB418-1,"")</f>
        <v/>
      </c>
      <c r="EH418" s="58">
        <f>IFERROR($AC419/$AC418-1,"")</f>
        <v/>
      </c>
      <c r="EI418" s="58">
        <f>IFERROR($AD419/$AD418-1,"")</f>
        <v/>
      </c>
      <c r="EJ418" s="58">
        <f>IFERROR($AE419/$AE418-1,"")</f>
        <v/>
      </c>
      <c r="EK418" s="58">
        <f>IFERROR($AF419/$AF418-1,"")</f>
        <v/>
      </c>
      <c r="EL418" s="58">
        <f>IFERROR($AG419/$AG418-1,"")</f>
        <v/>
      </c>
      <c r="EM418" s="58">
        <f>IFERROR($BB418/$BB419-1,"")</f>
        <v/>
      </c>
      <c r="EN418" s="58">
        <f>IFERROR($BC418/$BC419-1,"")</f>
        <v/>
      </c>
      <c r="EO418" s="58">
        <f>IFERROR($BD418/$BD419-1,"")</f>
        <v/>
      </c>
      <c r="EP418" s="58">
        <f>IFERROR($BE418/$BE419-1,"")</f>
        <v/>
      </c>
      <c r="EQ418" s="58">
        <f>IFERROR($BF418/$BF419-1,"")</f>
        <v/>
      </c>
      <c r="ER418" s="58">
        <f>IFERROR($BG418/$BG419-1,"")</f>
        <v/>
      </c>
      <c r="ES418" s="58">
        <f>IFERROR($BH418/$BH419-1,"")</f>
        <v/>
      </c>
      <c r="ET418" s="58">
        <f>IFERROR($BI418/$BI419-1,"")</f>
        <v/>
      </c>
      <c r="EU418" s="58">
        <f>IFERROR($BJ418/$BJ419-1,"")</f>
        <v/>
      </c>
      <c r="EV418" s="58">
        <f>IFERROR($BK418/$BK419-1,"")</f>
        <v/>
      </c>
      <c r="EW418" s="58">
        <f>IFERROR($BL418/$BL419-1,"")</f>
        <v/>
      </c>
      <c r="EX418" s="58">
        <f>IFERROR($BM418/$BM419-1,"")</f>
        <v/>
      </c>
      <c r="EY418" s="58">
        <f>IFERROR($BN418/$BN419-1,"")</f>
        <v/>
      </c>
      <c r="EZ418" s="58">
        <f>IFERROR($BO418/$BO419-1,"")</f>
        <v/>
      </c>
      <c r="FA418" s="58">
        <f>IFERROR($BP418/$BP419-1,"")</f>
        <v/>
      </c>
      <c r="FB418" s="58">
        <f>IFERROR($BQ418/$BQ419-1,"")</f>
        <v/>
      </c>
      <c r="FC418" s="58">
        <f>IFERROR($BR418/$BR419-1,"")</f>
        <v/>
      </c>
      <c r="FD418" s="58">
        <f>IFERROR($BS418/$BS419-1,"")</f>
        <v/>
      </c>
      <c r="FE418" s="58">
        <f>IFERROR($BT418/$BT419-1,"")</f>
        <v/>
      </c>
      <c r="FF418" s="58">
        <f>IFERROR($BU418/$BU419-1,"")</f>
        <v/>
      </c>
      <c r="FG418" s="58">
        <f>IFERROR($BV418/$BV419-1,"")</f>
        <v/>
      </c>
      <c r="FH418" s="58">
        <f>IFERROR($BW418/$BW419-1,"")</f>
        <v/>
      </c>
      <c r="FI418" s="58">
        <f>IFERROR($BX418/$BX419-1,"")</f>
        <v/>
      </c>
      <c r="FJ418" s="59">
        <f>$BY418-$BY419</f>
        <v/>
      </c>
      <c r="FK418" s="59">
        <f>$BZ418-$BZ419</f>
        <v/>
      </c>
      <c r="FL418" s="59">
        <f>$CA418-$CA419</f>
        <v/>
      </c>
      <c r="FM418" s="59">
        <f>$CB418-$CB419</f>
        <v/>
      </c>
      <c r="FN418" s="59">
        <f>$CC418-$CC419</f>
        <v/>
      </c>
      <c r="FO418" s="59">
        <f>$CD418-$CD419</f>
        <v/>
      </c>
      <c r="FP418" s="59">
        <f>$CE418-$CE419</f>
        <v/>
      </c>
      <c r="FQ418" s="59">
        <f>$CF418-$CF419</f>
        <v/>
      </c>
      <c r="FR418" s="59">
        <f>$CG418-$CG419</f>
        <v/>
      </c>
      <c r="FS418" s="59">
        <f>$CH418-$CH419</f>
        <v/>
      </c>
      <c r="FT418" s="59">
        <f>$CI418-$CI419</f>
        <v/>
      </c>
      <c r="FU418" s="59">
        <f>$CJ418-$CJ419</f>
        <v/>
      </c>
      <c r="FV418" s="59">
        <f>$CK418-$CK419</f>
        <v/>
      </c>
      <c r="FW418" s="59">
        <f>$CL418-$CL419</f>
        <v/>
      </c>
      <c r="FX418" s="59">
        <f>$CM418-$CM419</f>
        <v/>
      </c>
      <c r="FY418" s="59">
        <f>$CN418-$CN419</f>
        <v/>
      </c>
      <c r="FZ418" s="59">
        <f>$CO418-$CO419</f>
        <v/>
      </c>
      <c r="GA418" s="59">
        <f>$CP418-$CP419</f>
        <v/>
      </c>
      <c r="GB418" s="59">
        <f>$CQ418-$CQ419</f>
        <v/>
      </c>
      <c r="GC418" s="59">
        <f>$CR418-$CR419</f>
        <v/>
      </c>
      <c r="GD418" s="59">
        <f>$CS418-$CS419</f>
        <v/>
      </c>
      <c r="GE418" s="59">
        <f>$CT418-$CT419</f>
        <v/>
      </c>
    </row>
    <row r="419">
      <c r="CU419" s="58">
        <f>IFERROR($B419/$B420-1,"")</f>
        <v/>
      </c>
      <c r="CV419" s="59">
        <f>($F419-$F420)*100</f>
        <v/>
      </c>
      <c r="CW419" s="59">
        <f>($E419-$E420)*100</f>
        <v/>
      </c>
      <c r="CX419" s="58">
        <f>IFERROR($K419/$K420-1,"")</f>
        <v/>
      </c>
      <c r="CY419" s="59">
        <f>($AH419-$AH420)*100</f>
        <v/>
      </c>
      <c r="CZ419" s="59">
        <f>($AI419-$AI420)*100</f>
        <v/>
      </c>
      <c r="DA419" s="59">
        <f>($AJ419-$AJ420)*100</f>
        <v/>
      </c>
      <c r="DB419" s="59">
        <f>($AK419-$AK420)*100</f>
        <v/>
      </c>
      <c r="DC419" s="59">
        <f>($AL419-$AL420)*100</f>
        <v/>
      </c>
      <c r="DD419" s="59">
        <f>($AM419-$AM420)*100</f>
        <v/>
      </c>
      <c r="DE419" s="59">
        <f>($AN419-$AN420)*100</f>
        <v/>
      </c>
      <c r="DF419" s="59">
        <f>($AO419-$AO420)*100</f>
        <v/>
      </c>
      <c r="DG419" s="59">
        <f>($AP419-$AP420)*100</f>
        <v/>
      </c>
      <c r="DH419" s="59">
        <f>($AQ419-$AQ420)*100</f>
        <v/>
      </c>
      <c r="DI419" s="59">
        <f>($AR419-$AR420)*100</f>
        <v/>
      </c>
      <c r="DJ419" s="59">
        <f>($AS419-$AS420)*100</f>
        <v/>
      </c>
      <c r="DK419" s="59">
        <f>($AT419-$AT420)*100</f>
        <v/>
      </c>
      <c r="DL419" s="59">
        <f>($AU419-$AU420)*100</f>
        <v/>
      </c>
      <c r="DM419" s="59">
        <f>($AV419-$AV420)*100</f>
        <v/>
      </c>
      <c r="DN419" s="59">
        <f>($AW419-$AW420)*100</f>
        <v/>
      </c>
      <c r="DO419" s="59">
        <f>($AX419-$AX420)*100</f>
        <v/>
      </c>
      <c r="DP419" s="59">
        <f>($AY419-$AY420)*100</f>
        <v/>
      </c>
      <c r="DQ419" s="59">
        <f>($AZ419-$AZ420)*100</f>
        <v/>
      </c>
      <c r="DR419" s="59">
        <f>($BA419-$BA420)*100</f>
        <v/>
      </c>
      <c r="DS419" s="58">
        <f>IFERROR($N420/$N419-1,"")</f>
        <v/>
      </c>
      <c r="DT419" s="58">
        <f>IFERROR($O420/$O419-1,"")</f>
        <v/>
      </c>
      <c r="DU419" s="58">
        <f>IFERROR($P420/$P419-1,"")</f>
        <v/>
      </c>
      <c r="DV419" s="58">
        <f>IFERROR($Q420/$Q419-1,"")</f>
        <v/>
      </c>
      <c r="DW419" s="58">
        <f>IFERROR($R420/$R419-1,"")</f>
        <v/>
      </c>
      <c r="DX419" s="58">
        <f>IFERROR($S420/$S419-1,"")</f>
        <v/>
      </c>
      <c r="DY419" s="58">
        <f>IFERROR($T420/$T419-1,"")</f>
        <v/>
      </c>
      <c r="DZ419" s="58">
        <f>IFERROR($U420/$U419-1,"")</f>
        <v/>
      </c>
      <c r="EA419" s="58">
        <f>IFERROR($V420/$V419-1,"")</f>
        <v/>
      </c>
      <c r="EB419" s="58">
        <f>IFERROR($W420/$W419-1,"")</f>
        <v/>
      </c>
      <c r="EC419" s="58">
        <f>IFERROR($X420/$X419-1,"")</f>
        <v/>
      </c>
      <c r="ED419" s="58">
        <f>IFERROR($Y420/$Y419-1,"")</f>
        <v/>
      </c>
      <c r="EE419" s="58">
        <f>IFERROR($Z420/$Z419-1,"")</f>
        <v/>
      </c>
      <c r="EF419" s="58">
        <f>IFERROR($AA420/$AA419-1,"")</f>
        <v/>
      </c>
      <c r="EG419" s="58">
        <f>IFERROR($AB420/$AB419-1,"")</f>
        <v/>
      </c>
      <c r="EH419" s="58">
        <f>IFERROR($AC420/$AC419-1,"")</f>
        <v/>
      </c>
      <c r="EI419" s="58">
        <f>IFERROR($AD420/$AD419-1,"")</f>
        <v/>
      </c>
      <c r="EJ419" s="58">
        <f>IFERROR($AE420/$AE419-1,"")</f>
        <v/>
      </c>
      <c r="EK419" s="58">
        <f>IFERROR($AF420/$AF419-1,"")</f>
        <v/>
      </c>
      <c r="EL419" s="58">
        <f>IFERROR($AG420/$AG419-1,"")</f>
        <v/>
      </c>
      <c r="EM419" s="58">
        <f>IFERROR($BB419/$BB420-1,"")</f>
        <v/>
      </c>
      <c r="EN419" s="58">
        <f>IFERROR($BC419/$BC420-1,"")</f>
        <v/>
      </c>
      <c r="EO419" s="58">
        <f>IFERROR($BD419/$BD420-1,"")</f>
        <v/>
      </c>
      <c r="EP419" s="58">
        <f>IFERROR($BE419/$BE420-1,"")</f>
        <v/>
      </c>
      <c r="EQ419" s="58">
        <f>IFERROR($BF419/$BF420-1,"")</f>
        <v/>
      </c>
      <c r="ER419" s="58">
        <f>IFERROR($BG419/$BG420-1,"")</f>
        <v/>
      </c>
      <c r="ES419" s="58">
        <f>IFERROR($BH419/$BH420-1,"")</f>
        <v/>
      </c>
      <c r="ET419" s="58">
        <f>IFERROR($BI419/$BI420-1,"")</f>
        <v/>
      </c>
      <c r="EU419" s="58">
        <f>IFERROR($BJ419/$BJ420-1,"")</f>
        <v/>
      </c>
      <c r="EV419" s="58">
        <f>IFERROR($BK419/$BK420-1,"")</f>
        <v/>
      </c>
      <c r="EW419" s="58">
        <f>IFERROR($BL419/$BL420-1,"")</f>
        <v/>
      </c>
      <c r="EX419" s="58">
        <f>IFERROR($BM419/$BM420-1,"")</f>
        <v/>
      </c>
      <c r="EY419" s="58">
        <f>IFERROR($BN419/$BN420-1,"")</f>
        <v/>
      </c>
      <c r="EZ419" s="58">
        <f>IFERROR($BO419/$BO420-1,"")</f>
        <v/>
      </c>
      <c r="FA419" s="58">
        <f>IFERROR($BP419/$BP420-1,"")</f>
        <v/>
      </c>
      <c r="FB419" s="58">
        <f>IFERROR($BQ419/$BQ420-1,"")</f>
        <v/>
      </c>
      <c r="FC419" s="58">
        <f>IFERROR($BR419/$BR420-1,"")</f>
        <v/>
      </c>
      <c r="FD419" s="58">
        <f>IFERROR($BS419/$BS420-1,"")</f>
        <v/>
      </c>
      <c r="FE419" s="58">
        <f>IFERROR($BT419/$BT420-1,"")</f>
        <v/>
      </c>
      <c r="FF419" s="58">
        <f>IFERROR($BU419/$BU420-1,"")</f>
        <v/>
      </c>
      <c r="FG419" s="58">
        <f>IFERROR($BV419/$BV420-1,"")</f>
        <v/>
      </c>
      <c r="FH419" s="58">
        <f>IFERROR($BW419/$BW420-1,"")</f>
        <v/>
      </c>
      <c r="FI419" s="58">
        <f>IFERROR($BX419/$BX420-1,"")</f>
        <v/>
      </c>
      <c r="FJ419" s="59">
        <f>$BY419-$BY420</f>
        <v/>
      </c>
      <c r="FK419" s="59">
        <f>$BZ419-$BZ420</f>
        <v/>
      </c>
      <c r="FL419" s="59">
        <f>$CA419-$CA420</f>
        <v/>
      </c>
      <c r="FM419" s="59">
        <f>$CB419-$CB420</f>
        <v/>
      </c>
      <c r="FN419" s="59">
        <f>$CC419-$CC420</f>
        <v/>
      </c>
      <c r="FO419" s="59">
        <f>$CD419-$CD420</f>
        <v/>
      </c>
      <c r="FP419" s="59">
        <f>$CE419-$CE420</f>
        <v/>
      </c>
      <c r="FQ419" s="59">
        <f>$CF419-$CF420</f>
        <v/>
      </c>
      <c r="FR419" s="59">
        <f>$CG419-$CG420</f>
        <v/>
      </c>
      <c r="FS419" s="59">
        <f>$CH419-$CH420</f>
        <v/>
      </c>
      <c r="FT419" s="59">
        <f>$CI419-$CI420</f>
        <v/>
      </c>
      <c r="FU419" s="59">
        <f>$CJ419-$CJ420</f>
        <v/>
      </c>
      <c r="FV419" s="59">
        <f>$CK419-$CK420</f>
        <v/>
      </c>
      <c r="FW419" s="59">
        <f>$CL419-$CL420</f>
        <v/>
      </c>
      <c r="FX419" s="59">
        <f>$CM419-$CM420</f>
        <v/>
      </c>
      <c r="FY419" s="59">
        <f>$CN419-$CN420</f>
        <v/>
      </c>
      <c r="FZ419" s="59">
        <f>$CO419-$CO420</f>
        <v/>
      </c>
      <c r="GA419" s="59">
        <f>$CP419-$CP420</f>
        <v/>
      </c>
      <c r="GB419" s="59">
        <f>$CQ419-$CQ420</f>
        <v/>
      </c>
      <c r="GC419" s="59">
        <f>$CR419-$CR420</f>
        <v/>
      </c>
      <c r="GD419" s="59">
        <f>$CS419-$CS420</f>
        <v/>
      </c>
      <c r="GE419" s="59">
        <f>$CT419-$CT420</f>
        <v/>
      </c>
    </row>
    <row r="420">
      <c r="CU420" s="58">
        <f>IFERROR($B420/$B421-1,"")</f>
        <v/>
      </c>
      <c r="CV420" s="59">
        <f>($F420-$F421)*100</f>
        <v/>
      </c>
      <c r="CW420" s="59">
        <f>($E420-$E421)*100</f>
        <v/>
      </c>
      <c r="CX420" s="58">
        <f>IFERROR($K420/$K421-1,"")</f>
        <v/>
      </c>
      <c r="CY420" s="59">
        <f>($AH420-$AH421)*100</f>
        <v/>
      </c>
      <c r="CZ420" s="59">
        <f>($AI420-$AI421)*100</f>
        <v/>
      </c>
      <c r="DA420" s="59">
        <f>($AJ420-$AJ421)*100</f>
        <v/>
      </c>
      <c r="DB420" s="59">
        <f>($AK420-$AK421)*100</f>
        <v/>
      </c>
      <c r="DC420" s="59">
        <f>($AL420-$AL421)*100</f>
        <v/>
      </c>
      <c r="DD420" s="59">
        <f>($AM420-$AM421)*100</f>
        <v/>
      </c>
      <c r="DE420" s="59">
        <f>($AN420-$AN421)*100</f>
        <v/>
      </c>
      <c r="DF420" s="59">
        <f>($AO420-$AO421)*100</f>
        <v/>
      </c>
      <c r="DG420" s="59">
        <f>($AP420-$AP421)*100</f>
        <v/>
      </c>
      <c r="DH420" s="59">
        <f>($AQ420-$AQ421)*100</f>
        <v/>
      </c>
      <c r="DI420" s="59">
        <f>($AR420-$AR421)*100</f>
        <v/>
      </c>
      <c r="DJ420" s="59">
        <f>($AS420-$AS421)*100</f>
        <v/>
      </c>
      <c r="DK420" s="59">
        <f>($AT420-$AT421)*100</f>
        <v/>
      </c>
      <c r="DL420" s="59">
        <f>($AU420-$AU421)*100</f>
        <v/>
      </c>
      <c r="DM420" s="59">
        <f>($AV420-$AV421)*100</f>
        <v/>
      </c>
      <c r="DN420" s="59">
        <f>($AW420-$AW421)*100</f>
        <v/>
      </c>
      <c r="DO420" s="59">
        <f>($AX420-$AX421)*100</f>
        <v/>
      </c>
      <c r="DP420" s="59">
        <f>($AY420-$AY421)*100</f>
        <v/>
      </c>
      <c r="DQ420" s="59">
        <f>($AZ420-$AZ421)*100</f>
        <v/>
      </c>
      <c r="DR420" s="59">
        <f>($BA420-$BA421)*100</f>
        <v/>
      </c>
      <c r="DS420" s="58">
        <f>IFERROR($N421/$N420-1,"")</f>
        <v/>
      </c>
      <c r="DT420" s="58">
        <f>IFERROR($O421/$O420-1,"")</f>
        <v/>
      </c>
      <c r="DU420" s="58">
        <f>IFERROR($P421/$P420-1,"")</f>
        <v/>
      </c>
      <c r="DV420" s="58">
        <f>IFERROR($Q421/$Q420-1,"")</f>
        <v/>
      </c>
      <c r="DW420" s="58">
        <f>IFERROR($R421/$R420-1,"")</f>
        <v/>
      </c>
      <c r="DX420" s="58">
        <f>IFERROR($S421/$S420-1,"")</f>
        <v/>
      </c>
      <c r="DY420" s="58">
        <f>IFERROR($T421/$T420-1,"")</f>
        <v/>
      </c>
      <c r="DZ420" s="58">
        <f>IFERROR($U421/$U420-1,"")</f>
        <v/>
      </c>
      <c r="EA420" s="58">
        <f>IFERROR($V421/$V420-1,"")</f>
        <v/>
      </c>
      <c r="EB420" s="58">
        <f>IFERROR($W421/$W420-1,"")</f>
        <v/>
      </c>
      <c r="EC420" s="58">
        <f>IFERROR($X421/$X420-1,"")</f>
        <v/>
      </c>
      <c r="ED420" s="58">
        <f>IFERROR($Y421/$Y420-1,"")</f>
        <v/>
      </c>
      <c r="EE420" s="58">
        <f>IFERROR($Z421/$Z420-1,"")</f>
        <v/>
      </c>
      <c r="EF420" s="58">
        <f>IFERROR($AA421/$AA420-1,"")</f>
        <v/>
      </c>
      <c r="EG420" s="58">
        <f>IFERROR($AB421/$AB420-1,"")</f>
        <v/>
      </c>
      <c r="EH420" s="58">
        <f>IFERROR($AC421/$AC420-1,"")</f>
        <v/>
      </c>
      <c r="EI420" s="58">
        <f>IFERROR($AD421/$AD420-1,"")</f>
        <v/>
      </c>
      <c r="EJ420" s="58">
        <f>IFERROR($AE421/$AE420-1,"")</f>
        <v/>
      </c>
      <c r="EK420" s="58">
        <f>IFERROR($AF421/$AF420-1,"")</f>
        <v/>
      </c>
      <c r="EL420" s="58">
        <f>IFERROR($AG421/$AG420-1,"")</f>
        <v/>
      </c>
      <c r="EM420" s="58">
        <f>IFERROR($BB420/$BB421-1,"")</f>
        <v/>
      </c>
      <c r="EN420" s="58">
        <f>IFERROR($BC420/$BC421-1,"")</f>
        <v/>
      </c>
      <c r="EO420" s="58">
        <f>IFERROR($BD420/$BD421-1,"")</f>
        <v/>
      </c>
      <c r="EP420" s="58">
        <f>IFERROR($BE420/$BE421-1,"")</f>
        <v/>
      </c>
      <c r="EQ420" s="58">
        <f>IFERROR($BF420/$BF421-1,"")</f>
        <v/>
      </c>
      <c r="ER420" s="58">
        <f>IFERROR($BG420/$BG421-1,"")</f>
        <v/>
      </c>
      <c r="ES420" s="58">
        <f>IFERROR($BH420/$BH421-1,"")</f>
        <v/>
      </c>
      <c r="ET420" s="58">
        <f>IFERROR($BI420/$BI421-1,"")</f>
        <v/>
      </c>
      <c r="EU420" s="58">
        <f>IFERROR($BJ420/$BJ421-1,"")</f>
        <v/>
      </c>
      <c r="EV420" s="58">
        <f>IFERROR($BK420/$BK421-1,"")</f>
        <v/>
      </c>
      <c r="EW420" s="58">
        <f>IFERROR($BL420/$BL421-1,"")</f>
        <v/>
      </c>
      <c r="EX420" s="58">
        <f>IFERROR($BM420/$BM421-1,"")</f>
        <v/>
      </c>
      <c r="EY420" s="58">
        <f>IFERROR($BN420/$BN421-1,"")</f>
        <v/>
      </c>
      <c r="EZ420" s="58">
        <f>IFERROR($BO420/$BO421-1,"")</f>
        <v/>
      </c>
      <c r="FA420" s="58">
        <f>IFERROR($BP420/$BP421-1,"")</f>
        <v/>
      </c>
      <c r="FB420" s="58">
        <f>IFERROR($BQ420/$BQ421-1,"")</f>
        <v/>
      </c>
      <c r="FC420" s="58">
        <f>IFERROR($BR420/$BR421-1,"")</f>
        <v/>
      </c>
      <c r="FD420" s="58">
        <f>IFERROR($BS420/$BS421-1,"")</f>
        <v/>
      </c>
      <c r="FE420" s="58">
        <f>IFERROR($BT420/$BT421-1,"")</f>
        <v/>
      </c>
      <c r="FF420" s="58">
        <f>IFERROR($BU420/$BU421-1,"")</f>
        <v/>
      </c>
      <c r="FG420" s="58">
        <f>IFERROR($BV420/$BV421-1,"")</f>
        <v/>
      </c>
      <c r="FH420" s="58">
        <f>IFERROR($BW420/$BW421-1,"")</f>
        <v/>
      </c>
      <c r="FI420" s="58">
        <f>IFERROR($BX420/$BX421-1,"")</f>
        <v/>
      </c>
      <c r="FJ420" s="59">
        <f>$BY420-$BY421</f>
        <v/>
      </c>
      <c r="FK420" s="59">
        <f>$BZ420-$BZ421</f>
        <v/>
      </c>
      <c r="FL420" s="59">
        <f>$CA420-$CA421</f>
        <v/>
      </c>
      <c r="FM420" s="59">
        <f>$CB420-$CB421</f>
        <v/>
      </c>
      <c r="FN420" s="59">
        <f>$CC420-$CC421</f>
        <v/>
      </c>
      <c r="FO420" s="59">
        <f>$CD420-$CD421</f>
        <v/>
      </c>
      <c r="FP420" s="59">
        <f>$CE420-$CE421</f>
        <v/>
      </c>
      <c r="FQ420" s="59">
        <f>$CF420-$CF421</f>
        <v/>
      </c>
      <c r="FR420" s="59">
        <f>$CG420-$CG421</f>
        <v/>
      </c>
      <c r="FS420" s="59">
        <f>$CH420-$CH421</f>
        <v/>
      </c>
      <c r="FT420" s="59">
        <f>$CI420-$CI421</f>
        <v/>
      </c>
      <c r="FU420" s="59">
        <f>$CJ420-$CJ421</f>
        <v/>
      </c>
      <c r="FV420" s="59">
        <f>$CK420-$CK421</f>
        <v/>
      </c>
      <c r="FW420" s="59">
        <f>$CL420-$CL421</f>
        <v/>
      </c>
      <c r="FX420" s="59">
        <f>$CM420-$CM421</f>
        <v/>
      </c>
      <c r="FY420" s="59">
        <f>$CN420-$CN421</f>
        <v/>
      </c>
      <c r="FZ420" s="59">
        <f>$CO420-$CO421</f>
        <v/>
      </c>
      <c r="GA420" s="59">
        <f>$CP420-$CP421</f>
        <v/>
      </c>
      <c r="GB420" s="59">
        <f>$CQ420-$CQ421</f>
        <v/>
      </c>
      <c r="GC420" s="59">
        <f>$CR420-$CR421</f>
        <v/>
      </c>
      <c r="GD420" s="59">
        <f>$CS420-$CS421</f>
        <v/>
      </c>
      <c r="GE420" s="59">
        <f>$CT420-$CT421</f>
        <v/>
      </c>
    </row>
    <row r="421">
      <c r="CU421" s="58">
        <f>IFERROR($B421/$B422-1,"")</f>
        <v/>
      </c>
      <c r="CV421" s="59">
        <f>($F421-$F422)*100</f>
        <v/>
      </c>
      <c r="CW421" s="59">
        <f>($E421-$E422)*100</f>
        <v/>
      </c>
      <c r="CX421" s="58">
        <f>IFERROR($K421/$K422-1,"")</f>
        <v/>
      </c>
      <c r="CY421" s="59">
        <f>($AH421-$AH422)*100</f>
        <v/>
      </c>
      <c r="CZ421" s="59">
        <f>($AI421-$AI422)*100</f>
        <v/>
      </c>
      <c r="DA421" s="59">
        <f>($AJ421-$AJ422)*100</f>
        <v/>
      </c>
      <c r="DB421" s="59">
        <f>($AK421-$AK422)*100</f>
        <v/>
      </c>
      <c r="DC421" s="59">
        <f>($AL421-$AL422)*100</f>
        <v/>
      </c>
      <c r="DD421" s="59">
        <f>($AM421-$AM422)*100</f>
        <v/>
      </c>
      <c r="DE421" s="59">
        <f>($AN421-$AN422)*100</f>
        <v/>
      </c>
      <c r="DF421" s="59">
        <f>($AO421-$AO422)*100</f>
        <v/>
      </c>
      <c r="DG421" s="59">
        <f>($AP421-$AP422)*100</f>
        <v/>
      </c>
      <c r="DH421" s="59">
        <f>($AQ421-$AQ422)*100</f>
        <v/>
      </c>
      <c r="DI421" s="59">
        <f>($AR421-$AR422)*100</f>
        <v/>
      </c>
      <c r="DJ421" s="59">
        <f>($AS421-$AS422)*100</f>
        <v/>
      </c>
      <c r="DK421" s="59">
        <f>($AT421-$AT422)*100</f>
        <v/>
      </c>
      <c r="DL421" s="59">
        <f>($AU421-$AU422)*100</f>
        <v/>
      </c>
      <c r="DM421" s="59">
        <f>($AV421-$AV422)*100</f>
        <v/>
      </c>
      <c r="DN421" s="59">
        <f>($AW421-$AW422)*100</f>
        <v/>
      </c>
      <c r="DO421" s="59">
        <f>($AX421-$AX422)*100</f>
        <v/>
      </c>
      <c r="DP421" s="59">
        <f>($AY421-$AY422)*100</f>
        <v/>
      </c>
      <c r="DQ421" s="59">
        <f>($AZ421-$AZ422)*100</f>
        <v/>
      </c>
      <c r="DR421" s="59">
        <f>($BA421-$BA422)*100</f>
        <v/>
      </c>
      <c r="DS421" s="58">
        <f>IFERROR($N422/$N421-1,"")</f>
        <v/>
      </c>
      <c r="DT421" s="58">
        <f>IFERROR($O422/$O421-1,"")</f>
        <v/>
      </c>
      <c r="DU421" s="58">
        <f>IFERROR($P422/$P421-1,"")</f>
        <v/>
      </c>
      <c r="DV421" s="58">
        <f>IFERROR($Q422/$Q421-1,"")</f>
        <v/>
      </c>
      <c r="DW421" s="58">
        <f>IFERROR($R422/$R421-1,"")</f>
        <v/>
      </c>
      <c r="DX421" s="58">
        <f>IFERROR($S422/$S421-1,"")</f>
        <v/>
      </c>
      <c r="DY421" s="58">
        <f>IFERROR($T422/$T421-1,"")</f>
        <v/>
      </c>
      <c r="DZ421" s="58">
        <f>IFERROR($U422/$U421-1,"")</f>
        <v/>
      </c>
      <c r="EA421" s="58">
        <f>IFERROR($V422/$V421-1,"")</f>
        <v/>
      </c>
      <c r="EB421" s="58">
        <f>IFERROR($W422/$W421-1,"")</f>
        <v/>
      </c>
      <c r="EC421" s="58">
        <f>IFERROR($X422/$X421-1,"")</f>
        <v/>
      </c>
      <c r="ED421" s="58">
        <f>IFERROR($Y422/$Y421-1,"")</f>
        <v/>
      </c>
      <c r="EE421" s="58">
        <f>IFERROR($Z422/$Z421-1,"")</f>
        <v/>
      </c>
      <c r="EF421" s="58">
        <f>IFERROR($AA422/$AA421-1,"")</f>
        <v/>
      </c>
      <c r="EG421" s="58">
        <f>IFERROR($AB422/$AB421-1,"")</f>
        <v/>
      </c>
      <c r="EH421" s="58">
        <f>IFERROR($AC422/$AC421-1,"")</f>
        <v/>
      </c>
      <c r="EI421" s="58">
        <f>IFERROR($AD422/$AD421-1,"")</f>
        <v/>
      </c>
      <c r="EJ421" s="58">
        <f>IFERROR($AE422/$AE421-1,"")</f>
        <v/>
      </c>
      <c r="EK421" s="58">
        <f>IFERROR($AF422/$AF421-1,"")</f>
        <v/>
      </c>
      <c r="EL421" s="58">
        <f>IFERROR($AG422/$AG421-1,"")</f>
        <v/>
      </c>
      <c r="EM421" s="58">
        <f>IFERROR($BB421/$BB422-1,"")</f>
        <v/>
      </c>
      <c r="EN421" s="58">
        <f>IFERROR($BC421/$BC422-1,"")</f>
        <v/>
      </c>
      <c r="EO421" s="58">
        <f>IFERROR($BD421/$BD422-1,"")</f>
        <v/>
      </c>
      <c r="EP421" s="58">
        <f>IFERROR($BE421/$BE422-1,"")</f>
        <v/>
      </c>
      <c r="EQ421" s="58">
        <f>IFERROR($BF421/$BF422-1,"")</f>
        <v/>
      </c>
      <c r="ER421" s="58">
        <f>IFERROR($BG421/$BG422-1,"")</f>
        <v/>
      </c>
      <c r="ES421" s="58">
        <f>IFERROR($BH421/$BH422-1,"")</f>
        <v/>
      </c>
      <c r="ET421" s="58">
        <f>IFERROR($BI421/$BI422-1,"")</f>
        <v/>
      </c>
      <c r="EU421" s="58">
        <f>IFERROR($BJ421/$BJ422-1,"")</f>
        <v/>
      </c>
      <c r="EV421" s="58">
        <f>IFERROR($BK421/$BK422-1,"")</f>
        <v/>
      </c>
      <c r="EW421" s="58">
        <f>IFERROR($BL421/$BL422-1,"")</f>
        <v/>
      </c>
      <c r="EX421" s="58">
        <f>IFERROR($BM421/$BM422-1,"")</f>
        <v/>
      </c>
      <c r="EY421" s="58">
        <f>IFERROR($BN421/$BN422-1,"")</f>
        <v/>
      </c>
      <c r="EZ421" s="58">
        <f>IFERROR($BO421/$BO422-1,"")</f>
        <v/>
      </c>
      <c r="FA421" s="58">
        <f>IFERROR($BP421/$BP422-1,"")</f>
        <v/>
      </c>
      <c r="FB421" s="58">
        <f>IFERROR($BQ421/$BQ422-1,"")</f>
        <v/>
      </c>
      <c r="FC421" s="58">
        <f>IFERROR($BR421/$BR422-1,"")</f>
        <v/>
      </c>
      <c r="FD421" s="58">
        <f>IFERROR($BS421/$BS422-1,"")</f>
        <v/>
      </c>
      <c r="FE421" s="58">
        <f>IFERROR($BT421/$BT422-1,"")</f>
        <v/>
      </c>
      <c r="FF421" s="58">
        <f>IFERROR($BU421/$BU422-1,"")</f>
        <v/>
      </c>
      <c r="FG421" s="58">
        <f>IFERROR($BV421/$BV422-1,"")</f>
        <v/>
      </c>
      <c r="FH421" s="58">
        <f>IFERROR($BW421/$BW422-1,"")</f>
        <v/>
      </c>
      <c r="FI421" s="58">
        <f>IFERROR($BX421/$BX422-1,"")</f>
        <v/>
      </c>
      <c r="FJ421" s="59">
        <f>$BY421-$BY422</f>
        <v/>
      </c>
      <c r="FK421" s="59">
        <f>$BZ421-$BZ422</f>
        <v/>
      </c>
      <c r="FL421" s="59">
        <f>$CA421-$CA422</f>
        <v/>
      </c>
      <c r="FM421" s="59">
        <f>$CB421-$CB422</f>
        <v/>
      </c>
      <c r="FN421" s="59">
        <f>$CC421-$CC422</f>
        <v/>
      </c>
      <c r="FO421" s="59">
        <f>$CD421-$CD422</f>
        <v/>
      </c>
      <c r="FP421" s="59">
        <f>$CE421-$CE422</f>
        <v/>
      </c>
      <c r="FQ421" s="59">
        <f>$CF421-$CF422</f>
        <v/>
      </c>
      <c r="FR421" s="59">
        <f>$CG421-$CG422</f>
        <v/>
      </c>
      <c r="FS421" s="59">
        <f>$CH421-$CH422</f>
        <v/>
      </c>
      <c r="FT421" s="59">
        <f>$CI421-$CI422</f>
        <v/>
      </c>
      <c r="FU421" s="59">
        <f>$CJ421-$CJ422</f>
        <v/>
      </c>
      <c r="FV421" s="59">
        <f>$CK421-$CK422</f>
        <v/>
      </c>
      <c r="FW421" s="59">
        <f>$CL421-$CL422</f>
        <v/>
      </c>
      <c r="FX421" s="59">
        <f>$CM421-$CM422</f>
        <v/>
      </c>
      <c r="FY421" s="59">
        <f>$CN421-$CN422</f>
        <v/>
      </c>
      <c r="FZ421" s="59">
        <f>$CO421-$CO422</f>
        <v/>
      </c>
      <c r="GA421" s="59">
        <f>$CP421-$CP422</f>
        <v/>
      </c>
      <c r="GB421" s="59">
        <f>$CQ421-$CQ422</f>
        <v/>
      </c>
      <c r="GC421" s="59">
        <f>$CR421-$CR422</f>
        <v/>
      </c>
      <c r="GD421" s="59">
        <f>$CS421-$CS422</f>
        <v/>
      </c>
      <c r="GE421" s="59">
        <f>$CT421-$CT422</f>
        <v/>
      </c>
    </row>
    <row r="422">
      <c r="CU422" s="58">
        <f>IFERROR($B422/$B423-1,"")</f>
        <v/>
      </c>
      <c r="CV422" s="59">
        <f>($F422-$F423)*100</f>
        <v/>
      </c>
      <c r="CW422" s="59">
        <f>($E422-$E423)*100</f>
        <v/>
      </c>
      <c r="CX422" s="58">
        <f>IFERROR($K422/$K423-1,"")</f>
        <v/>
      </c>
      <c r="CY422" s="59">
        <f>($AH422-$AH423)*100</f>
        <v/>
      </c>
      <c r="CZ422" s="59">
        <f>($AI422-$AI423)*100</f>
        <v/>
      </c>
      <c r="DA422" s="59">
        <f>($AJ422-$AJ423)*100</f>
        <v/>
      </c>
      <c r="DB422" s="59">
        <f>($AK422-$AK423)*100</f>
        <v/>
      </c>
      <c r="DC422" s="59">
        <f>($AL422-$AL423)*100</f>
        <v/>
      </c>
      <c r="DD422" s="59">
        <f>($AM422-$AM423)*100</f>
        <v/>
      </c>
      <c r="DE422" s="59">
        <f>($AN422-$AN423)*100</f>
        <v/>
      </c>
      <c r="DF422" s="59">
        <f>($AO422-$AO423)*100</f>
        <v/>
      </c>
      <c r="DG422" s="59">
        <f>($AP422-$AP423)*100</f>
        <v/>
      </c>
      <c r="DH422" s="59">
        <f>($AQ422-$AQ423)*100</f>
        <v/>
      </c>
      <c r="DI422" s="59">
        <f>($AR422-$AR423)*100</f>
        <v/>
      </c>
      <c r="DJ422" s="59">
        <f>($AS422-$AS423)*100</f>
        <v/>
      </c>
      <c r="DK422" s="59">
        <f>($AT422-$AT423)*100</f>
        <v/>
      </c>
      <c r="DL422" s="59">
        <f>($AU422-$AU423)*100</f>
        <v/>
      </c>
      <c r="DM422" s="59">
        <f>($AV422-$AV423)*100</f>
        <v/>
      </c>
      <c r="DN422" s="59">
        <f>($AW422-$AW423)*100</f>
        <v/>
      </c>
      <c r="DO422" s="59">
        <f>($AX422-$AX423)*100</f>
        <v/>
      </c>
      <c r="DP422" s="59">
        <f>($AY422-$AY423)*100</f>
        <v/>
      </c>
      <c r="DQ422" s="59">
        <f>($AZ422-$AZ423)*100</f>
        <v/>
      </c>
      <c r="DR422" s="59">
        <f>($BA422-$BA423)*100</f>
        <v/>
      </c>
      <c r="DS422" s="58">
        <f>IFERROR($N423/$N422-1,"")</f>
        <v/>
      </c>
      <c r="DT422" s="58">
        <f>IFERROR($O423/$O422-1,"")</f>
        <v/>
      </c>
      <c r="DU422" s="58">
        <f>IFERROR($P423/$P422-1,"")</f>
        <v/>
      </c>
      <c r="DV422" s="58">
        <f>IFERROR($Q423/$Q422-1,"")</f>
        <v/>
      </c>
      <c r="DW422" s="58">
        <f>IFERROR($R423/$R422-1,"")</f>
        <v/>
      </c>
      <c r="DX422" s="58">
        <f>IFERROR($S423/$S422-1,"")</f>
        <v/>
      </c>
      <c r="DY422" s="58">
        <f>IFERROR($T423/$T422-1,"")</f>
        <v/>
      </c>
      <c r="DZ422" s="58">
        <f>IFERROR($U423/$U422-1,"")</f>
        <v/>
      </c>
      <c r="EA422" s="58">
        <f>IFERROR($V423/$V422-1,"")</f>
        <v/>
      </c>
      <c r="EB422" s="58">
        <f>IFERROR($W423/$W422-1,"")</f>
        <v/>
      </c>
      <c r="EC422" s="58">
        <f>IFERROR($X423/$X422-1,"")</f>
        <v/>
      </c>
      <c r="ED422" s="58">
        <f>IFERROR($Y423/$Y422-1,"")</f>
        <v/>
      </c>
      <c r="EE422" s="58">
        <f>IFERROR($Z423/$Z422-1,"")</f>
        <v/>
      </c>
      <c r="EF422" s="58">
        <f>IFERROR($AA423/$AA422-1,"")</f>
        <v/>
      </c>
      <c r="EG422" s="58">
        <f>IFERROR($AB423/$AB422-1,"")</f>
        <v/>
      </c>
      <c r="EH422" s="58">
        <f>IFERROR($AC423/$AC422-1,"")</f>
        <v/>
      </c>
      <c r="EI422" s="58">
        <f>IFERROR($AD423/$AD422-1,"")</f>
        <v/>
      </c>
      <c r="EJ422" s="58">
        <f>IFERROR($AE423/$AE422-1,"")</f>
        <v/>
      </c>
      <c r="EK422" s="58">
        <f>IFERROR($AF423/$AF422-1,"")</f>
        <v/>
      </c>
      <c r="EL422" s="58">
        <f>IFERROR($AG423/$AG422-1,"")</f>
        <v/>
      </c>
      <c r="EM422" s="58">
        <f>IFERROR($BB422/$BB423-1,"")</f>
        <v/>
      </c>
      <c r="EN422" s="58">
        <f>IFERROR($BC422/$BC423-1,"")</f>
        <v/>
      </c>
      <c r="EO422" s="58">
        <f>IFERROR($BD422/$BD423-1,"")</f>
        <v/>
      </c>
      <c r="EP422" s="58">
        <f>IFERROR($BE422/$BE423-1,"")</f>
        <v/>
      </c>
      <c r="EQ422" s="58">
        <f>IFERROR($BF422/$BF423-1,"")</f>
        <v/>
      </c>
      <c r="ER422" s="58">
        <f>IFERROR($BG422/$BG423-1,"")</f>
        <v/>
      </c>
      <c r="ES422" s="58">
        <f>IFERROR($BH422/$BH423-1,"")</f>
        <v/>
      </c>
      <c r="ET422" s="58">
        <f>IFERROR($BI422/$BI423-1,"")</f>
        <v/>
      </c>
      <c r="EU422" s="58">
        <f>IFERROR($BJ422/$BJ423-1,"")</f>
        <v/>
      </c>
      <c r="EV422" s="58">
        <f>IFERROR($BK422/$BK423-1,"")</f>
        <v/>
      </c>
      <c r="EW422" s="58">
        <f>IFERROR($BL422/$BL423-1,"")</f>
        <v/>
      </c>
      <c r="EX422" s="58">
        <f>IFERROR($BM422/$BM423-1,"")</f>
        <v/>
      </c>
      <c r="EY422" s="58">
        <f>IFERROR($BN422/$BN423-1,"")</f>
        <v/>
      </c>
      <c r="EZ422" s="58">
        <f>IFERROR($BO422/$BO423-1,"")</f>
        <v/>
      </c>
      <c r="FA422" s="58">
        <f>IFERROR($BP422/$BP423-1,"")</f>
        <v/>
      </c>
      <c r="FB422" s="58">
        <f>IFERROR($BQ422/$BQ423-1,"")</f>
        <v/>
      </c>
      <c r="FC422" s="58">
        <f>IFERROR($BR422/$BR423-1,"")</f>
        <v/>
      </c>
      <c r="FD422" s="58">
        <f>IFERROR($BS422/$BS423-1,"")</f>
        <v/>
      </c>
      <c r="FE422" s="58">
        <f>IFERROR($BT422/$BT423-1,"")</f>
        <v/>
      </c>
      <c r="FF422" s="58">
        <f>IFERROR($BU422/$BU423-1,"")</f>
        <v/>
      </c>
      <c r="FG422" s="58">
        <f>IFERROR($BV422/$BV423-1,"")</f>
        <v/>
      </c>
      <c r="FH422" s="58">
        <f>IFERROR($BW422/$BW423-1,"")</f>
        <v/>
      </c>
      <c r="FI422" s="58">
        <f>IFERROR($BX422/$BX423-1,"")</f>
        <v/>
      </c>
      <c r="FJ422" s="59">
        <f>$BY422-$BY423</f>
        <v/>
      </c>
      <c r="FK422" s="59">
        <f>$BZ422-$BZ423</f>
        <v/>
      </c>
      <c r="FL422" s="59">
        <f>$CA422-$CA423</f>
        <v/>
      </c>
      <c r="FM422" s="59">
        <f>$CB422-$CB423</f>
        <v/>
      </c>
      <c r="FN422" s="59">
        <f>$CC422-$CC423</f>
        <v/>
      </c>
      <c r="FO422" s="59">
        <f>$CD422-$CD423</f>
        <v/>
      </c>
      <c r="FP422" s="59">
        <f>$CE422-$CE423</f>
        <v/>
      </c>
      <c r="FQ422" s="59">
        <f>$CF422-$CF423</f>
        <v/>
      </c>
      <c r="FR422" s="59">
        <f>$CG422-$CG423</f>
        <v/>
      </c>
      <c r="FS422" s="59">
        <f>$CH422-$CH423</f>
        <v/>
      </c>
      <c r="FT422" s="59">
        <f>$CI422-$CI423</f>
        <v/>
      </c>
      <c r="FU422" s="59">
        <f>$CJ422-$CJ423</f>
        <v/>
      </c>
      <c r="FV422" s="59">
        <f>$CK422-$CK423</f>
        <v/>
      </c>
      <c r="FW422" s="59">
        <f>$CL422-$CL423</f>
        <v/>
      </c>
      <c r="FX422" s="59">
        <f>$CM422-$CM423</f>
        <v/>
      </c>
      <c r="FY422" s="59">
        <f>$CN422-$CN423</f>
        <v/>
      </c>
      <c r="FZ422" s="59">
        <f>$CO422-$CO423</f>
        <v/>
      </c>
      <c r="GA422" s="59">
        <f>$CP422-$CP423</f>
        <v/>
      </c>
      <c r="GB422" s="59">
        <f>$CQ422-$CQ423</f>
        <v/>
      </c>
      <c r="GC422" s="59">
        <f>$CR422-$CR423</f>
        <v/>
      </c>
      <c r="GD422" s="59">
        <f>$CS422-$CS423</f>
        <v/>
      </c>
      <c r="GE422" s="59">
        <f>$CT422-$CT423</f>
        <v/>
      </c>
    </row>
    <row r="423">
      <c r="CU423" s="58">
        <f>IFERROR($B423/$B424-1,"")</f>
        <v/>
      </c>
      <c r="CV423" s="59">
        <f>($F423-$F424)*100</f>
        <v/>
      </c>
      <c r="CW423" s="59">
        <f>($E423-$E424)*100</f>
        <v/>
      </c>
      <c r="CX423" s="58">
        <f>IFERROR($K423/$K424-1,"")</f>
        <v/>
      </c>
      <c r="CY423" s="59">
        <f>($AH423-$AH424)*100</f>
        <v/>
      </c>
      <c r="CZ423" s="59">
        <f>($AI423-$AI424)*100</f>
        <v/>
      </c>
      <c r="DA423" s="59">
        <f>($AJ423-$AJ424)*100</f>
        <v/>
      </c>
      <c r="DB423" s="59">
        <f>($AK423-$AK424)*100</f>
        <v/>
      </c>
      <c r="DC423" s="59">
        <f>($AL423-$AL424)*100</f>
        <v/>
      </c>
      <c r="DD423" s="59">
        <f>($AM423-$AM424)*100</f>
        <v/>
      </c>
      <c r="DE423" s="59">
        <f>($AN423-$AN424)*100</f>
        <v/>
      </c>
      <c r="DF423" s="59">
        <f>($AO423-$AO424)*100</f>
        <v/>
      </c>
      <c r="DG423" s="59">
        <f>($AP423-$AP424)*100</f>
        <v/>
      </c>
      <c r="DH423" s="59">
        <f>($AQ423-$AQ424)*100</f>
        <v/>
      </c>
      <c r="DI423" s="59">
        <f>($AR423-$AR424)*100</f>
        <v/>
      </c>
      <c r="DJ423" s="59">
        <f>($AS423-$AS424)*100</f>
        <v/>
      </c>
      <c r="DK423" s="59">
        <f>($AT423-$AT424)*100</f>
        <v/>
      </c>
      <c r="DL423" s="59">
        <f>($AU423-$AU424)*100</f>
        <v/>
      </c>
      <c r="DM423" s="59">
        <f>($AV423-$AV424)*100</f>
        <v/>
      </c>
      <c r="DN423" s="59">
        <f>($AW423-$AW424)*100</f>
        <v/>
      </c>
      <c r="DO423" s="59">
        <f>($AX423-$AX424)*100</f>
        <v/>
      </c>
      <c r="DP423" s="59">
        <f>($AY423-$AY424)*100</f>
        <v/>
      </c>
      <c r="DQ423" s="59">
        <f>($AZ423-$AZ424)*100</f>
        <v/>
      </c>
      <c r="DR423" s="59">
        <f>($BA423-$BA424)*100</f>
        <v/>
      </c>
      <c r="DS423" s="58">
        <f>IFERROR($N424/$N423-1,"")</f>
        <v/>
      </c>
      <c r="DT423" s="58">
        <f>IFERROR($O424/$O423-1,"")</f>
        <v/>
      </c>
      <c r="DU423" s="58">
        <f>IFERROR($P424/$P423-1,"")</f>
        <v/>
      </c>
      <c r="DV423" s="58">
        <f>IFERROR($Q424/$Q423-1,"")</f>
        <v/>
      </c>
      <c r="DW423" s="58">
        <f>IFERROR($R424/$R423-1,"")</f>
        <v/>
      </c>
      <c r="DX423" s="58">
        <f>IFERROR($S424/$S423-1,"")</f>
        <v/>
      </c>
      <c r="DY423" s="58">
        <f>IFERROR($T424/$T423-1,"")</f>
        <v/>
      </c>
      <c r="DZ423" s="58">
        <f>IFERROR($U424/$U423-1,"")</f>
        <v/>
      </c>
      <c r="EA423" s="58">
        <f>IFERROR($V424/$V423-1,"")</f>
        <v/>
      </c>
      <c r="EB423" s="58">
        <f>IFERROR($W424/$W423-1,"")</f>
        <v/>
      </c>
      <c r="EC423" s="58">
        <f>IFERROR($X424/$X423-1,"")</f>
        <v/>
      </c>
      <c r="ED423" s="58">
        <f>IFERROR($Y424/$Y423-1,"")</f>
        <v/>
      </c>
      <c r="EE423" s="58">
        <f>IFERROR($Z424/$Z423-1,"")</f>
        <v/>
      </c>
      <c r="EF423" s="58">
        <f>IFERROR($AA424/$AA423-1,"")</f>
        <v/>
      </c>
      <c r="EG423" s="58">
        <f>IFERROR($AB424/$AB423-1,"")</f>
        <v/>
      </c>
      <c r="EH423" s="58">
        <f>IFERROR($AC424/$AC423-1,"")</f>
        <v/>
      </c>
      <c r="EI423" s="58">
        <f>IFERROR($AD424/$AD423-1,"")</f>
        <v/>
      </c>
      <c r="EJ423" s="58">
        <f>IFERROR($AE424/$AE423-1,"")</f>
        <v/>
      </c>
      <c r="EK423" s="58">
        <f>IFERROR($AF424/$AF423-1,"")</f>
        <v/>
      </c>
      <c r="EL423" s="58">
        <f>IFERROR($AG424/$AG423-1,"")</f>
        <v/>
      </c>
      <c r="EM423" s="58">
        <f>IFERROR($BB423/$BB424-1,"")</f>
        <v/>
      </c>
      <c r="EN423" s="58">
        <f>IFERROR($BC423/$BC424-1,"")</f>
        <v/>
      </c>
      <c r="EO423" s="58">
        <f>IFERROR($BD423/$BD424-1,"")</f>
        <v/>
      </c>
      <c r="EP423" s="58">
        <f>IFERROR($BE423/$BE424-1,"")</f>
        <v/>
      </c>
      <c r="EQ423" s="58">
        <f>IFERROR($BF423/$BF424-1,"")</f>
        <v/>
      </c>
      <c r="ER423" s="58">
        <f>IFERROR($BG423/$BG424-1,"")</f>
        <v/>
      </c>
      <c r="ES423" s="58">
        <f>IFERROR($BH423/$BH424-1,"")</f>
        <v/>
      </c>
      <c r="ET423" s="58">
        <f>IFERROR($BI423/$BI424-1,"")</f>
        <v/>
      </c>
      <c r="EU423" s="58">
        <f>IFERROR($BJ423/$BJ424-1,"")</f>
        <v/>
      </c>
      <c r="EV423" s="58">
        <f>IFERROR($BK423/$BK424-1,"")</f>
        <v/>
      </c>
      <c r="EW423" s="58">
        <f>IFERROR($BL423/$BL424-1,"")</f>
        <v/>
      </c>
      <c r="EX423" s="58">
        <f>IFERROR($BM423/$BM424-1,"")</f>
        <v/>
      </c>
      <c r="EY423" s="58">
        <f>IFERROR($BN423/$BN424-1,"")</f>
        <v/>
      </c>
      <c r="EZ423" s="58">
        <f>IFERROR($BO423/$BO424-1,"")</f>
        <v/>
      </c>
      <c r="FA423" s="58">
        <f>IFERROR($BP423/$BP424-1,"")</f>
        <v/>
      </c>
      <c r="FB423" s="58">
        <f>IFERROR($BQ423/$BQ424-1,"")</f>
        <v/>
      </c>
      <c r="FC423" s="58">
        <f>IFERROR($BR423/$BR424-1,"")</f>
        <v/>
      </c>
      <c r="FD423" s="58">
        <f>IFERROR($BS423/$BS424-1,"")</f>
        <v/>
      </c>
      <c r="FE423" s="58">
        <f>IFERROR($BT423/$BT424-1,"")</f>
        <v/>
      </c>
      <c r="FF423" s="58">
        <f>IFERROR($BU423/$BU424-1,"")</f>
        <v/>
      </c>
      <c r="FG423" s="58">
        <f>IFERROR($BV423/$BV424-1,"")</f>
        <v/>
      </c>
      <c r="FH423" s="58">
        <f>IFERROR($BW423/$BW424-1,"")</f>
        <v/>
      </c>
      <c r="FI423" s="58">
        <f>IFERROR($BX423/$BX424-1,"")</f>
        <v/>
      </c>
      <c r="FJ423" s="59">
        <f>$BY423-$BY424</f>
        <v/>
      </c>
      <c r="FK423" s="59">
        <f>$BZ423-$BZ424</f>
        <v/>
      </c>
      <c r="FL423" s="59">
        <f>$CA423-$CA424</f>
        <v/>
      </c>
      <c r="FM423" s="59">
        <f>$CB423-$CB424</f>
        <v/>
      </c>
      <c r="FN423" s="59">
        <f>$CC423-$CC424</f>
        <v/>
      </c>
      <c r="FO423" s="59">
        <f>$CD423-$CD424</f>
        <v/>
      </c>
      <c r="FP423" s="59">
        <f>$CE423-$CE424</f>
        <v/>
      </c>
      <c r="FQ423" s="59">
        <f>$CF423-$CF424</f>
        <v/>
      </c>
      <c r="FR423" s="59">
        <f>$CG423-$CG424</f>
        <v/>
      </c>
      <c r="FS423" s="59">
        <f>$CH423-$CH424</f>
        <v/>
      </c>
      <c r="FT423" s="59">
        <f>$CI423-$CI424</f>
        <v/>
      </c>
      <c r="FU423" s="59">
        <f>$CJ423-$CJ424</f>
        <v/>
      </c>
      <c r="FV423" s="59">
        <f>$CK423-$CK424</f>
        <v/>
      </c>
      <c r="FW423" s="59">
        <f>$CL423-$CL424</f>
        <v/>
      </c>
      <c r="FX423" s="59">
        <f>$CM423-$CM424</f>
        <v/>
      </c>
      <c r="FY423" s="59">
        <f>$CN423-$CN424</f>
        <v/>
      </c>
      <c r="FZ423" s="59">
        <f>$CO423-$CO424</f>
        <v/>
      </c>
      <c r="GA423" s="59">
        <f>$CP423-$CP424</f>
        <v/>
      </c>
      <c r="GB423" s="59">
        <f>$CQ423-$CQ424</f>
        <v/>
      </c>
      <c r="GC423" s="59">
        <f>$CR423-$CR424</f>
        <v/>
      </c>
      <c r="GD423" s="59">
        <f>$CS423-$CS424</f>
        <v/>
      </c>
      <c r="GE423" s="59">
        <f>$CT423-$CT424</f>
        <v/>
      </c>
    </row>
    <row r="424">
      <c r="CU424" s="58">
        <f>IFERROR($B424/$B425-1,"")</f>
        <v/>
      </c>
      <c r="CV424" s="59">
        <f>($F424-$F425)*100</f>
        <v/>
      </c>
      <c r="CW424" s="59">
        <f>($E424-$E425)*100</f>
        <v/>
      </c>
      <c r="CX424" s="58">
        <f>IFERROR($K424/$K425-1,"")</f>
        <v/>
      </c>
      <c r="CY424" s="59">
        <f>($AH424-$AH425)*100</f>
        <v/>
      </c>
      <c r="CZ424" s="59">
        <f>($AI424-$AI425)*100</f>
        <v/>
      </c>
      <c r="DA424" s="59">
        <f>($AJ424-$AJ425)*100</f>
        <v/>
      </c>
      <c r="DB424" s="59">
        <f>($AK424-$AK425)*100</f>
        <v/>
      </c>
      <c r="DC424" s="59">
        <f>($AL424-$AL425)*100</f>
        <v/>
      </c>
      <c r="DD424" s="59">
        <f>($AM424-$AM425)*100</f>
        <v/>
      </c>
      <c r="DE424" s="59">
        <f>($AN424-$AN425)*100</f>
        <v/>
      </c>
      <c r="DF424" s="59">
        <f>($AO424-$AO425)*100</f>
        <v/>
      </c>
      <c r="DG424" s="59">
        <f>($AP424-$AP425)*100</f>
        <v/>
      </c>
      <c r="DH424" s="59">
        <f>($AQ424-$AQ425)*100</f>
        <v/>
      </c>
      <c r="DI424" s="59">
        <f>($AR424-$AR425)*100</f>
        <v/>
      </c>
      <c r="DJ424" s="59">
        <f>($AS424-$AS425)*100</f>
        <v/>
      </c>
      <c r="DK424" s="59">
        <f>($AT424-$AT425)*100</f>
        <v/>
      </c>
      <c r="DL424" s="59">
        <f>($AU424-$AU425)*100</f>
        <v/>
      </c>
      <c r="DM424" s="59">
        <f>($AV424-$AV425)*100</f>
        <v/>
      </c>
      <c r="DN424" s="59">
        <f>($AW424-$AW425)*100</f>
        <v/>
      </c>
      <c r="DO424" s="59">
        <f>($AX424-$AX425)*100</f>
        <v/>
      </c>
      <c r="DP424" s="59">
        <f>($AY424-$AY425)*100</f>
        <v/>
      </c>
      <c r="DQ424" s="59">
        <f>($AZ424-$AZ425)*100</f>
        <v/>
      </c>
      <c r="DR424" s="59">
        <f>($BA424-$BA425)*100</f>
        <v/>
      </c>
      <c r="DS424" s="58">
        <f>IFERROR($N425/$N424-1,"")</f>
        <v/>
      </c>
      <c r="DT424" s="58">
        <f>IFERROR($O425/$O424-1,"")</f>
        <v/>
      </c>
      <c r="DU424" s="58">
        <f>IFERROR($P425/$P424-1,"")</f>
        <v/>
      </c>
      <c r="DV424" s="58">
        <f>IFERROR($Q425/$Q424-1,"")</f>
        <v/>
      </c>
      <c r="DW424" s="58">
        <f>IFERROR($R425/$R424-1,"")</f>
        <v/>
      </c>
      <c r="DX424" s="58">
        <f>IFERROR($S425/$S424-1,"")</f>
        <v/>
      </c>
      <c r="DY424" s="58">
        <f>IFERROR($T425/$T424-1,"")</f>
        <v/>
      </c>
      <c r="DZ424" s="58">
        <f>IFERROR($U425/$U424-1,"")</f>
        <v/>
      </c>
      <c r="EA424" s="58">
        <f>IFERROR($V425/$V424-1,"")</f>
        <v/>
      </c>
      <c r="EB424" s="58">
        <f>IFERROR($W425/$W424-1,"")</f>
        <v/>
      </c>
      <c r="EC424" s="58">
        <f>IFERROR($X425/$X424-1,"")</f>
        <v/>
      </c>
      <c r="ED424" s="58">
        <f>IFERROR($Y425/$Y424-1,"")</f>
        <v/>
      </c>
      <c r="EE424" s="58">
        <f>IFERROR($Z425/$Z424-1,"")</f>
        <v/>
      </c>
      <c r="EF424" s="58">
        <f>IFERROR($AA425/$AA424-1,"")</f>
        <v/>
      </c>
      <c r="EG424" s="58">
        <f>IFERROR($AB425/$AB424-1,"")</f>
        <v/>
      </c>
      <c r="EH424" s="58">
        <f>IFERROR($AC425/$AC424-1,"")</f>
        <v/>
      </c>
      <c r="EI424" s="58">
        <f>IFERROR($AD425/$AD424-1,"")</f>
        <v/>
      </c>
      <c r="EJ424" s="58">
        <f>IFERROR($AE425/$AE424-1,"")</f>
        <v/>
      </c>
      <c r="EK424" s="58">
        <f>IFERROR($AF425/$AF424-1,"")</f>
        <v/>
      </c>
      <c r="EL424" s="58">
        <f>IFERROR($AG425/$AG424-1,"")</f>
        <v/>
      </c>
      <c r="EM424" s="58">
        <f>IFERROR($BB424/$BB425-1,"")</f>
        <v/>
      </c>
      <c r="EN424" s="58">
        <f>IFERROR($BC424/$BC425-1,"")</f>
        <v/>
      </c>
      <c r="EO424" s="58">
        <f>IFERROR($BD424/$BD425-1,"")</f>
        <v/>
      </c>
      <c r="EP424" s="58">
        <f>IFERROR($BE424/$BE425-1,"")</f>
        <v/>
      </c>
      <c r="EQ424" s="58">
        <f>IFERROR($BF424/$BF425-1,"")</f>
        <v/>
      </c>
      <c r="ER424" s="58">
        <f>IFERROR($BG424/$BG425-1,"")</f>
        <v/>
      </c>
      <c r="ES424" s="58">
        <f>IFERROR($BH424/$BH425-1,"")</f>
        <v/>
      </c>
      <c r="ET424" s="58">
        <f>IFERROR($BI424/$BI425-1,"")</f>
        <v/>
      </c>
      <c r="EU424" s="58">
        <f>IFERROR($BJ424/$BJ425-1,"")</f>
        <v/>
      </c>
      <c r="EV424" s="58">
        <f>IFERROR($BK424/$BK425-1,"")</f>
        <v/>
      </c>
      <c r="EW424" s="58">
        <f>IFERROR($BL424/$BL425-1,"")</f>
        <v/>
      </c>
      <c r="EX424" s="58">
        <f>IFERROR($BM424/$BM425-1,"")</f>
        <v/>
      </c>
      <c r="EY424" s="58">
        <f>IFERROR($BN424/$BN425-1,"")</f>
        <v/>
      </c>
      <c r="EZ424" s="58">
        <f>IFERROR($BO424/$BO425-1,"")</f>
        <v/>
      </c>
      <c r="FA424" s="58">
        <f>IFERROR($BP424/$BP425-1,"")</f>
        <v/>
      </c>
      <c r="FB424" s="58">
        <f>IFERROR($BQ424/$BQ425-1,"")</f>
        <v/>
      </c>
      <c r="FC424" s="58">
        <f>IFERROR($BR424/$BR425-1,"")</f>
        <v/>
      </c>
      <c r="FD424" s="58">
        <f>IFERROR($BS424/$BS425-1,"")</f>
        <v/>
      </c>
      <c r="FE424" s="58">
        <f>IFERROR($BT424/$BT425-1,"")</f>
        <v/>
      </c>
      <c r="FF424" s="58">
        <f>IFERROR($BU424/$BU425-1,"")</f>
        <v/>
      </c>
      <c r="FG424" s="58">
        <f>IFERROR($BV424/$BV425-1,"")</f>
        <v/>
      </c>
      <c r="FH424" s="58">
        <f>IFERROR($BW424/$BW425-1,"")</f>
        <v/>
      </c>
      <c r="FI424" s="58">
        <f>IFERROR($BX424/$BX425-1,"")</f>
        <v/>
      </c>
      <c r="FJ424" s="59">
        <f>$BY424-$BY425</f>
        <v/>
      </c>
      <c r="FK424" s="59">
        <f>$BZ424-$BZ425</f>
        <v/>
      </c>
      <c r="FL424" s="59">
        <f>$CA424-$CA425</f>
        <v/>
      </c>
      <c r="FM424" s="59">
        <f>$CB424-$CB425</f>
        <v/>
      </c>
      <c r="FN424" s="59">
        <f>$CC424-$CC425</f>
        <v/>
      </c>
      <c r="FO424" s="59">
        <f>$CD424-$CD425</f>
        <v/>
      </c>
      <c r="FP424" s="59">
        <f>$CE424-$CE425</f>
        <v/>
      </c>
      <c r="FQ424" s="59">
        <f>$CF424-$CF425</f>
        <v/>
      </c>
      <c r="FR424" s="59">
        <f>$CG424-$CG425</f>
        <v/>
      </c>
      <c r="FS424" s="59">
        <f>$CH424-$CH425</f>
        <v/>
      </c>
      <c r="FT424" s="59">
        <f>$CI424-$CI425</f>
        <v/>
      </c>
      <c r="FU424" s="59">
        <f>$CJ424-$CJ425</f>
        <v/>
      </c>
      <c r="FV424" s="59">
        <f>$CK424-$CK425</f>
        <v/>
      </c>
      <c r="FW424" s="59">
        <f>$CL424-$CL425</f>
        <v/>
      </c>
      <c r="FX424" s="59">
        <f>$CM424-$CM425</f>
        <v/>
      </c>
      <c r="FY424" s="59">
        <f>$CN424-$CN425</f>
        <v/>
      </c>
      <c r="FZ424" s="59">
        <f>$CO424-$CO425</f>
        <v/>
      </c>
      <c r="GA424" s="59">
        <f>$CP424-$CP425</f>
        <v/>
      </c>
      <c r="GB424" s="59">
        <f>$CQ424-$CQ425</f>
        <v/>
      </c>
      <c r="GC424" s="59">
        <f>$CR424-$CR425</f>
        <v/>
      </c>
      <c r="GD424" s="59">
        <f>$CS424-$CS425</f>
        <v/>
      </c>
      <c r="GE424" s="59">
        <f>$CT424-$CT425</f>
        <v/>
      </c>
    </row>
    <row r="425">
      <c r="CU425" s="58">
        <f>IFERROR($B425/$B426-1,"")</f>
        <v/>
      </c>
      <c r="CV425" s="59">
        <f>($F425-$F426)*100</f>
        <v/>
      </c>
      <c r="CW425" s="59">
        <f>($E425-$E426)*100</f>
        <v/>
      </c>
      <c r="CX425" s="58">
        <f>IFERROR($K425/$K426-1,"")</f>
        <v/>
      </c>
      <c r="CY425" s="59">
        <f>($AH425-$AH426)*100</f>
        <v/>
      </c>
      <c r="CZ425" s="59">
        <f>($AI425-$AI426)*100</f>
        <v/>
      </c>
      <c r="DA425" s="59">
        <f>($AJ425-$AJ426)*100</f>
        <v/>
      </c>
      <c r="DB425" s="59">
        <f>($AK425-$AK426)*100</f>
        <v/>
      </c>
      <c r="DC425" s="59">
        <f>($AL425-$AL426)*100</f>
        <v/>
      </c>
      <c r="DD425" s="59">
        <f>($AM425-$AM426)*100</f>
        <v/>
      </c>
      <c r="DE425" s="59">
        <f>($AN425-$AN426)*100</f>
        <v/>
      </c>
      <c r="DF425" s="59">
        <f>($AO425-$AO426)*100</f>
        <v/>
      </c>
      <c r="DG425" s="59">
        <f>($AP425-$AP426)*100</f>
        <v/>
      </c>
      <c r="DH425" s="59">
        <f>($AQ425-$AQ426)*100</f>
        <v/>
      </c>
      <c r="DI425" s="59">
        <f>($AR425-$AR426)*100</f>
        <v/>
      </c>
      <c r="DJ425" s="59">
        <f>($AS425-$AS426)*100</f>
        <v/>
      </c>
      <c r="DK425" s="59">
        <f>($AT425-$AT426)*100</f>
        <v/>
      </c>
      <c r="DL425" s="59">
        <f>($AU425-$AU426)*100</f>
        <v/>
      </c>
      <c r="DM425" s="59">
        <f>($AV425-$AV426)*100</f>
        <v/>
      </c>
      <c r="DN425" s="59">
        <f>($AW425-$AW426)*100</f>
        <v/>
      </c>
      <c r="DO425" s="59">
        <f>($AX425-$AX426)*100</f>
        <v/>
      </c>
      <c r="DP425" s="59">
        <f>($AY425-$AY426)*100</f>
        <v/>
      </c>
      <c r="DQ425" s="59">
        <f>($AZ425-$AZ426)*100</f>
        <v/>
      </c>
      <c r="DR425" s="59">
        <f>($BA425-$BA426)*100</f>
        <v/>
      </c>
      <c r="DS425" s="58">
        <f>IFERROR($N426/$N425-1,"")</f>
        <v/>
      </c>
      <c r="DT425" s="58">
        <f>IFERROR($O426/$O425-1,"")</f>
        <v/>
      </c>
      <c r="DU425" s="58">
        <f>IFERROR($P426/$P425-1,"")</f>
        <v/>
      </c>
      <c r="DV425" s="58">
        <f>IFERROR($Q426/$Q425-1,"")</f>
        <v/>
      </c>
      <c r="DW425" s="58">
        <f>IFERROR($R426/$R425-1,"")</f>
        <v/>
      </c>
      <c r="DX425" s="58">
        <f>IFERROR($S426/$S425-1,"")</f>
        <v/>
      </c>
      <c r="DY425" s="58">
        <f>IFERROR($T426/$T425-1,"")</f>
        <v/>
      </c>
      <c r="DZ425" s="58">
        <f>IFERROR($U426/$U425-1,"")</f>
        <v/>
      </c>
      <c r="EA425" s="58">
        <f>IFERROR($V426/$V425-1,"")</f>
        <v/>
      </c>
      <c r="EB425" s="58">
        <f>IFERROR($W426/$W425-1,"")</f>
        <v/>
      </c>
      <c r="EC425" s="58">
        <f>IFERROR($X426/$X425-1,"")</f>
        <v/>
      </c>
      <c r="ED425" s="58">
        <f>IFERROR($Y426/$Y425-1,"")</f>
        <v/>
      </c>
      <c r="EE425" s="58">
        <f>IFERROR($Z426/$Z425-1,"")</f>
        <v/>
      </c>
      <c r="EF425" s="58">
        <f>IFERROR($AA426/$AA425-1,"")</f>
        <v/>
      </c>
      <c r="EG425" s="58">
        <f>IFERROR($AB426/$AB425-1,"")</f>
        <v/>
      </c>
      <c r="EH425" s="58">
        <f>IFERROR($AC426/$AC425-1,"")</f>
        <v/>
      </c>
      <c r="EI425" s="58">
        <f>IFERROR($AD426/$AD425-1,"")</f>
        <v/>
      </c>
      <c r="EJ425" s="58">
        <f>IFERROR($AE426/$AE425-1,"")</f>
        <v/>
      </c>
      <c r="EK425" s="58">
        <f>IFERROR($AF426/$AF425-1,"")</f>
        <v/>
      </c>
      <c r="EL425" s="58">
        <f>IFERROR($AG426/$AG425-1,"")</f>
        <v/>
      </c>
      <c r="EM425" s="58">
        <f>IFERROR($BB425/$BB426-1,"")</f>
        <v/>
      </c>
      <c r="EN425" s="58">
        <f>IFERROR($BC425/$BC426-1,"")</f>
        <v/>
      </c>
      <c r="EO425" s="58">
        <f>IFERROR($BD425/$BD426-1,"")</f>
        <v/>
      </c>
      <c r="EP425" s="58">
        <f>IFERROR($BE425/$BE426-1,"")</f>
        <v/>
      </c>
      <c r="EQ425" s="58">
        <f>IFERROR($BF425/$BF426-1,"")</f>
        <v/>
      </c>
      <c r="ER425" s="58">
        <f>IFERROR($BG425/$BG426-1,"")</f>
        <v/>
      </c>
      <c r="ES425" s="58">
        <f>IFERROR($BH425/$BH426-1,"")</f>
        <v/>
      </c>
      <c r="ET425" s="58">
        <f>IFERROR($BI425/$BI426-1,"")</f>
        <v/>
      </c>
      <c r="EU425" s="58">
        <f>IFERROR($BJ425/$BJ426-1,"")</f>
        <v/>
      </c>
      <c r="EV425" s="58">
        <f>IFERROR($BK425/$BK426-1,"")</f>
        <v/>
      </c>
      <c r="EW425" s="58">
        <f>IFERROR($BL425/$BL426-1,"")</f>
        <v/>
      </c>
      <c r="EX425" s="58">
        <f>IFERROR($BM425/$BM426-1,"")</f>
        <v/>
      </c>
      <c r="EY425" s="58">
        <f>IFERROR($BN425/$BN426-1,"")</f>
        <v/>
      </c>
      <c r="EZ425" s="58">
        <f>IFERROR($BO425/$BO426-1,"")</f>
        <v/>
      </c>
      <c r="FA425" s="58">
        <f>IFERROR($BP425/$BP426-1,"")</f>
        <v/>
      </c>
      <c r="FB425" s="58">
        <f>IFERROR($BQ425/$BQ426-1,"")</f>
        <v/>
      </c>
      <c r="FC425" s="58">
        <f>IFERROR($BR425/$BR426-1,"")</f>
        <v/>
      </c>
      <c r="FD425" s="58">
        <f>IFERROR($BS425/$BS426-1,"")</f>
        <v/>
      </c>
      <c r="FE425" s="58">
        <f>IFERROR($BT425/$BT426-1,"")</f>
        <v/>
      </c>
      <c r="FF425" s="58">
        <f>IFERROR($BU425/$BU426-1,"")</f>
        <v/>
      </c>
      <c r="FG425" s="58">
        <f>IFERROR($BV425/$BV426-1,"")</f>
        <v/>
      </c>
      <c r="FH425" s="58">
        <f>IFERROR($BW425/$BW426-1,"")</f>
        <v/>
      </c>
      <c r="FI425" s="58">
        <f>IFERROR($BX425/$BX426-1,"")</f>
        <v/>
      </c>
      <c r="FJ425" s="59">
        <f>$BY425-$BY426</f>
        <v/>
      </c>
      <c r="FK425" s="59">
        <f>$BZ425-$BZ426</f>
        <v/>
      </c>
      <c r="FL425" s="59">
        <f>$CA425-$CA426</f>
        <v/>
      </c>
      <c r="FM425" s="59">
        <f>$CB425-$CB426</f>
        <v/>
      </c>
      <c r="FN425" s="59">
        <f>$CC425-$CC426</f>
        <v/>
      </c>
      <c r="FO425" s="59">
        <f>$CD425-$CD426</f>
        <v/>
      </c>
      <c r="FP425" s="59">
        <f>$CE425-$CE426</f>
        <v/>
      </c>
      <c r="FQ425" s="59">
        <f>$CF425-$CF426</f>
        <v/>
      </c>
      <c r="FR425" s="59">
        <f>$CG425-$CG426</f>
        <v/>
      </c>
      <c r="FS425" s="59">
        <f>$CH425-$CH426</f>
        <v/>
      </c>
      <c r="FT425" s="59">
        <f>$CI425-$CI426</f>
        <v/>
      </c>
      <c r="FU425" s="59">
        <f>$CJ425-$CJ426</f>
        <v/>
      </c>
      <c r="FV425" s="59">
        <f>$CK425-$CK426</f>
        <v/>
      </c>
      <c r="FW425" s="59">
        <f>$CL425-$CL426</f>
        <v/>
      </c>
      <c r="FX425" s="59">
        <f>$CM425-$CM426</f>
        <v/>
      </c>
      <c r="FY425" s="59">
        <f>$CN425-$CN426</f>
        <v/>
      </c>
      <c r="FZ425" s="59">
        <f>$CO425-$CO426</f>
        <v/>
      </c>
      <c r="GA425" s="59">
        <f>$CP425-$CP426</f>
        <v/>
      </c>
      <c r="GB425" s="59">
        <f>$CQ425-$CQ426</f>
        <v/>
      </c>
      <c r="GC425" s="59">
        <f>$CR425-$CR426</f>
        <v/>
      </c>
      <c r="GD425" s="59">
        <f>$CS425-$CS426</f>
        <v/>
      </c>
      <c r="GE425" s="59">
        <f>$CT425-$CT426</f>
        <v/>
      </c>
    </row>
    <row r="426">
      <c r="CU426" s="58">
        <f>IFERROR($B426/$B427-1,"")</f>
        <v/>
      </c>
      <c r="CV426" s="59">
        <f>($F426-$F427)*100</f>
        <v/>
      </c>
      <c r="CW426" s="59">
        <f>($E426-$E427)*100</f>
        <v/>
      </c>
      <c r="CX426" s="58">
        <f>IFERROR($K426/$K427-1,"")</f>
        <v/>
      </c>
      <c r="CY426" s="59">
        <f>($AH426-$AH427)*100</f>
        <v/>
      </c>
      <c r="CZ426" s="59">
        <f>($AI426-$AI427)*100</f>
        <v/>
      </c>
      <c r="DA426" s="59">
        <f>($AJ426-$AJ427)*100</f>
        <v/>
      </c>
      <c r="DB426" s="59">
        <f>($AK426-$AK427)*100</f>
        <v/>
      </c>
      <c r="DC426" s="59">
        <f>($AL426-$AL427)*100</f>
        <v/>
      </c>
      <c r="DD426" s="59">
        <f>($AM426-$AM427)*100</f>
        <v/>
      </c>
      <c r="DE426" s="59">
        <f>($AN426-$AN427)*100</f>
        <v/>
      </c>
      <c r="DF426" s="59">
        <f>($AO426-$AO427)*100</f>
        <v/>
      </c>
      <c r="DG426" s="59">
        <f>($AP426-$AP427)*100</f>
        <v/>
      </c>
      <c r="DH426" s="59">
        <f>($AQ426-$AQ427)*100</f>
        <v/>
      </c>
      <c r="DI426" s="59">
        <f>($AR426-$AR427)*100</f>
        <v/>
      </c>
      <c r="DJ426" s="59">
        <f>($AS426-$AS427)*100</f>
        <v/>
      </c>
      <c r="DK426" s="59">
        <f>($AT426-$AT427)*100</f>
        <v/>
      </c>
      <c r="DL426" s="59">
        <f>($AU426-$AU427)*100</f>
        <v/>
      </c>
      <c r="DM426" s="59">
        <f>($AV426-$AV427)*100</f>
        <v/>
      </c>
      <c r="DN426" s="59">
        <f>($AW426-$AW427)*100</f>
        <v/>
      </c>
      <c r="DO426" s="59">
        <f>($AX426-$AX427)*100</f>
        <v/>
      </c>
      <c r="DP426" s="59">
        <f>($AY426-$AY427)*100</f>
        <v/>
      </c>
      <c r="DQ426" s="59">
        <f>($AZ426-$AZ427)*100</f>
        <v/>
      </c>
      <c r="DR426" s="59">
        <f>($BA426-$BA427)*100</f>
        <v/>
      </c>
      <c r="DS426" s="58">
        <f>IFERROR($N427/$N426-1,"")</f>
        <v/>
      </c>
      <c r="DT426" s="58">
        <f>IFERROR($O427/$O426-1,"")</f>
        <v/>
      </c>
      <c r="DU426" s="58">
        <f>IFERROR($P427/$P426-1,"")</f>
        <v/>
      </c>
      <c r="DV426" s="58">
        <f>IFERROR($Q427/$Q426-1,"")</f>
        <v/>
      </c>
      <c r="DW426" s="58">
        <f>IFERROR($R427/$R426-1,"")</f>
        <v/>
      </c>
      <c r="DX426" s="58">
        <f>IFERROR($S427/$S426-1,"")</f>
        <v/>
      </c>
      <c r="DY426" s="58">
        <f>IFERROR($T427/$T426-1,"")</f>
        <v/>
      </c>
      <c r="DZ426" s="58">
        <f>IFERROR($U427/$U426-1,"")</f>
        <v/>
      </c>
      <c r="EA426" s="58">
        <f>IFERROR($V427/$V426-1,"")</f>
        <v/>
      </c>
      <c r="EB426" s="58">
        <f>IFERROR($W427/$W426-1,"")</f>
        <v/>
      </c>
      <c r="EC426" s="58">
        <f>IFERROR($X427/$X426-1,"")</f>
        <v/>
      </c>
      <c r="ED426" s="58">
        <f>IFERROR($Y427/$Y426-1,"")</f>
        <v/>
      </c>
      <c r="EE426" s="58">
        <f>IFERROR($Z427/$Z426-1,"")</f>
        <v/>
      </c>
      <c r="EF426" s="58">
        <f>IFERROR($AA427/$AA426-1,"")</f>
        <v/>
      </c>
      <c r="EG426" s="58">
        <f>IFERROR($AB427/$AB426-1,"")</f>
        <v/>
      </c>
      <c r="EH426" s="58">
        <f>IFERROR($AC427/$AC426-1,"")</f>
        <v/>
      </c>
      <c r="EI426" s="58">
        <f>IFERROR($AD427/$AD426-1,"")</f>
        <v/>
      </c>
      <c r="EJ426" s="58">
        <f>IFERROR($AE427/$AE426-1,"")</f>
        <v/>
      </c>
      <c r="EK426" s="58">
        <f>IFERROR($AF427/$AF426-1,"")</f>
        <v/>
      </c>
      <c r="EL426" s="58">
        <f>IFERROR($AG427/$AG426-1,"")</f>
        <v/>
      </c>
      <c r="EM426" s="58">
        <f>IFERROR($BB426/$BB427-1,"")</f>
        <v/>
      </c>
      <c r="EN426" s="58">
        <f>IFERROR($BC426/$BC427-1,"")</f>
        <v/>
      </c>
      <c r="EO426" s="58">
        <f>IFERROR($BD426/$BD427-1,"")</f>
        <v/>
      </c>
      <c r="EP426" s="58">
        <f>IFERROR($BE426/$BE427-1,"")</f>
        <v/>
      </c>
      <c r="EQ426" s="58">
        <f>IFERROR($BF426/$BF427-1,"")</f>
        <v/>
      </c>
      <c r="ER426" s="58">
        <f>IFERROR($BG426/$BG427-1,"")</f>
        <v/>
      </c>
      <c r="ES426" s="58">
        <f>IFERROR($BH426/$BH427-1,"")</f>
        <v/>
      </c>
      <c r="ET426" s="58">
        <f>IFERROR($BI426/$BI427-1,"")</f>
        <v/>
      </c>
      <c r="EU426" s="58">
        <f>IFERROR($BJ426/$BJ427-1,"")</f>
        <v/>
      </c>
      <c r="EV426" s="58">
        <f>IFERROR($BK426/$BK427-1,"")</f>
        <v/>
      </c>
      <c r="EW426" s="58">
        <f>IFERROR($BL426/$BL427-1,"")</f>
        <v/>
      </c>
      <c r="EX426" s="58">
        <f>IFERROR($BM426/$BM427-1,"")</f>
        <v/>
      </c>
      <c r="EY426" s="58">
        <f>IFERROR($BN426/$BN427-1,"")</f>
        <v/>
      </c>
      <c r="EZ426" s="58">
        <f>IFERROR($BO426/$BO427-1,"")</f>
        <v/>
      </c>
      <c r="FA426" s="58">
        <f>IFERROR($BP426/$BP427-1,"")</f>
        <v/>
      </c>
      <c r="FB426" s="58">
        <f>IFERROR($BQ426/$BQ427-1,"")</f>
        <v/>
      </c>
      <c r="FC426" s="58">
        <f>IFERROR($BR426/$BR427-1,"")</f>
        <v/>
      </c>
      <c r="FD426" s="58">
        <f>IFERROR($BS426/$BS427-1,"")</f>
        <v/>
      </c>
      <c r="FE426" s="58">
        <f>IFERROR($BT426/$BT427-1,"")</f>
        <v/>
      </c>
      <c r="FF426" s="58">
        <f>IFERROR($BU426/$BU427-1,"")</f>
        <v/>
      </c>
      <c r="FG426" s="58">
        <f>IFERROR($BV426/$BV427-1,"")</f>
        <v/>
      </c>
      <c r="FH426" s="58">
        <f>IFERROR($BW426/$BW427-1,"")</f>
        <v/>
      </c>
      <c r="FI426" s="58">
        <f>IFERROR($BX426/$BX427-1,"")</f>
        <v/>
      </c>
      <c r="FJ426" s="59">
        <f>$BY426-$BY427</f>
        <v/>
      </c>
      <c r="FK426" s="59">
        <f>$BZ426-$BZ427</f>
        <v/>
      </c>
      <c r="FL426" s="59">
        <f>$CA426-$CA427</f>
        <v/>
      </c>
      <c r="FM426" s="59">
        <f>$CB426-$CB427</f>
        <v/>
      </c>
      <c r="FN426" s="59">
        <f>$CC426-$CC427</f>
        <v/>
      </c>
      <c r="FO426" s="59">
        <f>$CD426-$CD427</f>
        <v/>
      </c>
      <c r="FP426" s="59">
        <f>$CE426-$CE427</f>
        <v/>
      </c>
      <c r="FQ426" s="59">
        <f>$CF426-$CF427</f>
        <v/>
      </c>
      <c r="FR426" s="59">
        <f>$CG426-$CG427</f>
        <v/>
      </c>
      <c r="FS426" s="59">
        <f>$CH426-$CH427</f>
        <v/>
      </c>
      <c r="FT426" s="59">
        <f>$CI426-$CI427</f>
        <v/>
      </c>
      <c r="FU426" s="59">
        <f>$CJ426-$CJ427</f>
        <v/>
      </c>
      <c r="FV426" s="59">
        <f>$CK426-$CK427</f>
        <v/>
      </c>
      <c r="FW426" s="59">
        <f>$CL426-$CL427</f>
        <v/>
      </c>
      <c r="FX426" s="59">
        <f>$CM426-$CM427</f>
        <v/>
      </c>
      <c r="FY426" s="59">
        <f>$CN426-$CN427</f>
        <v/>
      </c>
      <c r="FZ426" s="59">
        <f>$CO426-$CO427</f>
        <v/>
      </c>
      <c r="GA426" s="59">
        <f>$CP426-$CP427</f>
        <v/>
      </c>
      <c r="GB426" s="59">
        <f>$CQ426-$CQ427</f>
        <v/>
      </c>
      <c r="GC426" s="59">
        <f>$CR426-$CR427</f>
        <v/>
      </c>
      <c r="GD426" s="59">
        <f>$CS426-$CS427</f>
        <v/>
      </c>
      <c r="GE426" s="59">
        <f>$CT426-$CT427</f>
        <v/>
      </c>
    </row>
    <row r="427">
      <c r="CU427" s="58">
        <f>IFERROR($B427/$B428-1,"")</f>
        <v/>
      </c>
      <c r="CV427" s="59">
        <f>($F427-$F428)*100</f>
        <v/>
      </c>
      <c r="CW427" s="59">
        <f>($E427-$E428)*100</f>
        <v/>
      </c>
      <c r="CX427" s="58">
        <f>IFERROR($K427/$K428-1,"")</f>
        <v/>
      </c>
      <c r="CY427" s="59">
        <f>($AH427-$AH428)*100</f>
        <v/>
      </c>
      <c r="CZ427" s="59">
        <f>($AI427-$AI428)*100</f>
        <v/>
      </c>
      <c r="DA427" s="59">
        <f>($AJ427-$AJ428)*100</f>
        <v/>
      </c>
      <c r="DB427" s="59">
        <f>($AK427-$AK428)*100</f>
        <v/>
      </c>
      <c r="DC427" s="59">
        <f>($AL427-$AL428)*100</f>
        <v/>
      </c>
      <c r="DD427" s="59">
        <f>($AM427-$AM428)*100</f>
        <v/>
      </c>
      <c r="DE427" s="59">
        <f>($AN427-$AN428)*100</f>
        <v/>
      </c>
      <c r="DF427" s="59">
        <f>($AO427-$AO428)*100</f>
        <v/>
      </c>
      <c r="DG427" s="59">
        <f>($AP427-$AP428)*100</f>
        <v/>
      </c>
      <c r="DH427" s="59">
        <f>($AQ427-$AQ428)*100</f>
        <v/>
      </c>
      <c r="DI427" s="59">
        <f>($AR427-$AR428)*100</f>
        <v/>
      </c>
      <c r="DJ427" s="59">
        <f>($AS427-$AS428)*100</f>
        <v/>
      </c>
      <c r="DK427" s="59">
        <f>($AT427-$AT428)*100</f>
        <v/>
      </c>
      <c r="DL427" s="59">
        <f>($AU427-$AU428)*100</f>
        <v/>
      </c>
      <c r="DM427" s="59">
        <f>($AV427-$AV428)*100</f>
        <v/>
      </c>
      <c r="DN427" s="59">
        <f>($AW427-$AW428)*100</f>
        <v/>
      </c>
      <c r="DO427" s="59">
        <f>($AX427-$AX428)*100</f>
        <v/>
      </c>
      <c r="DP427" s="59">
        <f>($AY427-$AY428)*100</f>
        <v/>
      </c>
      <c r="DQ427" s="59">
        <f>($AZ427-$AZ428)*100</f>
        <v/>
      </c>
      <c r="DR427" s="59">
        <f>($BA427-$BA428)*100</f>
        <v/>
      </c>
      <c r="DS427" s="58">
        <f>IFERROR($N428/$N427-1,"")</f>
        <v/>
      </c>
      <c r="DT427" s="58">
        <f>IFERROR($O428/$O427-1,"")</f>
        <v/>
      </c>
      <c r="DU427" s="58">
        <f>IFERROR($P428/$P427-1,"")</f>
        <v/>
      </c>
      <c r="DV427" s="58">
        <f>IFERROR($Q428/$Q427-1,"")</f>
        <v/>
      </c>
      <c r="DW427" s="58">
        <f>IFERROR($R428/$R427-1,"")</f>
        <v/>
      </c>
      <c r="DX427" s="58">
        <f>IFERROR($S428/$S427-1,"")</f>
        <v/>
      </c>
      <c r="DY427" s="58">
        <f>IFERROR($T428/$T427-1,"")</f>
        <v/>
      </c>
      <c r="DZ427" s="58">
        <f>IFERROR($U428/$U427-1,"")</f>
        <v/>
      </c>
      <c r="EA427" s="58">
        <f>IFERROR($V428/$V427-1,"")</f>
        <v/>
      </c>
      <c r="EB427" s="58">
        <f>IFERROR($W428/$W427-1,"")</f>
        <v/>
      </c>
      <c r="EC427" s="58">
        <f>IFERROR($X428/$X427-1,"")</f>
        <v/>
      </c>
      <c r="ED427" s="58">
        <f>IFERROR($Y428/$Y427-1,"")</f>
        <v/>
      </c>
      <c r="EE427" s="58">
        <f>IFERROR($Z428/$Z427-1,"")</f>
        <v/>
      </c>
      <c r="EF427" s="58">
        <f>IFERROR($AA428/$AA427-1,"")</f>
        <v/>
      </c>
      <c r="EG427" s="58">
        <f>IFERROR($AB428/$AB427-1,"")</f>
        <v/>
      </c>
      <c r="EH427" s="58">
        <f>IFERROR($AC428/$AC427-1,"")</f>
        <v/>
      </c>
      <c r="EI427" s="58">
        <f>IFERROR($AD428/$AD427-1,"")</f>
        <v/>
      </c>
      <c r="EJ427" s="58">
        <f>IFERROR($AE428/$AE427-1,"")</f>
        <v/>
      </c>
      <c r="EK427" s="58">
        <f>IFERROR($AF428/$AF427-1,"")</f>
        <v/>
      </c>
      <c r="EL427" s="58">
        <f>IFERROR($AG428/$AG427-1,"")</f>
        <v/>
      </c>
      <c r="EM427" s="58">
        <f>IFERROR($BB427/$BB428-1,"")</f>
        <v/>
      </c>
      <c r="EN427" s="58">
        <f>IFERROR($BC427/$BC428-1,"")</f>
        <v/>
      </c>
      <c r="EO427" s="58">
        <f>IFERROR($BD427/$BD428-1,"")</f>
        <v/>
      </c>
      <c r="EP427" s="58">
        <f>IFERROR($BE427/$BE428-1,"")</f>
        <v/>
      </c>
      <c r="EQ427" s="58">
        <f>IFERROR($BF427/$BF428-1,"")</f>
        <v/>
      </c>
      <c r="ER427" s="58">
        <f>IFERROR($BG427/$BG428-1,"")</f>
        <v/>
      </c>
      <c r="ES427" s="58">
        <f>IFERROR($BH427/$BH428-1,"")</f>
        <v/>
      </c>
      <c r="ET427" s="58">
        <f>IFERROR($BI427/$BI428-1,"")</f>
        <v/>
      </c>
      <c r="EU427" s="58">
        <f>IFERROR($BJ427/$BJ428-1,"")</f>
        <v/>
      </c>
      <c r="EV427" s="58">
        <f>IFERROR($BK427/$BK428-1,"")</f>
        <v/>
      </c>
      <c r="EW427" s="58">
        <f>IFERROR($BL427/$BL428-1,"")</f>
        <v/>
      </c>
      <c r="EX427" s="58">
        <f>IFERROR($BM427/$BM428-1,"")</f>
        <v/>
      </c>
      <c r="EY427" s="58">
        <f>IFERROR($BN427/$BN428-1,"")</f>
        <v/>
      </c>
      <c r="EZ427" s="58">
        <f>IFERROR($BO427/$BO428-1,"")</f>
        <v/>
      </c>
      <c r="FA427" s="58">
        <f>IFERROR($BP427/$BP428-1,"")</f>
        <v/>
      </c>
      <c r="FB427" s="58">
        <f>IFERROR($BQ427/$BQ428-1,"")</f>
        <v/>
      </c>
      <c r="FC427" s="58">
        <f>IFERROR($BR427/$BR428-1,"")</f>
        <v/>
      </c>
      <c r="FD427" s="58">
        <f>IFERROR($BS427/$BS428-1,"")</f>
        <v/>
      </c>
      <c r="FE427" s="58">
        <f>IFERROR($BT427/$BT428-1,"")</f>
        <v/>
      </c>
      <c r="FF427" s="58">
        <f>IFERROR($BU427/$BU428-1,"")</f>
        <v/>
      </c>
      <c r="FG427" s="58">
        <f>IFERROR($BV427/$BV428-1,"")</f>
        <v/>
      </c>
      <c r="FH427" s="58">
        <f>IFERROR($BW427/$BW428-1,"")</f>
        <v/>
      </c>
      <c r="FI427" s="58">
        <f>IFERROR($BX427/$BX428-1,"")</f>
        <v/>
      </c>
      <c r="FJ427" s="59">
        <f>$BY427-$BY428</f>
        <v/>
      </c>
      <c r="FK427" s="59">
        <f>$BZ427-$BZ428</f>
        <v/>
      </c>
      <c r="FL427" s="59">
        <f>$CA427-$CA428</f>
        <v/>
      </c>
      <c r="FM427" s="59">
        <f>$CB427-$CB428</f>
        <v/>
      </c>
      <c r="FN427" s="59">
        <f>$CC427-$CC428</f>
        <v/>
      </c>
      <c r="FO427" s="59">
        <f>$CD427-$CD428</f>
        <v/>
      </c>
      <c r="FP427" s="59">
        <f>$CE427-$CE428</f>
        <v/>
      </c>
      <c r="FQ427" s="59">
        <f>$CF427-$CF428</f>
        <v/>
      </c>
      <c r="FR427" s="59">
        <f>$CG427-$CG428</f>
        <v/>
      </c>
      <c r="FS427" s="59">
        <f>$CH427-$CH428</f>
        <v/>
      </c>
      <c r="FT427" s="59">
        <f>$CI427-$CI428</f>
        <v/>
      </c>
      <c r="FU427" s="59">
        <f>$CJ427-$CJ428</f>
        <v/>
      </c>
      <c r="FV427" s="59">
        <f>$CK427-$CK428</f>
        <v/>
      </c>
      <c r="FW427" s="59">
        <f>$CL427-$CL428</f>
        <v/>
      </c>
      <c r="FX427" s="59">
        <f>$CM427-$CM428</f>
        <v/>
      </c>
      <c r="FY427" s="59">
        <f>$CN427-$CN428</f>
        <v/>
      </c>
      <c r="FZ427" s="59">
        <f>$CO427-$CO428</f>
        <v/>
      </c>
      <c r="GA427" s="59">
        <f>$CP427-$CP428</f>
        <v/>
      </c>
      <c r="GB427" s="59">
        <f>$CQ427-$CQ428</f>
        <v/>
      </c>
      <c r="GC427" s="59">
        <f>$CR427-$CR428</f>
        <v/>
      </c>
      <c r="GD427" s="59">
        <f>$CS427-$CS428</f>
        <v/>
      </c>
      <c r="GE427" s="59">
        <f>$CT427-$CT428</f>
        <v/>
      </c>
    </row>
    <row r="428">
      <c r="CU428" s="58">
        <f>IFERROR($B428/$B429-1,"")</f>
        <v/>
      </c>
      <c r="CV428" s="59">
        <f>($F428-$F429)*100</f>
        <v/>
      </c>
      <c r="CW428" s="59">
        <f>($E428-$E429)*100</f>
        <v/>
      </c>
      <c r="CX428" s="58">
        <f>IFERROR($K428/$K429-1,"")</f>
        <v/>
      </c>
      <c r="CY428" s="59">
        <f>($AH428-$AH429)*100</f>
        <v/>
      </c>
      <c r="CZ428" s="59">
        <f>($AI428-$AI429)*100</f>
        <v/>
      </c>
      <c r="DA428" s="59">
        <f>($AJ428-$AJ429)*100</f>
        <v/>
      </c>
      <c r="DB428" s="59">
        <f>($AK428-$AK429)*100</f>
        <v/>
      </c>
      <c r="DC428" s="59">
        <f>($AL428-$AL429)*100</f>
        <v/>
      </c>
      <c r="DD428" s="59">
        <f>($AM428-$AM429)*100</f>
        <v/>
      </c>
      <c r="DE428" s="59">
        <f>($AN428-$AN429)*100</f>
        <v/>
      </c>
      <c r="DF428" s="59">
        <f>($AO428-$AO429)*100</f>
        <v/>
      </c>
      <c r="DG428" s="59">
        <f>($AP428-$AP429)*100</f>
        <v/>
      </c>
      <c r="DH428" s="59">
        <f>($AQ428-$AQ429)*100</f>
        <v/>
      </c>
      <c r="DI428" s="59">
        <f>($AR428-$AR429)*100</f>
        <v/>
      </c>
      <c r="DJ428" s="59">
        <f>($AS428-$AS429)*100</f>
        <v/>
      </c>
      <c r="DK428" s="59">
        <f>($AT428-$AT429)*100</f>
        <v/>
      </c>
      <c r="DL428" s="59">
        <f>($AU428-$AU429)*100</f>
        <v/>
      </c>
      <c r="DM428" s="59">
        <f>($AV428-$AV429)*100</f>
        <v/>
      </c>
      <c r="DN428" s="59">
        <f>($AW428-$AW429)*100</f>
        <v/>
      </c>
      <c r="DO428" s="59">
        <f>($AX428-$AX429)*100</f>
        <v/>
      </c>
      <c r="DP428" s="59">
        <f>($AY428-$AY429)*100</f>
        <v/>
      </c>
      <c r="DQ428" s="59">
        <f>($AZ428-$AZ429)*100</f>
        <v/>
      </c>
      <c r="DR428" s="59">
        <f>($BA428-$BA429)*100</f>
        <v/>
      </c>
      <c r="DS428" s="58">
        <f>IFERROR($N429/$N428-1,"")</f>
        <v/>
      </c>
      <c r="DT428" s="58">
        <f>IFERROR($O429/$O428-1,"")</f>
        <v/>
      </c>
      <c r="DU428" s="58">
        <f>IFERROR($P429/$P428-1,"")</f>
        <v/>
      </c>
      <c r="DV428" s="58">
        <f>IFERROR($Q429/$Q428-1,"")</f>
        <v/>
      </c>
      <c r="DW428" s="58">
        <f>IFERROR($R429/$R428-1,"")</f>
        <v/>
      </c>
      <c r="DX428" s="58">
        <f>IFERROR($S429/$S428-1,"")</f>
        <v/>
      </c>
      <c r="DY428" s="58">
        <f>IFERROR($T429/$T428-1,"")</f>
        <v/>
      </c>
      <c r="DZ428" s="58">
        <f>IFERROR($U429/$U428-1,"")</f>
        <v/>
      </c>
      <c r="EA428" s="58">
        <f>IFERROR($V429/$V428-1,"")</f>
        <v/>
      </c>
      <c r="EB428" s="58">
        <f>IFERROR($W429/$W428-1,"")</f>
        <v/>
      </c>
      <c r="EC428" s="58">
        <f>IFERROR($X429/$X428-1,"")</f>
        <v/>
      </c>
      <c r="ED428" s="58">
        <f>IFERROR($Y429/$Y428-1,"")</f>
        <v/>
      </c>
      <c r="EE428" s="58">
        <f>IFERROR($Z429/$Z428-1,"")</f>
        <v/>
      </c>
      <c r="EF428" s="58">
        <f>IFERROR($AA429/$AA428-1,"")</f>
        <v/>
      </c>
      <c r="EG428" s="58">
        <f>IFERROR($AB429/$AB428-1,"")</f>
        <v/>
      </c>
      <c r="EH428" s="58">
        <f>IFERROR($AC429/$AC428-1,"")</f>
        <v/>
      </c>
      <c r="EI428" s="58">
        <f>IFERROR($AD429/$AD428-1,"")</f>
        <v/>
      </c>
      <c r="EJ428" s="58">
        <f>IFERROR($AE429/$AE428-1,"")</f>
        <v/>
      </c>
      <c r="EK428" s="58">
        <f>IFERROR($AF429/$AF428-1,"")</f>
        <v/>
      </c>
      <c r="EL428" s="58">
        <f>IFERROR($AG429/$AG428-1,"")</f>
        <v/>
      </c>
      <c r="EM428" s="58">
        <f>IFERROR($BB428/$BB429-1,"")</f>
        <v/>
      </c>
      <c r="EN428" s="58">
        <f>IFERROR($BC428/$BC429-1,"")</f>
        <v/>
      </c>
      <c r="EO428" s="58">
        <f>IFERROR($BD428/$BD429-1,"")</f>
        <v/>
      </c>
      <c r="EP428" s="58">
        <f>IFERROR($BE428/$BE429-1,"")</f>
        <v/>
      </c>
      <c r="EQ428" s="58">
        <f>IFERROR($BF428/$BF429-1,"")</f>
        <v/>
      </c>
      <c r="ER428" s="58">
        <f>IFERROR($BG428/$BG429-1,"")</f>
        <v/>
      </c>
      <c r="ES428" s="58">
        <f>IFERROR($BH428/$BH429-1,"")</f>
        <v/>
      </c>
      <c r="ET428" s="58">
        <f>IFERROR($BI428/$BI429-1,"")</f>
        <v/>
      </c>
      <c r="EU428" s="58">
        <f>IFERROR($BJ428/$BJ429-1,"")</f>
        <v/>
      </c>
      <c r="EV428" s="58">
        <f>IFERROR($BK428/$BK429-1,"")</f>
        <v/>
      </c>
      <c r="EW428" s="58">
        <f>IFERROR($BL428/$BL429-1,"")</f>
        <v/>
      </c>
      <c r="EX428" s="58">
        <f>IFERROR($BM428/$BM429-1,"")</f>
        <v/>
      </c>
      <c r="EY428" s="58">
        <f>IFERROR($BN428/$BN429-1,"")</f>
        <v/>
      </c>
      <c r="EZ428" s="58">
        <f>IFERROR($BO428/$BO429-1,"")</f>
        <v/>
      </c>
      <c r="FA428" s="58">
        <f>IFERROR($BP428/$BP429-1,"")</f>
        <v/>
      </c>
      <c r="FB428" s="58">
        <f>IFERROR($BQ428/$BQ429-1,"")</f>
        <v/>
      </c>
      <c r="FC428" s="58">
        <f>IFERROR($BR428/$BR429-1,"")</f>
        <v/>
      </c>
      <c r="FD428" s="58">
        <f>IFERROR($BS428/$BS429-1,"")</f>
        <v/>
      </c>
      <c r="FE428" s="58">
        <f>IFERROR($BT428/$BT429-1,"")</f>
        <v/>
      </c>
      <c r="FF428" s="58">
        <f>IFERROR($BU428/$BU429-1,"")</f>
        <v/>
      </c>
      <c r="FG428" s="58">
        <f>IFERROR($BV428/$BV429-1,"")</f>
        <v/>
      </c>
      <c r="FH428" s="58">
        <f>IFERROR($BW428/$BW429-1,"")</f>
        <v/>
      </c>
      <c r="FI428" s="58">
        <f>IFERROR($BX428/$BX429-1,"")</f>
        <v/>
      </c>
      <c r="FJ428" s="59">
        <f>$BY428-$BY429</f>
        <v/>
      </c>
      <c r="FK428" s="59">
        <f>$BZ428-$BZ429</f>
        <v/>
      </c>
      <c r="FL428" s="59">
        <f>$CA428-$CA429</f>
        <v/>
      </c>
      <c r="FM428" s="59">
        <f>$CB428-$CB429</f>
        <v/>
      </c>
      <c r="FN428" s="59">
        <f>$CC428-$CC429</f>
        <v/>
      </c>
      <c r="FO428" s="59">
        <f>$CD428-$CD429</f>
        <v/>
      </c>
      <c r="FP428" s="59">
        <f>$CE428-$CE429</f>
        <v/>
      </c>
      <c r="FQ428" s="59">
        <f>$CF428-$CF429</f>
        <v/>
      </c>
      <c r="FR428" s="59">
        <f>$CG428-$CG429</f>
        <v/>
      </c>
      <c r="FS428" s="59">
        <f>$CH428-$CH429</f>
        <v/>
      </c>
      <c r="FT428" s="59">
        <f>$CI428-$CI429</f>
        <v/>
      </c>
      <c r="FU428" s="59">
        <f>$CJ428-$CJ429</f>
        <v/>
      </c>
      <c r="FV428" s="59">
        <f>$CK428-$CK429</f>
        <v/>
      </c>
      <c r="FW428" s="59">
        <f>$CL428-$CL429</f>
        <v/>
      </c>
      <c r="FX428" s="59">
        <f>$CM428-$CM429</f>
        <v/>
      </c>
      <c r="FY428" s="59">
        <f>$CN428-$CN429</f>
        <v/>
      </c>
      <c r="FZ428" s="59">
        <f>$CO428-$CO429</f>
        <v/>
      </c>
      <c r="GA428" s="59">
        <f>$CP428-$CP429</f>
        <v/>
      </c>
      <c r="GB428" s="59">
        <f>$CQ428-$CQ429</f>
        <v/>
      </c>
      <c r="GC428" s="59">
        <f>$CR428-$CR429</f>
        <v/>
      </c>
      <c r="GD428" s="59">
        <f>$CS428-$CS429</f>
        <v/>
      </c>
      <c r="GE428" s="59">
        <f>$CT428-$CT429</f>
        <v/>
      </c>
    </row>
    <row r="429">
      <c r="CU429" s="58">
        <f>IFERROR($B429/$B430-1,"")</f>
        <v/>
      </c>
      <c r="CV429" s="59">
        <f>($F429-$F430)*100</f>
        <v/>
      </c>
      <c r="CW429" s="59">
        <f>($E429-$E430)*100</f>
        <v/>
      </c>
      <c r="CX429" s="58">
        <f>IFERROR($K429/$K430-1,"")</f>
        <v/>
      </c>
      <c r="CY429" s="59">
        <f>($AH429-$AH430)*100</f>
        <v/>
      </c>
      <c r="CZ429" s="59">
        <f>($AI429-$AI430)*100</f>
        <v/>
      </c>
      <c r="DA429" s="59">
        <f>($AJ429-$AJ430)*100</f>
        <v/>
      </c>
      <c r="DB429" s="59">
        <f>($AK429-$AK430)*100</f>
        <v/>
      </c>
      <c r="DC429" s="59">
        <f>($AL429-$AL430)*100</f>
        <v/>
      </c>
      <c r="DD429" s="59">
        <f>($AM429-$AM430)*100</f>
        <v/>
      </c>
      <c r="DE429" s="59">
        <f>($AN429-$AN430)*100</f>
        <v/>
      </c>
      <c r="DF429" s="59">
        <f>($AO429-$AO430)*100</f>
        <v/>
      </c>
      <c r="DG429" s="59">
        <f>($AP429-$AP430)*100</f>
        <v/>
      </c>
      <c r="DH429" s="59">
        <f>($AQ429-$AQ430)*100</f>
        <v/>
      </c>
      <c r="DI429" s="59">
        <f>($AR429-$AR430)*100</f>
        <v/>
      </c>
      <c r="DJ429" s="59">
        <f>($AS429-$AS430)*100</f>
        <v/>
      </c>
      <c r="DK429" s="59">
        <f>($AT429-$AT430)*100</f>
        <v/>
      </c>
      <c r="DL429" s="59">
        <f>($AU429-$AU430)*100</f>
        <v/>
      </c>
      <c r="DM429" s="59">
        <f>($AV429-$AV430)*100</f>
        <v/>
      </c>
      <c r="DN429" s="59">
        <f>($AW429-$AW430)*100</f>
        <v/>
      </c>
      <c r="DO429" s="59">
        <f>($AX429-$AX430)*100</f>
        <v/>
      </c>
      <c r="DP429" s="59">
        <f>($AY429-$AY430)*100</f>
        <v/>
      </c>
      <c r="DQ429" s="59">
        <f>($AZ429-$AZ430)*100</f>
        <v/>
      </c>
      <c r="DR429" s="59">
        <f>($BA429-$BA430)*100</f>
        <v/>
      </c>
      <c r="DS429" s="58">
        <f>IFERROR($N430/$N429-1,"")</f>
        <v/>
      </c>
      <c r="DT429" s="58">
        <f>IFERROR($O430/$O429-1,"")</f>
        <v/>
      </c>
      <c r="DU429" s="58">
        <f>IFERROR($P430/$P429-1,"")</f>
        <v/>
      </c>
      <c r="DV429" s="58">
        <f>IFERROR($Q430/$Q429-1,"")</f>
        <v/>
      </c>
      <c r="DW429" s="58">
        <f>IFERROR($R430/$R429-1,"")</f>
        <v/>
      </c>
      <c r="DX429" s="58">
        <f>IFERROR($S430/$S429-1,"")</f>
        <v/>
      </c>
      <c r="DY429" s="58">
        <f>IFERROR($T430/$T429-1,"")</f>
        <v/>
      </c>
      <c r="DZ429" s="58">
        <f>IFERROR($U430/$U429-1,"")</f>
        <v/>
      </c>
      <c r="EA429" s="58">
        <f>IFERROR($V430/$V429-1,"")</f>
        <v/>
      </c>
      <c r="EB429" s="58">
        <f>IFERROR($W430/$W429-1,"")</f>
        <v/>
      </c>
      <c r="EC429" s="58">
        <f>IFERROR($X430/$X429-1,"")</f>
        <v/>
      </c>
      <c r="ED429" s="58">
        <f>IFERROR($Y430/$Y429-1,"")</f>
        <v/>
      </c>
      <c r="EE429" s="58">
        <f>IFERROR($Z430/$Z429-1,"")</f>
        <v/>
      </c>
      <c r="EF429" s="58">
        <f>IFERROR($AA430/$AA429-1,"")</f>
        <v/>
      </c>
      <c r="EG429" s="58">
        <f>IFERROR($AB430/$AB429-1,"")</f>
        <v/>
      </c>
      <c r="EH429" s="58">
        <f>IFERROR($AC430/$AC429-1,"")</f>
        <v/>
      </c>
      <c r="EI429" s="58">
        <f>IFERROR($AD430/$AD429-1,"")</f>
        <v/>
      </c>
      <c r="EJ429" s="58">
        <f>IFERROR($AE430/$AE429-1,"")</f>
        <v/>
      </c>
      <c r="EK429" s="58">
        <f>IFERROR($AF430/$AF429-1,"")</f>
        <v/>
      </c>
      <c r="EL429" s="58">
        <f>IFERROR($AG430/$AG429-1,"")</f>
        <v/>
      </c>
      <c r="EM429" s="58">
        <f>IFERROR($BB429/$BB430-1,"")</f>
        <v/>
      </c>
      <c r="EN429" s="58">
        <f>IFERROR($BC429/$BC430-1,"")</f>
        <v/>
      </c>
      <c r="EO429" s="58">
        <f>IFERROR($BD429/$BD430-1,"")</f>
        <v/>
      </c>
      <c r="EP429" s="58">
        <f>IFERROR($BE429/$BE430-1,"")</f>
        <v/>
      </c>
      <c r="EQ429" s="58">
        <f>IFERROR($BF429/$BF430-1,"")</f>
        <v/>
      </c>
      <c r="ER429" s="58">
        <f>IFERROR($BG429/$BG430-1,"")</f>
        <v/>
      </c>
      <c r="ES429" s="58">
        <f>IFERROR($BH429/$BH430-1,"")</f>
        <v/>
      </c>
      <c r="ET429" s="58">
        <f>IFERROR($BI429/$BI430-1,"")</f>
        <v/>
      </c>
      <c r="EU429" s="58">
        <f>IFERROR($BJ429/$BJ430-1,"")</f>
        <v/>
      </c>
      <c r="EV429" s="58">
        <f>IFERROR($BK429/$BK430-1,"")</f>
        <v/>
      </c>
      <c r="EW429" s="58">
        <f>IFERROR($BL429/$BL430-1,"")</f>
        <v/>
      </c>
      <c r="EX429" s="58">
        <f>IFERROR($BM429/$BM430-1,"")</f>
        <v/>
      </c>
      <c r="EY429" s="58">
        <f>IFERROR($BN429/$BN430-1,"")</f>
        <v/>
      </c>
      <c r="EZ429" s="58">
        <f>IFERROR($BO429/$BO430-1,"")</f>
        <v/>
      </c>
      <c r="FA429" s="58">
        <f>IFERROR($BP429/$BP430-1,"")</f>
        <v/>
      </c>
      <c r="FB429" s="58">
        <f>IFERROR($BQ429/$BQ430-1,"")</f>
        <v/>
      </c>
      <c r="FC429" s="58">
        <f>IFERROR($BR429/$BR430-1,"")</f>
        <v/>
      </c>
      <c r="FD429" s="58">
        <f>IFERROR($BS429/$BS430-1,"")</f>
        <v/>
      </c>
      <c r="FE429" s="58">
        <f>IFERROR($BT429/$BT430-1,"")</f>
        <v/>
      </c>
      <c r="FF429" s="58">
        <f>IFERROR($BU429/$BU430-1,"")</f>
        <v/>
      </c>
      <c r="FG429" s="58">
        <f>IFERROR($BV429/$BV430-1,"")</f>
        <v/>
      </c>
      <c r="FH429" s="58">
        <f>IFERROR($BW429/$BW430-1,"")</f>
        <v/>
      </c>
      <c r="FI429" s="58">
        <f>IFERROR($BX429/$BX430-1,"")</f>
        <v/>
      </c>
      <c r="FJ429" s="59">
        <f>$BY429-$BY430</f>
        <v/>
      </c>
      <c r="FK429" s="59">
        <f>$BZ429-$BZ430</f>
        <v/>
      </c>
      <c r="FL429" s="59">
        <f>$CA429-$CA430</f>
        <v/>
      </c>
      <c r="FM429" s="59">
        <f>$CB429-$CB430</f>
        <v/>
      </c>
      <c r="FN429" s="59">
        <f>$CC429-$CC430</f>
        <v/>
      </c>
      <c r="FO429" s="59">
        <f>$CD429-$CD430</f>
        <v/>
      </c>
      <c r="FP429" s="59">
        <f>$CE429-$CE430</f>
        <v/>
      </c>
      <c r="FQ429" s="59">
        <f>$CF429-$CF430</f>
        <v/>
      </c>
      <c r="FR429" s="59">
        <f>$CG429-$CG430</f>
        <v/>
      </c>
      <c r="FS429" s="59">
        <f>$CH429-$CH430</f>
        <v/>
      </c>
      <c r="FT429" s="59">
        <f>$CI429-$CI430</f>
        <v/>
      </c>
      <c r="FU429" s="59">
        <f>$CJ429-$CJ430</f>
        <v/>
      </c>
      <c r="FV429" s="59">
        <f>$CK429-$CK430</f>
        <v/>
      </c>
      <c r="FW429" s="59">
        <f>$CL429-$CL430</f>
        <v/>
      </c>
      <c r="FX429" s="59">
        <f>$CM429-$CM430</f>
        <v/>
      </c>
      <c r="FY429" s="59">
        <f>$CN429-$CN430</f>
        <v/>
      </c>
      <c r="FZ429" s="59">
        <f>$CO429-$CO430</f>
        <v/>
      </c>
      <c r="GA429" s="59">
        <f>$CP429-$CP430</f>
        <v/>
      </c>
      <c r="GB429" s="59">
        <f>$CQ429-$CQ430</f>
        <v/>
      </c>
      <c r="GC429" s="59">
        <f>$CR429-$CR430</f>
        <v/>
      </c>
      <c r="GD429" s="59">
        <f>$CS429-$CS430</f>
        <v/>
      </c>
      <c r="GE429" s="59">
        <f>$CT429-$CT430</f>
        <v/>
      </c>
    </row>
    <row r="430">
      <c r="CU430" s="58">
        <f>IFERROR($B430/$B431-1,"")</f>
        <v/>
      </c>
      <c r="CV430" s="59">
        <f>($F430-$F431)*100</f>
        <v/>
      </c>
      <c r="CW430" s="59">
        <f>($E430-$E431)*100</f>
        <v/>
      </c>
      <c r="CX430" s="58">
        <f>IFERROR($K430/$K431-1,"")</f>
        <v/>
      </c>
      <c r="CY430" s="59">
        <f>($AH430-$AH431)*100</f>
        <v/>
      </c>
      <c r="CZ430" s="59">
        <f>($AI430-$AI431)*100</f>
        <v/>
      </c>
      <c r="DA430" s="59">
        <f>($AJ430-$AJ431)*100</f>
        <v/>
      </c>
      <c r="DB430" s="59">
        <f>($AK430-$AK431)*100</f>
        <v/>
      </c>
      <c r="DC430" s="59">
        <f>($AL430-$AL431)*100</f>
        <v/>
      </c>
      <c r="DD430" s="59">
        <f>($AM430-$AM431)*100</f>
        <v/>
      </c>
      <c r="DE430" s="59">
        <f>($AN430-$AN431)*100</f>
        <v/>
      </c>
      <c r="DF430" s="59">
        <f>($AO430-$AO431)*100</f>
        <v/>
      </c>
      <c r="DG430" s="59">
        <f>($AP430-$AP431)*100</f>
        <v/>
      </c>
      <c r="DH430" s="59">
        <f>($AQ430-$AQ431)*100</f>
        <v/>
      </c>
      <c r="DI430" s="59">
        <f>($AR430-$AR431)*100</f>
        <v/>
      </c>
      <c r="DJ430" s="59">
        <f>($AS430-$AS431)*100</f>
        <v/>
      </c>
      <c r="DK430" s="59">
        <f>($AT430-$AT431)*100</f>
        <v/>
      </c>
      <c r="DL430" s="59">
        <f>($AU430-$AU431)*100</f>
        <v/>
      </c>
      <c r="DM430" s="59">
        <f>($AV430-$AV431)*100</f>
        <v/>
      </c>
      <c r="DN430" s="59">
        <f>($AW430-$AW431)*100</f>
        <v/>
      </c>
      <c r="DO430" s="59">
        <f>($AX430-$AX431)*100</f>
        <v/>
      </c>
      <c r="DP430" s="59">
        <f>($AY430-$AY431)*100</f>
        <v/>
      </c>
      <c r="DQ430" s="59">
        <f>($AZ430-$AZ431)*100</f>
        <v/>
      </c>
      <c r="DR430" s="59">
        <f>($BA430-$BA431)*100</f>
        <v/>
      </c>
      <c r="DS430" s="58">
        <f>IFERROR($N431/$N430-1,"")</f>
        <v/>
      </c>
      <c r="DT430" s="58">
        <f>IFERROR($O431/$O430-1,"")</f>
        <v/>
      </c>
      <c r="DU430" s="58">
        <f>IFERROR($P431/$P430-1,"")</f>
        <v/>
      </c>
      <c r="DV430" s="58">
        <f>IFERROR($Q431/$Q430-1,"")</f>
        <v/>
      </c>
      <c r="DW430" s="58">
        <f>IFERROR($R431/$R430-1,"")</f>
        <v/>
      </c>
      <c r="DX430" s="58">
        <f>IFERROR($S431/$S430-1,"")</f>
        <v/>
      </c>
      <c r="DY430" s="58">
        <f>IFERROR($T431/$T430-1,"")</f>
        <v/>
      </c>
      <c r="DZ430" s="58">
        <f>IFERROR($U431/$U430-1,"")</f>
        <v/>
      </c>
      <c r="EA430" s="58">
        <f>IFERROR($V431/$V430-1,"")</f>
        <v/>
      </c>
      <c r="EB430" s="58">
        <f>IFERROR($W431/$W430-1,"")</f>
        <v/>
      </c>
      <c r="EC430" s="58">
        <f>IFERROR($X431/$X430-1,"")</f>
        <v/>
      </c>
      <c r="ED430" s="58">
        <f>IFERROR($Y431/$Y430-1,"")</f>
        <v/>
      </c>
      <c r="EE430" s="58">
        <f>IFERROR($Z431/$Z430-1,"")</f>
        <v/>
      </c>
      <c r="EF430" s="58">
        <f>IFERROR($AA431/$AA430-1,"")</f>
        <v/>
      </c>
      <c r="EG430" s="58">
        <f>IFERROR($AB431/$AB430-1,"")</f>
        <v/>
      </c>
      <c r="EH430" s="58">
        <f>IFERROR($AC431/$AC430-1,"")</f>
        <v/>
      </c>
      <c r="EI430" s="58">
        <f>IFERROR($AD431/$AD430-1,"")</f>
        <v/>
      </c>
      <c r="EJ430" s="58">
        <f>IFERROR($AE431/$AE430-1,"")</f>
        <v/>
      </c>
      <c r="EK430" s="58">
        <f>IFERROR($AF431/$AF430-1,"")</f>
        <v/>
      </c>
      <c r="EL430" s="58">
        <f>IFERROR($AG431/$AG430-1,"")</f>
        <v/>
      </c>
      <c r="EM430" s="58">
        <f>IFERROR($BB430/$BB431-1,"")</f>
        <v/>
      </c>
      <c r="EN430" s="58">
        <f>IFERROR($BC430/$BC431-1,"")</f>
        <v/>
      </c>
      <c r="EO430" s="58">
        <f>IFERROR($BD430/$BD431-1,"")</f>
        <v/>
      </c>
      <c r="EP430" s="58">
        <f>IFERROR($BE430/$BE431-1,"")</f>
        <v/>
      </c>
      <c r="EQ430" s="58">
        <f>IFERROR($BF430/$BF431-1,"")</f>
        <v/>
      </c>
      <c r="ER430" s="58">
        <f>IFERROR($BG430/$BG431-1,"")</f>
        <v/>
      </c>
      <c r="ES430" s="58">
        <f>IFERROR($BH430/$BH431-1,"")</f>
        <v/>
      </c>
      <c r="ET430" s="58">
        <f>IFERROR($BI430/$BI431-1,"")</f>
        <v/>
      </c>
      <c r="EU430" s="58">
        <f>IFERROR($BJ430/$BJ431-1,"")</f>
        <v/>
      </c>
      <c r="EV430" s="58">
        <f>IFERROR($BK430/$BK431-1,"")</f>
        <v/>
      </c>
      <c r="EW430" s="58">
        <f>IFERROR($BL430/$BL431-1,"")</f>
        <v/>
      </c>
      <c r="EX430" s="58">
        <f>IFERROR($BM430/$BM431-1,"")</f>
        <v/>
      </c>
      <c r="EY430" s="58">
        <f>IFERROR($BN430/$BN431-1,"")</f>
        <v/>
      </c>
      <c r="EZ430" s="58">
        <f>IFERROR($BO430/$BO431-1,"")</f>
        <v/>
      </c>
      <c r="FA430" s="58">
        <f>IFERROR($BP430/$BP431-1,"")</f>
        <v/>
      </c>
      <c r="FB430" s="58">
        <f>IFERROR($BQ430/$BQ431-1,"")</f>
        <v/>
      </c>
      <c r="FC430" s="58">
        <f>IFERROR($BR430/$BR431-1,"")</f>
        <v/>
      </c>
      <c r="FD430" s="58">
        <f>IFERROR($BS430/$BS431-1,"")</f>
        <v/>
      </c>
      <c r="FE430" s="58">
        <f>IFERROR($BT430/$BT431-1,"")</f>
        <v/>
      </c>
      <c r="FF430" s="58">
        <f>IFERROR($BU430/$BU431-1,"")</f>
        <v/>
      </c>
      <c r="FG430" s="58">
        <f>IFERROR($BV430/$BV431-1,"")</f>
        <v/>
      </c>
      <c r="FH430" s="58">
        <f>IFERROR($BW430/$BW431-1,"")</f>
        <v/>
      </c>
      <c r="FI430" s="58">
        <f>IFERROR($BX430/$BX431-1,"")</f>
        <v/>
      </c>
      <c r="FJ430" s="59">
        <f>$BY430-$BY431</f>
        <v/>
      </c>
      <c r="FK430" s="59">
        <f>$BZ430-$BZ431</f>
        <v/>
      </c>
      <c r="FL430" s="59">
        <f>$CA430-$CA431</f>
        <v/>
      </c>
      <c r="FM430" s="59">
        <f>$CB430-$CB431</f>
        <v/>
      </c>
      <c r="FN430" s="59">
        <f>$CC430-$CC431</f>
        <v/>
      </c>
      <c r="FO430" s="59">
        <f>$CD430-$CD431</f>
        <v/>
      </c>
      <c r="FP430" s="59">
        <f>$CE430-$CE431</f>
        <v/>
      </c>
      <c r="FQ430" s="59">
        <f>$CF430-$CF431</f>
        <v/>
      </c>
      <c r="FR430" s="59">
        <f>$CG430-$CG431</f>
        <v/>
      </c>
      <c r="FS430" s="59">
        <f>$CH430-$CH431</f>
        <v/>
      </c>
      <c r="FT430" s="59">
        <f>$CI430-$CI431</f>
        <v/>
      </c>
      <c r="FU430" s="59">
        <f>$CJ430-$CJ431</f>
        <v/>
      </c>
      <c r="FV430" s="59">
        <f>$CK430-$CK431</f>
        <v/>
      </c>
      <c r="FW430" s="59">
        <f>$CL430-$CL431</f>
        <v/>
      </c>
      <c r="FX430" s="59">
        <f>$CM430-$CM431</f>
        <v/>
      </c>
      <c r="FY430" s="59">
        <f>$CN430-$CN431</f>
        <v/>
      </c>
      <c r="FZ430" s="59">
        <f>$CO430-$CO431</f>
        <v/>
      </c>
      <c r="GA430" s="59">
        <f>$CP430-$CP431</f>
        <v/>
      </c>
      <c r="GB430" s="59">
        <f>$CQ430-$CQ431</f>
        <v/>
      </c>
      <c r="GC430" s="59">
        <f>$CR430-$CR431</f>
        <v/>
      </c>
      <c r="GD430" s="59">
        <f>$CS430-$CS431</f>
        <v/>
      </c>
      <c r="GE430" s="59">
        <f>$CT430-$CT431</f>
        <v/>
      </c>
    </row>
    <row r="431">
      <c r="CU431" s="58">
        <f>IFERROR($B431/$B432-1,"")</f>
        <v/>
      </c>
      <c r="CV431" s="59">
        <f>($F431-$F432)*100</f>
        <v/>
      </c>
      <c r="CW431" s="59">
        <f>($E431-$E432)*100</f>
        <v/>
      </c>
      <c r="CX431" s="58">
        <f>IFERROR($K431/$K432-1,"")</f>
        <v/>
      </c>
      <c r="CY431" s="59">
        <f>($AH431-$AH432)*100</f>
        <v/>
      </c>
      <c r="CZ431" s="59">
        <f>($AI431-$AI432)*100</f>
        <v/>
      </c>
      <c r="DA431" s="59">
        <f>($AJ431-$AJ432)*100</f>
        <v/>
      </c>
      <c r="DB431" s="59">
        <f>($AK431-$AK432)*100</f>
        <v/>
      </c>
      <c r="DC431" s="59">
        <f>($AL431-$AL432)*100</f>
        <v/>
      </c>
      <c r="DD431" s="59">
        <f>($AM431-$AM432)*100</f>
        <v/>
      </c>
      <c r="DE431" s="59">
        <f>($AN431-$AN432)*100</f>
        <v/>
      </c>
      <c r="DF431" s="59">
        <f>($AO431-$AO432)*100</f>
        <v/>
      </c>
      <c r="DG431" s="59">
        <f>($AP431-$AP432)*100</f>
        <v/>
      </c>
      <c r="DH431" s="59">
        <f>($AQ431-$AQ432)*100</f>
        <v/>
      </c>
      <c r="DI431" s="59">
        <f>($AR431-$AR432)*100</f>
        <v/>
      </c>
      <c r="DJ431" s="59">
        <f>($AS431-$AS432)*100</f>
        <v/>
      </c>
      <c r="DK431" s="59">
        <f>($AT431-$AT432)*100</f>
        <v/>
      </c>
      <c r="DL431" s="59">
        <f>($AU431-$AU432)*100</f>
        <v/>
      </c>
      <c r="DM431" s="59">
        <f>($AV431-$AV432)*100</f>
        <v/>
      </c>
      <c r="DN431" s="59">
        <f>($AW431-$AW432)*100</f>
        <v/>
      </c>
      <c r="DO431" s="59">
        <f>($AX431-$AX432)*100</f>
        <v/>
      </c>
      <c r="DP431" s="59">
        <f>($AY431-$AY432)*100</f>
        <v/>
      </c>
      <c r="DQ431" s="59">
        <f>($AZ431-$AZ432)*100</f>
        <v/>
      </c>
      <c r="DR431" s="59">
        <f>($BA431-$BA432)*100</f>
        <v/>
      </c>
      <c r="DS431" s="58">
        <f>IFERROR($N432/$N431-1,"")</f>
        <v/>
      </c>
      <c r="DT431" s="58">
        <f>IFERROR($O432/$O431-1,"")</f>
        <v/>
      </c>
      <c r="DU431" s="58">
        <f>IFERROR($P432/$P431-1,"")</f>
        <v/>
      </c>
      <c r="DV431" s="58">
        <f>IFERROR($Q432/$Q431-1,"")</f>
        <v/>
      </c>
      <c r="DW431" s="58">
        <f>IFERROR($R432/$R431-1,"")</f>
        <v/>
      </c>
      <c r="DX431" s="58">
        <f>IFERROR($S432/$S431-1,"")</f>
        <v/>
      </c>
      <c r="DY431" s="58">
        <f>IFERROR($T432/$T431-1,"")</f>
        <v/>
      </c>
      <c r="DZ431" s="58">
        <f>IFERROR($U432/$U431-1,"")</f>
        <v/>
      </c>
      <c r="EA431" s="58">
        <f>IFERROR($V432/$V431-1,"")</f>
        <v/>
      </c>
      <c r="EB431" s="58">
        <f>IFERROR($W432/$W431-1,"")</f>
        <v/>
      </c>
      <c r="EC431" s="58">
        <f>IFERROR($X432/$X431-1,"")</f>
        <v/>
      </c>
      <c r="ED431" s="58">
        <f>IFERROR($Y432/$Y431-1,"")</f>
        <v/>
      </c>
      <c r="EE431" s="58">
        <f>IFERROR($Z432/$Z431-1,"")</f>
        <v/>
      </c>
      <c r="EF431" s="58">
        <f>IFERROR($AA432/$AA431-1,"")</f>
        <v/>
      </c>
      <c r="EG431" s="58">
        <f>IFERROR($AB432/$AB431-1,"")</f>
        <v/>
      </c>
      <c r="EH431" s="58">
        <f>IFERROR($AC432/$AC431-1,"")</f>
        <v/>
      </c>
      <c r="EI431" s="58">
        <f>IFERROR($AD432/$AD431-1,"")</f>
        <v/>
      </c>
      <c r="EJ431" s="58">
        <f>IFERROR($AE432/$AE431-1,"")</f>
        <v/>
      </c>
      <c r="EK431" s="58">
        <f>IFERROR($AF432/$AF431-1,"")</f>
        <v/>
      </c>
      <c r="EL431" s="58">
        <f>IFERROR($AG432/$AG431-1,"")</f>
        <v/>
      </c>
      <c r="EM431" s="58">
        <f>IFERROR($BB431/$BB432-1,"")</f>
        <v/>
      </c>
      <c r="EN431" s="58">
        <f>IFERROR($BC431/$BC432-1,"")</f>
        <v/>
      </c>
      <c r="EO431" s="58">
        <f>IFERROR($BD431/$BD432-1,"")</f>
        <v/>
      </c>
      <c r="EP431" s="58">
        <f>IFERROR($BE431/$BE432-1,"")</f>
        <v/>
      </c>
      <c r="EQ431" s="58">
        <f>IFERROR($BF431/$BF432-1,"")</f>
        <v/>
      </c>
      <c r="ER431" s="58">
        <f>IFERROR($BG431/$BG432-1,"")</f>
        <v/>
      </c>
      <c r="ES431" s="58">
        <f>IFERROR($BH431/$BH432-1,"")</f>
        <v/>
      </c>
      <c r="ET431" s="58">
        <f>IFERROR($BI431/$BI432-1,"")</f>
        <v/>
      </c>
      <c r="EU431" s="58">
        <f>IFERROR($BJ431/$BJ432-1,"")</f>
        <v/>
      </c>
      <c r="EV431" s="58">
        <f>IFERROR($BK431/$BK432-1,"")</f>
        <v/>
      </c>
      <c r="EW431" s="58">
        <f>IFERROR($BL431/$BL432-1,"")</f>
        <v/>
      </c>
      <c r="EX431" s="58">
        <f>IFERROR($BM431/$BM432-1,"")</f>
        <v/>
      </c>
      <c r="EY431" s="58">
        <f>IFERROR($BN431/$BN432-1,"")</f>
        <v/>
      </c>
      <c r="EZ431" s="58">
        <f>IFERROR($BO431/$BO432-1,"")</f>
        <v/>
      </c>
      <c r="FA431" s="58">
        <f>IFERROR($BP431/$BP432-1,"")</f>
        <v/>
      </c>
      <c r="FB431" s="58">
        <f>IFERROR($BQ431/$BQ432-1,"")</f>
        <v/>
      </c>
      <c r="FC431" s="58">
        <f>IFERROR($BR431/$BR432-1,"")</f>
        <v/>
      </c>
      <c r="FD431" s="58">
        <f>IFERROR($BS431/$BS432-1,"")</f>
        <v/>
      </c>
      <c r="FE431" s="58">
        <f>IFERROR($BT431/$BT432-1,"")</f>
        <v/>
      </c>
      <c r="FF431" s="58">
        <f>IFERROR($BU431/$BU432-1,"")</f>
        <v/>
      </c>
      <c r="FG431" s="58">
        <f>IFERROR($BV431/$BV432-1,"")</f>
        <v/>
      </c>
      <c r="FH431" s="58">
        <f>IFERROR($BW431/$BW432-1,"")</f>
        <v/>
      </c>
      <c r="FI431" s="58">
        <f>IFERROR($BX431/$BX432-1,"")</f>
        <v/>
      </c>
      <c r="FJ431" s="59">
        <f>$BY431-$BY432</f>
        <v/>
      </c>
      <c r="FK431" s="59">
        <f>$BZ431-$BZ432</f>
        <v/>
      </c>
      <c r="FL431" s="59">
        <f>$CA431-$CA432</f>
        <v/>
      </c>
      <c r="FM431" s="59">
        <f>$CB431-$CB432</f>
        <v/>
      </c>
      <c r="FN431" s="59">
        <f>$CC431-$CC432</f>
        <v/>
      </c>
      <c r="FO431" s="59">
        <f>$CD431-$CD432</f>
        <v/>
      </c>
      <c r="FP431" s="59">
        <f>$CE431-$CE432</f>
        <v/>
      </c>
      <c r="FQ431" s="59">
        <f>$CF431-$CF432</f>
        <v/>
      </c>
      <c r="FR431" s="59">
        <f>$CG431-$CG432</f>
        <v/>
      </c>
      <c r="FS431" s="59">
        <f>$CH431-$CH432</f>
        <v/>
      </c>
      <c r="FT431" s="59">
        <f>$CI431-$CI432</f>
        <v/>
      </c>
      <c r="FU431" s="59">
        <f>$CJ431-$CJ432</f>
        <v/>
      </c>
      <c r="FV431" s="59">
        <f>$CK431-$CK432</f>
        <v/>
      </c>
      <c r="FW431" s="59">
        <f>$CL431-$CL432</f>
        <v/>
      </c>
      <c r="FX431" s="59">
        <f>$CM431-$CM432</f>
        <v/>
      </c>
      <c r="FY431" s="59">
        <f>$CN431-$CN432</f>
        <v/>
      </c>
      <c r="FZ431" s="59">
        <f>$CO431-$CO432</f>
        <v/>
      </c>
      <c r="GA431" s="59">
        <f>$CP431-$CP432</f>
        <v/>
      </c>
      <c r="GB431" s="59">
        <f>$CQ431-$CQ432</f>
        <v/>
      </c>
      <c r="GC431" s="59">
        <f>$CR431-$CR432</f>
        <v/>
      </c>
      <c r="GD431" s="59">
        <f>$CS431-$CS432</f>
        <v/>
      </c>
      <c r="GE431" s="59">
        <f>$CT431-$CT432</f>
        <v/>
      </c>
    </row>
    <row r="432">
      <c r="CU432" s="58">
        <f>IFERROR($B432/$B433-1,"")</f>
        <v/>
      </c>
      <c r="CV432" s="59">
        <f>($F432-$F433)*100</f>
        <v/>
      </c>
      <c r="CW432" s="59">
        <f>($E432-$E433)*100</f>
        <v/>
      </c>
      <c r="CX432" s="58">
        <f>IFERROR($K432/$K433-1,"")</f>
        <v/>
      </c>
      <c r="CY432" s="59">
        <f>($AH432-$AH433)*100</f>
        <v/>
      </c>
      <c r="CZ432" s="59">
        <f>($AI432-$AI433)*100</f>
        <v/>
      </c>
      <c r="DA432" s="59">
        <f>($AJ432-$AJ433)*100</f>
        <v/>
      </c>
      <c r="DB432" s="59">
        <f>($AK432-$AK433)*100</f>
        <v/>
      </c>
      <c r="DC432" s="59">
        <f>($AL432-$AL433)*100</f>
        <v/>
      </c>
      <c r="DD432" s="59">
        <f>($AM432-$AM433)*100</f>
        <v/>
      </c>
      <c r="DE432" s="59">
        <f>($AN432-$AN433)*100</f>
        <v/>
      </c>
      <c r="DF432" s="59">
        <f>($AO432-$AO433)*100</f>
        <v/>
      </c>
      <c r="DG432" s="59">
        <f>($AP432-$AP433)*100</f>
        <v/>
      </c>
      <c r="DH432" s="59">
        <f>($AQ432-$AQ433)*100</f>
        <v/>
      </c>
      <c r="DI432" s="59">
        <f>($AR432-$AR433)*100</f>
        <v/>
      </c>
      <c r="DJ432" s="59">
        <f>($AS432-$AS433)*100</f>
        <v/>
      </c>
      <c r="DK432" s="59">
        <f>($AT432-$AT433)*100</f>
        <v/>
      </c>
      <c r="DL432" s="59">
        <f>($AU432-$AU433)*100</f>
        <v/>
      </c>
      <c r="DM432" s="59">
        <f>($AV432-$AV433)*100</f>
        <v/>
      </c>
      <c r="DN432" s="59">
        <f>($AW432-$AW433)*100</f>
        <v/>
      </c>
      <c r="DO432" s="59">
        <f>($AX432-$AX433)*100</f>
        <v/>
      </c>
      <c r="DP432" s="59">
        <f>($AY432-$AY433)*100</f>
        <v/>
      </c>
      <c r="DQ432" s="59">
        <f>($AZ432-$AZ433)*100</f>
        <v/>
      </c>
      <c r="DR432" s="59">
        <f>($BA432-$BA433)*100</f>
        <v/>
      </c>
      <c r="DS432" s="58">
        <f>IFERROR($N433/$N432-1,"")</f>
        <v/>
      </c>
      <c r="DT432" s="58">
        <f>IFERROR($O433/$O432-1,"")</f>
        <v/>
      </c>
      <c r="DU432" s="58">
        <f>IFERROR($P433/$P432-1,"")</f>
        <v/>
      </c>
      <c r="DV432" s="58">
        <f>IFERROR($Q433/$Q432-1,"")</f>
        <v/>
      </c>
      <c r="DW432" s="58">
        <f>IFERROR($R433/$R432-1,"")</f>
        <v/>
      </c>
      <c r="DX432" s="58">
        <f>IFERROR($S433/$S432-1,"")</f>
        <v/>
      </c>
      <c r="DY432" s="58">
        <f>IFERROR($T433/$T432-1,"")</f>
        <v/>
      </c>
      <c r="DZ432" s="58">
        <f>IFERROR($U433/$U432-1,"")</f>
        <v/>
      </c>
      <c r="EA432" s="58">
        <f>IFERROR($V433/$V432-1,"")</f>
        <v/>
      </c>
      <c r="EB432" s="58">
        <f>IFERROR($W433/$W432-1,"")</f>
        <v/>
      </c>
      <c r="EC432" s="58">
        <f>IFERROR($X433/$X432-1,"")</f>
        <v/>
      </c>
      <c r="ED432" s="58">
        <f>IFERROR($Y433/$Y432-1,"")</f>
        <v/>
      </c>
      <c r="EE432" s="58">
        <f>IFERROR($Z433/$Z432-1,"")</f>
        <v/>
      </c>
      <c r="EF432" s="58">
        <f>IFERROR($AA433/$AA432-1,"")</f>
        <v/>
      </c>
      <c r="EG432" s="58">
        <f>IFERROR($AB433/$AB432-1,"")</f>
        <v/>
      </c>
      <c r="EH432" s="58">
        <f>IFERROR($AC433/$AC432-1,"")</f>
        <v/>
      </c>
      <c r="EI432" s="58">
        <f>IFERROR($AD433/$AD432-1,"")</f>
        <v/>
      </c>
      <c r="EJ432" s="58">
        <f>IFERROR($AE433/$AE432-1,"")</f>
        <v/>
      </c>
      <c r="EK432" s="58">
        <f>IFERROR($AF433/$AF432-1,"")</f>
        <v/>
      </c>
      <c r="EL432" s="58">
        <f>IFERROR($AG433/$AG432-1,"")</f>
        <v/>
      </c>
      <c r="EM432" s="58">
        <f>IFERROR($BB432/$BB433-1,"")</f>
        <v/>
      </c>
      <c r="EN432" s="58">
        <f>IFERROR($BC432/$BC433-1,"")</f>
        <v/>
      </c>
      <c r="EO432" s="58">
        <f>IFERROR($BD432/$BD433-1,"")</f>
        <v/>
      </c>
      <c r="EP432" s="58">
        <f>IFERROR($BE432/$BE433-1,"")</f>
        <v/>
      </c>
      <c r="EQ432" s="58">
        <f>IFERROR($BF432/$BF433-1,"")</f>
        <v/>
      </c>
      <c r="ER432" s="58">
        <f>IFERROR($BG432/$BG433-1,"")</f>
        <v/>
      </c>
      <c r="ES432" s="58">
        <f>IFERROR($BH432/$BH433-1,"")</f>
        <v/>
      </c>
      <c r="ET432" s="58">
        <f>IFERROR($BI432/$BI433-1,"")</f>
        <v/>
      </c>
      <c r="EU432" s="58">
        <f>IFERROR($BJ432/$BJ433-1,"")</f>
        <v/>
      </c>
      <c r="EV432" s="58">
        <f>IFERROR($BK432/$BK433-1,"")</f>
        <v/>
      </c>
      <c r="EW432" s="58">
        <f>IFERROR($BL432/$BL433-1,"")</f>
        <v/>
      </c>
      <c r="EX432" s="58">
        <f>IFERROR($BM432/$BM433-1,"")</f>
        <v/>
      </c>
      <c r="EY432" s="58">
        <f>IFERROR($BN432/$BN433-1,"")</f>
        <v/>
      </c>
      <c r="EZ432" s="58">
        <f>IFERROR($BO432/$BO433-1,"")</f>
        <v/>
      </c>
      <c r="FA432" s="58">
        <f>IFERROR($BP432/$BP433-1,"")</f>
        <v/>
      </c>
      <c r="FB432" s="58">
        <f>IFERROR($BQ432/$BQ433-1,"")</f>
        <v/>
      </c>
      <c r="FC432" s="58">
        <f>IFERROR($BR432/$BR433-1,"")</f>
        <v/>
      </c>
      <c r="FD432" s="58">
        <f>IFERROR($BS432/$BS433-1,"")</f>
        <v/>
      </c>
      <c r="FE432" s="58">
        <f>IFERROR($BT432/$BT433-1,"")</f>
        <v/>
      </c>
      <c r="FF432" s="58">
        <f>IFERROR($BU432/$BU433-1,"")</f>
        <v/>
      </c>
      <c r="FG432" s="58">
        <f>IFERROR($BV432/$BV433-1,"")</f>
        <v/>
      </c>
      <c r="FH432" s="58">
        <f>IFERROR($BW432/$BW433-1,"")</f>
        <v/>
      </c>
      <c r="FI432" s="58">
        <f>IFERROR($BX432/$BX433-1,"")</f>
        <v/>
      </c>
      <c r="FJ432" s="59">
        <f>$BY432-$BY433</f>
        <v/>
      </c>
      <c r="FK432" s="59">
        <f>$BZ432-$BZ433</f>
        <v/>
      </c>
      <c r="FL432" s="59">
        <f>$CA432-$CA433</f>
        <v/>
      </c>
      <c r="FM432" s="59">
        <f>$CB432-$CB433</f>
        <v/>
      </c>
      <c r="FN432" s="59">
        <f>$CC432-$CC433</f>
        <v/>
      </c>
      <c r="FO432" s="59">
        <f>$CD432-$CD433</f>
        <v/>
      </c>
      <c r="FP432" s="59">
        <f>$CE432-$CE433</f>
        <v/>
      </c>
      <c r="FQ432" s="59">
        <f>$CF432-$CF433</f>
        <v/>
      </c>
      <c r="FR432" s="59">
        <f>$CG432-$CG433</f>
        <v/>
      </c>
      <c r="FS432" s="59">
        <f>$CH432-$CH433</f>
        <v/>
      </c>
      <c r="FT432" s="59">
        <f>$CI432-$CI433</f>
        <v/>
      </c>
      <c r="FU432" s="59">
        <f>$CJ432-$CJ433</f>
        <v/>
      </c>
      <c r="FV432" s="59">
        <f>$CK432-$CK433</f>
        <v/>
      </c>
      <c r="FW432" s="59">
        <f>$CL432-$CL433</f>
        <v/>
      </c>
      <c r="FX432" s="59">
        <f>$CM432-$CM433</f>
        <v/>
      </c>
      <c r="FY432" s="59">
        <f>$CN432-$CN433</f>
        <v/>
      </c>
      <c r="FZ432" s="59">
        <f>$CO432-$CO433</f>
        <v/>
      </c>
      <c r="GA432" s="59">
        <f>$CP432-$CP433</f>
        <v/>
      </c>
      <c r="GB432" s="59">
        <f>$CQ432-$CQ433</f>
        <v/>
      </c>
      <c r="GC432" s="59">
        <f>$CR432-$CR433</f>
        <v/>
      </c>
      <c r="GD432" s="59">
        <f>$CS432-$CS433</f>
        <v/>
      </c>
      <c r="GE432" s="59">
        <f>$CT432-$CT433</f>
        <v/>
      </c>
    </row>
    <row r="433">
      <c r="CU433" s="58">
        <f>IFERROR($B433/$B434-1,"")</f>
        <v/>
      </c>
      <c r="CV433" s="59">
        <f>($F433-$F434)*100</f>
        <v/>
      </c>
      <c r="CW433" s="59">
        <f>($E433-$E434)*100</f>
        <v/>
      </c>
      <c r="CX433" s="58">
        <f>IFERROR($K433/$K434-1,"")</f>
        <v/>
      </c>
      <c r="CY433" s="59">
        <f>($AH433-$AH434)*100</f>
        <v/>
      </c>
      <c r="CZ433" s="59">
        <f>($AI433-$AI434)*100</f>
        <v/>
      </c>
      <c r="DA433" s="59">
        <f>($AJ433-$AJ434)*100</f>
        <v/>
      </c>
      <c r="DB433" s="59">
        <f>($AK433-$AK434)*100</f>
        <v/>
      </c>
      <c r="DC433" s="59">
        <f>($AL433-$AL434)*100</f>
        <v/>
      </c>
      <c r="DD433" s="59">
        <f>($AM433-$AM434)*100</f>
        <v/>
      </c>
      <c r="DE433" s="59">
        <f>($AN433-$AN434)*100</f>
        <v/>
      </c>
      <c r="DF433" s="59">
        <f>($AO433-$AO434)*100</f>
        <v/>
      </c>
      <c r="DG433" s="59">
        <f>($AP433-$AP434)*100</f>
        <v/>
      </c>
      <c r="DH433" s="59">
        <f>($AQ433-$AQ434)*100</f>
        <v/>
      </c>
      <c r="DI433" s="59">
        <f>($AR433-$AR434)*100</f>
        <v/>
      </c>
      <c r="DJ433" s="59">
        <f>($AS433-$AS434)*100</f>
        <v/>
      </c>
      <c r="DK433" s="59">
        <f>($AT433-$AT434)*100</f>
        <v/>
      </c>
      <c r="DL433" s="59">
        <f>($AU433-$AU434)*100</f>
        <v/>
      </c>
      <c r="DM433" s="59">
        <f>($AV433-$AV434)*100</f>
        <v/>
      </c>
      <c r="DN433" s="59">
        <f>($AW433-$AW434)*100</f>
        <v/>
      </c>
      <c r="DO433" s="59">
        <f>($AX433-$AX434)*100</f>
        <v/>
      </c>
      <c r="DP433" s="59">
        <f>($AY433-$AY434)*100</f>
        <v/>
      </c>
      <c r="DQ433" s="59">
        <f>($AZ433-$AZ434)*100</f>
        <v/>
      </c>
      <c r="DR433" s="59">
        <f>($BA433-$BA434)*100</f>
        <v/>
      </c>
      <c r="DS433" s="58">
        <f>IFERROR($N434/$N433-1,"")</f>
        <v/>
      </c>
      <c r="DT433" s="58">
        <f>IFERROR($O434/$O433-1,"")</f>
        <v/>
      </c>
      <c r="DU433" s="58">
        <f>IFERROR($P434/$P433-1,"")</f>
        <v/>
      </c>
      <c r="DV433" s="58">
        <f>IFERROR($Q434/$Q433-1,"")</f>
        <v/>
      </c>
      <c r="DW433" s="58">
        <f>IFERROR($R434/$R433-1,"")</f>
        <v/>
      </c>
      <c r="DX433" s="58">
        <f>IFERROR($S434/$S433-1,"")</f>
        <v/>
      </c>
      <c r="DY433" s="58">
        <f>IFERROR($T434/$T433-1,"")</f>
        <v/>
      </c>
      <c r="DZ433" s="58">
        <f>IFERROR($U434/$U433-1,"")</f>
        <v/>
      </c>
      <c r="EA433" s="58">
        <f>IFERROR($V434/$V433-1,"")</f>
        <v/>
      </c>
      <c r="EB433" s="58">
        <f>IFERROR($W434/$W433-1,"")</f>
        <v/>
      </c>
      <c r="EC433" s="58">
        <f>IFERROR($X434/$X433-1,"")</f>
        <v/>
      </c>
      <c r="ED433" s="58">
        <f>IFERROR($Y434/$Y433-1,"")</f>
        <v/>
      </c>
      <c r="EE433" s="58">
        <f>IFERROR($Z434/$Z433-1,"")</f>
        <v/>
      </c>
      <c r="EF433" s="58">
        <f>IFERROR($AA434/$AA433-1,"")</f>
        <v/>
      </c>
      <c r="EG433" s="58">
        <f>IFERROR($AB434/$AB433-1,"")</f>
        <v/>
      </c>
      <c r="EH433" s="58">
        <f>IFERROR($AC434/$AC433-1,"")</f>
        <v/>
      </c>
      <c r="EI433" s="58">
        <f>IFERROR($AD434/$AD433-1,"")</f>
        <v/>
      </c>
      <c r="EJ433" s="58">
        <f>IFERROR($AE434/$AE433-1,"")</f>
        <v/>
      </c>
      <c r="EK433" s="58">
        <f>IFERROR($AF434/$AF433-1,"")</f>
        <v/>
      </c>
      <c r="EL433" s="58">
        <f>IFERROR($AG434/$AG433-1,"")</f>
        <v/>
      </c>
      <c r="EM433" s="58">
        <f>IFERROR($BB433/$BB434-1,"")</f>
        <v/>
      </c>
      <c r="EN433" s="58">
        <f>IFERROR($BC433/$BC434-1,"")</f>
        <v/>
      </c>
      <c r="EO433" s="58">
        <f>IFERROR($BD433/$BD434-1,"")</f>
        <v/>
      </c>
      <c r="EP433" s="58">
        <f>IFERROR($BE433/$BE434-1,"")</f>
        <v/>
      </c>
      <c r="EQ433" s="58">
        <f>IFERROR($BF433/$BF434-1,"")</f>
        <v/>
      </c>
      <c r="ER433" s="58">
        <f>IFERROR($BG433/$BG434-1,"")</f>
        <v/>
      </c>
      <c r="ES433" s="58">
        <f>IFERROR($BH433/$BH434-1,"")</f>
        <v/>
      </c>
      <c r="ET433" s="58">
        <f>IFERROR($BI433/$BI434-1,"")</f>
        <v/>
      </c>
      <c r="EU433" s="58">
        <f>IFERROR($BJ433/$BJ434-1,"")</f>
        <v/>
      </c>
      <c r="EV433" s="58">
        <f>IFERROR($BK433/$BK434-1,"")</f>
        <v/>
      </c>
      <c r="EW433" s="58">
        <f>IFERROR($BL433/$BL434-1,"")</f>
        <v/>
      </c>
      <c r="EX433" s="58">
        <f>IFERROR($BM433/$BM434-1,"")</f>
        <v/>
      </c>
      <c r="EY433" s="58">
        <f>IFERROR($BN433/$BN434-1,"")</f>
        <v/>
      </c>
      <c r="EZ433" s="58">
        <f>IFERROR($BO433/$BO434-1,"")</f>
        <v/>
      </c>
      <c r="FA433" s="58">
        <f>IFERROR($BP433/$BP434-1,"")</f>
        <v/>
      </c>
      <c r="FB433" s="58">
        <f>IFERROR($BQ433/$BQ434-1,"")</f>
        <v/>
      </c>
      <c r="FC433" s="58">
        <f>IFERROR($BR433/$BR434-1,"")</f>
        <v/>
      </c>
      <c r="FD433" s="58">
        <f>IFERROR($BS433/$BS434-1,"")</f>
        <v/>
      </c>
      <c r="FE433" s="58">
        <f>IFERROR($BT433/$BT434-1,"")</f>
        <v/>
      </c>
      <c r="FF433" s="58">
        <f>IFERROR($BU433/$BU434-1,"")</f>
        <v/>
      </c>
      <c r="FG433" s="58">
        <f>IFERROR($BV433/$BV434-1,"")</f>
        <v/>
      </c>
      <c r="FH433" s="58">
        <f>IFERROR($BW433/$BW434-1,"")</f>
        <v/>
      </c>
      <c r="FI433" s="58">
        <f>IFERROR($BX433/$BX434-1,"")</f>
        <v/>
      </c>
      <c r="FJ433" s="59">
        <f>$BY433-$BY434</f>
        <v/>
      </c>
      <c r="FK433" s="59">
        <f>$BZ433-$BZ434</f>
        <v/>
      </c>
      <c r="FL433" s="59">
        <f>$CA433-$CA434</f>
        <v/>
      </c>
      <c r="FM433" s="59">
        <f>$CB433-$CB434</f>
        <v/>
      </c>
      <c r="FN433" s="59">
        <f>$CC433-$CC434</f>
        <v/>
      </c>
      <c r="FO433" s="59">
        <f>$CD433-$CD434</f>
        <v/>
      </c>
      <c r="FP433" s="59">
        <f>$CE433-$CE434</f>
        <v/>
      </c>
      <c r="FQ433" s="59">
        <f>$CF433-$CF434</f>
        <v/>
      </c>
      <c r="FR433" s="59">
        <f>$CG433-$CG434</f>
        <v/>
      </c>
      <c r="FS433" s="59">
        <f>$CH433-$CH434</f>
        <v/>
      </c>
      <c r="FT433" s="59">
        <f>$CI433-$CI434</f>
        <v/>
      </c>
      <c r="FU433" s="59">
        <f>$CJ433-$CJ434</f>
        <v/>
      </c>
      <c r="FV433" s="59">
        <f>$CK433-$CK434</f>
        <v/>
      </c>
      <c r="FW433" s="59">
        <f>$CL433-$CL434</f>
        <v/>
      </c>
      <c r="FX433" s="59">
        <f>$CM433-$CM434</f>
        <v/>
      </c>
      <c r="FY433" s="59">
        <f>$CN433-$CN434</f>
        <v/>
      </c>
      <c r="FZ433" s="59">
        <f>$CO433-$CO434</f>
        <v/>
      </c>
      <c r="GA433" s="59">
        <f>$CP433-$CP434</f>
        <v/>
      </c>
      <c r="GB433" s="59">
        <f>$CQ433-$CQ434</f>
        <v/>
      </c>
      <c r="GC433" s="59">
        <f>$CR433-$CR434</f>
        <v/>
      </c>
      <c r="GD433" s="59">
        <f>$CS433-$CS434</f>
        <v/>
      </c>
      <c r="GE433" s="59">
        <f>$CT433-$CT434</f>
        <v/>
      </c>
    </row>
    <row r="434">
      <c r="CU434" s="58">
        <f>IFERROR($B434/$B435-1,"")</f>
        <v/>
      </c>
      <c r="CV434" s="59">
        <f>($F434-$F435)*100</f>
        <v/>
      </c>
      <c r="CW434" s="59">
        <f>($E434-$E435)*100</f>
        <v/>
      </c>
      <c r="CX434" s="58">
        <f>IFERROR($K434/$K435-1,"")</f>
        <v/>
      </c>
      <c r="CY434" s="59">
        <f>($AH434-$AH435)*100</f>
        <v/>
      </c>
      <c r="CZ434" s="59">
        <f>($AI434-$AI435)*100</f>
        <v/>
      </c>
      <c r="DA434" s="59">
        <f>($AJ434-$AJ435)*100</f>
        <v/>
      </c>
      <c r="DB434" s="59">
        <f>($AK434-$AK435)*100</f>
        <v/>
      </c>
      <c r="DC434" s="59">
        <f>($AL434-$AL435)*100</f>
        <v/>
      </c>
      <c r="DD434" s="59">
        <f>($AM434-$AM435)*100</f>
        <v/>
      </c>
      <c r="DE434" s="59">
        <f>($AN434-$AN435)*100</f>
        <v/>
      </c>
      <c r="DF434" s="59">
        <f>($AO434-$AO435)*100</f>
        <v/>
      </c>
      <c r="DG434" s="59">
        <f>($AP434-$AP435)*100</f>
        <v/>
      </c>
      <c r="DH434" s="59">
        <f>($AQ434-$AQ435)*100</f>
        <v/>
      </c>
      <c r="DI434" s="59">
        <f>($AR434-$AR435)*100</f>
        <v/>
      </c>
      <c r="DJ434" s="59">
        <f>($AS434-$AS435)*100</f>
        <v/>
      </c>
      <c r="DK434" s="59">
        <f>($AT434-$AT435)*100</f>
        <v/>
      </c>
      <c r="DL434" s="59">
        <f>($AU434-$AU435)*100</f>
        <v/>
      </c>
      <c r="DM434" s="59">
        <f>($AV434-$AV435)*100</f>
        <v/>
      </c>
      <c r="DN434" s="59">
        <f>($AW434-$AW435)*100</f>
        <v/>
      </c>
      <c r="DO434" s="59">
        <f>($AX434-$AX435)*100</f>
        <v/>
      </c>
      <c r="DP434" s="59">
        <f>($AY434-$AY435)*100</f>
        <v/>
      </c>
      <c r="DQ434" s="59">
        <f>($AZ434-$AZ435)*100</f>
        <v/>
      </c>
      <c r="DR434" s="59">
        <f>($BA434-$BA435)*100</f>
        <v/>
      </c>
      <c r="DS434" s="58">
        <f>IFERROR($N435/$N434-1,"")</f>
        <v/>
      </c>
      <c r="DT434" s="58">
        <f>IFERROR($O435/$O434-1,"")</f>
        <v/>
      </c>
      <c r="DU434" s="58">
        <f>IFERROR($P435/$P434-1,"")</f>
        <v/>
      </c>
      <c r="DV434" s="58">
        <f>IFERROR($Q435/$Q434-1,"")</f>
        <v/>
      </c>
      <c r="DW434" s="58">
        <f>IFERROR($R435/$R434-1,"")</f>
        <v/>
      </c>
      <c r="DX434" s="58">
        <f>IFERROR($S435/$S434-1,"")</f>
        <v/>
      </c>
      <c r="DY434" s="58">
        <f>IFERROR($T435/$T434-1,"")</f>
        <v/>
      </c>
      <c r="DZ434" s="58">
        <f>IFERROR($U435/$U434-1,"")</f>
        <v/>
      </c>
      <c r="EA434" s="58">
        <f>IFERROR($V435/$V434-1,"")</f>
        <v/>
      </c>
      <c r="EB434" s="58">
        <f>IFERROR($W435/$W434-1,"")</f>
        <v/>
      </c>
      <c r="EC434" s="58">
        <f>IFERROR($X435/$X434-1,"")</f>
        <v/>
      </c>
      <c r="ED434" s="58">
        <f>IFERROR($Y435/$Y434-1,"")</f>
        <v/>
      </c>
      <c r="EE434" s="58">
        <f>IFERROR($Z435/$Z434-1,"")</f>
        <v/>
      </c>
      <c r="EF434" s="58">
        <f>IFERROR($AA435/$AA434-1,"")</f>
        <v/>
      </c>
      <c r="EG434" s="58">
        <f>IFERROR($AB435/$AB434-1,"")</f>
        <v/>
      </c>
      <c r="EH434" s="58">
        <f>IFERROR($AC435/$AC434-1,"")</f>
        <v/>
      </c>
      <c r="EI434" s="58">
        <f>IFERROR($AD435/$AD434-1,"")</f>
        <v/>
      </c>
      <c r="EJ434" s="58">
        <f>IFERROR($AE435/$AE434-1,"")</f>
        <v/>
      </c>
      <c r="EK434" s="58">
        <f>IFERROR($AF435/$AF434-1,"")</f>
        <v/>
      </c>
      <c r="EL434" s="58">
        <f>IFERROR($AG435/$AG434-1,"")</f>
        <v/>
      </c>
      <c r="EM434" s="58">
        <f>IFERROR($BB434/$BB435-1,"")</f>
        <v/>
      </c>
      <c r="EN434" s="58">
        <f>IFERROR($BC434/$BC435-1,"")</f>
        <v/>
      </c>
      <c r="EO434" s="58">
        <f>IFERROR($BD434/$BD435-1,"")</f>
        <v/>
      </c>
      <c r="EP434" s="58">
        <f>IFERROR($BE434/$BE435-1,"")</f>
        <v/>
      </c>
      <c r="EQ434" s="58">
        <f>IFERROR($BF434/$BF435-1,"")</f>
        <v/>
      </c>
      <c r="ER434" s="58">
        <f>IFERROR($BG434/$BG435-1,"")</f>
        <v/>
      </c>
      <c r="ES434" s="58">
        <f>IFERROR($BH434/$BH435-1,"")</f>
        <v/>
      </c>
      <c r="ET434" s="58">
        <f>IFERROR($BI434/$BI435-1,"")</f>
        <v/>
      </c>
      <c r="EU434" s="58">
        <f>IFERROR($BJ434/$BJ435-1,"")</f>
        <v/>
      </c>
      <c r="EV434" s="58">
        <f>IFERROR($BK434/$BK435-1,"")</f>
        <v/>
      </c>
      <c r="EW434" s="58">
        <f>IFERROR($BL434/$BL435-1,"")</f>
        <v/>
      </c>
      <c r="EX434" s="58">
        <f>IFERROR($BM434/$BM435-1,"")</f>
        <v/>
      </c>
      <c r="EY434" s="58">
        <f>IFERROR($BN434/$BN435-1,"")</f>
        <v/>
      </c>
      <c r="EZ434" s="58">
        <f>IFERROR($BO434/$BO435-1,"")</f>
        <v/>
      </c>
      <c r="FA434" s="58">
        <f>IFERROR($BP434/$BP435-1,"")</f>
        <v/>
      </c>
      <c r="FB434" s="58">
        <f>IFERROR($BQ434/$BQ435-1,"")</f>
        <v/>
      </c>
      <c r="FC434" s="58">
        <f>IFERROR($BR434/$BR435-1,"")</f>
        <v/>
      </c>
      <c r="FD434" s="58">
        <f>IFERROR($BS434/$BS435-1,"")</f>
        <v/>
      </c>
      <c r="FE434" s="58">
        <f>IFERROR($BT434/$BT435-1,"")</f>
        <v/>
      </c>
      <c r="FF434" s="58">
        <f>IFERROR($BU434/$BU435-1,"")</f>
        <v/>
      </c>
      <c r="FG434" s="58">
        <f>IFERROR($BV434/$BV435-1,"")</f>
        <v/>
      </c>
      <c r="FH434" s="58">
        <f>IFERROR($BW434/$BW435-1,"")</f>
        <v/>
      </c>
      <c r="FI434" s="58">
        <f>IFERROR($BX434/$BX435-1,"")</f>
        <v/>
      </c>
      <c r="FJ434" s="59">
        <f>$BY434-$BY435</f>
        <v/>
      </c>
      <c r="FK434" s="59">
        <f>$BZ434-$BZ435</f>
        <v/>
      </c>
      <c r="FL434" s="59">
        <f>$CA434-$CA435</f>
        <v/>
      </c>
      <c r="FM434" s="59">
        <f>$CB434-$CB435</f>
        <v/>
      </c>
      <c r="FN434" s="59">
        <f>$CC434-$CC435</f>
        <v/>
      </c>
      <c r="FO434" s="59">
        <f>$CD434-$CD435</f>
        <v/>
      </c>
      <c r="FP434" s="59">
        <f>$CE434-$CE435</f>
        <v/>
      </c>
      <c r="FQ434" s="59">
        <f>$CF434-$CF435</f>
        <v/>
      </c>
      <c r="FR434" s="59">
        <f>$CG434-$CG435</f>
        <v/>
      </c>
      <c r="FS434" s="59">
        <f>$CH434-$CH435</f>
        <v/>
      </c>
      <c r="FT434" s="59">
        <f>$CI434-$CI435</f>
        <v/>
      </c>
      <c r="FU434" s="59">
        <f>$CJ434-$CJ435</f>
        <v/>
      </c>
      <c r="FV434" s="59">
        <f>$CK434-$CK435</f>
        <v/>
      </c>
      <c r="FW434" s="59">
        <f>$CL434-$CL435</f>
        <v/>
      </c>
      <c r="FX434" s="59">
        <f>$CM434-$CM435</f>
        <v/>
      </c>
      <c r="FY434" s="59">
        <f>$CN434-$CN435</f>
        <v/>
      </c>
      <c r="FZ434" s="59">
        <f>$CO434-$CO435</f>
        <v/>
      </c>
      <c r="GA434" s="59">
        <f>$CP434-$CP435</f>
        <v/>
      </c>
      <c r="GB434" s="59">
        <f>$CQ434-$CQ435</f>
        <v/>
      </c>
      <c r="GC434" s="59">
        <f>$CR434-$CR435</f>
        <v/>
      </c>
      <c r="GD434" s="59">
        <f>$CS434-$CS435</f>
        <v/>
      </c>
      <c r="GE434" s="59">
        <f>$CT434-$CT435</f>
        <v/>
      </c>
    </row>
    <row r="435">
      <c r="CU435" s="58">
        <f>IFERROR($B435/$B436-1,"")</f>
        <v/>
      </c>
      <c r="CV435" s="59">
        <f>($F435-$F436)*100</f>
        <v/>
      </c>
      <c r="CW435" s="59">
        <f>($E435-$E436)*100</f>
        <v/>
      </c>
      <c r="CX435" s="58">
        <f>IFERROR($K435/$K436-1,"")</f>
        <v/>
      </c>
      <c r="CY435" s="59">
        <f>($AH435-$AH436)*100</f>
        <v/>
      </c>
      <c r="CZ435" s="59">
        <f>($AI435-$AI436)*100</f>
        <v/>
      </c>
      <c r="DA435" s="59">
        <f>($AJ435-$AJ436)*100</f>
        <v/>
      </c>
      <c r="DB435" s="59">
        <f>($AK435-$AK436)*100</f>
        <v/>
      </c>
      <c r="DC435" s="59">
        <f>($AL435-$AL436)*100</f>
        <v/>
      </c>
      <c r="DD435" s="59">
        <f>($AM435-$AM436)*100</f>
        <v/>
      </c>
      <c r="DE435" s="59">
        <f>($AN435-$AN436)*100</f>
        <v/>
      </c>
      <c r="DF435" s="59">
        <f>($AO435-$AO436)*100</f>
        <v/>
      </c>
      <c r="DG435" s="59">
        <f>($AP435-$AP436)*100</f>
        <v/>
      </c>
      <c r="DH435" s="59">
        <f>($AQ435-$AQ436)*100</f>
        <v/>
      </c>
      <c r="DI435" s="59">
        <f>($AR435-$AR436)*100</f>
        <v/>
      </c>
      <c r="DJ435" s="59">
        <f>($AS435-$AS436)*100</f>
        <v/>
      </c>
      <c r="DK435" s="59">
        <f>($AT435-$AT436)*100</f>
        <v/>
      </c>
      <c r="DL435" s="59">
        <f>($AU435-$AU436)*100</f>
        <v/>
      </c>
      <c r="DM435" s="59">
        <f>($AV435-$AV436)*100</f>
        <v/>
      </c>
      <c r="DN435" s="59">
        <f>($AW435-$AW436)*100</f>
        <v/>
      </c>
      <c r="DO435" s="59">
        <f>($AX435-$AX436)*100</f>
        <v/>
      </c>
      <c r="DP435" s="59">
        <f>($AY435-$AY436)*100</f>
        <v/>
      </c>
      <c r="DQ435" s="59">
        <f>($AZ435-$AZ436)*100</f>
        <v/>
      </c>
      <c r="DR435" s="59">
        <f>($BA435-$BA436)*100</f>
        <v/>
      </c>
      <c r="DS435" s="58">
        <f>IFERROR($N436/$N435-1,"")</f>
        <v/>
      </c>
      <c r="DT435" s="58">
        <f>IFERROR($O436/$O435-1,"")</f>
        <v/>
      </c>
      <c r="DU435" s="58">
        <f>IFERROR($P436/$P435-1,"")</f>
        <v/>
      </c>
      <c r="DV435" s="58">
        <f>IFERROR($Q436/$Q435-1,"")</f>
        <v/>
      </c>
      <c r="DW435" s="58">
        <f>IFERROR($R436/$R435-1,"")</f>
        <v/>
      </c>
      <c r="DX435" s="58">
        <f>IFERROR($S436/$S435-1,"")</f>
        <v/>
      </c>
      <c r="DY435" s="58">
        <f>IFERROR($T436/$T435-1,"")</f>
        <v/>
      </c>
      <c r="DZ435" s="58">
        <f>IFERROR($U436/$U435-1,"")</f>
        <v/>
      </c>
      <c r="EA435" s="58">
        <f>IFERROR($V436/$V435-1,"")</f>
        <v/>
      </c>
      <c r="EB435" s="58">
        <f>IFERROR($W436/$W435-1,"")</f>
        <v/>
      </c>
      <c r="EC435" s="58">
        <f>IFERROR($X436/$X435-1,"")</f>
        <v/>
      </c>
      <c r="ED435" s="58">
        <f>IFERROR($Y436/$Y435-1,"")</f>
        <v/>
      </c>
      <c r="EE435" s="58">
        <f>IFERROR($Z436/$Z435-1,"")</f>
        <v/>
      </c>
      <c r="EF435" s="58">
        <f>IFERROR($AA436/$AA435-1,"")</f>
        <v/>
      </c>
      <c r="EG435" s="58">
        <f>IFERROR($AB436/$AB435-1,"")</f>
        <v/>
      </c>
      <c r="EH435" s="58">
        <f>IFERROR($AC436/$AC435-1,"")</f>
        <v/>
      </c>
      <c r="EI435" s="58">
        <f>IFERROR($AD436/$AD435-1,"")</f>
        <v/>
      </c>
      <c r="EJ435" s="58">
        <f>IFERROR($AE436/$AE435-1,"")</f>
        <v/>
      </c>
      <c r="EK435" s="58">
        <f>IFERROR($AF436/$AF435-1,"")</f>
        <v/>
      </c>
      <c r="EL435" s="58">
        <f>IFERROR($AG436/$AG435-1,"")</f>
        <v/>
      </c>
      <c r="EM435" s="58">
        <f>IFERROR($BB435/$BB436-1,"")</f>
        <v/>
      </c>
      <c r="EN435" s="58">
        <f>IFERROR($BC435/$BC436-1,"")</f>
        <v/>
      </c>
      <c r="EO435" s="58">
        <f>IFERROR($BD435/$BD436-1,"")</f>
        <v/>
      </c>
      <c r="EP435" s="58">
        <f>IFERROR($BE435/$BE436-1,"")</f>
        <v/>
      </c>
      <c r="EQ435" s="58">
        <f>IFERROR($BF435/$BF436-1,"")</f>
        <v/>
      </c>
      <c r="ER435" s="58">
        <f>IFERROR($BG435/$BG436-1,"")</f>
        <v/>
      </c>
      <c r="ES435" s="58">
        <f>IFERROR($BH435/$BH436-1,"")</f>
        <v/>
      </c>
      <c r="ET435" s="58">
        <f>IFERROR($BI435/$BI436-1,"")</f>
        <v/>
      </c>
      <c r="EU435" s="58">
        <f>IFERROR($BJ435/$BJ436-1,"")</f>
        <v/>
      </c>
      <c r="EV435" s="58">
        <f>IFERROR($BK435/$BK436-1,"")</f>
        <v/>
      </c>
      <c r="EW435" s="58">
        <f>IFERROR($BL435/$BL436-1,"")</f>
        <v/>
      </c>
      <c r="EX435" s="58">
        <f>IFERROR($BM435/$BM436-1,"")</f>
        <v/>
      </c>
      <c r="EY435" s="58">
        <f>IFERROR($BN435/$BN436-1,"")</f>
        <v/>
      </c>
      <c r="EZ435" s="58">
        <f>IFERROR($BO435/$BO436-1,"")</f>
        <v/>
      </c>
      <c r="FA435" s="58">
        <f>IFERROR($BP435/$BP436-1,"")</f>
        <v/>
      </c>
      <c r="FB435" s="58">
        <f>IFERROR($BQ435/$BQ436-1,"")</f>
        <v/>
      </c>
      <c r="FC435" s="58">
        <f>IFERROR($BR435/$BR436-1,"")</f>
        <v/>
      </c>
      <c r="FD435" s="58">
        <f>IFERROR($BS435/$BS436-1,"")</f>
        <v/>
      </c>
      <c r="FE435" s="58">
        <f>IFERROR($BT435/$BT436-1,"")</f>
        <v/>
      </c>
      <c r="FF435" s="58">
        <f>IFERROR($BU435/$BU436-1,"")</f>
        <v/>
      </c>
      <c r="FG435" s="58">
        <f>IFERROR($BV435/$BV436-1,"")</f>
        <v/>
      </c>
      <c r="FH435" s="58">
        <f>IFERROR($BW435/$BW436-1,"")</f>
        <v/>
      </c>
      <c r="FI435" s="58">
        <f>IFERROR($BX435/$BX436-1,"")</f>
        <v/>
      </c>
      <c r="FJ435" s="59">
        <f>$BY435-$BY436</f>
        <v/>
      </c>
      <c r="FK435" s="59">
        <f>$BZ435-$BZ436</f>
        <v/>
      </c>
      <c r="FL435" s="59">
        <f>$CA435-$CA436</f>
        <v/>
      </c>
      <c r="FM435" s="59">
        <f>$CB435-$CB436</f>
        <v/>
      </c>
      <c r="FN435" s="59">
        <f>$CC435-$CC436</f>
        <v/>
      </c>
      <c r="FO435" s="59">
        <f>$CD435-$CD436</f>
        <v/>
      </c>
      <c r="FP435" s="59">
        <f>$CE435-$CE436</f>
        <v/>
      </c>
      <c r="FQ435" s="59">
        <f>$CF435-$CF436</f>
        <v/>
      </c>
      <c r="FR435" s="59">
        <f>$CG435-$CG436</f>
        <v/>
      </c>
      <c r="FS435" s="59">
        <f>$CH435-$CH436</f>
        <v/>
      </c>
      <c r="FT435" s="59">
        <f>$CI435-$CI436</f>
        <v/>
      </c>
      <c r="FU435" s="59">
        <f>$CJ435-$CJ436</f>
        <v/>
      </c>
      <c r="FV435" s="59">
        <f>$CK435-$CK436</f>
        <v/>
      </c>
      <c r="FW435" s="59">
        <f>$CL435-$CL436</f>
        <v/>
      </c>
      <c r="FX435" s="59">
        <f>$CM435-$CM436</f>
        <v/>
      </c>
      <c r="FY435" s="59">
        <f>$CN435-$CN436</f>
        <v/>
      </c>
      <c r="FZ435" s="59">
        <f>$CO435-$CO436</f>
        <v/>
      </c>
      <c r="GA435" s="59">
        <f>$CP435-$CP436</f>
        <v/>
      </c>
      <c r="GB435" s="59">
        <f>$CQ435-$CQ436</f>
        <v/>
      </c>
      <c r="GC435" s="59">
        <f>$CR435-$CR436</f>
        <v/>
      </c>
      <c r="GD435" s="59">
        <f>$CS435-$CS436</f>
        <v/>
      </c>
      <c r="GE435" s="59">
        <f>$CT435-$CT436</f>
        <v/>
      </c>
    </row>
    <row r="436">
      <c r="CU436" s="58">
        <f>IFERROR($B436/$B437-1,"")</f>
        <v/>
      </c>
      <c r="CV436" s="59">
        <f>($F436-$F437)*100</f>
        <v/>
      </c>
      <c r="CW436" s="59">
        <f>($E436-$E437)*100</f>
        <v/>
      </c>
      <c r="CX436" s="58">
        <f>IFERROR($K436/$K437-1,"")</f>
        <v/>
      </c>
      <c r="CY436" s="59">
        <f>($AH436-$AH437)*100</f>
        <v/>
      </c>
      <c r="CZ436" s="59">
        <f>($AI436-$AI437)*100</f>
        <v/>
      </c>
      <c r="DA436" s="59">
        <f>($AJ436-$AJ437)*100</f>
        <v/>
      </c>
      <c r="DB436" s="59">
        <f>($AK436-$AK437)*100</f>
        <v/>
      </c>
      <c r="DC436" s="59">
        <f>($AL436-$AL437)*100</f>
        <v/>
      </c>
      <c r="DD436" s="59">
        <f>($AM436-$AM437)*100</f>
        <v/>
      </c>
      <c r="DE436" s="59">
        <f>($AN436-$AN437)*100</f>
        <v/>
      </c>
      <c r="DF436" s="59">
        <f>($AO436-$AO437)*100</f>
        <v/>
      </c>
      <c r="DG436" s="59">
        <f>($AP436-$AP437)*100</f>
        <v/>
      </c>
      <c r="DH436" s="59">
        <f>($AQ436-$AQ437)*100</f>
        <v/>
      </c>
      <c r="DI436" s="59">
        <f>($AR436-$AR437)*100</f>
        <v/>
      </c>
      <c r="DJ436" s="59">
        <f>($AS436-$AS437)*100</f>
        <v/>
      </c>
      <c r="DK436" s="59">
        <f>($AT436-$AT437)*100</f>
        <v/>
      </c>
      <c r="DL436" s="59">
        <f>($AU436-$AU437)*100</f>
        <v/>
      </c>
      <c r="DM436" s="59">
        <f>($AV436-$AV437)*100</f>
        <v/>
      </c>
      <c r="DN436" s="59">
        <f>($AW436-$AW437)*100</f>
        <v/>
      </c>
      <c r="DO436" s="59">
        <f>($AX436-$AX437)*100</f>
        <v/>
      </c>
      <c r="DP436" s="59">
        <f>($AY436-$AY437)*100</f>
        <v/>
      </c>
      <c r="DQ436" s="59">
        <f>($AZ436-$AZ437)*100</f>
        <v/>
      </c>
      <c r="DR436" s="59">
        <f>($BA436-$BA437)*100</f>
        <v/>
      </c>
      <c r="DS436" s="58">
        <f>IFERROR($N437/$N436-1,"")</f>
        <v/>
      </c>
      <c r="DT436" s="58">
        <f>IFERROR($O437/$O436-1,"")</f>
        <v/>
      </c>
      <c r="DU436" s="58">
        <f>IFERROR($P437/$P436-1,"")</f>
        <v/>
      </c>
      <c r="DV436" s="58">
        <f>IFERROR($Q437/$Q436-1,"")</f>
        <v/>
      </c>
      <c r="DW436" s="58">
        <f>IFERROR($R437/$R436-1,"")</f>
        <v/>
      </c>
      <c r="DX436" s="58">
        <f>IFERROR($S437/$S436-1,"")</f>
        <v/>
      </c>
      <c r="DY436" s="58">
        <f>IFERROR($T437/$T436-1,"")</f>
        <v/>
      </c>
      <c r="DZ436" s="58">
        <f>IFERROR($U437/$U436-1,"")</f>
        <v/>
      </c>
      <c r="EA436" s="58">
        <f>IFERROR($V437/$V436-1,"")</f>
        <v/>
      </c>
      <c r="EB436" s="58">
        <f>IFERROR($W437/$W436-1,"")</f>
        <v/>
      </c>
      <c r="EC436" s="58">
        <f>IFERROR($X437/$X436-1,"")</f>
        <v/>
      </c>
      <c r="ED436" s="58">
        <f>IFERROR($Y437/$Y436-1,"")</f>
        <v/>
      </c>
      <c r="EE436" s="58">
        <f>IFERROR($Z437/$Z436-1,"")</f>
        <v/>
      </c>
      <c r="EF436" s="58">
        <f>IFERROR($AA437/$AA436-1,"")</f>
        <v/>
      </c>
      <c r="EG436" s="58">
        <f>IFERROR($AB437/$AB436-1,"")</f>
        <v/>
      </c>
      <c r="EH436" s="58">
        <f>IFERROR($AC437/$AC436-1,"")</f>
        <v/>
      </c>
      <c r="EI436" s="58">
        <f>IFERROR($AD437/$AD436-1,"")</f>
        <v/>
      </c>
      <c r="EJ436" s="58">
        <f>IFERROR($AE437/$AE436-1,"")</f>
        <v/>
      </c>
      <c r="EK436" s="58">
        <f>IFERROR($AF437/$AF436-1,"")</f>
        <v/>
      </c>
      <c r="EL436" s="58">
        <f>IFERROR($AG437/$AG436-1,"")</f>
        <v/>
      </c>
      <c r="EM436" s="58">
        <f>IFERROR($BB436/$BB437-1,"")</f>
        <v/>
      </c>
      <c r="EN436" s="58">
        <f>IFERROR($BC436/$BC437-1,"")</f>
        <v/>
      </c>
      <c r="EO436" s="58">
        <f>IFERROR($BD436/$BD437-1,"")</f>
        <v/>
      </c>
      <c r="EP436" s="58">
        <f>IFERROR($BE436/$BE437-1,"")</f>
        <v/>
      </c>
      <c r="EQ436" s="58">
        <f>IFERROR($BF436/$BF437-1,"")</f>
        <v/>
      </c>
      <c r="ER436" s="58">
        <f>IFERROR($BG436/$BG437-1,"")</f>
        <v/>
      </c>
      <c r="ES436" s="58">
        <f>IFERROR($BH436/$BH437-1,"")</f>
        <v/>
      </c>
      <c r="ET436" s="58">
        <f>IFERROR($BI436/$BI437-1,"")</f>
        <v/>
      </c>
      <c r="EU436" s="58">
        <f>IFERROR($BJ436/$BJ437-1,"")</f>
        <v/>
      </c>
      <c r="EV436" s="58">
        <f>IFERROR($BK436/$BK437-1,"")</f>
        <v/>
      </c>
      <c r="EW436" s="58">
        <f>IFERROR($BL436/$BL437-1,"")</f>
        <v/>
      </c>
      <c r="EX436" s="58">
        <f>IFERROR($BM436/$BM437-1,"")</f>
        <v/>
      </c>
      <c r="EY436" s="58">
        <f>IFERROR($BN436/$BN437-1,"")</f>
        <v/>
      </c>
      <c r="EZ436" s="58">
        <f>IFERROR($BO436/$BO437-1,"")</f>
        <v/>
      </c>
      <c r="FA436" s="58">
        <f>IFERROR($BP436/$BP437-1,"")</f>
        <v/>
      </c>
      <c r="FB436" s="58">
        <f>IFERROR($BQ436/$BQ437-1,"")</f>
        <v/>
      </c>
      <c r="FC436" s="58">
        <f>IFERROR($BR436/$BR437-1,"")</f>
        <v/>
      </c>
      <c r="FD436" s="58">
        <f>IFERROR($BS436/$BS437-1,"")</f>
        <v/>
      </c>
      <c r="FE436" s="58">
        <f>IFERROR($BT436/$BT437-1,"")</f>
        <v/>
      </c>
      <c r="FF436" s="58">
        <f>IFERROR($BU436/$BU437-1,"")</f>
        <v/>
      </c>
      <c r="FG436" s="58">
        <f>IFERROR($BV436/$BV437-1,"")</f>
        <v/>
      </c>
      <c r="FH436" s="58">
        <f>IFERROR($BW436/$BW437-1,"")</f>
        <v/>
      </c>
      <c r="FI436" s="58">
        <f>IFERROR($BX436/$BX437-1,"")</f>
        <v/>
      </c>
      <c r="FJ436" s="59">
        <f>$BY436-$BY437</f>
        <v/>
      </c>
      <c r="FK436" s="59">
        <f>$BZ436-$BZ437</f>
        <v/>
      </c>
      <c r="FL436" s="59">
        <f>$CA436-$CA437</f>
        <v/>
      </c>
      <c r="FM436" s="59">
        <f>$CB436-$CB437</f>
        <v/>
      </c>
      <c r="FN436" s="59">
        <f>$CC436-$CC437</f>
        <v/>
      </c>
      <c r="FO436" s="59">
        <f>$CD436-$CD437</f>
        <v/>
      </c>
      <c r="FP436" s="59">
        <f>$CE436-$CE437</f>
        <v/>
      </c>
      <c r="FQ436" s="59">
        <f>$CF436-$CF437</f>
        <v/>
      </c>
      <c r="FR436" s="59">
        <f>$CG436-$CG437</f>
        <v/>
      </c>
      <c r="FS436" s="59">
        <f>$CH436-$CH437</f>
        <v/>
      </c>
      <c r="FT436" s="59">
        <f>$CI436-$CI437</f>
        <v/>
      </c>
      <c r="FU436" s="59">
        <f>$CJ436-$CJ437</f>
        <v/>
      </c>
      <c r="FV436" s="59">
        <f>$CK436-$CK437</f>
        <v/>
      </c>
      <c r="FW436" s="59">
        <f>$CL436-$CL437</f>
        <v/>
      </c>
      <c r="FX436" s="59">
        <f>$CM436-$CM437</f>
        <v/>
      </c>
      <c r="FY436" s="59">
        <f>$CN436-$CN437</f>
        <v/>
      </c>
      <c r="FZ436" s="59">
        <f>$CO436-$CO437</f>
        <v/>
      </c>
      <c r="GA436" s="59">
        <f>$CP436-$CP437</f>
        <v/>
      </c>
      <c r="GB436" s="59">
        <f>$CQ436-$CQ437</f>
        <v/>
      </c>
      <c r="GC436" s="59">
        <f>$CR436-$CR437</f>
        <v/>
      </c>
      <c r="GD436" s="59">
        <f>$CS436-$CS437</f>
        <v/>
      </c>
      <c r="GE436" s="59">
        <f>$CT436-$CT437</f>
        <v/>
      </c>
    </row>
    <row r="437">
      <c r="CU437" s="58">
        <f>IFERROR($B437/$B438-1,"")</f>
        <v/>
      </c>
      <c r="CV437" s="59">
        <f>($F437-$F438)*100</f>
        <v/>
      </c>
      <c r="CW437" s="59">
        <f>($E437-$E438)*100</f>
        <v/>
      </c>
      <c r="CX437" s="58">
        <f>IFERROR($K437/$K438-1,"")</f>
        <v/>
      </c>
      <c r="CY437" s="59">
        <f>($AH437-$AH438)*100</f>
        <v/>
      </c>
      <c r="CZ437" s="59">
        <f>($AI437-$AI438)*100</f>
        <v/>
      </c>
      <c r="DA437" s="59">
        <f>($AJ437-$AJ438)*100</f>
        <v/>
      </c>
      <c r="DB437" s="59">
        <f>($AK437-$AK438)*100</f>
        <v/>
      </c>
      <c r="DC437" s="59">
        <f>($AL437-$AL438)*100</f>
        <v/>
      </c>
      <c r="DD437" s="59">
        <f>($AM437-$AM438)*100</f>
        <v/>
      </c>
      <c r="DE437" s="59">
        <f>($AN437-$AN438)*100</f>
        <v/>
      </c>
      <c r="DF437" s="59">
        <f>($AO437-$AO438)*100</f>
        <v/>
      </c>
      <c r="DG437" s="59">
        <f>($AP437-$AP438)*100</f>
        <v/>
      </c>
      <c r="DH437" s="59">
        <f>($AQ437-$AQ438)*100</f>
        <v/>
      </c>
      <c r="DI437" s="59">
        <f>($AR437-$AR438)*100</f>
        <v/>
      </c>
      <c r="DJ437" s="59">
        <f>($AS437-$AS438)*100</f>
        <v/>
      </c>
      <c r="DK437" s="59">
        <f>($AT437-$AT438)*100</f>
        <v/>
      </c>
      <c r="DL437" s="59">
        <f>($AU437-$AU438)*100</f>
        <v/>
      </c>
      <c r="DM437" s="59">
        <f>($AV437-$AV438)*100</f>
        <v/>
      </c>
      <c r="DN437" s="59">
        <f>($AW437-$AW438)*100</f>
        <v/>
      </c>
      <c r="DO437" s="59">
        <f>($AX437-$AX438)*100</f>
        <v/>
      </c>
      <c r="DP437" s="59">
        <f>($AY437-$AY438)*100</f>
        <v/>
      </c>
      <c r="DQ437" s="59">
        <f>($AZ437-$AZ438)*100</f>
        <v/>
      </c>
      <c r="DR437" s="59">
        <f>($BA437-$BA438)*100</f>
        <v/>
      </c>
      <c r="DS437" s="58">
        <f>IFERROR($N438/$N437-1,"")</f>
        <v/>
      </c>
      <c r="DT437" s="58">
        <f>IFERROR($O438/$O437-1,"")</f>
        <v/>
      </c>
      <c r="DU437" s="58">
        <f>IFERROR($P438/$P437-1,"")</f>
        <v/>
      </c>
      <c r="DV437" s="58">
        <f>IFERROR($Q438/$Q437-1,"")</f>
        <v/>
      </c>
      <c r="DW437" s="58">
        <f>IFERROR($R438/$R437-1,"")</f>
        <v/>
      </c>
      <c r="DX437" s="58">
        <f>IFERROR($S438/$S437-1,"")</f>
        <v/>
      </c>
      <c r="DY437" s="58">
        <f>IFERROR($T438/$T437-1,"")</f>
        <v/>
      </c>
      <c r="DZ437" s="58">
        <f>IFERROR($U438/$U437-1,"")</f>
        <v/>
      </c>
      <c r="EA437" s="58">
        <f>IFERROR($V438/$V437-1,"")</f>
        <v/>
      </c>
      <c r="EB437" s="58">
        <f>IFERROR($W438/$W437-1,"")</f>
        <v/>
      </c>
      <c r="EC437" s="58">
        <f>IFERROR($X438/$X437-1,"")</f>
        <v/>
      </c>
      <c r="ED437" s="58">
        <f>IFERROR($Y438/$Y437-1,"")</f>
        <v/>
      </c>
      <c r="EE437" s="58">
        <f>IFERROR($Z438/$Z437-1,"")</f>
        <v/>
      </c>
      <c r="EF437" s="58">
        <f>IFERROR($AA438/$AA437-1,"")</f>
        <v/>
      </c>
      <c r="EG437" s="58">
        <f>IFERROR($AB438/$AB437-1,"")</f>
        <v/>
      </c>
      <c r="EH437" s="58">
        <f>IFERROR($AC438/$AC437-1,"")</f>
        <v/>
      </c>
      <c r="EI437" s="58">
        <f>IFERROR($AD438/$AD437-1,"")</f>
        <v/>
      </c>
      <c r="EJ437" s="58">
        <f>IFERROR($AE438/$AE437-1,"")</f>
        <v/>
      </c>
      <c r="EK437" s="58">
        <f>IFERROR($AF438/$AF437-1,"")</f>
        <v/>
      </c>
      <c r="EL437" s="58">
        <f>IFERROR($AG438/$AG437-1,"")</f>
        <v/>
      </c>
      <c r="EM437" s="58">
        <f>IFERROR($BB437/$BB438-1,"")</f>
        <v/>
      </c>
      <c r="EN437" s="58">
        <f>IFERROR($BC437/$BC438-1,"")</f>
        <v/>
      </c>
      <c r="EO437" s="58">
        <f>IFERROR($BD437/$BD438-1,"")</f>
        <v/>
      </c>
      <c r="EP437" s="58">
        <f>IFERROR($BE437/$BE438-1,"")</f>
        <v/>
      </c>
      <c r="EQ437" s="58">
        <f>IFERROR($BF437/$BF438-1,"")</f>
        <v/>
      </c>
      <c r="ER437" s="58">
        <f>IFERROR($BG437/$BG438-1,"")</f>
        <v/>
      </c>
      <c r="ES437" s="58">
        <f>IFERROR($BH437/$BH438-1,"")</f>
        <v/>
      </c>
      <c r="ET437" s="58">
        <f>IFERROR($BI437/$BI438-1,"")</f>
        <v/>
      </c>
      <c r="EU437" s="58">
        <f>IFERROR($BJ437/$BJ438-1,"")</f>
        <v/>
      </c>
      <c r="EV437" s="58">
        <f>IFERROR($BK437/$BK438-1,"")</f>
        <v/>
      </c>
      <c r="EW437" s="58">
        <f>IFERROR($BL437/$BL438-1,"")</f>
        <v/>
      </c>
      <c r="EX437" s="58">
        <f>IFERROR($BM437/$BM438-1,"")</f>
        <v/>
      </c>
      <c r="EY437" s="58">
        <f>IFERROR($BN437/$BN438-1,"")</f>
        <v/>
      </c>
      <c r="EZ437" s="58">
        <f>IFERROR($BO437/$BO438-1,"")</f>
        <v/>
      </c>
      <c r="FA437" s="58">
        <f>IFERROR($BP437/$BP438-1,"")</f>
        <v/>
      </c>
      <c r="FB437" s="58">
        <f>IFERROR($BQ437/$BQ438-1,"")</f>
        <v/>
      </c>
      <c r="FC437" s="58">
        <f>IFERROR($BR437/$BR438-1,"")</f>
        <v/>
      </c>
      <c r="FD437" s="58">
        <f>IFERROR($BS437/$BS438-1,"")</f>
        <v/>
      </c>
      <c r="FE437" s="58">
        <f>IFERROR($BT437/$BT438-1,"")</f>
        <v/>
      </c>
      <c r="FF437" s="58">
        <f>IFERROR($BU437/$BU438-1,"")</f>
        <v/>
      </c>
      <c r="FG437" s="58">
        <f>IFERROR($BV437/$BV438-1,"")</f>
        <v/>
      </c>
      <c r="FH437" s="58">
        <f>IFERROR($BW437/$BW438-1,"")</f>
        <v/>
      </c>
      <c r="FI437" s="58">
        <f>IFERROR($BX437/$BX438-1,"")</f>
        <v/>
      </c>
      <c r="FJ437" s="59">
        <f>$BY437-$BY438</f>
        <v/>
      </c>
      <c r="FK437" s="59">
        <f>$BZ437-$BZ438</f>
        <v/>
      </c>
      <c r="FL437" s="59">
        <f>$CA437-$CA438</f>
        <v/>
      </c>
      <c r="FM437" s="59">
        <f>$CB437-$CB438</f>
        <v/>
      </c>
      <c r="FN437" s="59">
        <f>$CC437-$CC438</f>
        <v/>
      </c>
      <c r="FO437" s="59">
        <f>$CD437-$CD438</f>
        <v/>
      </c>
      <c r="FP437" s="59">
        <f>$CE437-$CE438</f>
        <v/>
      </c>
      <c r="FQ437" s="59">
        <f>$CF437-$CF438</f>
        <v/>
      </c>
      <c r="FR437" s="59">
        <f>$CG437-$CG438</f>
        <v/>
      </c>
      <c r="FS437" s="59">
        <f>$CH437-$CH438</f>
        <v/>
      </c>
      <c r="FT437" s="59">
        <f>$CI437-$CI438</f>
        <v/>
      </c>
      <c r="FU437" s="59">
        <f>$CJ437-$CJ438</f>
        <v/>
      </c>
      <c r="FV437" s="59">
        <f>$CK437-$CK438</f>
        <v/>
      </c>
      <c r="FW437" s="59">
        <f>$CL437-$CL438</f>
        <v/>
      </c>
      <c r="FX437" s="59">
        <f>$CM437-$CM438</f>
        <v/>
      </c>
      <c r="FY437" s="59">
        <f>$CN437-$CN438</f>
        <v/>
      </c>
      <c r="FZ437" s="59">
        <f>$CO437-$CO438</f>
        <v/>
      </c>
      <c r="GA437" s="59">
        <f>$CP437-$CP438</f>
        <v/>
      </c>
      <c r="GB437" s="59">
        <f>$CQ437-$CQ438</f>
        <v/>
      </c>
      <c r="GC437" s="59">
        <f>$CR437-$CR438</f>
        <v/>
      </c>
      <c r="GD437" s="59">
        <f>$CS437-$CS438</f>
        <v/>
      </c>
      <c r="GE437" s="59">
        <f>$CT437-$CT438</f>
        <v/>
      </c>
    </row>
    <row r="438">
      <c r="CU438" s="58">
        <f>IFERROR($B438/$B439-1,"")</f>
        <v/>
      </c>
      <c r="CV438" s="59">
        <f>($F438-$F439)*100</f>
        <v/>
      </c>
      <c r="CW438" s="59">
        <f>($E438-$E439)*100</f>
        <v/>
      </c>
      <c r="CX438" s="58">
        <f>IFERROR($K438/$K439-1,"")</f>
        <v/>
      </c>
      <c r="CY438" s="59">
        <f>($AH438-$AH439)*100</f>
        <v/>
      </c>
      <c r="CZ438" s="59">
        <f>($AI438-$AI439)*100</f>
        <v/>
      </c>
      <c r="DA438" s="59">
        <f>($AJ438-$AJ439)*100</f>
        <v/>
      </c>
      <c r="DB438" s="59">
        <f>($AK438-$AK439)*100</f>
        <v/>
      </c>
      <c r="DC438" s="59">
        <f>($AL438-$AL439)*100</f>
        <v/>
      </c>
      <c r="DD438" s="59">
        <f>($AM438-$AM439)*100</f>
        <v/>
      </c>
      <c r="DE438" s="59">
        <f>($AN438-$AN439)*100</f>
        <v/>
      </c>
      <c r="DF438" s="59">
        <f>($AO438-$AO439)*100</f>
        <v/>
      </c>
      <c r="DG438" s="59">
        <f>($AP438-$AP439)*100</f>
        <v/>
      </c>
      <c r="DH438" s="59">
        <f>($AQ438-$AQ439)*100</f>
        <v/>
      </c>
      <c r="DI438" s="59">
        <f>($AR438-$AR439)*100</f>
        <v/>
      </c>
      <c r="DJ438" s="59">
        <f>($AS438-$AS439)*100</f>
        <v/>
      </c>
      <c r="DK438" s="59">
        <f>($AT438-$AT439)*100</f>
        <v/>
      </c>
      <c r="DL438" s="59">
        <f>($AU438-$AU439)*100</f>
        <v/>
      </c>
      <c r="DM438" s="59">
        <f>($AV438-$AV439)*100</f>
        <v/>
      </c>
      <c r="DN438" s="59">
        <f>($AW438-$AW439)*100</f>
        <v/>
      </c>
      <c r="DO438" s="59">
        <f>($AX438-$AX439)*100</f>
        <v/>
      </c>
      <c r="DP438" s="59">
        <f>($AY438-$AY439)*100</f>
        <v/>
      </c>
      <c r="DQ438" s="59">
        <f>($AZ438-$AZ439)*100</f>
        <v/>
      </c>
      <c r="DR438" s="59">
        <f>($BA438-$BA439)*100</f>
        <v/>
      </c>
      <c r="DS438" s="58">
        <f>IFERROR($N439/$N438-1,"")</f>
        <v/>
      </c>
      <c r="DT438" s="58">
        <f>IFERROR($O439/$O438-1,"")</f>
        <v/>
      </c>
      <c r="DU438" s="58">
        <f>IFERROR($P439/$P438-1,"")</f>
        <v/>
      </c>
      <c r="DV438" s="58">
        <f>IFERROR($Q439/$Q438-1,"")</f>
        <v/>
      </c>
      <c r="DW438" s="58">
        <f>IFERROR($R439/$R438-1,"")</f>
        <v/>
      </c>
      <c r="DX438" s="58">
        <f>IFERROR($S439/$S438-1,"")</f>
        <v/>
      </c>
      <c r="DY438" s="58">
        <f>IFERROR($T439/$T438-1,"")</f>
        <v/>
      </c>
      <c r="DZ438" s="58">
        <f>IFERROR($U439/$U438-1,"")</f>
        <v/>
      </c>
      <c r="EA438" s="58">
        <f>IFERROR($V439/$V438-1,"")</f>
        <v/>
      </c>
      <c r="EB438" s="58">
        <f>IFERROR($W439/$W438-1,"")</f>
        <v/>
      </c>
      <c r="EC438" s="58">
        <f>IFERROR($X439/$X438-1,"")</f>
        <v/>
      </c>
      <c r="ED438" s="58">
        <f>IFERROR($Y439/$Y438-1,"")</f>
        <v/>
      </c>
      <c r="EE438" s="58">
        <f>IFERROR($Z439/$Z438-1,"")</f>
        <v/>
      </c>
      <c r="EF438" s="58">
        <f>IFERROR($AA439/$AA438-1,"")</f>
        <v/>
      </c>
      <c r="EG438" s="58">
        <f>IFERROR($AB439/$AB438-1,"")</f>
        <v/>
      </c>
      <c r="EH438" s="58">
        <f>IFERROR($AC439/$AC438-1,"")</f>
        <v/>
      </c>
      <c r="EI438" s="58">
        <f>IFERROR($AD439/$AD438-1,"")</f>
        <v/>
      </c>
      <c r="EJ438" s="58">
        <f>IFERROR($AE439/$AE438-1,"")</f>
        <v/>
      </c>
      <c r="EK438" s="58">
        <f>IFERROR($AF439/$AF438-1,"")</f>
        <v/>
      </c>
      <c r="EL438" s="58">
        <f>IFERROR($AG439/$AG438-1,"")</f>
        <v/>
      </c>
      <c r="EM438" s="58">
        <f>IFERROR($BB438/$BB439-1,"")</f>
        <v/>
      </c>
      <c r="EN438" s="58">
        <f>IFERROR($BC438/$BC439-1,"")</f>
        <v/>
      </c>
      <c r="EO438" s="58">
        <f>IFERROR($BD438/$BD439-1,"")</f>
        <v/>
      </c>
      <c r="EP438" s="58">
        <f>IFERROR($BE438/$BE439-1,"")</f>
        <v/>
      </c>
      <c r="EQ438" s="58">
        <f>IFERROR($BF438/$BF439-1,"")</f>
        <v/>
      </c>
      <c r="ER438" s="58">
        <f>IFERROR($BG438/$BG439-1,"")</f>
        <v/>
      </c>
      <c r="ES438" s="58">
        <f>IFERROR($BH438/$BH439-1,"")</f>
        <v/>
      </c>
      <c r="ET438" s="58">
        <f>IFERROR($BI438/$BI439-1,"")</f>
        <v/>
      </c>
      <c r="EU438" s="58">
        <f>IFERROR($BJ438/$BJ439-1,"")</f>
        <v/>
      </c>
      <c r="EV438" s="58">
        <f>IFERROR($BK438/$BK439-1,"")</f>
        <v/>
      </c>
      <c r="EW438" s="58">
        <f>IFERROR($BL438/$BL439-1,"")</f>
        <v/>
      </c>
      <c r="EX438" s="58">
        <f>IFERROR($BM438/$BM439-1,"")</f>
        <v/>
      </c>
      <c r="EY438" s="58">
        <f>IFERROR($BN438/$BN439-1,"")</f>
        <v/>
      </c>
      <c r="EZ438" s="58">
        <f>IFERROR($BO438/$BO439-1,"")</f>
        <v/>
      </c>
      <c r="FA438" s="58">
        <f>IFERROR($BP438/$BP439-1,"")</f>
        <v/>
      </c>
      <c r="FB438" s="58">
        <f>IFERROR($BQ438/$BQ439-1,"")</f>
        <v/>
      </c>
      <c r="FC438" s="58">
        <f>IFERROR($BR438/$BR439-1,"")</f>
        <v/>
      </c>
      <c r="FD438" s="58">
        <f>IFERROR($BS438/$BS439-1,"")</f>
        <v/>
      </c>
      <c r="FE438" s="58">
        <f>IFERROR($BT438/$BT439-1,"")</f>
        <v/>
      </c>
      <c r="FF438" s="58">
        <f>IFERROR($BU438/$BU439-1,"")</f>
        <v/>
      </c>
      <c r="FG438" s="58">
        <f>IFERROR($BV438/$BV439-1,"")</f>
        <v/>
      </c>
      <c r="FH438" s="58">
        <f>IFERROR($BW438/$BW439-1,"")</f>
        <v/>
      </c>
      <c r="FI438" s="58">
        <f>IFERROR($BX438/$BX439-1,"")</f>
        <v/>
      </c>
      <c r="FJ438" s="59">
        <f>$BY438-$BY439</f>
        <v/>
      </c>
      <c r="FK438" s="59">
        <f>$BZ438-$BZ439</f>
        <v/>
      </c>
      <c r="FL438" s="59">
        <f>$CA438-$CA439</f>
        <v/>
      </c>
      <c r="FM438" s="59">
        <f>$CB438-$CB439</f>
        <v/>
      </c>
      <c r="FN438" s="59">
        <f>$CC438-$CC439</f>
        <v/>
      </c>
      <c r="FO438" s="59">
        <f>$CD438-$CD439</f>
        <v/>
      </c>
      <c r="FP438" s="59">
        <f>$CE438-$CE439</f>
        <v/>
      </c>
      <c r="FQ438" s="59">
        <f>$CF438-$CF439</f>
        <v/>
      </c>
      <c r="FR438" s="59">
        <f>$CG438-$CG439</f>
        <v/>
      </c>
      <c r="FS438" s="59">
        <f>$CH438-$CH439</f>
        <v/>
      </c>
      <c r="FT438" s="59">
        <f>$CI438-$CI439</f>
        <v/>
      </c>
      <c r="FU438" s="59">
        <f>$CJ438-$CJ439</f>
        <v/>
      </c>
      <c r="FV438" s="59">
        <f>$CK438-$CK439</f>
        <v/>
      </c>
      <c r="FW438" s="59">
        <f>$CL438-$CL439</f>
        <v/>
      </c>
      <c r="FX438" s="59">
        <f>$CM438-$CM439</f>
        <v/>
      </c>
      <c r="FY438" s="59">
        <f>$CN438-$CN439</f>
        <v/>
      </c>
      <c r="FZ438" s="59">
        <f>$CO438-$CO439</f>
        <v/>
      </c>
      <c r="GA438" s="59">
        <f>$CP438-$CP439</f>
        <v/>
      </c>
      <c r="GB438" s="59">
        <f>$CQ438-$CQ439</f>
        <v/>
      </c>
      <c r="GC438" s="59">
        <f>$CR438-$CR439</f>
        <v/>
      </c>
      <c r="GD438" s="59">
        <f>$CS438-$CS439</f>
        <v/>
      </c>
      <c r="GE438" s="59">
        <f>$CT438-$CT439</f>
        <v/>
      </c>
    </row>
    <row r="439">
      <c r="CU439" s="58">
        <f>IFERROR($B439/$B440-1,"")</f>
        <v/>
      </c>
      <c r="CV439" s="59">
        <f>($F439-$F440)*100</f>
        <v/>
      </c>
      <c r="CW439" s="59">
        <f>($E439-$E440)*100</f>
        <v/>
      </c>
      <c r="CX439" s="58">
        <f>IFERROR($K439/$K440-1,"")</f>
        <v/>
      </c>
      <c r="CY439" s="59">
        <f>($AH439-$AH440)*100</f>
        <v/>
      </c>
      <c r="CZ439" s="59">
        <f>($AI439-$AI440)*100</f>
        <v/>
      </c>
      <c r="DA439" s="59">
        <f>($AJ439-$AJ440)*100</f>
        <v/>
      </c>
      <c r="DB439" s="59">
        <f>($AK439-$AK440)*100</f>
        <v/>
      </c>
      <c r="DC439" s="59">
        <f>($AL439-$AL440)*100</f>
        <v/>
      </c>
      <c r="DD439" s="59">
        <f>($AM439-$AM440)*100</f>
        <v/>
      </c>
      <c r="DE439" s="59">
        <f>($AN439-$AN440)*100</f>
        <v/>
      </c>
      <c r="DF439" s="59">
        <f>($AO439-$AO440)*100</f>
        <v/>
      </c>
      <c r="DG439" s="59">
        <f>($AP439-$AP440)*100</f>
        <v/>
      </c>
      <c r="DH439" s="59">
        <f>($AQ439-$AQ440)*100</f>
        <v/>
      </c>
      <c r="DI439" s="59">
        <f>($AR439-$AR440)*100</f>
        <v/>
      </c>
      <c r="DJ439" s="59">
        <f>($AS439-$AS440)*100</f>
        <v/>
      </c>
      <c r="DK439" s="59">
        <f>($AT439-$AT440)*100</f>
        <v/>
      </c>
      <c r="DL439" s="59">
        <f>($AU439-$AU440)*100</f>
        <v/>
      </c>
      <c r="DM439" s="59">
        <f>($AV439-$AV440)*100</f>
        <v/>
      </c>
      <c r="DN439" s="59">
        <f>($AW439-$AW440)*100</f>
        <v/>
      </c>
      <c r="DO439" s="59">
        <f>($AX439-$AX440)*100</f>
        <v/>
      </c>
      <c r="DP439" s="59">
        <f>($AY439-$AY440)*100</f>
        <v/>
      </c>
      <c r="DQ439" s="59">
        <f>($AZ439-$AZ440)*100</f>
        <v/>
      </c>
      <c r="DR439" s="59">
        <f>($BA439-$BA440)*100</f>
        <v/>
      </c>
      <c r="DS439" s="58">
        <f>IFERROR($N440/$N439-1,"")</f>
        <v/>
      </c>
      <c r="DT439" s="58">
        <f>IFERROR($O440/$O439-1,"")</f>
        <v/>
      </c>
      <c r="DU439" s="58">
        <f>IFERROR($P440/$P439-1,"")</f>
        <v/>
      </c>
      <c r="DV439" s="58">
        <f>IFERROR($Q440/$Q439-1,"")</f>
        <v/>
      </c>
      <c r="DW439" s="58">
        <f>IFERROR($R440/$R439-1,"")</f>
        <v/>
      </c>
      <c r="DX439" s="58">
        <f>IFERROR($S440/$S439-1,"")</f>
        <v/>
      </c>
      <c r="DY439" s="58">
        <f>IFERROR($T440/$T439-1,"")</f>
        <v/>
      </c>
      <c r="DZ439" s="58">
        <f>IFERROR($U440/$U439-1,"")</f>
        <v/>
      </c>
      <c r="EA439" s="58">
        <f>IFERROR($V440/$V439-1,"")</f>
        <v/>
      </c>
      <c r="EB439" s="58">
        <f>IFERROR($W440/$W439-1,"")</f>
        <v/>
      </c>
      <c r="EC439" s="58">
        <f>IFERROR($X440/$X439-1,"")</f>
        <v/>
      </c>
      <c r="ED439" s="58">
        <f>IFERROR($Y440/$Y439-1,"")</f>
        <v/>
      </c>
      <c r="EE439" s="58">
        <f>IFERROR($Z440/$Z439-1,"")</f>
        <v/>
      </c>
      <c r="EF439" s="58">
        <f>IFERROR($AA440/$AA439-1,"")</f>
        <v/>
      </c>
      <c r="EG439" s="58">
        <f>IFERROR($AB440/$AB439-1,"")</f>
        <v/>
      </c>
      <c r="EH439" s="58">
        <f>IFERROR($AC440/$AC439-1,"")</f>
        <v/>
      </c>
      <c r="EI439" s="58">
        <f>IFERROR($AD440/$AD439-1,"")</f>
        <v/>
      </c>
      <c r="EJ439" s="58">
        <f>IFERROR($AE440/$AE439-1,"")</f>
        <v/>
      </c>
      <c r="EK439" s="58">
        <f>IFERROR($AF440/$AF439-1,"")</f>
        <v/>
      </c>
      <c r="EL439" s="58">
        <f>IFERROR($AG440/$AG439-1,"")</f>
        <v/>
      </c>
      <c r="EM439" s="58">
        <f>IFERROR($BB439/$BB440-1,"")</f>
        <v/>
      </c>
      <c r="EN439" s="58">
        <f>IFERROR($BC439/$BC440-1,"")</f>
        <v/>
      </c>
      <c r="EO439" s="58">
        <f>IFERROR($BD439/$BD440-1,"")</f>
        <v/>
      </c>
      <c r="EP439" s="58">
        <f>IFERROR($BE439/$BE440-1,"")</f>
        <v/>
      </c>
      <c r="EQ439" s="58">
        <f>IFERROR($BF439/$BF440-1,"")</f>
        <v/>
      </c>
      <c r="ER439" s="58">
        <f>IFERROR($BG439/$BG440-1,"")</f>
        <v/>
      </c>
      <c r="ES439" s="58">
        <f>IFERROR($BH439/$BH440-1,"")</f>
        <v/>
      </c>
      <c r="ET439" s="58">
        <f>IFERROR($BI439/$BI440-1,"")</f>
        <v/>
      </c>
      <c r="EU439" s="58">
        <f>IFERROR($BJ439/$BJ440-1,"")</f>
        <v/>
      </c>
      <c r="EV439" s="58">
        <f>IFERROR($BK439/$BK440-1,"")</f>
        <v/>
      </c>
      <c r="EW439" s="58">
        <f>IFERROR($BL439/$BL440-1,"")</f>
        <v/>
      </c>
      <c r="EX439" s="58">
        <f>IFERROR($BM439/$BM440-1,"")</f>
        <v/>
      </c>
      <c r="EY439" s="58">
        <f>IFERROR($BN439/$BN440-1,"")</f>
        <v/>
      </c>
      <c r="EZ439" s="58">
        <f>IFERROR($BO439/$BO440-1,"")</f>
        <v/>
      </c>
      <c r="FA439" s="58">
        <f>IFERROR($BP439/$BP440-1,"")</f>
        <v/>
      </c>
      <c r="FB439" s="58">
        <f>IFERROR($BQ439/$BQ440-1,"")</f>
        <v/>
      </c>
      <c r="FC439" s="58">
        <f>IFERROR($BR439/$BR440-1,"")</f>
        <v/>
      </c>
      <c r="FD439" s="58">
        <f>IFERROR($BS439/$BS440-1,"")</f>
        <v/>
      </c>
      <c r="FE439" s="58">
        <f>IFERROR($BT439/$BT440-1,"")</f>
        <v/>
      </c>
      <c r="FF439" s="58">
        <f>IFERROR($BU439/$BU440-1,"")</f>
        <v/>
      </c>
      <c r="FG439" s="58">
        <f>IFERROR($BV439/$BV440-1,"")</f>
        <v/>
      </c>
      <c r="FH439" s="58">
        <f>IFERROR($BW439/$BW440-1,"")</f>
        <v/>
      </c>
      <c r="FI439" s="58">
        <f>IFERROR($BX439/$BX440-1,"")</f>
        <v/>
      </c>
      <c r="FJ439" s="59">
        <f>$BY439-$BY440</f>
        <v/>
      </c>
      <c r="FK439" s="59">
        <f>$BZ439-$BZ440</f>
        <v/>
      </c>
      <c r="FL439" s="59">
        <f>$CA439-$CA440</f>
        <v/>
      </c>
      <c r="FM439" s="59">
        <f>$CB439-$CB440</f>
        <v/>
      </c>
      <c r="FN439" s="59">
        <f>$CC439-$CC440</f>
        <v/>
      </c>
      <c r="FO439" s="59">
        <f>$CD439-$CD440</f>
        <v/>
      </c>
      <c r="FP439" s="59">
        <f>$CE439-$CE440</f>
        <v/>
      </c>
      <c r="FQ439" s="59">
        <f>$CF439-$CF440</f>
        <v/>
      </c>
      <c r="FR439" s="59">
        <f>$CG439-$CG440</f>
        <v/>
      </c>
      <c r="FS439" s="59">
        <f>$CH439-$CH440</f>
        <v/>
      </c>
      <c r="FT439" s="59">
        <f>$CI439-$CI440</f>
        <v/>
      </c>
      <c r="FU439" s="59">
        <f>$CJ439-$CJ440</f>
        <v/>
      </c>
      <c r="FV439" s="59">
        <f>$CK439-$CK440</f>
        <v/>
      </c>
      <c r="FW439" s="59">
        <f>$CL439-$CL440</f>
        <v/>
      </c>
      <c r="FX439" s="59">
        <f>$CM439-$CM440</f>
        <v/>
      </c>
      <c r="FY439" s="59">
        <f>$CN439-$CN440</f>
        <v/>
      </c>
      <c r="FZ439" s="59">
        <f>$CO439-$CO440</f>
        <v/>
      </c>
      <c r="GA439" s="59">
        <f>$CP439-$CP440</f>
        <v/>
      </c>
      <c r="GB439" s="59">
        <f>$CQ439-$CQ440</f>
        <v/>
      </c>
      <c r="GC439" s="59">
        <f>$CR439-$CR440</f>
        <v/>
      </c>
      <c r="GD439" s="59">
        <f>$CS439-$CS440</f>
        <v/>
      </c>
      <c r="GE439" s="59">
        <f>$CT439-$CT440</f>
        <v/>
      </c>
    </row>
    <row r="440">
      <c r="CU440" s="58">
        <f>IFERROR($B440/$B441-1,"")</f>
        <v/>
      </c>
      <c r="CV440" s="59">
        <f>($F440-$F441)*100</f>
        <v/>
      </c>
      <c r="CW440" s="59">
        <f>($E440-$E441)*100</f>
        <v/>
      </c>
      <c r="CX440" s="58">
        <f>IFERROR($K440/$K441-1,"")</f>
        <v/>
      </c>
      <c r="CY440" s="59">
        <f>($AH440-$AH441)*100</f>
        <v/>
      </c>
      <c r="CZ440" s="59">
        <f>($AI440-$AI441)*100</f>
        <v/>
      </c>
      <c r="DA440" s="59">
        <f>($AJ440-$AJ441)*100</f>
        <v/>
      </c>
      <c r="DB440" s="59">
        <f>($AK440-$AK441)*100</f>
        <v/>
      </c>
      <c r="DC440" s="59">
        <f>($AL440-$AL441)*100</f>
        <v/>
      </c>
      <c r="DD440" s="59">
        <f>($AM440-$AM441)*100</f>
        <v/>
      </c>
      <c r="DE440" s="59">
        <f>($AN440-$AN441)*100</f>
        <v/>
      </c>
      <c r="DF440" s="59">
        <f>($AO440-$AO441)*100</f>
        <v/>
      </c>
      <c r="DG440" s="59">
        <f>($AP440-$AP441)*100</f>
        <v/>
      </c>
      <c r="DH440" s="59">
        <f>($AQ440-$AQ441)*100</f>
        <v/>
      </c>
      <c r="DI440" s="59">
        <f>($AR440-$AR441)*100</f>
        <v/>
      </c>
      <c r="DJ440" s="59">
        <f>($AS440-$AS441)*100</f>
        <v/>
      </c>
      <c r="DK440" s="59">
        <f>($AT440-$AT441)*100</f>
        <v/>
      </c>
      <c r="DL440" s="59">
        <f>($AU440-$AU441)*100</f>
        <v/>
      </c>
      <c r="DM440" s="59">
        <f>($AV440-$AV441)*100</f>
        <v/>
      </c>
      <c r="DN440" s="59">
        <f>($AW440-$AW441)*100</f>
        <v/>
      </c>
      <c r="DO440" s="59">
        <f>($AX440-$AX441)*100</f>
        <v/>
      </c>
      <c r="DP440" s="59">
        <f>($AY440-$AY441)*100</f>
        <v/>
      </c>
      <c r="DQ440" s="59">
        <f>($AZ440-$AZ441)*100</f>
        <v/>
      </c>
      <c r="DR440" s="59">
        <f>($BA440-$BA441)*100</f>
        <v/>
      </c>
      <c r="DS440" s="58">
        <f>IFERROR($N441/$N440-1,"")</f>
        <v/>
      </c>
      <c r="DT440" s="58">
        <f>IFERROR($O441/$O440-1,"")</f>
        <v/>
      </c>
      <c r="DU440" s="58">
        <f>IFERROR($P441/$P440-1,"")</f>
        <v/>
      </c>
      <c r="DV440" s="58">
        <f>IFERROR($Q441/$Q440-1,"")</f>
        <v/>
      </c>
      <c r="DW440" s="58">
        <f>IFERROR($R441/$R440-1,"")</f>
        <v/>
      </c>
      <c r="DX440" s="58">
        <f>IFERROR($S441/$S440-1,"")</f>
        <v/>
      </c>
      <c r="DY440" s="58">
        <f>IFERROR($T441/$T440-1,"")</f>
        <v/>
      </c>
      <c r="DZ440" s="58">
        <f>IFERROR($U441/$U440-1,"")</f>
        <v/>
      </c>
      <c r="EA440" s="58">
        <f>IFERROR($V441/$V440-1,"")</f>
        <v/>
      </c>
      <c r="EB440" s="58">
        <f>IFERROR($W441/$W440-1,"")</f>
        <v/>
      </c>
      <c r="EC440" s="58">
        <f>IFERROR($X441/$X440-1,"")</f>
        <v/>
      </c>
      <c r="ED440" s="58">
        <f>IFERROR($Y441/$Y440-1,"")</f>
        <v/>
      </c>
      <c r="EE440" s="58">
        <f>IFERROR($Z441/$Z440-1,"")</f>
        <v/>
      </c>
      <c r="EF440" s="58">
        <f>IFERROR($AA441/$AA440-1,"")</f>
        <v/>
      </c>
      <c r="EG440" s="58">
        <f>IFERROR($AB441/$AB440-1,"")</f>
        <v/>
      </c>
      <c r="EH440" s="58">
        <f>IFERROR($AC441/$AC440-1,"")</f>
        <v/>
      </c>
      <c r="EI440" s="58">
        <f>IFERROR($AD441/$AD440-1,"")</f>
        <v/>
      </c>
      <c r="EJ440" s="58">
        <f>IFERROR($AE441/$AE440-1,"")</f>
        <v/>
      </c>
      <c r="EK440" s="58">
        <f>IFERROR($AF441/$AF440-1,"")</f>
        <v/>
      </c>
      <c r="EL440" s="58">
        <f>IFERROR($AG441/$AG440-1,"")</f>
        <v/>
      </c>
      <c r="EM440" s="58">
        <f>IFERROR($BB440/$BB441-1,"")</f>
        <v/>
      </c>
      <c r="EN440" s="58">
        <f>IFERROR($BC440/$BC441-1,"")</f>
        <v/>
      </c>
      <c r="EO440" s="58">
        <f>IFERROR($BD440/$BD441-1,"")</f>
        <v/>
      </c>
      <c r="EP440" s="58">
        <f>IFERROR($BE440/$BE441-1,"")</f>
        <v/>
      </c>
      <c r="EQ440" s="58">
        <f>IFERROR($BF440/$BF441-1,"")</f>
        <v/>
      </c>
      <c r="ER440" s="58">
        <f>IFERROR($BG440/$BG441-1,"")</f>
        <v/>
      </c>
      <c r="ES440" s="58">
        <f>IFERROR($BH440/$BH441-1,"")</f>
        <v/>
      </c>
      <c r="ET440" s="58">
        <f>IFERROR($BI440/$BI441-1,"")</f>
        <v/>
      </c>
      <c r="EU440" s="58">
        <f>IFERROR($BJ440/$BJ441-1,"")</f>
        <v/>
      </c>
      <c r="EV440" s="58">
        <f>IFERROR($BK440/$BK441-1,"")</f>
        <v/>
      </c>
      <c r="EW440" s="58">
        <f>IFERROR($BL440/$BL441-1,"")</f>
        <v/>
      </c>
      <c r="EX440" s="58">
        <f>IFERROR($BM440/$BM441-1,"")</f>
        <v/>
      </c>
      <c r="EY440" s="58">
        <f>IFERROR($BN440/$BN441-1,"")</f>
        <v/>
      </c>
      <c r="EZ440" s="58">
        <f>IFERROR($BO440/$BO441-1,"")</f>
        <v/>
      </c>
      <c r="FA440" s="58">
        <f>IFERROR($BP440/$BP441-1,"")</f>
        <v/>
      </c>
      <c r="FB440" s="58">
        <f>IFERROR($BQ440/$BQ441-1,"")</f>
        <v/>
      </c>
      <c r="FC440" s="58">
        <f>IFERROR($BR440/$BR441-1,"")</f>
        <v/>
      </c>
      <c r="FD440" s="58">
        <f>IFERROR($BS440/$BS441-1,"")</f>
        <v/>
      </c>
      <c r="FE440" s="58">
        <f>IFERROR($BT440/$BT441-1,"")</f>
        <v/>
      </c>
      <c r="FF440" s="58">
        <f>IFERROR($BU440/$BU441-1,"")</f>
        <v/>
      </c>
      <c r="FG440" s="58">
        <f>IFERROR($BV440/$BV441-1,"")</f>
        <v/>
      </c>
      <c r="FH440" s="58">
        <f>IFERROR($BW440/$BW441-1,"")</f>
        <v/>
      </c>
      <c r="FI440" s="58">
        <f>IFERROR($BX440/$BX441-1,"")</f>
        <v/>
      </c>
      <c r="FJ440" s="59">
        <f>$BY440-$BY441</f>
        <v/>
      </c>
      <c r="FK440" s="59">
        <f>$BZ440-$BZ441</f>
        <v/>
      </c>
      <c r="FL440" s="59">
        <f>$CA440-$CA441</f>
        <v/>
      </c>
      <c r="FM440" s="59">
        <f>$CB440-$CB441</f>
        <v/>
      </c>
      <c r="FN440" s="59">
        <f>$CC440-$CC441</f>
        <v/>
      </c>
      <c r="FO440" s="59">
        <f>$CD440-$CD441</f>
        <v/>
      </c>
      <c r="FP440" s="59">
        <f>$CE440-$CE441</f>
        <v/>
      </c>
      <c r="FQ440" s="59">
        <f>$CF440-$CF441</f>
        <v/>
      </c>
      <c r="FR440" s="59">
        <f>$CG440-$CG441</f>
        <v/>
      </c>
      <c r="FS440" s="59">
        <f>$CH440-$CH441</f>
        <v/>
      </c>
      <c r="FT440" s="59">
        <f>$CI440-$CI441</f>
        <v/>
      </c>
      <c r="FU440" s="59">
        <f>$CJ440-$CJ441</f>
        <v/>
      </c>
      <c r="FV440" s="59">
        <f>$CK440-$CK441</f>
        <v/>
      </c>
      <c r="FW440" s="59">
        <f>$CL440-$CL441</f>
        <v/>
      </c>
      <c r="FX440" s="59">
        <f>$CM440-$CM441</f>
        <v/>
      </c>
      <c r="FY440" s="59">
        <f>$CN440-$CN441</f>
        <v/>
      </c>
      <c r="FZ440" s="59">
        <f>$CO440-$CO441</f>
        <v/>
      </c>
      <c r="GA440" s="59">
        <f>$CP440-$CP441</f>
        <v/>
      </c>
      <c r="GB440" s="59">
        <f>$CQ440-$CQ441</f>
        <v/>
      </c>
      <c r="GC440" s="59">
        <f>$CR440-$CR441</f>
        <v/>
      </c>
      <c r="GD440" s="59">
        <f>$CS440-$CS441</f>
        <v/>
      </c>
      <c r="GE440" s="59">
        <f>$CT440-$CT441</f>
        <v/>
      </c>
    </row>
    <row r="441">
      <c r="CU441" s="58">
        <f>IFERROR($B441/$B442-1,"")</f>
        <v/>
      </c>
      <c r="CV441" s="59">
        <f>($F441-$F442)*100</f>
        <v/>
      </c>
      <c r="CW441" s="59">
        <f>($E441-$E442)*100</f>
        <v/>
      </c>
      <c r="CX441" s="58">
        <f>IFERROR($K441/$K442-1,"")</f>
        <v/>
      </c>
      <c r="CY441" s="59">
        <f>($AH441-$AH442)*100</f>
        <v/>
      </c>
      <c r="CZ441" s="59">
        <f>($AI441-$AI442)*100</f>
        <v/>
      </c>
      <c r="DA441" s="59">
        <f>($AJ441-$AJ442)*100</f>
        <v/>
      </c>
      <c r="DB441" s="59">
        <f>($AK441-$AK442)*100</f>
        <v/>
      </c>
      <c r="DC441" s="59">
        <f>($AL441-$AL442)*100</f>
        <v/>
      </c>
      <c r="DD441" s="59">
        <f>($AM441-$AM442)*100</f>
        <v/>
      </c>
      <c r="DE441" s="59">
        <f>($AN441-$AN442)*100</f>
        <v/>
      </c>
      <c r="DF441" s="59">
        <f>($AO441-$AO442)*100</f>
        <v/>
      </c>
      <c r="DG441" s="59">
        <f>($AP441-$AP442)*100</f>
        <v/>
      </c>
      <c r="DH441" s="59">
        <f>($AQ441-$AQ442)*100</f>
        <v/>
      </c>
      <c r="DI441" s="59">
        <f>($AR441-$AR442)*100</f>
        <v/>
      </c>
      <c r="DJ441" s="59">
        <f>($AS441-$AS442)*100</f>
        <v/>
      </c>
      <c r="DK441" s="59">
        <f>($AT441-$AT442)*100</f>
        <v/>
      </c>
      <c r="DL441" s="59">
        <f>($AU441-$AU442)*100</f>
        <v/>
      </c>
      <c r="DM441" s="59">
        <f>($AV441-$AV442)*100</f>
        <v/>
      </c>
      <c r="DN441" s="59">
        <f>($AW441-$AW442)*100</f>
        <v/>
      </c>
      <c r="DO441" s="59">
        <f>($AX441-$AX442)*100</f>
        <v/>
      </c>
      <c r="DP441" s="59">
        <f>($AY441-$AY442)*100</f>
        <v/>
      </c>
      <c r="DQ441" s="59">
        <f>($AZ441-$AZ442)*100</f>
        <v/>
      </c>
      <c r="DR441" s="59">
        <f>($BA441-$BA442)*100</f>
        <v/>
      </c>
      <c r="DS441" s="58">
        <f>IFERROR($N442/$N441-1,"")</f>
        <v/>
      </c>
      <c r="DT441" s="58">
        <f>IFERROR($O442/$O441-1,"")</f>
        <v/>
      </c>
      <c r="DU441" s="58">
        <f>IFERROR($P442/$P441-1,"")</f>
        <v/>
      </c>
      <c r="DV441" s="58">
        <f>IFERROR($Q442/$Q441-1,"")</f>
        <v/>
      </c>
      <c r="DW441" s="58">
        <f>IFERROR($R442/$R441-1,"")</f>
        <v/>
      </c>
      <c r="DX441" s="58">
        <f>IFERROR($S442/$S441-1,"")</f>
        <v/>
      </c>
      <c r="DY441" s="58">
        <f>IFERROR($T442/$T441-1,"")</f>
        <v/>
      </c>
      <c r="DZ441" s="58">
        <f>IFERROR($U442/$U441-1,"")</f>
        <v/>
      </c>
      <c r="EA441" s="58">
        <f>IFERROR($V442/$V441-1,"")</f>
        <v/>
      </c>
      <c r="EB441" s="58">
        <f>IFERROR($W442/$W441-1,"")</f>
        <v/>
      </c>
      <c r="EC441" s="58">
        <f>IFERROR($X442/$X441-1,"")</f>
        <v/>
      </c>
      <c r="ED441" s="58">
        <f>IFERROR($Y442/$Y441-1,"")</f>
        <v/>
      </c>
      <c r="EE441" s="58">
        <f>IFERROR($Z442/$Z441-1,"")</f>
        <v/>
      </c>
      <c r="EF441" s="58">
        <f>IFERROR($AA442/$AA441-1,"")</f>
        <v/>
      </c>
      <c r="EG441" s="58">
        <f>IFERROR($AB442/$AB441-1,"")</f>
        <v/>
      </c>
      <c r="EH441" s="58">
        <f>IFERROR($AC442/$AC441-1,"")</f>
        <v/>
      </c>
      <c r="EI441" s="58">
        <f>IFERROR($AD442/$AD441-1,"")</f>
        <v/>
      </c>
      <c r="EJ441" s="58">
        <f>IFERROR($AE442/$AE441-1,"")</f>
        <v/>
      </c>
      <c r="EK441" s="58">
        <f>IFERROR($AF442/$AF441-1,"")</f>
        <v/>
      </c>
      <c r="EL441" s="58">
        <f>IFERROR($AG442/$AG441-1,"")</f>
        <v/>
      </c>
      <c r="EM441" s="58">
        <f>IFERROR($BB441/$BB442-1,"")</f>
        <v/>
      </c>
      <c r="EN441" s="58">
        <f>IFERROR($BC441/$BC442-1,"")</f>
        <v/>
      </c>
      <c r="EO441" s="58">
        <f>IFERROR($BD441/$BD442-1,"")</f>
        <v/>
      </c>
      <c r="EP441" s="58">
        <f>IFERROR($BE441/$BE442-1,"")</f>
        <v/>
      </c>
      <c r="EQ441" s="58">
        <f>IFERROR($BF441/$BF442-1,"")</f>
        <v/>
      </c>
      <c r="ER441" s="58">
        <f>IFERROR($BG441/$BG442-1,"")</f>
        <v/>
      </c>
      <c r="ES441" s="58">
        <f>IFERROR($BH441/$BH442-1,"")</f>
        <v/>
      </c>
      <c r="ET441" s="58">
        <f>IFERROR($BI441/$BI442-1,"")</f>
        <v/>
      </c>
      <c r="EU441" s="58">
        <f>IFERROR($BJ441/$BJ442-1,"")</f>
        <v/>
      </c>
      <c r="EV441" s="58">
        <f>IFERROR($BK441/$BK442-1,"")</f>
        <v/>
      </c>
      <c r="EW441" s="58">
        <f>IFERROR($BL441/$BL442-1,"")</f>
        <v/>
      </c>
      <c r="EX441" s="58">
        <f>IFERROR($BM441/$BM442-1,"")</f>
        <v/>
      </c>
      <c r="EY441" s="58">
        <f>IFERROR($BN441/$BN442-1,"")</f>
        <v/>
      </c>
      <c r="EZ441" s="58">
        <f>IFERROR($BO441/$BO442-1,"")</f>
        <v/>
      </c>
      <c r="FA441" s="58">
        <f>IFERROR($BP441/$BP442-1,"")</f>
        <v/>
      </c>
      <c r="FB441" s="58">
        <f>IFERROR($BQ441/$BQ442-1,"")</f>
        <v/>
      </c>
      <c r="FC441" s="58">
        <f>IFERROR($BR441/$BR442-1,"")</f>
        <v/>
      </c>
      <c r="FD441" s="58">
        <f>IFERROR($BS441/$BS442-1,"")</f>
        <v/>
      </c>
      <c r="FE441" s="58">
        <f>IFERROR($BT441/$BT442-1,"")</f>
        <v/>
      </c>
      <c r="FF441" s="58">
        <f>IFERROR($BU441/$BU442-1,"")</f>
        <v/>
      </c>
      <c r="FG441" s="58">
        <f>IFERROR($BV441/$BV442-1,"")</f>
        <v/>
      </c>
      <c r="FH441" s="58">
        <f>IFERROR($BW441/$BW442-1,"")</f>
        <v/>
      </c>
      <c r="FI441" s="58">
        <f>IFERROR($BX441/$BX442-1,"")</f>
        <v/>
      </c>
      <c r="FJ441" s="59">
        <f>$BY441-$BY442</f>
        <v/>
      </c>
      <c r="FK441" s="59">
        <f>$BZ441-$BZ442</f>
        <v/>
      </c>
      <c r="FL441" s="59">
        <f>$CA441-$CA442</f>
        <v/>
      </c>
      <c r="FM441" s="59">
        <f>$CB441-$CB442</f>
        <v/>
      </c>
      <c r="FN441" s="59">
        <f>$CC441-$CC442</f>
        <v/>
      </c>
      <c r="FO441" s="59">
        <f>$CD441-$CD442</f>
        <v/>
      </c>
      <c r="FP441" s="59">
        <f>$CE441-$CE442</f>
        <v/>
      </c>
      <c r="FQ441" s="59">
        <f>$CF441-$CF442</f>
        <v/>
      </c>
      <c r="FR441" s="59">
        <f>$CG441-$CG442</f>
        <v/>
      </c>
      <c r="FS441" s="59">
        <f>$CH441-$CH442</f>
        <v/>
      </c>
      <c r="FT441" s="59">
        <f>$CI441-$CI442</f>
        <v/>
      </c>
      <c r="FU441" s="59">
        <f>$CJ441-$CJ442</f>
        <v/>
      </c>
      <c r="FV441" s="59">
        <f>$CK441-$CK442</f>
        <v/>
      </c>
      <c r="FW441" s="59">
        <f>$CL441-$CL442</f>
        <v/>
      </c>
      <c r="FX441" s="59">
        <f>$CM441-$CM442</f>
        <v/>
      </c>
      <c r="FY441" s="59">
        <f>$CN441-$CN442</f>
        <v/>
      </c>
      <c r="FZ441" s="59">
        <f>$CO441-$CO442</f>
        <v/>
      </c>
      <c r="GA441" s="59">
        <f>$CP441-$CP442</f>
        <v/>
      </c>
      <c r="GB441" s="59">
        <f>$CQ441-$CQ442</f>
        <v/>
      </c>
      <c r="GC441" s="59">
        <f>$CR441-$CR442</f>
        <v/>
      </c>
      <c r="GD441" s="59">
        <f>$CS441-$CS442</f>
        <v/>
      </c>
      <c r="GE441" s="59">
        <f>$CT441-$CT442</f>
        <v/>
      </c>
    </row>
    <row r="442">
      <c r="CU442" s="58">
        <f>IFERROR($B442/$B443-1,"")</f>
        <v/>
      </c>
      <c r="CV442" s="59">
        <f>($F442-$F443)*100</f>
        <v/>
      </c>
      <c r="CW442" s="59">
        <f>($E442-$E443)*100</f>
        <v/>
      </c>
      <c r="CX442" s="58">
        <f>IFERROR($K442/$K443-1,"")</f>
        <v/>
      </c>
      <c r="CY442" s="59">
        <f>($AH442-$AH443)*100</f>
        <v/>
      </c>
      <c r="CZ442" s="59">
        <f>($AI442-$AI443)*100</f>
        <v/>
      </c>
      <c r="DA442" s="59">
        <f>($AJ442-$AJ443)*100</f>
        <v/>
      </c>
      <c r="DB442" s="59">
        <f>($AK442-$AK443)*100</f>
        <v/>
      </c>
      <c r="DC442" s="59">
        <f>($AL442-$AL443)*100</f>
        <v/>
      </c>
      <c r="DD442" s="59">
        <f>($AM442-$AM443)*100</f>
        <v/>
      </c>
      <c r="DE442" s="59">
        <f>($AN442-$AN443)*100</f>
        <v/>
      </c>
      <c r="DF442" s="59">
        <f>($AO442-$AO443)*100</f>
        <v/>
      </c>
      <c r="DG442" s="59">
        <f>($AP442-$AP443)*100</f>
        <v/>
      </c>
      <c r="DH442" s="59">
        <f>($AQ442-$AQ443)*100</f>
        <v/>
      </c>
      <c r="DI442" s="59">
        <f>($AR442-$AR443)*100</f>
        <v/>
      </c>
      <c r="DJ442" s="59">
        <f>($AS442-$AS443)*100</f>
        <v/>
      </c>
      <c r="DK442" s="59">
        <f>($AT442-$AT443)*100</f>
        <v/>
      </c>
      <c r="DL442" s="59">
        <f>($AU442-$AU443)*100</f>
        <v/>
      </c>
      <c r="DM442" s="59">
        <f>($AV442-$AV443)*100</f>
        <v/>
      </c>
      <c r="DN442" s="59">
        <f>($AW442-$AW443)*100</f>
        <v/>
      </c>
      <c r="DO442" s="59">
        <f>($AX442-$AX443)*100</f>
        <v/>
      </c>
      <c r="DP442" s="59">
        <f>($AY442-$AY443)*100</f>
        <v/>
      </c>
      <c r="DQ442" s="59">
        <f>($AZ442-$AZ443)*100</f>
        <v/>
      </c>
      <c r="DR442" s="59">
        <f>($BA442-$BA443)*100</f>
        <v/>
      </c>
      <c r="DS442" s="58">
        <f>IFERROR($N443/$N442-1,"")</f>
        <v/>
      </c>
      <c r="DT442" s="58">
        <f>IFERROR($O443/$O442-1,"")</f>
        <v/>
      </c>
      <c r="DU442" s="58">
        <f>IFERROR($P443/$P442-1,"")</f>
        <v/>
      </c>
      <c r="DV442" s="58">
        <f>IFERROR($Q443/$Q442-1,"")</f>
        <v/>
      </c>
      <c r="DW442" s="58">
        <f>IFERROR($R443/$R442-1,"")</f>
        <v/>
      </c>
      <c r="DX442" s="58">
        <f>IFERROR($S443/$S442-1,"")</f>
        <v/>
      </c>
      <c r="DY442" s="58">
        <f>IFERROR($T443/$T442-1,"")</f>
        <v/>
      </c>
      <c r="DZ442" s="58">
        <f>IFERROR($U443/$U442-1,"")</f>
        <v/>
      </c>
      <c r="EA442" s="58">
        <f>IFERROR($V443/$V442-1,"")</f>
        <v/>
      </c>
      <c r="EB442" s="58">
        <f>IFERROR($W443/$W442-1,"")</f>
        <v/>
      </c>
      <c r="EC442" s="58">
        <f>IFERROR($X443/$X442-1,"")</f>
        <v/>
      </c>
      <c r="ED442" s="58">
        <f>IFERROR($Y443/$Y442-1,"")</f>
        <v/>
      </c>
      <c r="EE442" s="58">
        <f>IFERROR($Z443/$Z442-1,"")</f>
        <v/>
      </c>
      <c r="EF442" s="58">
        <f>IFERROR($AA443/$AA442-1,"")</f>
        <v/>
      </c>
      <c r="EG442" s="58">
        <f>IFERROR($AB443/$AB442-1,"")</f>
        <v/>
      </c>
      <c r="EH442" s="58">
        <f>IFERROR($AC443/$AC442-1,"")</f>
        <v/>
      </c>
      <c r="EI442" s="58">
        <f>IFERROR($AD443/$AD442-1,"")</f>
        <v/>
      </c>
      <c r="EJ442" s="58">
        <f>IFERROR($AE443/$AE442-1,"")</f>
        <v/>
      </c>
      <c r="EK442" s="58">
        <f>IFERROR($AF443/$AF442-1,"")</f>
        <v/>
      </c>
      <c r="EL442" s="58">
        <f>IFERROR($AG443/$AG442-1,"")</f>
        <v/>
      </c>
      <c r="EM442" s="58">
        <f>IFERROR($BB442/$BB443-1,"")</f>
        <v/>
      </c>
      <c r="EN442" s="58">
        <f>IFERROR($BC442/$BC443-1,"")</f>
        <v/>
      </c>
      <c r="EO442" s="58">
        <f>IFERROR($BD442/$BD443-1,"")</f>
        <v/>
      </c>
      <c r="EP442" s="58">
        <f>IFERROR($BE442/$BE443-1,"")</f>
        <v/>
      </c>
      <c r="EQ442" s="58">
        <f>IFERROR($BF442/$BF443-1,"")</f>
        <v/>
      </c>
      <c r="ER442" s="58">
        <f>IFERROR($BG442/$BG443-1,"")</f>
        <v/>
      </c>
      <c r="ES442" s="58">
        <f>IFERROR($BH442/$BH443-1,"")</f>
        <v/>
      </c>
      <c r="ET442" s="58">
        <f>IFERROR($BI442/$BI443-1,"")</f>
        <v/>
      </c>
      <c r="EU442" s="58">
        <f>IFERROR($BJ442/$BJ443-1,"")</f>
        <v/>
      </c>
      <c r="EV442" s="58">
        <f>IFERROR($BK442/$BK443-1,"")</f>
        <v/>
      </c>
      <c r="EW442" s="58">
        <f>IFERROR($BL442/$BL443-1,"")</f>
        <v/>
      </c>
      <c r="EX442" s="58">
        <f>IFERROR($BM442/$BM443-1,"")</f>
        <v/>
      </c>
      <c r="EY442" s="58">
        <f>IFERROR($BN442/$BN443-1,"")</f>
        <v/>
      </c>
      <c r="EZ442" s="58">
        <f>IFERROR($BO442/$BO443-1,"")</f>
        <v/>
      </c>
      <c r="FA442" s="58">
        <f>IFERROR($BP442/$BP443-1,"")</f>
        <v/>
      </c>
      <c r="FB442" s="58">
        <f>IFERROR($BQ442/$BQ443-1,"")</f>
        <v/>
      </c>
      <c r="FC442" s="58">
        <f>IFERROR($BR442/$BR443-1,"")</f>
        <v/>
      </c>
      <c r="FD442" s="58">
        <f>IFERROR($BS442/$BS443-1,"")</f>
        <v/>
      </c>
      <c r="FE442" s="58">
        <f>IFERROR($BT442/$BT443-1,"")</f>
        <v/>
      </c>
      <c r="FF442" s="58">
        <f>IFERROR($BU442/$BU443-1,"")</f>
        <v/>
      </c>
      <c r="FG442" s="58">
        <f>IFERROR($BV442/$BV443-1,"")</f>
        <v/>
      </c>
      <c r="FH442" s="58">
        <f>IFERROR($BW442/$BW443-1,"")</f>
        <v/>
      </c>
      <c r="FI442" s="58">
        <f>IFERROR($BX442/$BX443-1,"")</f>
        <v/>
      </c>
      <c r="FJ442" s="59">
        <f>$BY442-$BY443</f>
        <v/>
      </c>
      <c r="FK442" s="59">
        <f>$BZ442-$BZ443</f>
        <v/>
      </c>
      <c r="FL442" s="59">
        <f>$CA442-$CA443</f>
        <v/>
      </c>
      <c r="FM442" s="59">
        <f>$CB442-$CB443</f>
        <v/>
      </c>
      <c r="FN442" s="59">
        <f>$CC442-$CC443</f>
        <v/>
      </c>
      <c r="FO442" s="59">
        <f>$CD442-$CD443</f>
        <v/>
      </c>
      <c r="FP442" s="59">
        <f>$CE442-$CE443</f>
        <v/>
      </c>
      <c r="FQ442" s="59">
        <f>$CF442-$CF443</f>
        <v/>
      </c>
      <c r="FR442" s="59">
        <f>$CG442-$CG443</f>
        <v/>
      </c>
      <c r="FS442" s="59">
        <f>$CH442-$CH443</f>
        <v/>
      </c>
      <c r="FT442" s="59">
        <f>$CI442-$CI443</f>
        <v/>
      </c>
      <c r="FU442" s="59">
        <f>$CJ442-$CJ443</f>
        <v/>
      </c>
      <c r="FV442" s="59">
        <f>$CK442-$CK443</f>
        <v/>
      </c>
      <c r="FW442" s="59">
        <f>$CL442-$CL443</f>
        <v/>
      </c>
      <c r="FX442" s="59">
        <f>$CM442-$CM443</f>
        <v/>
      </c>
      <c r="FY442" s="59">
        <f>$CN442-$CN443</f>
        <v/>
      </c>
      <c r="FZ442" s="59">
        <f>$CO442-$CO443</f>
        <v/>
      </c>
      <c r="GA442" s="59">
        <f>$CP442-$CP443</f>
        <v/>
      </c>
      <c r="GB442" s="59">
        <f>$CQ442-$CQ443</f>
        <v/>
      </c>
      <c r="GC442" s="59">
        <f>$CR442-$CR443</f>
        <v/>
      </c>
      <c r="GD442" s="59">
        <f>$CS442-$CS443</f>
        <v/>
      </c>
      <c r="GE442" s="59">
        <f>$CT442-$CT443</f>
        <v/>
      </c>
    </row>
    <row r="443">
      <c r="CU443" s="58">
        <f>IFERROR($B443/$B444-1,"")</f>
        <v/>
      </c>
      <c r="CV443" s="59">
        <f>($F443-$F444)*100</f>
        <v/>
      </c>
      <c r="CW443" s="59">
        <f>($E443-$E444)*100</f>
        <v/>
      </c>
      <c r="CX443" s="58">
        <f>IFERROR($K443/$K444-1,"")</f>
        <v/>
      </c>
      <c r="CY443" s="59">
        <f>($AH443-$AH444)*100</f>
        <v/>
      </c>
      <c r="CZ443" s="59">
        <f>($AI443-$AI444)*100</f>
        <v/>
      </c>
      <c r="DA443" s="59">
        <f>($AJ443-$AJ444)*100</f>
        <v/>
      </c>
      <c r="DB443" s="59">
        <f>($AK443-$AK444)*100</f>
        <v/>
      </c>
      <c r="DC443" s="59">
        <f>($AL443-$AL444)*100</f>
        <v/>
      </c>
      <c r="DD443" s="59">
        <f>($AM443-$AM444)*100</f>
        <v/>
      </c>
      <c r="DE443" s="59">
        <f>($AN443-$AN444)*100</f>
        <v/>
      </c>
      <c r="DF443" s="59">
        <f>($AO443-$AO444)*100</f>
        <v/>
      </c>
      <c r="DG443" s="59">
        <f>($AP443-$AP444)*100</f>
        <v/>
      </c>
      <c r="DH443" s="59">
        <f>($AQ443-$AQ444)*100</f>
        <v/>
      </c>
      <c r="DI443" s="59">
        <f>($AR443-$AR444)*100</f>
        <v/>
      </c>
      <c r="DJ443" s="59">
        <f>($AS443-$AS444)*100</f>
        <v/>
      </c>
      <c r="DK443" s="59">
        <f>($AT443-$AT444)*100</f>
        <v/>
      </c>
      <c r="DL443" s="59">
        <f>($AU443-$AU444)*100</f>
        <v/>
      </c>
      <c r="DM443" s="59">
        <f>($AV443-$AV444)*100</f>
        <v/>
      </c>
      <c r="DN443" s="59">
        <f>($AW443-$AW444)*100</f>
        <v/>
      </c>
      <c r="DO443" s="59">
        <f>($AX443-$AX444)*100</f>
        <v/>
      </c>
      <c r="DP443" s="59">
        <f>($AY443-$AY444)*100</f>
        <v/>
      </c>
      <c r="DQ443" s="59">
        <f>($AZ443-$AZ444)*100</f>
        <v/>
      </c>
      <c r="DR443" s="59">
        <f>($BA443-$BA444)*100</f>
        <v/>
      </c>
      <c r="DS443" s="58">
        <f>IFERROR($N444/$N443-1,"")</f>
        <v/>
      </c>
      <c r="DT443" s="58">
        <f>IFERROR($O444/$O443-1,"")</f>
        <v/>
      </c>
      <c r="DU443" s="58">
        <f>IFERROR($P444/$P443-1,"")</f>
        <v/>
      </c>
      <c r="DV443" s="58">
        <f>IFERROR($Q444/$Q443-1,"")</f>
        <v/>
      </c>
      <c r="DW443" s="58">
        <f>IFERROR($R444/$R443-1,"")</f>
        <v/>
      </c>
      <c r="DX443" s="58">
        <f>IFERROR($S444/$S443-1,"")</f>
        <v/>
      </c>
      <c r="DY443" s="58">
        <f>IFERROR($T444/$T443-1,"")</f>
        <v/>
      </c>
      <c r="DZ443" s="58">
        <f>IFERROR($U444/$U443-1,"")</f>
        <v/>
      </c>
      <c r="EA443" s="58">
        <f>IFERROR($V444/$V443-1,"")</f>
        <v/>
      </c>
      <c r="EB443" s="58">
        <f>IFERROR($W444/$W443-1,"")</f>
        <v/>
      </c>
      <c r="EC443" s="58">
        <f>IFERROR($X444/$X443-1,"")</f>
        <v/>
      </c>
      <c r="ED443" s="58">
        <f>IFERROR($Y444/$Y443-1,"")</f>
        <v/>
      </c>
      <c r="EE443" s="58">
        <f>IFERROR($Z444/$Z443-1,"")</f>
        <v/>
      </c>
      <c r="EF443" s="58">
        <f>IFERROR($AA444/$AA443-1,"")</f>
        <v/>
      </c>
      <c r="EG443" s="58">
        <f>IFERROR($AB444/$AB443-1,"")</f>
        <v/>
      </c>
      <c r="EH443" s="58">
        <f>IFERROR($AC444/$AC443-1,"")</f>
        <v/>
      </c>
      <c r="EI443" s="58">
        <f>IFERROR($AD444/$AD443-1,"")</f>
        <v/>
      </c>
      <c r="EJ443" s="58">
        <f>IFERROR($AE444/$AE443-1,"")</f>
        <v/>
      </c>
      <c r="EK443" s="58">
        <f>IFERROR($AF444/$AF443-1,"")</f>
        <v/>
      </c>
      <c r="EL443" s="58">
        <f>IFERROR($AG444/$AG443-1,"")</f>
        <v/>
      </c>
      <c r="EM443" s="58">
        <f>IFERROR($BB443/$BB444-1,"")</f>
        <v/>
      </c>
      <c r="EN443" s="58">
        <f>IFERROR($BC443/$BC444-1,"")</f>
        <v/>
      </c>
      <c r="EO443" s="58">
        <f>IFERROR($BD443/$BD444-1,"")</f>
        <v/>
      </c>
      <c r="EP443" s="58">
        <f>IFERROR($BE443/$BE444-1,"")</f>
        <v/>
      </c>
      <c r="EQ443" s="58">
        <f>IFERROR($BF443/$BF444-1,"")</f>
        <v/>
      </c>
      <c r="ER443" s="58">
        <f>IFERROR($BG443/$BG444-1,"")</f>
        <v/>
      </c>
      <c r="ES443" s="58">
        <f>IFERROR($BH443/$BH444-1,"")</f>
        <v/>
      </c>
      <c r="ET443" s="58">
        <f>IFERROR($BI443/$BI444-1,"")</f>
        <v/>
      </c>
      <c r="EU443" s="58">
        <f>IFERROR($BJ443/$BJ444-1,"")</f>
        <v/>
      </c>
      <c r="EV443" s="58">
        <f>IFERROR($BK443/$BK444-1,"")</f>
        <v/>
      </c>
      <c r="EW443" s="58">
        <f>IFERROR($BL443/$BL444-1,"")</f>
        <v/>
      </c>
      <c r="EX443" s="58">
        <f>IFERROR($BM443/$BM444-1,"")</f>
        <v/>
      </c>
      <c r="EY443" s="58">
        <f>IFERROR($BN443/$BN444-1,"")</f>
        <v/>
      </c>
      <c r="EZ443" s="58">
        <f>IFERROR($BO443/$BO444-1,"")</f>
        <v/>
      </c>
      <c r="FA443" s="58">
        <f>IFERROR($BP443/$BP444-1,"")</f>
        <v/>
      </c>
      <c r="FB443" s="58">
        <f>IFERROR($BQ443/$BQ444-1,"")</f>
        <v/>
      </c>
      <c r="FC443" s="58">
        <f>IFERROR($BR443/$BR444-1,"")</f>
        <v/>
      </c>
      <c r="FD443" s="58">
        <f>IFERROR($BS443/$BS444-1,"")</f>
        <v/>
      </c>
      <c r="FE443" s="58">
        <f>IFERROR($BT443/$BT444-1,"")</f>
        <v/>
      </c>
      <c r="FF443" s="58">
        <f>IFERROR($BU443/$BU444-1,"")</f>
        <v/>
      </c>
      <c r="FG443" s="58">
        <f>IFERROR($BV443/$BV444-1,"")</f>
        <v/>
      </c>
      <c r="FH443" s="58">
        <f>IFERROR($BW443/$BW444-1,"")</f>
        <v/>
      </c>
      <c r="FI443" s="58">
        <f>IFERROR($BX443/$BX444-1,"")</f>
        <v/>
      </c>
      <c r="FJ443" s="59">
        <f>$BY443-$BY444</f>
        <v/>
      </c>
      <c r="FK443" s="59">
        <f>$BZ443-$BZ444</f>
        <v/>
      </c>
      <c r="FL443" s="59">
        <f>$CA443-$CA444</f>
        <v/>
      </c>
      <c r="FM443" s="59">
        <f>$CB443-$CB444</f>
        <v/>
      </c>
      <c r="FN443" s="59">
        <f>$CC443-$CC444</f>
        <v/>
      </c>
      <c r="FO443" s="59">
        <f>$CD443-$CD444</f>
        <v/>
      </c>
      <c r="FP443" s="59">
        <f>$CE443-$CE444</f>
        <v/>
      </c>
      <c r="FQ443" s="59">
        <f>$CF443-$CF444</f>
        <v/>
      </c>
      <c r="FR443" s="59">
        <f>$CG443-$CG444</f>
        <v/>
      </c>
      <c r="FS443" s="59">
        <f>$CH443-$CH444</f>
        <v/>
      </c>
      <c r="FT443" s="59">
        <f>$CI443-$CI444</f>
        <v/>
      </c>
      <c r="FU443" s="59">
        <f>$CJ443-$CJ444</f>
        <v/>
      </c>
      <c r="FV443" s="59">
        <f>$CK443-$CK444</f>
        <v/>
      </c>
      <c r="FW443" s="59">
        <f>$CL443-$CL444</f>
        <v/>
      </c>
      <c r="FX443" s="59">
        <f>$CM443-$CM444</f>
        <v/>
      </c>
      <c r="FY443" s="59">
        <f>$CN443-$CN444</f>
        <v/>
      </c>
      <c r="FZ443" s="59">
        <f>$CO443-$CO444</f>
        <v/>
      </c>
      <c r="GA443" s="59">
        <f>$CP443-$CP444</f>
        <v/>
      </c>
      <c r="GB443" s="59">
        <f>$CQ443-$CQ444</f>
        <v/>
      </c>
      <c r="GC443" s="59">
        <f>$CR443-$CR444</f>
        <v/>
      </c>
      <c r="GD443" s="59">
        <f>$CS443-$CS444</f>
        <v/>
      </c>
      <c r="GE443" s="59">
        <f>$CT443-$CT444</f>
        <v/>
      </c>
    </row>
    <row r="444">
      <c r="CU444" s="58">
        <f>IFERROR($B444/$B445-1,"")</f>
        <v/>
      </c>
      <c r="CV444" s="59">
        <f>($F444-$F445)*100</f>
        <v/>
      </c>
      <c r="CW444" s="59">
        <f>($E444-$E445)*100</f>
        <v/>
      </c>
      <c r="CX444" s="58">
        <f>IFERROR($K444/$K445-1,"")</f>
        <v/>
      </c>
      <c r="CY444" s="59">
        <f>($AH444-$AH445)*100</f>
        <v/>
      </c>
      <c r="CZ444" s="59">
        <f>($AI444-$AI445)*100</f>
        <v/>
      </c>
      <c r="DA444" s="59">
        <f>($AJ444-$AJ445)*100</f>
        <v/>
      </c>
      <c r="DB444" s="59">
        <f>($AK444-$AK445)*100</f>
        <v/>
      </c>
      <c r="DC444" s="59">
        <f>($AL444-$AL445)*100</f>
        <v/>
      </c>
      <c r="DD444" s="59">
        <f>($AM444-$AM445)*100</f>
        <v/>
      </c>
      <c r="DE444" s="59">
        <f>($AN444-$AN445)*100</f>
        <v/>
      </c>
      <c r="DF444" s="59">
        <f>($AO444-$AO445)*100</f>
        <v/>
      </c>
      <c r="DG444" s="59">
        <f>($AP444-$AP445)*100</f>
        <v/>
      </c>
      <c r="DH444" s="59">
        <f>($AQ444-$AQ445)*100</f>
        <v/>
      </c>
      <c r="DI444" s="59">
        <f>($AR444-$AR445)*100</f>
        <v/>
      </c>
      <c r="DJ444" s="59">
        <f>($AS444-$AS445)*100</f>
        <v/>
      </c>
      <c r="DK444" s="59">
        <f>($AT444-$AT445)*100</f>
        <v/>
      </c>
      <c r="DL444" s="59">
        <f>($AU444-$AU445)*100</f>
        <v/>
      </c>
      <c r="DM444" s="59">
        <f>($AV444-$AV445)*100</f>
        <v/>
      </c>
      <c r="DN444" s="59">
        <f>($AW444-$AW445)*100</f>
        <v/>
      </c>
      <c r="DO444" s="59">
        <f>($AX444-$AX445)*100</f>
        <v/>
      </c>
      <c r="DP444" s="59">
        <f>($AY444-$AY445)*100</f>
        <v/>
      </c>
      <c r="DQ444" s="59">
        <f>($AZ444-$AZ445)*100</f>
        <v/>
      </c>
      <c r="DR444" s="59">
        <f>($BA444-$BA445)*100</f>
        <v/>
      </c>
      <c r="DS444" s="58">
        <f>IFERROR($N445/$N444-1,"")</f>
        <v/>
      </c>
      <c r="DT444" s="58">
        <f>IFERROR($O445/$O444-1,"")</f>
        <v/>
      </c>
      <c r="DU444" s="58">
        <f>IFERROR($P445/$P444-1,"")</f>
        <v/>
      </c>
      <c r="DV444" s="58">
        <f>IFERROR($Q445/$Q444-1,"")</f>
        <v/>
      </c>
      <c r="DW444" s="58">
        <f>IFERROR($R445/$R444-1,"")</f>
        <v/>
      </c>
      <c r="DX444" s="58">
        <f>IFERROR($S445/$S444-1,"")</f>
        <v/>
      </c>
      <c r="DY444" s="58">
        <f>IFERROR($T445/$T444-1,"")</f>
        <v/>
      </c>
      <c r="DZ444" s="58">
        <f>IFERROR($U445/$U444-1,"")</f>
        <v/>
      </c>
      <c r="EA444" s="58">
        <f>IFERROR($V445/$V444-1,"")</f>
        <v/>
      </c>
      <c r="EB444" s="58">
        <f>IFERROR($W445/$W444-1,"")</f>
        <v/>
      </c>
      <c r="EC444" s="58">
        <f>IFERROR($X445/$X444-1,"")</f>
        <v/>
      </c>
      <c r="ED444" s="58">
        <f>IFERROR($Y445/$Y444-1,"")</f>
        <v/>
      </c>
      <c r="EE444" s="58">
        <f>IFERROR($Z445/$Z444-1,"")</f>
        <v/>
      </c>
      <c r="EF444" s="58">
        <f>IFERROR($AA445/$AA444-1,"")</f>
        <v/>
      </c>
      <c r="EG444" s="58">
        <f>IFERROR($AB445/$AB444-1,"")</f>
        <v/>
      </c>
      <c r="EH444" s="58">
        <f>IFERROR($AC445/$AC444-1,"")</f>
        <v/>
      </c>
      <c r="EI444" s="58">
        <f>IFERROR($AD445/$AD444-1,"")</f>
        <v/>
      </c>
      <c r="EJ444" s="58">
        <f>IFERROR($AE445/$AE444-1,"")</f>
        <v/>
      </c>
      <c r="EK444" s="58">
        <f>IFERROR($AF445/$AF444-1,"")</f>
        <v/>
      </c>
      <c r="EL444" s="58">
        <f>IFERROR($AG445/$AG444-1,"")</f>
        <v/>
      </c>
      <c r="EM444" s="58">
        <f>IFERROR($BB444/$BB445-1,"")</f>
        <v/>
      </c>
      <c r="EN444" s="58">
        <f>IFERROR($BC444/$BC445-1,"")</f>
        <v/>
      </c>
      <c r="EO444" s="58">
        <f>IFERROR($BD444/$BD445-1,"")</f>
        <v/>
      </c>
      <c r="EP444" s="58">
        <f>IFERROR($BE444/$BE445-1,"")</f>
        <v/>
      </c>
      <c r="EQ444" s="58">
        <f>IFERROR($BF444/$BF445-1,"")</f>
        <v/>
      </c>
      <c r="ER444" s="58">
        <f>IFERROR($BG444/$BG445-1,"")</f>
        <v/>
      </c>
      <c r="ES444" s="58">
        <f>IFERROR($BH444/$BH445-1,"")</f>
        <v/>
      </c>
      <c r="ET444" s="58">
        <f>IFERROR($BI444/$BI445-1,"")</f>
        <v/>
      </c>
      <c r="EU444" s="58">
        <f>IFERROR($BJ444/$BJ445-1,"")</f>
        <v/>
      </c>
      <c r="EV444" s="58">
        <f>IFERROR($BK444/$BK445-1,"")</f>
        <v/>
      </c>
      <c r="EW444" s="58">
        <f>IFERROR($BL444/$BL445-1,"")</f>
        <v/>
      </c>
      <c r="EX444" s="58">
        <f>IFERROR($BM444/$BM445-1,"")</f>
        <v/>
      </c>
      <c r="EY444" s="58">
        <f>IFERROR($BN444/$BN445-1,"")</f>
        <v/>
      </c>
      <c r="EZ444" s="58">
        <f>IFERROR($BO444/$BO445-1,"")</f>
        <v/>
      </c>
      <c r="FA444" s="58">
        <f>IFERROR($BP444/$BP445-1,"")</f>
        <v/>
      </c>
      <c r="FB444" s="58">
        <f>IFERROR($BQ444/$BQ445-1,"")</f>
        <v/>
      </c>
      <c r="FC444" s="58">
        <f>IFERROR($BR444/$BR445-1,"")</f>
        <v/>
      </c>
      <c r="FD444" s="58">
        <f>IFERROR($BS444/$BS445-1,"")</f>
        <v/>
      </c>
      <c r="FE444" s="58">
        <f>IFERROR($BT444/$BT445-1,"")</f>
        <v/>
      </c>
      <c r="FF444" s="58">
        <f>IFERROR($BU444/$BU445-1,"")</f>
        <v/>
      </c>
      <c r="FG444" s="58">
        <f>IFERROR($BV444/$BV445-1,"")</f>
        <v/>
      </c>
      <c r="FH444" s="58">
        <f>IFERROR($BW444/$BW445-1,"")</f>
        <v/>
      </c>
      <c r="FI444" s="58">
        <f>IFERROR($BX444/$BX445-1,"")</f>
        <v/>
      </c>
      <c r="FJ444" s="59">
        <f>$BY444-$BY445</f>
        <v/>
      </c>
      <c r="FK444" s="59">
        <f>$BZ444-$BZ445</f>
        <v/>
      </c>
      <c r="FL444" s="59">
        <f>$CA444-$CA445</f>
        <v/>
      </c>
      <c r="FM444" s="59">
        <f>$CB444-$CB445</f>
        <v/>
      </c>
      <c r="FN444" s="59">
        <f>$CC444-$CC445</f>
        <v/>
      </c>
      <c r="FO444" s="59">
        <f>$CD444-$CD445</f>
        <v/>
      </c>
      <c r="FP444" s="59">
        <f>$CE444-$CE445</f>
        <v/>
      </c>
      <c r="FQ444" s="59">
        <f>$CF444-$CF445</f>
        <v/>
      </c>
      <c r="FR444" s="59">
        <f>$CG444-$CG445</f>
        <v/>
      </c>
      <c r="FS444" s="59">
        <f>$CH444-$CH445</f>
        <v/>
      </c>
      <c r="FT444" s="59">
        <f>$CI444-$CI445</f>
        <v/>
      </c>
      <c r="FU444" s="59">
        <f>$CJ444-$CJ445</f>
        <v/>
      </c>
      <c r="FV444" s="59">
        <f>$CK444-$CK445</f>
        <v/>
      </c>
      <c r="FW444" s="59">
        <f>$CL444-$CL445</f>
        <v/>
      </c>
      <c r="FX444" s="59">
        <f>$CM444-$CM445</f>
        <v/>
      </c>
      <c r="FY444" s="59">
        <f>$CN444-$CN445</f>
        <v/>
      </c>
      <c r="FZ444" s="59">
        <f>$CO444-$CO445</f>
        <v/>
      </c>
      <c r="GA444" s="59">
        <f>$CP444-$CP445</f>
        <v/>
      </c>
      <c r="GB444" s="59">
        <f>$CQ444-$CQ445</f>
        <v/>
      </c>
      <c r="GC444" s="59">
        <f>$CR444-$CR445</f>
        <v/>
      </c>
      <c r="GD444" s="59">
        <f>$CS444-$CS445</f>
        <v/>
      </c>
      <c r="GE444" s="59">
        <f>$CT444-$CT445</f>
        <v/>
      </c>
    </row>
    <row r="445">
      <c r="CU445" s="58">
        <f>IFERROR($B445/$B446-1,"")</f>
        <v/>
      </c>
      <c r="CV445" s="59">
        <f>($F445-$F446)*100</f>
        <v/>
      </c>
      <c r="CW445" s="59">
        <f>($E445-$E446)*100</f>
        <v/>
      </c>
      <c r="CX445" s="58">
        <f>IFERROR($K445/$K446-1,"")</f>
        <v/>
      </c>
      <c r="CY445" s="59">
        <f>($AH445-$AH446)*100</f>
        <v/>
      </c>
      <c r="CZ445" s="59">
        <f>($AI445-$AI446)*100</f>
        <v/>
      </c>
      <c r="DA445" s="59">
        <f>($AJ445-$AJ446)*100</f>
        <v/>
      </c>
      <c r="DB445" s="59">
        <f>($AK445-$AK446)*100</f>
        <v/>
      </c>
      <c r="DC445" s="59">
        <f>($AL445-$AL446)*100</f>
        <v/>
      </c>
      <c r="DD445" s="59">
        <f>($AM445-$AM446)*100</f>
        <v/>
      </c>
      <c r="DE445" s="59">
        <f>($AN445-$AN446)*100</f>
        <v/>
      </c>
      <c r="DF445" s="59">
        <f>($AO445-$AO446)*100</f>
        <v/>
      </c>
      <c r="DG445" s="59">
        <f>($AP445-$AP446)*100</f>
        <v/>
      </c>
      <c r="DH445" s="59">
        <f>($AQ445-$AQ446)*100</f>
        <v/>
      </c>
      <c r="DI445" s="59">
        <f>($AR445-$AR446)*100</f>
        <v/>
      </c>
      <c r="DJ445" s="59">
        <f>($AS445-$AS446)*100</f>
        <v/>
      </c>
      <c r="DK445" s="59">
        <f>($AT445-$AT446)*100</f>
        <v/>
      </c>
      <c r="DL445" s="59">
        <f>($AU445-$AU446)*100</f>
        <v/>
      </c>
      <c r="DM445" s="59">
        <f>($AV445-$AV446)*100</f>
        <v/>
      </c>
      <c r="DN445" s="59">
        <f>($AW445-$AW446)*100</f>
        <v/>
      </c>
      <c r="DO445" s="59">
        <f>($AX445-$AX446)*100</f>
        <v/>
      </c>
      <c r="DP445" s="59">
        <f>($AY445-$AY446)*100</f>
        <v/>
      </c>
      <c r="DQ445" s="59">
        <f>($AZ445-$AZ446)*100</f>
        <v/>
      </c>
      <c r="DR445" s="59">
        <f>($BA445-$BA446)*100</f>
        <v/>
      </c>
      <c r="DS445" s="58">
        <f>IFERROR($N446/$N445-1,"")</f>
        <v/>
      </c>
      <c r="DT445" s="58">
        <f>IFERROR($O446/$O445-1,"")</f>
        <v/>
      </c>
      <c r="DU445" s="58">
        <f>IFERROR($P446/$P445-1,"")</f>
        <v/>
      </c>
      <c r="DV445" s="58">
        <f>IFERROR($Q446/$Q445-1,"")</f>
        <v/>
      </c>
      <c r="DW445" s="58">
        <f>IFERROR($R446/$R445-1,"")</f>
        <v/>
      </c>
      <c r="DX445" s="58">
        <f>IFERROR($S446/$S445-1,"")</f>
        <v/>
      </c>
      <c r="DY445" s="58">
        <f>IFERROR($T446/$T445-1,"")</f>
        <v/>
      </c>
      <c r="DZ445" s="58">
        <f>IFERROR($U446/$U445-1,"")</f>
        <v/>
      </c>
      <c r="EA445" s="58">
        <f>IFERROR($V446/$V445-1,"")</f>
        <v/>
      </c>
      <c r="EB445" s="58">
        <f>IFERROR($W446/$W445-1,"")</f>
        <v/>
      </c>
      <c r="EC445" s="58">
        <f>IFERROR($X446/$X445-1,"")</f>
        <v/>
      </c>
      <c r="ED445" s="58">
        <f>IFERROR($Y446/$Y445-1,"")</f>
        <v/>
      </c>
      <c r="EE445" s="58">
        <f>IFERROR($Z446/$Z445-1,"")</f>
        <v/>
      </c>
      <c r="EF445" s="58">
        <f>IFERROR($AA446/$AA445-1,"")</f>
        <v/>
      </c>
      <c r="EG445" s="58">
        <f>IFERROR($AB446/$AB445-1,"")</f>
        <v/>
      </c>
      <c r="EH445" s="58">
        <f>IFERROR($AC446/$AC445-1,"")</f>
        <v/>
      </c>
      <c r="EI445" s="58">
        <f>IFERROR($AD446/$AD445-1,"")</f>
        <v/>
      </c>
      <c r="EJ445" s="58">
        <f>IFERROR($AE446/$AE445-1,"")</f>
        <v/>
      </c>
      <c r="EK445" s="58">
        <f>IFERROR($AF446/$AF445-1,"")</f>
        <v/>
      </c>
      <c r="EL445" s="58">
        <f>IFERROR($AG446/$AG445-1,"")</f>
        <v/>
      </c>
      <c r="EM445" s="58">
        <f>IFERROR($BB445/$BB446-1,"")</f>
        <v/>
      </c>
      <c r="EN445" s="58">
        <f>IFERROR($BC445/$BC446-1,"")</f>
        <v/>
      </c>
      <c r="EO445" s="58">
        <f>IFERROR($BD445/$BD446-1,"")</f>
        <v/>
      </c>
      <c r="EP445" s="58">
        <f>IFERROR($BE445/$BE446-1,"")</f>
        <v/>
      </c>
      <c r="EQ445" s="58">
        <f>IFERROR($BF445/$BF446-1,"")</f>
        <v/>
      </c>
      <c r="ER445" s="58">
        <f>IFERROR($BG445/$BG446-1,"")</f>
        <v/>
      </c>
      <c r="ES445" s="58">
        <f>IFERROR($BH445/$BH446-1,"")</f>
        <v/>
      </c>
      <c r="ET445" s="58">
        <f>IFERROR($BI445/$BI446-1,"")</f>
        <v/>
      </c>
      <c r="EU445" s="58">
        <f>IFERROR($BJ445/$BJ446-1,"")</f>
        <v/>
      </c>
      <c r="EV445" s="58">
        <f>IFERROR($BK445/$BK446-1,"")</f>
        <v/>
      </c>
      <c r="EW445" s="58">
        <f>IFERROR($BL445/$BL446-1,"")</f>
        <v/>
      </c>
      <c r="EX445" s="58">
        <f>IFERROR($BM445/$BM446-1,"")</f>
        <v/>
      </c>
      <c r="EY445" s="58">
        <f>IFERROR($BN445/$BN446-1,"")</f>
        <v/>
      </c>
      <c r="EZ445" s="58">
        <f>IFERROR($BO445/$BO446-1,"")</f>
        <v/>
      </c>
      <c r="FA445" s="58">
        <f>IFERROR($BP445/$BP446-1,"")</f>
        <v/>
      </c>
      <c r="FB445" s="58">
        <f>IFERROR($BQ445/$BQ446-1,"")</f>
        <v/>
      </c>
      <c r="FC445" s="58">
        <f>IFERROR($BR445/$BR446-1,"")</f>
        <v/>
      </c>
      <c r="FD445" s="58">
        <f>IFERROR($BS445/$BS446-1,"")</f>
        <v/>
      </c>
      <c r="FE445" s="58">
        <f>IFERROR($BT445/$BT446-1,"")</f>
        <v/>
      </c>
      <c r="FF445" s="58">
        <f>IFERROR($BU445/$BU446-1,"")</f>
        <v/>
      </c>
      <c r="FG445" s="58">
        <f>IFERROR($BV445/$BV446-1,"")</f>
        <v/>
      </c>
      <c r="FH445" s="58">
        <f>IFERROR($BW445/$BW446-1,"")</f>
        <v/>
      </c>
      <c r="FI445" s="58">
        <f>IFERROR($BX445/$BX446-1,"")</f>
        <v/>
      </c>
      <c r="FJ445" s="59">
        <f>$BY445-$BY446</f>
        <v/>
      </c>
      <c r="FK445" s="59">
        <f>$BZ445-$BZ446</f>
        <v/>
      </c>
      <c r="FL445" s="59">
        <f>$CA445-$CA446</f>
        <v/>
      </c>
      <c r="FM445" s="59">
        <f>$CB445-$CB446</f>
        <v/>
      </c>
      <c r="FN445" s="59">
        <f>$CC445-$CC446</f>
        <v/>
      </c>
      <c r="FO445" s="59">
        <f>$CD445-$CD446</f>
        <v/>
      </c>
      <c r="FP445" s="59">
        <f>$CE445-$CE446</f>
        <v/>
      </c>
      <c r="FQ445" s="59">
        <f>$CF445-$CF446</f>
        <v/>
      </c>
      <c r="FR445" s="59">
        <f>$CG445-$CG446</f>
        <v/>
      </c>
      <c r="FS445" s="59">
        <f>$CH445-$CH446</f>
        <v/>
      </c>
      <c r="FT445" s="59">
        <f>$CI445-$CI446</f>
        <v/>
      </c>
      <c r="FU445" s="59">
        <f>$CJ445-$CJ446</f>
        <v/>
      </c>
      <c r="FV445" s="59">
        <f>$CK445-$CK446</f>
        <v/>
      </c>
      <c r="FW445" s="59">
        <f>$CL445-$CL446</f>
        <v/>
      </c>
      <c r="FX445" s="59">
        <f>$CM445-$CM446</f>
        <v/>
      </c>
      <c r="FY445" s="59">
        <f>$CN445-$CN446</f>
        <v/>
      </c>
      <c r="FZ445" s="59">
        <f>$CO445-$CO446</f>
        <v/>
      </c>
      <c r="GA445" s="59">
        <f>$CP445-$CP446</f>
        <v/>
      </c>
      <c r="GB445" s="59">
        <f>$CQ445-$CQ446</f>
        <v/>
      </c>
      <c r="GC445" s="59">
        <f>$CR445-$CR446</f>
        <v/>
      </c>
      <c r="GD445" s="59">
        <f>$CS445-$CS446</f>
        <v/>
      </c>
      <c r="GE445" s="59">
        <f>$CT445-$CT446</f>
        <v/>
      </c>
    </row>
    <row r="446">
      <c r="CU446" s="58">
        <f>IFERROR($B446/$B447-1,"")</f>
        <v/>
      </c>
      <c r="CV446" s="59">
        <f>($F446-$F447)*100</f>
        <v/>
      </c>
      <c r="CW446" s="59">
        <f>($E446-$E447)*100</f>
        <v/>
      </c>
      <c r="CX446" s="58">
        <f>IFERROR($K446/$K447-1,"")</f>
        <v/>
      </c>
      <c r="CY446" s="59">
        <f>($AH446-$AH447)*100</f>
        <v/>
      </c>
      <c r="CZ446" s="59">
        <f>($AI446-$AI447)*100</f>
        <v/>
      </c>
      <c r="DA446" s="59">
        <f>($AJ446-$AJ447)*100</f>
        <v/>
      </c>
      <c r="DB446" s="59">
        <f>($AK446-$AK447)*100</f>
        <v/>
      </c>
      <c r="DC446" s="59">
        <f>($AL446-$AL447)*100</f>
        <v/>
      </c>
      <c r="DD446" s="59">
        <f>($AM446-$AM447)*100</f>
        <v/>
      </c>
      <c r="DE446" s="59">
        <f>($AN446-$AN447)*100</f>
        <v/>
      </c>
      <c r="DF446" s="59">
        <f>($AO446-$AO447)*100</f>
        <v/>
      </c>
      <c r="DG446" s="59">
        <f>($AP446-$AP447)*100</f>
        <v/>
      </c>
      <c r="DH446" s="59">
        <f>($AQ446-$AQ447)*100</f>
        <v/>
      </c>
      <c r="DI446" s="59">
        <f>($AR446-$AR447)*100</f>
        <v/>
      </c>
      <c r="DJ446" s="59">
        <f>($AS446-$AS447)*100</f>
        <v/>
      </c>
      <c r="DK446" s="59">
        <f>($AT446-$AT447)*100</f>
        <v/>
      </c>
      <c r="DL446" s="59">
        <f>($AU446-$AU447)*100</f>
        <v/>
      </c>
      <c r="DM446" s="59">
        <f>($AV446-$AV447)*100</f>
        <v/>
      </c>
      <c r="DN446" s="59">
        <f>($AW446-$AW447)*100</f>
        <v/>
      </c>
      <c r="DO446" s="59">
        <f>($AX446-$AX447)*100</f>
        <v/>
      </c>
      <c r="DP446" s="59">
        <f>($AY446-$AY447)*100</f>
        <v/>
      </c>
      <c r="DQ446" s="59">
        <f>($AZ446-$AZ447)*100</f>
        <v/>
      </c>
      <c r="DR446" s="59">
        <f>($BA446-$BA447)*100</f>
        <v/>
      </c>
      <c r="DS446" s="58">
        <f>IFERROR($N447/$N446-1,"")</f>
        <v/>
      </c>
      <c r="DT446" s="58">
        <f>IFERROR($O447/$O446-1,"")</f>
        <v/>
      </c>
      <c r="DU446" s="58">
        <f>IFERROR($P447/$P446-1,"")</f>
        <v/>
      </c>
      <c r="DV446" s="58">
        <f>IFERROR($Q447/$Q446-1,"")</f>
        <v/>
      </c>
      <c r="DW446" s="58">
        <f>IFERROR($R447/$R446-1,"")</f>
        <v/>
      </c>
      <c r="DX446" s="58">
        <f>IFERROR($S447/$S446-1,"")</f>
        <v/>
      </c>
      <c r="DY446" s="58">
        <f>IFERROR($T447/$T446-1,"")</f>
        <v/>
      </c>
      <c r="DZ446" s="58">
        <f>IFERROR($U447/$U446-1,"")</f>
        <v/>
      </c>
      <c r="EA446" s="58">
        <f>IFERROR($V447/$V446-1,"")</f>
        <v/>
      </c>
      <c r="EB446" s="58">
        <f>IFERROR($W447/$W446-1,"")</f>
        <v/>
      </c>
      <c r="EC446" s="58">
        <f>IFERROR($X447/$X446-1,"")</f>
        <v/>
      </c>
      <c r="ED446" s="58">
        <f>IFERROR($Y447/$Y446-1,"")</f>
        <v/>
      </c>
      <c r="EE446" s="58">
        <f>IFERROR($Z447/$Z446-1,"")</f>
        <v/>
      </c>
      <c r="EF446" s="58">
        <f>IFERROR($AA447/$AA446-1,"")</f>
        <v/>
      </c>
      <c r="EG446" s="58">
        <f>IFERROR($AB447/$AB446-1,"")</f>
        <v/>
      </c>
      <c r="EH446" s="58">
        <f>IFERROR($AC447/$AC446-1,"")</f>
        <v/>
      </c>
      <c r="EI446" s="58">
        <f>IFERROR($AD447/$AD446-1,"")</f>
        <v/>
      </c>
      <c r="EJ446" s="58">
        <f>IFERROR($AE447/$AE446-1,"")</f>
        <v/>
      </c>
      <c r="EK446" s="58">
        <f>IFERROR($AF447/$AF446-1,"")</f>
        <v/>
      </c>
      <c r="EL446" s="58">
        <f>IFERROR($AG447/$AG446-1,"")</f>
        <v/>
      </c>
      <c r="EM446" s="58">
        <f>IFERROR($BB446/$BB447-1,"")</f>
        <v/>
      </c>
      <c r="EN446" s="58">
        <f>IFERROR($BC446/$BC447-1,"")</f>
        <v/>
      </c>
      <c r="EO446" s="58">
        <f>IFERROR($BD446/$BD447-1,"")</f>
        <v/>
      </c>
      <c r="EP446" s="58">
        <f>IFERROR($BE446/$BE447-1,"")</f>
        <v/>
      </c>
      <c r="EQ446" s="58">
        <f>IFERROR($BF446/$BF447-1,"")</f>
        <v/>
      </c>
      <c r="ER446" s="58">
        <f>IFERROR($BG446/$BG447-1,"")</f>
        <v/>
      </c>
      <c r="ES446" s="58">
        <f>IFERROR($BH446/$BH447-1,"")</f>
        <v/>
      </c>
      <c r="ET446" s="58">
        <f>IFERROR($BI446/$BI447-1,"")</f>
        <v/>
      </c>
      <c r="EU446" s="58">
        <f>IFERROR($BJ446/$BJ447-1,"")</f>
        <v/>
      </c>
      <c r="EV446" s="58">
        <f>IFERROR($BK446/$BK447-1,"")</f>
        <v/>
      </c>
      <c r="EW446" s="58">
        <f>IFERROR($BL446/$BL447-1,"")</f>
        <v/>
      </c>
      <c r="EX446" s="58">
        <f>IFERROR($BM446/$BM447-1,"")</f>
        <v/>
      </c>
      <c r="EY446" s="58">
        <f>IFERROR($BN446/$BN447-1,"")</f>
        <v/>
      </c>
      <c r="EZ446" s="58">
        <f>IFERROR($BO446/$BO447-1,"")</f>
        <v/>
      </c>
      <c r="FA446" s="58">
        <f>IFERROR($BP446/$BP447-1,"")</f>
        <v/>
      </c>
      <c r="FB446" s="58">
        <f>IFERROR($BQ446/$BQ447-1,"")</f>
        <v/>
      </c>
      <c r="FC446" s="58">
        <f>IFERROR($BR446/$BR447-1,"")</f>
        <v/>
      </c>
      <c r="FD446" s="58">
        <f>IFERROR($BS446/$BS447-1,"")</f>
        <v/>
      </c>
      <c r="FE446" s="58">
        <f>IFERROR($BT446/$BT447-1,"")</f>
        <v/>
      </c>
      <c r="FF446" s="58">
        <f>IFERROR($BU446/$BU447-1,"")</f>
        <v/>
      </c>
      <c r="FG446" s="58">
        <f>IFERROR($BV446/$BV447-1,"")</f>
        <v/>
      </c>
      <c r="FH446" s="58">
        <f>IFERROR($BW446/$BW447-1,"")</f>
        <v/>
      </c>
      <c r="FI446" s="58">
        <f>IFERROR($BX446/$BX447-1,"")</f>
        <v/>
      </c>
      <c r="FJ446" s="59">
        <f>$BY446-$BY447</f>
        <v/>
      </c>
      <c r="FK446" s="59">
        <f>$BZ446-$BZ447</f>
        <v/>
      </c>
      <c r="FL446" s="59">
        <f>$CA446-$CA447</f>
        <v/>
      </c>
      <c r="FM446" s="59">
        <f>$CB446-$CB447</f>
        <v/>
      </c>
      <c r="FN446" s="59">
        <f>$CC446-$CC447</f>
        <v/>
      </c>
      <c r="FO446" s="59">
        <f>$CD446-$CD447</f>
        <v/>
      </c>
      <c r="FP446" s="59">
        <f>$CE446-$CE447</f>
        <v/>
      </c>
      <c r="FQ446" s="59">
        <f>$CF446-$CF447</f>
        <v/>
      </c>
      <c r="FR446" s="59">
        <f>$CG446-$CG447</f>
        <v/>
      </c>
      <c r="FS446" s="59">
        <f>$CH446-$CH447</f>
        <v/>
      </c>
      <c r="FT446" s="59">
        <f>$CI446-$CI447</f>
        <v/>
      </c>
      <c r="FU446" s="59">
        <f>$CJ446-$CJ447</f>
        <v/>
      </c>
      <c r="FV446" s="59">
        <f>$CK446-$CK447</f>
        <v/>
      </c>
      <c r="FW446" s="59">
        <f>$CL446-$CL447</f>
        <v/>
      </c>
      <c r="FX446" s="59">
        <f>$CM446-$CM447</f>
        <v/>
      </c>
      <c r="FY446" s="59">
        <f>$CN446-$CN447</f>
        <v/>
      </c>
      <c r="FZ446" s="59">
        <f>$CO446-$CO447</f>
        <v/>
      </c>
      <c r="GA446" s="59">
        <f>$CP446-$CP447</f>
        <v/>
      </c>
      <c r="GB446" s="59">
        <f>$CQ446-$CQ447</f>
        <v/>
      </c>
      <c r="GC446" s="59">
        <f>$CR446-$CR447</f>
        <v/>
      </c>
      <c r="GD446" s="59">
        <f>$CS446-$CS447</f>
        <v/>
      </c>
      <c r="GE446" s="59">
        <f>$CT446-$CT447</f>
        <v/>
      </c>
    </row>
    <row r="447">
      <c r="CU447" s="58">
        <f>IFERROR($B447/$B448-1,"")</f>
        <v/>
      </c>
      <c r="CV447" s="59">
        <f>($F447-$F448)*100</f>
        <v/>
      </c>
      <c r="CW447" s="59">
        <f>($E447-$E448)*100</f>
        <v/>
      </c>
      <c r="CX447" s="58">
        <f>IFERROR($K447/$K448-1,"")</f>
        <v/>
      </c>
      <c r="CY447" s="59">
        <f>($AH447-$AH448)*100</f>
        <v/>
      </c>
      <c r="CZ447" s="59">
        <f>($AI447-$AI448)*100</f>
        <v/>
      </c>
      <c r="DA447" s="59">
        <f>($AJ447-$AJ448)*100</f>
        <v/>
      </c>
      <c r="DB447" s="59">
        <f>($AK447-$AK448)*100</f>
        <v/>
      </c>
      <c r="DC447" s="59">
        <f>($AL447-$AL448)*100</f>
        <v/>
      </c>
      <c r="DD447" s="59">
        <f>($AM447-$AM448)*100</f>
        <v/>
      </c>
      <c r="DE447" s="59">
        <f>($AN447-$AN448)*100</f>
        <v/>
      </c>
      <c r="DF447" s="59">
        <f>($AO447-$AO448)*100</f>
        <v/>
      </c>
      <c r="DG447" s="59">
        <f>($AP447-$AP448)*100</f>
        <v/>
      </c>
      <c r="DH447" s="59">
        <f>($AQ447-$AQ448)*100</f>
        <v/>
      </c>
      <c r="DI447" s="59">
        <f>($AR447-$AR448)*100</f>
        <v/>
      </c>
      <c r="DJ447" s="59">
        <f>($AS447-$AS448)*100</f>
        <v/>
      </c>
      <c r="DK447" s="59">
        <f>($AT447-$AT448)*100</f>
        <v/>
      </c>
      <c r="DL447" s="59">
        <f>($AU447-$AU448)*100</f>
        <v/>
      </c>
      <c r="DM447" s="59">
        <f>($AV447-$AV448)*100</f>
        <v/>
      </c>
      <c r="DN447" s="59">
        <f>($AW447-$AW448)*100</f>
        <v/>
      </c>
      <c r="DO447" s="59">
        <f>($AX447-$AX448)*100</f>
        <v/>
      </c>
      <c r="DP447" s="59">
        <f>($AY447-$AY448)*100</f>
        <v/>
      </c>
      <c r="DQ447" s="59">
        <f>($AZ447-$AZ448)*100</f>
        <v/>
      </c>
      <c r="DR447" s="59">
        <f>($BA447-$BA448)*100</f>
        <v/>
      </c>
      <c r="DS447" s="58">
        <f>IFERROR($N448/$N447-1,"")</f>
        <v/>
      </c>
      <c r="DT447" s="58">
        <f>IFERROR($O448/$O447-1,"")</f>
        <v/>
      </c>
      <c r="DU447" s="58">
        <f>IFERROR($P448/$P447-1,"")</f>
        <v/>
      </c>
      <c r="DV447" s="58">
        <f>IFERROR($Q448/$Q447-1,"")</f>
        <v/>
      </c>
      <c r="DW447" s="58">
        <f>IFERROR($R448/$R447-1,"")</f>
        <v/>
      </c>
      <c r="DX447" s="58">
        <f>IFERROR($S448/$S447-1,"")</f>
        <v/>
      </c>
      <c r="DY447" s="58">
        <f>IFERROR($T448/$T447-1,"")</f>
        <v/>
      </c>
      <c r="DZ447" s="58">
        <f>IFERROR($U448/$U447-1,"")</f>
        <v/>
      </c>
      <c r="EA447" s="58">
        <f>IFERROR($V448/$V447-1,"")</f>
        <v/>
      </c>
      <c r="EB447" s="58">
        <f>IFERROR($W448/$W447-1,"")</f>
        <v/>
      </c>
      <c r="EC447" s="58">
        <f>IFERROR($X448/$X447-1,"")</f>
        <v/>
      </c>
      <c r="ED447" s="58">
        <f>IFERROR($Y448/$Y447-1,"")</f>
        <v/>
      </c>
      <c r="EE447" s="58">
        <f>IFERROR($Z448/$Z447-1,"")</f>
        <v/>
      </c>
      <c r="EF447" s="58">
        <f>IFERROR($AA448/$AA447-1,"")</f>
        <v/>
      </c>
      <c r="EG447" s="58">
        <f>IFERROR($AB448/$AB447-1,"")</f>
        <v/>
      </c>
      <c r="EH447" s="58">
        <f>IFERROR($AC448/$AC447-1,"")</f>
        <v/>
      </c>
      <c r="EI447" s="58">
        <f>IFERROR($AD448/$AD447-1,"")</f>
        <v/>
      </c>
      <c r="EJ447" s="58">
        <f>IFERROR($AE448/$AE447-1,"")</f>
        <v/>
      </c>
      <c r="EK447" s="58">
        <f>IFERROR($AF448/$AF447-1,"")</f>
        <v/>
      </c>
      <c r="EL447" s="58">
        <f>IFERROR($AG448/$AG447-1,"")</f>
        <v/>
      </c>
      <c r="EM447" s="58">
        <f>IFERROR($BB447/$BB448-1,"")</f>
        <v/>
      </c>
      <c r="EN447" s="58">
        <f>IFERROR($BC447/$BC448-1,"")</f>
        <v/>
      </c>
      <c r="EO447" s="58">
        <f>IFERROR($BD447/$BD448-1,"")</f>
        <v/>
      </c>
      <c r="EP447" s="58">
        <f>IFERROR($BE447/$BE448-1,"")</f>
        <v/>
      </c>
      <c r="EQ447" s="58">
        <f>IFERROR($BF447/$BF448-1,"")</f>
        <v/>
      </c>
      <c r="ER447" s="58">
        <f>IFERROR($BG447/$BG448-1,"")</f>
        <v/>
      </c>
      <c r="ES447" s="58">
        <f>IFERROR($BH447/$BH448-1,"")</f>
        <v/>
      </c>
      <c r="ET447" s="58">
        <f>IFERROR($BI447/$BI448-1,"")</f>
        <v/>
      </c>
      <c r="EU447" s="58">
        <f>IFERROR($BJ447/$BJ448-1,"")</f>
        <v/>
      </c>
      <c r="EV447" s="58">
        <f>IFERROR($BK447/$BK448-1,"")</f>
        <v/>
      </c>
      <c r="EW447" s="58">
        <f>IFERROR($BL447/$BL448-1,"")</f>
        <v/>
      </c>
      <c r="EX447" s="58">
        <f>IFERROR($BM447/$BM448-1,"")</f>
        <v/>
      </c>
      <c r="EY447" s="58">
        <f>IFERROR($BN447/$BN448-1,"")</f>
        <v/>
      </c>
      <c r="EZ447" s="58">
        <f>IFERROR($BO447/$BO448-1,"")</f>
        <v/>
      </c>
      <c r="FA447" s="58">
        <f>IFERROR($BP447/$BP448-1,"")</f>
        <v/>
      </c>
      <c r="FB447" s="58">
        <f>IFERROR($BQ447/$BQ448-1,"")</f>
        <v/>
      </c>
      <c r="FC447" s="58">
        <f>IFERROR($BR447/$BR448-1,"")</f>
        <v/>
      </c>
      <c r="FD447" s="58">
        <f>IFERROR($BS447/$BS448-1,"")</f>
        <v/>
      </c>
      <c r="FE447" s="58">
        <f>IFERROR($BT447/$BT448-1,"")</f>
        <v/>
      </c>
      <c r="FF447" s="58">
        <f>IFERROR($BU447/$BU448-1,"")</f>
        <v/>
      </c>
      <c r="FG447" s="58">
        <f>IFERROR($BV447/$BV448-1,"")</f>
        <v/>
      </c>
      <c r="FH447" s="58">
        <f>IFERROR($BW447/$BW448-1,"")</f>
        <v/>
      </c>
      <c r="FI447" s="58">
        <f>IFERROR($BX447/$BX448-1,"")</f>
        <v/>
      </c>
      <c r="FJ447" s="59">
        <f>$BY447-$BY448</f>
        <v/>
      </c>
      <c r="FK447" s="59">
        <f>$BZ447-$BZ448</f>
        <v/>
      </c>
      <c r="FL447" s="59">
        <f>$CA447-$CA448</f>
        <v/>
      </c>
      <c r="FM447" s="59">
        <f>$CB447-$CB448</f>
        <v/>
      </c>
      <c r="FN447" s="59">
        <f>$CC447-$CC448</f>
        <v/>
      </c>
      <c r="FO447" s="59">
        <f>$CD447-$CD448</f>
        <v/>
      </c>
      <c r="FP447" s="59">
        <f>$CE447-$CE448</f>
        <v/>
      </c>
      <c r="FQ447" s="59">
        <f>$CF447-$CF448</f>
        <v/>
      </c>
      <c r="FR447" s="59">
        <f>$CG447-$CG448</f>
        <v/>
      </c>
      <c r="FS447" s="59">
        <f>$CH447-$CH448</f>
        <v/>
      </c>
      <c r="FT447" s="59">
        <f>$CI447-$CI448</f>
        <v/>
      </c>
      <c r="FU447" s="59">
        <f>$CJ447-$CJ448</f>
        <v/>
      </c>
      <c r="FV447" s="59">
        <f>$CK447-$CK448</f>
        <v/>
      </c>
      <c r="FW447" s="59">
        <f>$CL447-$CL448</f>
        <v/>
      </c>
      <c r="FX447" s="59">
        <f>$CM447-$CM448</f>
        <v/>
      </c>
      <c r="FY447" s="59">
        <f>$CN447-$CN448</f>
        <v/>
      </c>
      <c r="FZ447" s="59">
        <f>$CO447-$CO448</f>
        <v/>
      </c>
      <c r="GA447" s="59">
        <f>$CP447-$CP448</f>
        <v/>
      </c>
      <c r="GB447" s="59">
        <f>$CQ447-$CQ448</f>
        <v/>
      </c>
      <c r="GC447" s="59">
        <f>$CR447-$CR448</f>
        <v/>
      </c>
      <c r="GD447" s="59">
        <f>$CS447-$CS448</f>
        <v/>
      </c>
      <c r="GE447" s="59">
        <f>$CT447-$CT448</f>
        <v/>
      </c>
    </row>
    <row r="448">
      <c r="CU448" s="58">
        <f>IFERROR($B448/$B449-1,"")</f>
        <v/>
      </c>
      <c r="CV448" s="59">
        <f>($F448-$F449)*100</f>
        <v/>
      </c>
      <c r="CW448" s="59">
        <f>($E448-$E449)*100</f>
        <v/>
      </c>
      <c r="CX448" s="58">
        <f>IFERROR($K448/$K449-1,"")</f>
        <v/>
      </c>
      <c r="CY448" s="59">
        <f>($AH448-$AH449)*100</f>
        <v/>
      </c>
      <c r="CZ448" s="59">
        <f>($AI448-$AI449)*100</f>
        <v/>
      </c>
      <c r="DA448" s="59">
        <f>($AJ448-$AJ449)*100</f>
        <v/>
      </c>
      <c r="DB448" s="59">
        <f>($AK448-$AK449)*100</f>
        <v/>
      </c>
      <c r="DC448" s="59">
        <f>($AL448-$AL449)*100</f>
        <v/>
      </c>
      <c r="DD448" s="59">
        <f>($AM448-$AM449)*100</f>
        <v/>
      </c>
      <c r="DE448" s="59">
        <f>($AN448-$AN449)*100</f>
        <v/>
      </c>
      <c r="DF448" s="59">
        <f>($AO448-$AO449)*100</f>
        <v/>
      </c>
      <c r="DG448" s="59">
        <f>($AP448-$AP449)*100</f>
        <v/>
      </c>
      <c r="DH448" s="59">
        <f>($AQ448-$AQ449)*100</f>
        <v/>
      </c>
      <c r="DI448" s="59">
        <f>($AR448-$AR449)*100</f>
        <v/>
      </c>
      <c r="DJ448" s="59">
        <f>($AS448-$AS449)*100</f>
        <v/>
      </c>
      <c r="DK448" s="59">
        <f>($AT448-$AT449)*100</f>
        <v/>
      </c>
      <c r="DL448" s="59">
        <f>($AU448-$AU449)*100</f>
        <v/>
      </c>
      <c r="DM448" s="59">
        <f>($AV448-$AV449)*100</f>
        <v/>
      </c>
      <c r="DN448" s="59">
        <f>($AW448-$AW449)*100</f>
        <v/>
      </c>
      <c r="DO448" s="59">
        <f>($AX448-$AX449)*100</f>
        <v/>
      </c>
      <c r="DP448" s="59">
        <f>($AY448-$AY449)*100</f>
        <v/>
      </c>
      <c r="DQ448" s="59">
        <f>($AZ448-$AZ449)*100</f>
        <v/>
      </c>
      <c r="DR448" s="59">
        <f>($BA448-$BA449)*100</f>
        <v/>
      </c>
      <c r="DS448" s="58">
        <f>IFERROR($N449/$N448-1,"")</f>
        <v/>
      </c>
      <c r="DT448" s="58">
        <f>IFERROR($O449/$O448-1,"")</f>
        <v/>
      </c>
      <c r="DU448" s="58">
        <f>IFERROR($P449/$P448-1,"")</f>
        <v/>
      </c>
      <c r="DV448" s="58">
        <f>IFERROR($Q449/$Q448-1,"")</f>
        <v/>
      </c>
      <c r="DW448" s="58">
        <f>IFERROR($R449/$R448-1,"")</f>
        <v/>
      </c>
      <c r="DX448" s="58">
        <f>IFERROR($S449/$S448-1,"")</f>
        <v/>
      </c>
      <c r="DY448" s="58">
        <f>IFERROR($T449/$T448-1,"")</f>
        <v/>
      </c>
      <c r="DZ448" s="58">
        <f>IFERROR($U449/$U448-1,"")</f>
        <v/>
      </c>
      <c r="EA448" s="58">
        <f>IFERROR($V449/$V448-1,"")</f>
        <v/>
      </c>
      <c r="EB448" s="58">
        <f>IFERROR($W449/$W448-1,"")</f>
        <v/>
      </c>
      <c r="EC448" s="58">
        <f>IFERROR($X449/$X448-1,"")</f>
        <v/>
      </c>
      <c r="ED448" s="58">
        <f>IFERROR($Y449/$Y448-1,"")</f>
        <v/>
      </c>
      <c r="EE448" s="58">
        <f>IFERROR($Z449/$Z448-1,"")</f>
        <v/>
      </c>
      <c r="EF448" s="58">
        <f>IFERROR($AA449/$AA448-1,"")</f>
        <v/>
      </c>
      <c r="EG448" s="58">
        <f>IFERROR($AB449/$AB448-1,"")</f>
        <v/>
      </c>
      <c r="EH448" s="58">
        <f>IFERROR($AC449/$AC448-1,"")</f>
        <v/>
      </c>
      <c r="EI448" s="58">
        <f>IFERROR($AD449/$AD448-1,"")</f>
        <v/>
      </c>
      <c r="EJ448" s="58">
        <f>IFERROR($AE449/$AE448-1,"")</f>
        <v/>
      </c>
      <c r="EK448" s="58">
        <f>IFERROR($AF449/$AF448-1,"")</f>
        <v/>
      </c>
      <c r="EL448" s="58">
        <f>IFERROR($AG449/$AG448-1,"")</f>
        <v/>
      </c>
      <c r="EM448" s="58">
        <f>IFERROR($BB448/$BB449-1,"")</f>
        <v/>
      </c>
      <c r="EN448" s="58">
        <f>IFERROR($BC448/$BC449-1,"")</f>
        <v/>
      </c>
      <c r="EO448" s="58">
        <f>IFERROR($BD448/$BD449-1,"")</f>
        <v/>
      </c>
      <c r="EP448" s="58">
        <f>IFERROR($BE448/$BE449-1,"")</f>
        <v/>
      </c>
      <c r="EQ448" s="58">
        <f>IFERROR($BF448/$BF449-1,"")</f>
        <v/>
      </c>
      <c r="ER448" s="58">
        <f>IFERROR($BG448/$BG449-1,"")</f>
        <v/>
      </c>
      <c r="ES448" s="58">
        <f>IFERROR($BH448/$BH449-1,"")</f>
        <v/>
      </c>
      <c r="ET448" s="58">
        <f>IFERROR($BI448/$BI449-1,"")</f>
        <v/>
      </c>
      <c r="EU448" s="58">
        <f>IFERROR($BJ448/$BJ449-1,"")</f>
        <v/>
      </c>
      <c r="EV448" s="58">
        <f>IFERROR($BK448/$BK449-1,"")</f>
        <v/>
      </c>
      <c r="EW448" s="58">
        <f>IFERROR($BL448/$BL449-1,"")</f>
        <v/>
      </c>
      <c r="EX448" s="58">
        <f>IFERROR($BM448/$BM449-1,"")</f>
        <v/>
      </c>
      <c r="EY448" s="58">
        <f>IFERROR($BN448/$BN449-1,"")</f>
        <v/>
      </c>
      <c r="EZ448" s="58">
        <f>IFERROR($BO448/$BO449-1,"")</f>
        <v/>
      </c>
      <c r="FA448" s="58">
        <f>IFERROR($BP448/$BP449-1,"")</f>
        <v/>
      </c>
      <c r="FB448" s="58">
        <f>IFERROR($BQ448/$BQ449-1,"")</f>
        <v/>
      </c>
      <c r="FC448" s="58">
        <f>IFERROR($BR448/$BR449-1,"")</f>
        <v/>
      </c>
      <c r="FD448" s="58">
        <f>IFERROR($BS448/$BS449-1,"")</f>
        <v/>
      </c>
      <c r="FE448" s="58">
        <f>IFERROR($BT448/$BT449-1,"")</f>
        <v/>
      </c>
      <c r="FF448" s="58">
        <f>IFERROR($BU448/$BU449-1,"")</f>
        <v/>
      </c>
      <c r="FG448" s="58">
        <f>IFERROR($BV448/$BV449-1,"")</f>
        <v/>
      </c>
      <c r="FH448" s="58">
        <f>IFERROR($BW448/$BW449-1,"")</f>
        <v/>
      </c>
      <c r="FI448" s="58">
        <f>IFERROR($BX448/$BX449-1,"")</f>
        <v/>
      </c>
      <c r="FJ448" s="59">
        <f>$BY448-$BY449</f>
        <v/>
      </c>
      <c r="FK448" s="59">
        <f>$BZ448-$BZ449</f>
        <v/>
      </c>
      <c r="FL448" s="59">
        <f>$CA448-$CA449</f>
        <v/>
      </c>
      <c r="FM448" s="59">
        <f>$CB448-$CB449</f>
        <v/>
      </c>
      <c r="FN448" s="59">
        <f>$CC448-$CC449</f>
        <v/>
      </c>
      <c r="FO448" s="59">
        <f>$CD448-$CD449</f>
        <v/>
      </c>
      <c r="FP448" s="59">
        <f>$CE448-$CE449</f>
        <v/>
      </c>
      <c r="FQ448" s="59">
        <f>$CF448-$CF449</f>
        <v/>
      </c>
      <c r="FR448" s="59">
        <f>$CG448-$CG449</f>
        <v/>
      </c>
      <c r="FS448" s="59">
        <f>$CH448-$CH449</f>
        <v/>
      </c>
      <c r="FT448" s="59">
        <f>$CI448-$CI449</f>
        <v/>
      </c>
      <c r="FU448" s="59">
        <f>$CJ448-$CJ449</f>
        <v/>
      </c>
      <c r="FV448" s="59">
        <f>$CK448-$CK449</f>
        <v/>
      </c>
      <c r="FW448" s="59">
        <f>$CL448-$CL449</f>
        <v/>
      </c>
      <c r="FX448" s="59">
        <f>$CM448-$CM449</f>
        <v/>
      </c>
      <c r="FY448" s="59">
        <f>$CN448-$CN449</f>
        <v/>
      </c>
      <c r="FZ448" s="59">
        <f>$CO448-$CO449</f>
        <v/>
      </c>
      <c r="GA448" s="59">
        <f>$CP448-$CP449</f>
        <v/>
      </c>
      <c r="GB448" s="59">
        <f>$CQ448-$CQ449</f>
        <v/>
      </c>
      <c r="GC448" s="59">
        <f>$CR448-$CR449</f>
        <v/>
      </c>
      <c r="GD448" s="59">
        <f>$CS448-$CS449</f>
        <v/>
      </c>
      <c r="GE448" s="59">
        <f>$CT448-$CT449</f>
        <v/>
      </c>
    </row>
    <row r="449">
      <c r="CU449" s="58">
        <f>IFERROR($B449/$B450-1,"")</f>
        <v/>
      </c>
      <c r="CV449" s="59">
        <f>($F449-$F450)*100</f>
        <v/>
      </c>
      <c r="CW449" s="59">
        <f>($E449-$E450)*100</f>
        <v/>
      </c>
      <c r="CX449" s="58">
        <f>IFERROR($K449/$K450-1,"")</f>
        <v/>
      </c>
      <c r="CY449" s="59">
        <f>($AH449-$AH450)*100</f>
        <v/>
      </c>
      <c r="CZ449" s="59">
        <f>($AI449-$AI450)*100</f>
        <v/>
      </c>
      <c r="DA449" s="59">
        <f>($AJ449-$AJ450)*100</f>
        <v/>
      </c>
      <c r="DB449" s="59">
        <f>($AK449-$AK450)*100</f>
        <v/>
      </c>
      <c r="DC449" s="59">
        <f>($AL449-$AL450)*100</f>
        <v/>
      </c>
      <c r="DD449" s="59">
        <f>($AM449-$AM450)*100</f>
        <v/>
      </c>
      <c r="DE449" s="59">
        <f>($AN449-$AN450)*100</f>
        <v/>
      </c>
      <c r="DF449" s="59">
        <f>($AO449-$AO450)*100</f>
        <v/>
      </c>
      <c r="DG449" s="59">
        <f>($AP449-$AP450)*100</f>
        <v/>
      </c>
      <c r="DH449" s="59">
        <f>($AQ449-$AQ450)*100</f>
        <v/>
      </c>
      <c r="DI449" s="59">
        <f>($AR449-$AR450)*100</f>
        <v/>
      </c>
      <c r="DJ449" s="59">
        <f>($AS449-$AS450)*100</f>
        <v/>
      </c>
      <c r="DK449" s="59">
        <f>($AT449-$AT450)*100</f>
        <v/>
      </c>
      <c r="DL449" s="59">
        <f>($AU449-$AU450)*100</f>
        <v/>
      </c>
      <c r="DM449" s="59">
        <f>($AV449-$AV450)*100</f>
        <v/>
      </c>
      <c r="DN449" s="59">
        <f>($AW449-$AW450)*100</f>
        <v/>
      </c>
      <c r="DO449" s="59">
        <f>($AX449-$AX450)*100</f>
        <v/>
      </c>
      <c r="DP449" s="59">
        <f>($AY449-$AY450)*100</f>
        <v/>
      </c>
      <c r="DQ449" s="59">
        <f>($AZ449-$AZ450)*100</f>
        <v/>
      </c>
      <c r="DR449" s="59">
        <f>($BA449-$BA450)*100</f>
        <v/>
      </c>
      <c r="DS449" s="58">
        <f>IFERROR($N450/$N449-1,"")</f>
        <v/>
      </c>
      <c r="DT449" s="58">
        <f>IFERROR($O450/$O449-1,"")</f>
        <v/>
      </c>
      <c r="DU449" s="58">
        <f>IFERROR($P450/$P449-1,"")</f>
        <v/>
      </c>
      <c r="DV449" s="58">
        <f>IFERROR($Q450/$Q449-1,"")</f>
        <v/>
      </c>
      <c r="DW449" s="58">
        <f>IFERROR($R450/$R449-1,"")</f>
        <v/>
      </c>
      <c r="DX449" s="58">
        <f>IFERROR($S450/$S449-1,"")</f>
        <v/>
      </c>
      <c r="DY449" s="58">
        <f>IFERROR($T450/$T449-1,"")</f>
        <v/>
      </c>
      <c r="DZ449" s="58">
        <f>IFERROR($U450/$U449-1,"")</f>
        <v/>
      </c>
      <c r="EA449" s="58">
        <f>IFERROR($V450/$V449-1,"")</f>
        <v/>
      </c>
      <c r="EB449" s="58">
        <f>IFERROR($W450/$W449-1,"")</f>
        <v/>
      </c>
      <c r="EC449" s="58">
        <f>IFERROR($X450/$X449-1,"")</f>
        <v/>
      </c>
      <c r="ED449" s="58">
        <f>IFERROR($Y450/$Y449-1,"")</f>
        <v/>
      </c>
      <c r="EE449" s="58">
        <f>IFERROR($Z450/$Z449-1,"")</f>
        <v/>
      </c>
      <c r="EF449" s="58">
        <f>IFERROR($AA450/$AA449-1,"")</f>
        <v/>
      </c>
      <c r="EG449" s="58">
        <f>IFERROR($AB450/$AB449-1,"")</f>
        <v/>
      </c>
      <c r="EH449" s="58">
        <f>IFERROR($AC450/$AC449-1,"")</f>
        <v/>
      </c>
      <c r="EI449" s="58">
        <f>IFERROR($AD450/$AD449-1,"")</f>
        <v/>
      </c>
      <c r="EJ449" s="58">
        <f>IFERROR($AE450/$AE449-1,"")</f>
        <v/>
      </c>
      <c r="EK449" s="58">
        <f>IFERROR($AF450/$AF449-1,"")</f>
        <v/>
      </c>
      <c r="EL449" s="58">
        <f>IFERROR($AG450/$AG449-1,"")</f>
        <v/>
      </c>
      <c r="EM449" s="58">
        <f>IFERROR($BB449/$BB450-1,"")</f>
        <v/>
      </c>
      <c r="EN449" s="58">
        <f>IFERROR($BC449/$BC450-1,"")</f>
        <v/>
      </c>
      <c r="EO449" s="58">
        <f>IFERROR($BD449/$BD450-1,"")</f>
        <v/>
      </c>
      <c r="EP449" s="58">
        <f>IFERROR($BE449/$BE450-1,"")</f>
        <v/>
      </c>
      <c r="EQ449" s="58">
        <f>IFERROR($BF449/$BF450-1,"")</f>
        <v/>
      </c>
      <c r="ER449" s="58">
        <f>IFERROR($BG449/$BG450-1,"")</f>
        <v/>
      </c>
      <c r="ES449" s="58">
        <f>IFERROR($BH449/$BH450-1,"")</f>
        <v/>
      </c>
      <c r="ET449" s="58">
        <f>IFERROR($BI449/$BI450-1,"")</f>
        <v/>
      </c>
      <c r="EU449" s="58">
        <f>IFERROR($BJ449/$BJ450-1,"")</f>
        <v/>
      </c>
      <c r="EV449" s="58">
        <f>IFERROR($BK449/$BK450-1,"")</f>
        <v/>
      </c>
      <c r="EW449" s="58">
        <f>IFERROR($BL449/$BL450-1,"")</f>
        <v/>
      </c>
      <c r="EX449" s="58">
        <f>IFERROR($BM449/$BM450-1,"")</f>
        <v/>
      </c>
      <c r="EY449" s="58">
        <f>IFERROR($BN449/$BN450-1,"")</f>
        <v/>
      </c>
      <c r="EZ449" s="58">
        <f>IFERROR($BO449/$BO450-1,"")</f>
        <v/>
      </c>
      <c r="FA449" s="58">
        <f>IFERROR($BP449/$BP450-1,"")</f>
        <v/>
      </c>
      <c r="FB449" s="58">
        <f>IFERROR($BQ449/$BQ450-1,"")</f>
        <v/>
      </c>
      <c r="FC449" s="58">
        <f>IFERROR($BR449/$BR450-1,"")</f>
        <v/>
      </c>
      <c r="FD449" s="58">
        <f>IFERROR($BS449/$BS450-1,"")</f>
        <v/>
      </c>
      <c r="FE449" s="58">
        <f>IFERROR($BT449/$BT450-1,"")</f>
        <v/>
      </c>
      <c r="FF449" s="58">
        <f>IFERROR($BU449/$BU450-1,"")</f>
        <v/>
      </c>
      <c r="FG449" s="58">
        <f>IFERROR($BV449/$BV450-1,"")</f>
        <v/>
      </c>
      <c r="FH449" s="58">
        <f>IFERROR($BW449/$BW450-1,"")</f>
        <v/>
      </c>
      <c r="FI449" s="58">
        <f>IFERROR($BX449/$BX450-1,"")</f>
        <v/>
      </c>
      <c r="FJ449" s="59">
        <f>$BY449-$BY450</f>
        <v/>
      </c>
      <c r="FK449" s="59">
        <f>$BZ449-$BZ450</f>
        <v/>
      </c>
      <c r="FL449" s="59">
        <f>$CA449-$CA450</f>
        <v/>
      </c>
      <c r="FM449" s="59">
        <f>$CB449-$CB450</f>
        <v/>
      </c>
      <c r="FN449" s="59">
        <f>$CC449-$CC450</f>
        <v/>
      </c>
      <c r="FO449" s="59">
        <f>$CD449-$CD450</f>
        <v/>
      </c>
      <c r="FP449" s="59">
        <f>$CE449-$CE450</f>
        <v/>
      </c>
      <c r="FQ449" s="59">
        <f>$CF449-$CF450</f>
        <v/>
      </c>
      <c r="FR449" s="59">
        <f>$CG449-$CG450</f>
        <v/>
      </c>
      <c r="FS449" s="59">
        <f>$CH449-$CH450</f>
        <v/>
      </c>
      <c r="FT449" s="59">
        <f>$CI449-$CI450</f>
        <v/>
      </c>
      <c r="FU449" s="59">
        <f>$CJ449-$CJ450</f>
        <v/>
      </c>
      <c r="FV449" s="59">
        <f>$CK449-$CK450</f>
        <v/>
      </c>
      <c r="FW449" s="59">
        <f>$CL449-$CL450</f>
        <v/>
      </c>
      <c r="FX449" s="59">
        <f>$CM449-$CM450</f>
        <v/>
      </c>
      <c r="FY449" s="59">
        <f>$CN449-$CN450</f>
        <v/>
      </c>
      <c r="FZ449" s="59">
        <f>$CO449-$CO450</f>
        <v/>
      </c>
      <c r="GA449" s="59">
        <f>$CP449-$CP450</f>
        <v/>
      </c>
      <c r="GB449" s="59">
        <f>$CQ449-$CQ450</f>
        <v/>
      </c>
      <c r="GC449" s="59">
        <f>$CR449-$CR450</f>
        <v/>
      </c>
      <c r="GD449" s="59">
        <f>$CS449-$CS450</f>
        <v/>
      </c>
      <c r="GE449" s="59">
        <f>$CT449-$CT450</f>
        <v/>
      </c>
    </row>
    <row r="450">
      <c r="CU450" s="58">
        <f>IFERROR($B450/$B451-1,"")</f>
        <v/>
      </c>
      <c r="CV450" s="59">
        <f>($F450-$F451)*100</f>
        <v/>
      </c>
      <c r="CW450" s="59">
        <f>($E450-$E451)*100</f>
        <v/>
      </c>
      <c r="CX450" s="58">
        <f>IFERROR($K450/$K451-1,"")</f>
        <v/>
      </c>
      <c r="CY450" s="59">
        <f>($AH450-$AH451)*100</f>
        <v/>
      </c>
      <c r="CZ450" s="59">
        <f>($AI450-$AI451)*100</f>
        <v/>
      </c>
      <c r="DA450" s="59">
        <f>($AJ450-$AJ451)*100</f>
        <v/>
      </c>
      <c r="DB450" s="59">
        <f>($AK450-$AK451)*100</f>
        <v/>
      </c>
      <c r="DC450" s="59">
        <f>($AL450-$AL451)*100</f>
        <v/>
      </c>
      <c r="DD450" s="59">
        <f>($AM450-$AM451)*100</f>
        <v/>
      </c>
      <c r="DE450" s="59">
        <f>($AN450-$AN451)*100</f>
        <v/>
      </c>
      <c r="DF450" s="59">
        <f>($AO450-$AO451)*100</f>
        <v/>
      </c>
      <c r="DG450" s="59">
        <f>($AP450-$AP451)*100</f>
        <v/>
      </c>
      <c r="DH450" s="59">
        <f>($AQ450-$AQ451)*100</f>
        <v/>
      </c>
      <c r="DI450" s="59">
        <f>($AR450-$AR451)*100</f>
        <v/>
      </c>
      <c r="DJ450" s="59">
        <f>($AS450-$AS451)*100</f>
        <v/>
      </c>
      <c r="DK450" s="59">
        <f>($AT450-$AT451)*100</f>
        <v/>
      </c>
      <c r="DL450" s="59">
        <f>($AU450-$AU451)*100</f>
        <v/>
      </c>
      <c r="DM450" s="59">
        <f>($AV450-$AV451)*100</f>
        <v/>
      </c>
      <c r="DN450" s="59">
        <f>($AW450-$AW451)*100</f>
        <v/>
      </c>
      <c r="DO450" s="59">
        <f>($AX450-$AX451)*100</f>
        <v/>
      </c>
      <c r="DP450" s="59">
        <f>($AY450-$AY451)*100</f>
        <v/>
      </c>
      <c r="DQ450" s="59">
        <f>($AZ450-$AZ451)*100</f>
        <v/>
      </c>
      <c r="DR450" s="59">
        <f>($BA450-$BA451)*100</f>
        <v/>
      </c>
      <c r="DS450" s="58">
        <f>IFERROR($N451/$N450-1,"")</f>
        <v/>
      </c>
      <c r="DT450" s="58">
        <f>IFERROR($O451/$O450-1,"")</f>
        <v/>
      </c>
      <c r="DU450" s="58">
        <f>IFERROR($P451/$P450-1,"")</f>
        <v/>
      </c>
      <c r="DV450" s="58">
        <f>IFERROR($Q451/$Q450-1,"")</f>
        <v/>
      </c>
      <c r="DW450" s="58">
        <f>IFERROR($R451/$R450-1,"")</f>
        <v/>
      </c>
      <c r="DX450" s="58">
        <f>IFERROR($S451/$S450-1,"")</f>
        <v/>
      </c>
      <c r="DY450" s="58">
        <f>IFERROR($T451/$T450-1,"")</f>
        <v/>
      </c>
      <c r="DZ450" s="58">
        <f>IFERROR($U451/$U450-1,"")</f>
        <v/>
      </c>
      <c r="EA450" s="58">
        <f>IFERROR($V451/$V450-1,"")</f>
        <v/>
      </c>
      <c r="EB450" s="58">
        <f>IFERROR($W451/$W450-1,"")</f>
        <v/>
      </c>
      <c r="EC450" s="58">
        <f>IFERROR($X451/$X450-1,"")</f>
        <v/>
      </c>
      <c r="ED450" s="58">
        <f>IFERROR($Y451/$Y450-1,"")</f>
        <v/>
      </c>
      <c r="EE450" s="58">
        <f>IFERROR($Z451/$Z450-1,"")</f>
        <v/>
      </c>
      <c r="EF450" s="58">
        <f>IFERROR($AA451/$AA450-1,"")</f>
        <v/>
      </c>
      <c r="EG450" s="58">
        <f>IFERROR($AB451/$AB450-1,"")</f>
        <v/>
      </c>
      <c r="EH450" s="58">
        <f>IFERROR($AC451/$AC450-1,"")</f>
        <v/>
      </c>
      <c r="EI450" s="58">
        <f>IFERROR($AD451/$AD450-1,"")</f>
        <v/>
      </c>
      <c r="EJ450" s="58">
        <f>IFERROR($AE451/$AE450-1,"")</f>
        <v/>
      </c>
      <c r="EK450" s="58">
        <f>IFERROR($AF451/$AF450-1,"")</f>
        <v/>
      </c>
      <c r="EL450" s="58">
        <f>IFERROR($AG451/$AG450-1,"")</f>
        <v/>
      </c>
      <c r="EM450" s="58">
        <f>IFERROR($BB450/$BB451-1,"")</f>
        <v/>
      </c>
      <c r="EN450" s="58">
        <f>IFERROR($BC450/$BC451-1,"")</f>
        <v/>
      </c>
      <c r="EO450" s="58">
        <f>IFERROR($BD450/$BD451-1,"")</f>
        <v/>
      </c>
      <c r="EP450" s="58">
        <f>IFERROR($BE450/$BE451-1,"")</f>
        <v/>
      </c>
      <c r="EQ450" s="58">
        <f>IFERROR($BF450/$BF451-1,"")</f>
        <v/>
      </c>
      <c r="ER450" s="58">
        <f>IFERROR($BG450/$BG451-1,"")</f>
        <v/>
      </c>
      <c r="ES450" s="58">
        <f>IFERROR($BH450/$BH451-1,"")</f>
        <v/>
      </c>
      <c r="ET450" s="58">
        <f>IFERROR($BI450/$BI451-1,"")</f>
        <v/>
      </c>
      <c r="EU450" s="58">
        <f>IFERROR($BJ450/$BJ451-1,"")</f>
        <v/>
      </c>
      <c r="EV450" s="58">
        <f>IFERROR($BK450/$BK451-1,"")</f>
        <v/>
      </c>
      <c r="EW450" s="58">
        <f>IFERROR($BL450/$BL451-1,"")</f>
        <v/>
      </c>
      <c r="EX450" s="58">
        <f>IFERROR($BM450/$BM451-1,"")</f>
        <v/>
      </c>
      <c r="EY450" s="58">
        <f>IFERROR($BN450/$BN451-1,"")</f>
        <v/>
      </c>
      <c r="EZ450" s="58">
        <f>IFERROR($BO450/$BO451-1,"")</f>
        <v/>
      </c>
      <c r="FA450" s="58">
        <f>IFERROR($BP450/$BP451-1,"")</f>
        <v/>
      </c>
      <c r="FB450" s="58">
        <f>IFERROR($BQ450/$BQ451-1,"")</f>
        <v/>
      </c>
      <c r="FC450" s="58">
        <f>IFERROR($BR450/$BR451-1,"")</f>
        <v/>
      </c>
      <c r="FD450" s="58">
        <f>IFERROR($BS450/$BS451-1,"")</f>
        <v/>
      </c>
      <c r="FE450" s="58">
        <f>IFERROR($BT450/$BT451-1,"")</f>
        <v/>
      </c>
      <c r="FF450" s="58">
        <f>IFERROR($BU450/$BU451-1,"")</f>
        <v/>
      </c>
      <c r="FG450" s="58">
        <f>IFERROR($BV450/$BV451-1,"")</f>
        <v/>
      </c>
      <c r="FH450" s="58">
        <f>IFERROR($BW450/$BW451-1,"")</f>
        <v/>
      </c>
      <c r="FI450" s="58">
        <f>IFERROR($BX450/$BX451-1,"")</f>
        <v/>
      </c>
      <c r="FJ450" s="59">
        <f>$BY450-$BY451</f>
        <v/>
      </c>
      <c r="FK450" s="59">
        <f>$BZ450-$BZ451</f>
        <v/>
      </c>
      <c r="FL450" s="59">
        <f>$CA450-$CA451</f>
        <v/>
      </c>
      <c r="FM450" s="59">
        <f>$CB450-$CB451</f>
        <v/>
      </c>
      <c r="FN450" s="59">
        <f>$CC450-$CC451</f>
        <v/>
      </c>
      <c r="FO450" s="59">
        <f>$CD450-$CD451</f>
        <v/>
      </c>
      <c r="FP450" s="59">
        <f>$CE450-$CE451</f>
        <v/>
      </c>
      <c r="FQ450" s="59">
        <f>$CF450-$CF451</f>
        <v/>
      </c>
      <c r="FR450" s="59">
        <f>$CG450-$CG451</f>
        <v/>
      </c>
      <c r="FS450" s="59">
        <f>$CH450-$CH451</f>
        <v/>
      </c>
      <c r="FT450" s="59">
        <f>$CI450-$CI451</f>
        <v/>
      </c>
      <c r="FU450" s="59">
        <f>$CJ450-$CJ451</f>
        <v/>
      </c>
      <c r="FV450" s="59">
        <f>$CK450-$CK451</f>
        <v/>
      </c>
      <c r="FW450" s="59">
        <f>$CL450-$CL451</f>
        <v/>
      </c>
      <c r="FX450" s="59">
        <f>$CM450-$CM451</f>
        <v/>
      </c>
      <c r="FY450" s="59">
        <f>$CN450-$CN451</f>
        <v/>
      </c>
      <c r="FZ450" s="59">
        <f>$CO450-$CO451</f>
        <v/>
      </c>
      <c r="GA450" s="59">
        <f>$CP450-$CP451</f>
        <v/>
      </c>
      <c r="GB450" s="59">
        <f>$CQ450-$CQ451</f>
        <v/>
      </c>
      <c r="GC450" s="59">
        <f>$CR450-$CR451</f>
        <v/>
      </c>
      <c r="GD450" s="59">
        <f>$CS450-$CS451</f>
        <v/>
      </c>
      <c r="GE450" s="59">
        <f>$CT450-$CT451</f>
        <v/>
      </c>
    </row>
    <row r="451">
      <c r="CU451" s="58">
        <f>IFERROR($B451/$B452-1,"")</f>
        <v/>
      </c>
      <c r="CV451" s="59">
        <f>($F451-$F452)*100</f>
        <v/>
      </c>
      <c r="CW451" s="59">
        <f>($E451-$E452)*100</f>
        <v/>
      </c>
      <c r="CX451" s="58">
        <f>IFERROR($K451/$K452-1,"")</f>
        <v/>
      </c>
      <c r="CY451" s="59">
        <f>($AH451-$AH452)*100</f>
        <v/>
      </c>
      <c r="CZ451" s="59">
        <f>($AI451-$AI452)*100</f>
        <v/>
      </c>
      <c r="DA451" s="59">
        <f>($AJ451-$AJ452)*100</f>
        <v/>
      </c>
      <c r="DB451" s="59">
        <f>($AK451-$AK452)*100</f>
        <v/>
      </c>
      <c r="DC451" s="59">
        <f>($AL451-$AL452)*100</f>
        <v/>
      </c>
      <c r="DD451" s="59">
        <f>($AM451-$AM452)*100</f>
        <v/>
      </c>
      <c r="DE451" s="59">
        <f>($AN451-$AN452)*100</f>
        <v/>
      </c>
      <c r="DF451" s="59">
        <f>($AO451-$AO452)*100</f>
        <v/>
      </c>
      <c r="DG451" s="59">
        <f>($AP451-$AP452)*100</f>
        <v/>
      </c>
      <c r="DH451" s="59">
        <f>($AQ451-$AQ452)*100</f>
        <v/>
      </c>
      <c r="DI451" s="59">
        <f>($AR451-$AR452)*100</f>
        <v/>
      </c>
      <c r="DJ451" s="59">
        <f>($AS451-$AS452)*100</f>
        <v/>
      </c>
      <c r="DK451" s="59">
        <f>($AT451-$AT452)*100</f>
        <v/>
      </c>
      <c r="DL451" s="59">
        <f>($AU451-$AU452)*100</f>
        <v/>
      </c>
      <c r="DM451" s="59">
        <f>($AV451-$AV452)*100</f>
        <v/>
      </c>
      <c r="DN451" s="59">
        <f>($AW451-$AW452)*100</f>
        <v/>
      </c>
      <c r="DO451" s="59">
        <f>($AX451-$AX452)*100</f>
        <v/>
      </c>
      <c r="DP451" s="59">
        <f>($AY451-$AY452)*100</f>
        <v/>
      </c>
      <c r="DQ451" s="59">
        <f>($AZ451-$AZ452)*100</f>
        <v/>
      </c>
      <c r="DR451" s="59">
        <f>($BA451-$BA452)*100</f>
        <v/>
      </c>
      <c r="DS451" s="58">
        <f>IFERROR($N452/$N451-1,"")</f>
        <v/>
      </c>
      <c r="DT451" s="58">
        <f>IFERROR($O452/$O451-1,"")</f>
        <v/>
      </c>
      <c r="DU451" s="58">
        <f>IFERROR($P452/$P451-1,"")</f>
        <v/>
      </c>
      <c r="DV451" s="58">
        <f>IFERROR($Q452/$Q451-1,"")</f>
        <v/>
      </c>
      <c r="DW451" s="58">
        <f>IFERROR($R452/$R451-1,"")</f>
        <v/>
      </c>
      <c r="DX451" s="58">
        <f>IFERROR($S452/$S451-1,"")</f>
        <v/>
      </c>
      <c r="DY451" s="58">
        <f>IFERROR($T452/$T451-1,"")</f>
        <v/>
      </c>
      <c r="DZ451" s="58">
        <f>IFERROR($U452/$U451-1,"")</f>
        <v/>
      </c>
      <c r="EA451" s="58">
        <f>IFERROR($V452/$V451-1,"")</f>
        <v/>
      </c>
      <c r="EB451" s="58">
        <f>IFERROR($W452/$W451-1,"")</f>
        <v/>
      </c>
      <c r="EC451" s="58">
        <f>IFERROR($X452/$X451-1,"")</f>
        <v/>
      </c>
      <c r="ED451" s="58">
        <f>IFERROR($Y452/$Y451-1,"")</f>
        <v/>
      </c>
      <c r="EE451" s="58">
        <f>IFERROR($Z452/$Z451-1,"")</f>
        <v/>
      </c>
      <c r="EF451" s="58">
        <f>IFERROR($AA452/$AA451-1,"")</f>
        <v/>
      </c>
      <c r="EG451" s="58">
        <f>IFERROR($AB452/$AB451-1,"")</f>
        <v/>
      </c>
      <c r="EH451" s="58">
        <f>IFERROR($AC452/$AC451-1,"")</f>
        <v/>
      </c>
      <c r="EI451" s="58">
        <f>IFERROR($AD452/$AD451-1,"")</f>
        <v/>
      </c>
      <c r="EJ451" s="58">
        <f>IFERROR($AE452/$AE451-1,"")</f>
        <v/>
      </c>
      <c r="EK451" s="58">
        <f>IFERROR($AF452/$AF451-1,"")</f>
        <v/>
      </c>
      <c r="EL451" s="58">
        <f>IFERROR($AG452/$AG451-1,"")</f>
        <v/>
      </c>
      <c r="EM451" s="58">
        <f>IFERROR($BB451/$BB452-1,"")</f>
        <v/>
      </c>
      <c r="EN451" s="58">
        <f>IFERROR($BC451/$BC452-1,"")</f>
        <v/>
      </c>
      <c r="EO451" s="58">
        <f>IFERROR($BD451/$BD452-1,"")</f>
        <v/>
      </c>
      <c r="EP451" s="58">
        <f>IFERROR($BE451/$BE452-1,"")</f>
        <v/>
      </c>
      <c r="EQ451" s="58">
        <f>IFERROR($BF451/$BF452-1,"")</f>
        <v/>
      </c>
      <c r="ER451" s="58">
        <f>IFERROR($BG451/$BG452-1,"")</f>
        <v/>
      </c>
      <c r="ES451" s="58">
        <f>IFERROR($BH451/$BH452-1,"")</f>
        <v/>
      </c>
      <c r="ET451" s="58">
        <f>IFERROR($BI451/$BI452-1,"")</f>
        <v/>
      </c>
      <c r="EU451" s="58">
        <f>IFERROR($BJ451/$BJ452-1,"")</f>
        <v/>
      </c>
      <c r="EV451" s="58">
        <f>IFERROR($BK451/$BK452-1,"")</f>
        <v/>
      </c>
      <c r="EW451" s="58">
        <f>IFERROR($BL451/$BL452-1,"")</f>
        <v/>
      </c>
      <c r="EX451" s="58">
        <f>IFERROR($BM451/$BM452-1,"")</f>
        <v/>
      </c>
      <c r="EY451" s="58">
        <f>IFERROR($BN451/$BN452-1,"")</f>
        <v/>
      </c>
      <c r="EZ451" s="58">
        <f>IFERROR($BO451/$BO452-1,"")</f>
        <v/>
      </c>
      <c r="FA451" s="58">
        <f>IFERROR($BP451/$BP452-1,"")</f>
        <v/>
      </c>
      <c r="FB451" s="58">
        <f>IFERROR($BQ451/$BQ452-1,"")</f>
        <v/>
      </c>
      <c r="FC451" s="58">
        <f>IFERROR($BR451/$BR452-1,"")</f>
        <v/>
      </c>
      <c r="FD451" s="58">
        <f>IFERROR($BS451/$BS452-1,"")</f>
        <v/>
      </c>
      <c r="FE451" s="58">
        <f>IFERROR($BT451/$BT452-1,"")</f>
        <v/>
      </c>
      <c r="FF451" s="58">
        <f>IFERROR($BU451/$BU452-1,"")</f>
        <v/>
      </c>
      <c r="FG451" s="58">
        <f>IFERROR($BV451/$BV452-1,"")</f>
        <v/>
      </c>
      <c r="FH451" s="58">
        <f>IFERROR($BW451/$BW452-1,"")</f>
        <v/>
      </c>
      <c r="FI451" s="58">
        <f>IFERROR($BX451/$BX452-1,"")</f>
        <v/>
      </c>
      <c r="FJ451" s="59">
        <f>$BY451-$BY452</f>
        <v/>
      </c>
      <c r="FK451" s="59">
        <f>$BZ451-$BZ452</f>
        <v/>
      </c>
      <c r="FL451" s="59">
        <f>$CA451-$CA452</f>
        <v/>
      </c>
      <c r="FM451" s="59">
        <f>$CB451-$CB452</f>
        <v/>
      </c>
      <c r="FN451" s="59">
        <f>$CC451-$CC452</f>
        <v/>
      </c>
      <c r="FO451" s="59">
        <f>$CD451-$CD452</f>
        <v/>
      </c>
      <c r="FP451" s="59">
        <f>$CE451-$CE452</f>
        <v/>
      </c>
      <c r="FQ451" s="59">
        <f>$CF451-$CF452</f>
        <v/>
      </c>
      <c r="FR451" s="59">
        <f>$CG451-$CG452</f>
        <v/>
      </c>
      <c r="FS451" s="59">
        <f>$CH451-$CH452</f>
        <v/>
      </c>
      <c r="FT451" s="59">
        <f>$CI451-$CI452</f>
        <v/>
      </c>
      <c r="FU451" s="59">
        <f>$CJ451-$CJ452</f>
        <v/>
      </c>
      <c r="FV451" s="59">
        <f>$CK451-$CK452</f>
        <v/>
      </c>
      <c r="FW451" s="59">
        <f>$CL451-$CL452</f>
        <v/>
      </c>
      <c r="FX451" s="59">
        <f>$CM451-$CM452</f>
        <v/>
      </c>
      <c r="FY451" s="59">
        <f>$CN451-$CN452</f>
        <v/>
      </c>
      <c r="FZ451" s="59">
        <f>$CO451-$CO452</f>
        <v/>
      </c>
      <c r="GA451" s="59">
        <f>$CP451-$CP452</f>
        <v/>
      </c>
      <c r="GB451" s="59">
        <f>$CQ451-$CQ452</f>
        <v/>
      </c>
      <c r="GC451" s="59">
        <f>$CR451-$CR452</f>
        <v/>
      </c>
      <c r="GD451" s="59">
        <f>$CS451-$CS452</f>
        <v/>
      </c>
      <c r="GE451" s="59">
        <f>$CT451-$CT452</f>
        <v/>
      </c>
    </row>
    <row r="452">
      <c r="CU452" s="58">
        <f>IFERROR($B452/$B453-1,"")</f>
        <v/>
      </c>
      <c r="CV452" s="59">
        <f>($F452-$F453)*100</f>
        <v/>
      </c>
      <c r="CW452" s="59">
        <f>($E452-$E453)*100</f>
        <v/>
      </c>
      <c r="CX452" s="58">
        <f>IFERROR($K452/$K453-1,"")</f>
        <v/>
      </c>
      <c r="CY452" s="59">
        <f>($AH452-$AH453)*100</f>
        <v/>
      </c>
      <c r="CZ452" s="59">
        <f>($AI452-$AI453)*100</f>
        <v/>
      </c>
      <c r="DA452" s="59">
        <f>($AJ452-$AJ453)*100</f>
        <v/>
      </c>
      <c r="DB452" s="59">
        <f>($AK452-$AK453)*100</f>
        <v/>
      </c>
      <c r="DC452" s="59">
        <f>($AL452-$AL453)*100</f>
        <v/>
      </c>
      <c r="DD452" s="59">
        <f>($AM452-$AM453)*100</f>
        <v/>
      </c>
      <c r="DE452" s="59">
        <f>($AN452-$AN453)*100</f>
        <v/>
      </c>
      <c r="DF452" s="59">
        <f>($AO452-$AO453)*100</f>
        <v/>
      </c>
      <c r="DG452" s="59">
        <f>($AP452-$AP453)*100</f>
        <v/>
      </c>
      <c r="DH452" s="59">
        <f>($AQ452-$AQ453)*100</f>
        <v/>
      </c>
      <c r="DI452" s="59">
        <f>($AR452-$AR453)*100</f>
        <v/>
      </c>
      <c r="DJ452" s="59">
        <f>($AS452-$AS453)*100</f>
        <v/>
      </c>
      <c r="DK452" s="59">
        <f>($AT452-$AT453)*100</f>
        <v/>
      </c>
      <c r="DL452" s="59">
        <f>($AU452-$AU453)*100</f>
        <v/>
      </c>
      <c r="DM452" s="59">
        <f>($AV452-$AV453)*100</f>
        <v/>
      </c>
      <c r="DN452" s="59">
        <f>($AW452-$AW453)*100</f>
        <v/>
      </c>
      <c r="DO452" s="59">
        <f>($AX452-$AX453)*100</f>
        <v/>
      </c>
      <c r="DP452" s="59">
        <f>($AY452-$AY453)*100</f>
        <v/>
      </c>
      <c r="DQ452" s="59">
        <f>($AZ452-$AZ453)*100</f>
        <v/>
      </c>
      <c r="DR452" s="59">
        <f>($BA452-$BA453)*100</f>
        <v/>
      </c>
      <c r="DS452" s="58">
        <f>IFERROR($N453/$N452-1,"")</f>
        <v/>
      </c>
      <c r="DT452" s="58">
        <f>IFERROR($O453/$O452-1,"")</f>
        <v/>
      </c>
      <c r="DU452" s="58">
        <f>IFERROR($P453/$P452-1,"")</f>
        <v/>
      </c>
      <c r="DV452" s="58">
        <f>IFERROR($Q453/$Q452-1,"")</f>
        <v/>
      </c>
      <c r="DW452" s="58">
        <f>IFERROR($R453/$R452-1,"")</f>
        <v/>
      </c>
      <c r="DX452" s="58">
        <f>IFERROR($S453/$S452-1,"")</f>
        <v/>
      </c>
      <c r="DY452" s="58">
        <f>IFERROR($T453/$T452-1,"")</f>
        <v/>
      </c>
      <c r="DZ452" s="58">
        <f>IFERROR($U453/$U452-1,"")</f>
        <v/>
      </c>
      <c r="EA452" s="58">
        <f>IFERROR($V453/$V452-1,"")</f>
        <v/>
      </c>
      <c r="EB452" s="58">
        <f>IFERROR($W453/$W452-1,"")</f>
        <v/>
      </c>
      <c r="EC452" s="58">
        <f>IFERROR($X453/$X452-1,"")</f>
        <v/>
      </c>
      <c r="ED452" s="58">
        <f>IFERROR($Y453/$Y452-1,"")</f>
        <v/>
      </c>
      <c r="EE452" s="58">
        <f>IFERROR($Z453/$Z452-1,"")</f>
        <v/>
      </c>
      <c r="EF452" s="58">
        <f>IFERROR($AA453/$AA452-1,"")</f>
        <v/>
      </c>
      <c r="EG452" s="58">
        <f>IFERROR($AB453/$AB452-1,"")</f>
        <v/>
      </c>
      <c r="EH452" s="58">
        <f>IFERROR($AC453/$AC452-1,"")</f>
        <v/>
      </c>
      <c r="EI452" s="58">
        <f>IFERROR($AD453/$AD452-1,"")</f>
        <v/>
      </c>
      <c r="EJ452" s="58">
        <f>IFERROR($AE453/$AE452-1,"")</f>
        <v/>
      </c>
      <c r="EK452" s="58">
        <f>IFERROR($AF453/$AF452-1,"")</f>
        <v/>
      </c>
      <c r="EL452" s="58">
        <f>IFERROR($AG453/$AG452-1,"")</f>
        <v/>
      </c>
      <c r="EM452" s="58">
        <f>IFERROR($BB452/$BB453-1,"")</f>
        <v/>
      </c>
      <c r="EN452" s="58">
        <f>IFERROR($BC452/$BC453-1,"")</f>
        <v/>
      </c>
      <c r="EO452" s="58">
        <f>IFERROR($BD452/$BD453-1,"")</f>
        <v/>
      </c>
      <c r="EP452" s="58">
        <f>IFERROR($BE452/$BE453-1,"")</f>
        <v/>
      </c>
      <c r="EQ452" s="58">
        <f>IFERROR($BF452/$BF453-1,"")</f>
        <v/>
      </c>
      <c r="ER452" s="58">
        <f>IFERROR($BG452/$BG453-1,"")</f>
        <v/>
      </c>
      <c r="ES452" s="58">
        <f>IFERROR($BH452/$BH453-1,"")</f>
        <v/>
      </c>
      <c r="ET452" s="58">
        <f>IFERROR($BI452/$BI453-1,"")</f>
        <v/>
      </c>
      <c r="EU452" s="58">
        <f>IFERROR($BJ452/$BJ453-1,"")</f>
        <v/>
      </c>
      <c r="EV452" s="58">
        <f>IFERROR($BK452/$BK453-1,"")</f>
        <v/>
      </c>
      <c r="EW452" s="58">
        <f>IFERROR($BL452/$BL453-1,"")</f>
        <v/>
      </c>
      <c r="EX452" s="58">
        <f>IFERROR($BM452/$BM453-1,"")</f>
        <v/>
      </c>
      <c r="EY452" s="58">
        <f>IFERROR($BN452/$BN453-1,"")</f>
        <v/>
      </c>
      <c r="EZ452" s="58">
        <f>IFERROR($BO452/$BO453-1,"")</f>
        <v/>
      </c>
      <c r="FA452" s="58">
        <f>IFERROR($BP452/$BP453-1,"")</f>
        <v/>
      </c>
      <c r="FB452" s="58">
        <f>IFERROR($BQ452/$BQ453-1,"")</f>
        <v/>
      </c>
      <c r="FC452" s="58">
        <f>IFERROR($BR452/$BR453-1,"")</f>
        <v/>
      </c>
      <c r="FD452" s="58">
        <f>IFERROR($BS452/$BS453-1,"")</f>
        <v/>
      </c>
      <c r="FE452" s="58">
        <f>IFERROR($BT452/$BT453-1,"")</f>
        <v/>
      </c>
      <c r="FF452" s="58">
        <f>IFERROR($BU452/$BU453-1,"")</f>
        <v/>
      </c>
      <c r="FG452" s="58">
        <f>IFERROR($BV452/$BV453-1,"")</f>
        <v/>
      </c>
      <c r="FH452" s="58">
        <f>IFERROR($BW452/$BW453-1,"")</f>
        <v/>
      </c>
      <c r="FI452" s="58">
        <f>IFERROR($BX452/$BX453-1,"")</f>
        <v/>
      </c>
      <c r="FJ452" s="59">
        <f>$BY452-$BY453</f>
        <v/>
      </c>
      <c r="FK452" s="59">
        <f>$BZ452-$BZ453</f>
        <v/>
      </c>
      <c r="FL452" s="59">
        <f>$CA452-$CA453</f>
        <v/>
      </c>
      <c r="FM452" s="59">
        <f>$CB452-$CB453</f>
        <v/>
      </c>
      <c r="FN452" s="59">
        <f>$CC452-$CC453</f>
        <v/>
      </c>
      <c r="FO452" s="59">
        <f>$CD452-$CD453</f>
        <v/>
      </c>
      <c r="FP452" s="59">
        <f>$CE452-$CE453</f>
        <v/>
      </c>
      <c r="FQ452" s="59">
        <f>$CF452-$CF453</f>
        <v/>
      </c>
      <c r="FR452" s="59">
        <f>$CG452-$CG453</f>
        <v/>
      </c>
      <c r="FS452" s="59">
        <f>$CH452-$CH453</f>
        <v/>
      </c>
      <c r="FT452" s="59">
        <f>$CI452-$CI453</f>
        <v/>
      </c>
      <c r="FU452" s="59">
        <f>$CJ452-$CJ453</f>
        <v/>
      </c>
      <c r="FV452" s="59">
        <f>$CK452-$CK453</f>
        <v/>
      </c>
      <c r="FW452" s="59">
        <f>$CL452-$CL453</f>
        <v/>
      </c>
      <c r="FX452" s="59">
        <f>$CM452-$CM453</f>
        <v/>
      </c>
      <c r="FY452" s="59">
        <f>$CN452-$CN453</f>
        <v/>
      </c>
      <c r="FZ452" s="59">
        <f>$CO452-$CO453</f>
        <v/>
      </c>
      <c r="GA452" s="59">
        <f>$CP452-$CP453</f>
        <v/>
      </c>
      <c r="GB452" s="59">
        <f>$CQ452-$CQ453</f>
        <v/>
      </c>
      <c r="GC452" s="59">
        <f>$CR452-$CR453</f>
        <v/>
      </c>
      <c r="GD452" s="59">
        <f>$CS452-$CS453</f>
        <v/>
      </c>
      <c r="GE452" s="59">
        <f>$CT452-$CT453</f>
        <v/>
      </c>
    </row>
    <row r="453">
      <c r="CU453" s="58">
        <f>IFERROR($B453/$B454-1,"")</f>
        <v/>
      </c>
      <c r="CV453" s="59">
        <f>($F453-$F454)*100</f>
        <v/>
      </c>
      <c r="CW453" s="59">
        <f>($E453-$E454)*100</f>
        <v/>
      </c>
      <c r="CX453" s="58">
        <f>IFERROR($K453/$K454-1,"")</f>
        <v/>
      </c>
      <c r="CY453" s="59">
        <f>($AH453-$AH454)*100</f>
        <v/>
      </c>
      <c r="CZ453" s="59">
        <f>($AI453-$AI454)*100</f>
        <v/>
      </c>
      <c r="DA453" s="59">
        <f>($AJ453-$AJ454)*100</f>
        <v/>
      </c>
      <c r="DB453" s="59">
        <f>($AK453-$AK454)*100</f>
        <v/>
      </c>
      <c r="DC453" s="59">
        <f>($AL453-$AL454)*100</f>
        <v/>
      </c>
      <c r="DD453" s="59">
        <f>($AM453-$AM454)*100</f>
        <v/>
      </c>
      <c r="DE453" s="59">
        <f>($AN453-$AN454)*100</f>
        <v/>
      </c>
      <c r="DF453" s="59">
        <f>($AO453-$AO454)*100</f>
        <v/>
      </c>
      <c r="DG453" s="59">
        <f>($AP453-$AP454)*100</f>
        <v/>
      </c>
      <c r="DH453" s="59">
        <f>($AQ453-$AQ454)*100</f>
        <v/>
      </c>
      <c r="DI453" s="59">
        <f>($AR453-$AR454)*100</f>
        <v/>
      </c>
      <c r="DJ453" s="59">
        <f>($AS453-$AS454)*100</f>
        <v/>
      </c>
      <c r="DK453" s="59">
        <f>($AT453-$AT454)*100</f>
        <v/>
      </c>
      <c r="DL453" s="59">
        <f>($AU453-$AU454)*100</f>
        <v/>
      </c>
      <c r="DM453" s="59">
        <f>($AV453-$AV454)*100</f>
        <v/>
      </c>
      <c r="DN453" s="59">
        <f>($AW453-$AW454)*100</f>
        <v/>
      </c>
      <c r="DO453" s="59">
        <f>($AX453-$AX454)*100</f>
        <v/>
      </c>
      <c r="DP453" s="59">
        <f>($AY453-$AY454)*100</f>
        <v/>
      </c>
      <c r="DQ453" s="59">
        <f>($AZ453-$AZ454)*100</f>
        <v/>
      </c>
      <c r="DR453" s="59">
        <f>($BA453-$BA454)*100</f>
        <v/>
      </c>
      <c r="DS453" s="58">
        <f>IFERROR($N454/$N453-1,"")</f>
        <v/>
      </c>
      <c r="DT453" s="58">
        <f>IFERROR($O454/$O453-1,"")</f>
        <v/>
      </c>
      <c r="DU453" s="58">
        <f>IFERROR($P454/$P453-1,"")</f>
        <v/>
      </c>
      <c r="DV453" s="58">
        <f>IFERROR($Q454/$Q453-1,"")</f>
        <v/>
      </c>
      <c r="DW453" s="58">
        <f>IFERROR($R454/$R453-1,"")</f>
        <v/>
      </c>
      <c r="DX453" s="58">
        <f>IFERROR($S454/$S453-1,"")</f>
        <v/>
      </c>
      <c r="DY453" s="58">
        <f>IFERROR($T454/$T453-1,"")</f>
        <v/>
      </c>
      <c r="DZ453" s="58">
        <f>IFERROR($U454/$U453-1,"")</f>
        <v/>
      </c>
      <c r="EA453" s="58">
        <f>IFERROR($V454/$V453-1,"")</f>
        <v/>
      </c>
      <c r="EB453" s="58">
        <f>IFERROR($W454/$W453-1,"")</f>
        <v/>
      </c>
      <c r="EC453" s="58">
        <f>IFERROR($X454/$X453-1,"")</f>
        <v/>
      </c>
      <c r="ED453" s="58">
        <f>IFERROR($Y454/$Y453-1,"")</f>
        <v/>
      </c>
      <c r="EE453" s="58">
        <f>IFERROR($Z454/$Z453-1,"")</f>
        <v/>
      </c>
      <c r="EF453" s="58">
        <f>IFERROR($AA454/$AA453-1,"")</f>
        <v/>
      </c>
      <c r="EG453" s="58">
        <f>IFERROR($AB454/$AB453-1,"")</f>
        <v/>
      </c>
      <c r="EH453" s="58">
        <f>IFERROR($AC454/$AC453-1,"")</f>
        <v/>
      </c>
      <c r="EI453" s="58">
        <f>IFERROR($AD454/$AD453-1,"")</f>
        <v/>
      </c>
      <c r="EJ453" s="58">
        <f>IFERROR($AE454/$AE453-1,"")</f>
        <v/>
      </c>
      <c r="EK453" s="58">
        <f>IFERROR($AF454/$AF453-1,"")</f>
        <v/>
      </c>
      <c r="EL453" s="58">
        <f>IFERROR($AG454/$AG453-1,"")</f>
        <v/>
      </c>
      <c r="EM453" s="58">
        <f>IFERROR($BB453/$BB454-1,"")</f>
        <v/>
      </c>
      <c r="EN453" s="58">
        <f>IFERROR($BC453/$BC454-1,"")</f>
        <v/>
      </c>
      <c r="EO453" s="58">
        <f>IFERROR($BD453/$BD454-1,"")</f>
        <v/>
      </c>
      <c r="EP453" s="58">
        <f>IFERROR($BE453/$BE454-1,"")</f>
        <v/>
      </c>
      <c r="EQ453" s="58">
        <f>IFERROR($BF453/$BF454-1,"")</f>
        <v/>
      </c>
      <c r="ER453" s="58">
        <f>IFERROR($BG453/$BG454-1,"")</f>
        <v/>
      </c>
      <c r="ES453" s="58">
        <f>IFERROR($BH453/$BH454-1,"")</f>
        <v/>
      </c>
      <c r="ET453" s="58">
        <f>IFERROR($BI453/$BI454-1,"")</f>
        <v/>
      </c>
      <c r="EU453" s="58">
        <f>IFERROR($BJ453/$BJ454-1,"")</f>
        <v/>
      </c>
      <c r="EV453" s="58">
        <f>IFERROR($BK453/$BK454-1,"")</f>
        <v/>
      </c>
      <c r="EW453" s="58">
        <f>IFERROR($BL453/$BL454-1,"")</f>
        <v/>
      </c>
      <c r="EX453" s="58">
        <f>IFERROR($BM453/$BM454-1,"")</f>
        <v/>
      </c>
      <c r="EY453" s="58">
        <f>IFERROR($BN453/$BN454-1,"")</f>
        <v/>
      </c>
      <c r="EZ453" s="58">
        <f>IFERROR($BO453/$BO454-1,"")</f>
        <v/>
      </c>
      <c r="FA453" s="58">
        <f>IFERROR($BP453/$BP454-1,"")</f>
        <v/>
      </c>
      <c r="FB453" s="58">
        <f>IFERROR($BQ453/$BQ454-1,"")</f>
        <v/>
      </c>
      <c r="FC453" s="58">
        <f>IFERROR($BR453/$BR454-1,"")</f>
        <v/>
      </c>
      <c r="FD453" s="58">
        <f>IFERROR($BS453/$BS454-1,"")</f>
        <v/>
      </c>
      <c r="FE453" s="58">
        <f>IFERROR($BT453/$BT454-1,"")</f>
        <v/>
      </c>
      <c r="FF453" s="58">
        <f>IFERROR($BU453/$BU454-1,"")</f>
        <v/>
      </c>
      <c r="FG453" s="58">
        <f>IFERROR($BV453/$BV454-1,"")</f>
        <v/>
      </c>
      <c r="FH453" s="58">
        <f>IFERROR($BW453/$BW454-1,"")</f>
        <v/>
      </c>
      <c r="FI453" s="58">
        <f>IFERROR($BX453/$BX454-1,"")</f>
        <v/>
      </c>
      <c r="FJ453" s="59">
        <f>$BY453-$BY454</f>
        <v/>
      </c>
      <c r="FK453" s="59">
        <f>$BZ453-$BZ454</f>
        <v/>
      </c>
      <c r="FL453" s="59">
        <f>$CA453-$CA454</f>
        <v/>
      </c>
      <c r="FM453" s="59">
        <f>$CB453-$CB454</f>
        <v/>
      </c>
      <c r="FN453" s="59">
        <f>$CC453-$CC454</f>
        <v/>
      </c>
      <c r="FO453" s="59">
        <f>$CD453-$CD454</f>
        <v/>
      </c>
      <c r="FP453" s="59">
        <f>$CE453-$CE454</f>
        <v/>
      </c>
      <c r="FQ453" s="59">
        <f>$CF453-$CF454</f>
        <v/>
      </c>
      <c r="FR453" s="59">
        <f>$CG453-$CG454</f>
        <v/>
      </c>
      <c r="FS453" s="59">
        <f>$CH453-$CH454</f>
        <v/>
      </c>
      <c r="FT453" s="59">
        <f>$CI453-$CI454</f>
        <v/>
      </c>
      <c r="FU453" s="59">
        <f>$CJ453-$CJ454</f>
        <v/>
      </c>
      <c r="FV453" s="59">
        <f>$CK453-$CK454</f>
        <v/>
      </c>
      <c r="FW453" s="59">
        <f>$CL453-$CL454</f>
        <v/>
      </c>
      <c r="FX453" s="59">
        <f>$CM453-$CM454</f>
        <v/>
      </c>
      <c r="FY453" s="59">
        <f>$CN453-$CN454</f>
        <v/>
      </c>
      <c r="FZ453" s="59">
        <f>$CO453-$CO454</f>
        <v/>
      </c>
      <c r="GA453" s="59">
        <f>$CP453-$CP454</f>
        <v/>
      </c>
      <c r="GB453" s="59">
        <f>$CQ453-$CQ454</f>
        <v/>
      </c>
      <c r="GC453" s="59">
        <f>$CR453-$CR454</f>
        <v/>
      </c>
      <c r="GD453" s="59">
        <f>$CS453-$CS454</f>
        <v/>
      </c>
      <c r="GE453" s="59">
        <f>$CT453-$CT454</f>
        <v/>
      </c>
    </row>
    <row r="454">
      <c r="CU454" s="58">
        <f>IFERROR($B454/$B455-1,"")</f>
        <v/>
      </c>
      <c r="CV454" s="59">
        <f>($F454-$F455)*100</f>
        <v/>
      </c>
      <c r="CW454" s="59">
        <f>($E454-$E455)*100</f>
        <v/>
      </c>
      <c r="CX454" s="58">
        <f>IFERROR($K454/$K455-1,"")</f>
        <v/>
      </c>
      <c r="CY454" s="59">
        <f>($AH454-$AH455)*100</f>
        <v/>
      </c>
      <c r="CZ454" s="59">
        <f>($AI454-$AI455)*100</f>
        <v/>
      </c>
      <c r="DA454" s="59">
        <f>($AJ454-$AJ455)*100</f>
        <v/>
      </c>
      <c r="DB454" s="59">
        <f>($AK454-$AK455)*100</f>
        <v/>
      </c>
      <c r="DC454" s="59">
        <f>($AL454-$AL455)*100</f>
        <v/>
      </c>
      <c r="DD454" s="59">
        <f>($AM454-$AM455)*100</f>
        <v/>
      </c>
      <c r="DE454" s="59">
        <f>($AN454-$AN455)*100</f>
        <v/>
      </c>
      <c r="DF454" s="59">
        <f>($AO454-$AO455)*100</f>
        <v/>
      </c>
      <c r="DG454" s="59">
        <f>($AP454-$AP455)*100</f>
        <v/>
      </c>
      <c r="DH454" s="59">
        <f>($AQ454-$AQ455)*100</f>
        <v/>
      </c>
      <c r="DI454" s="59">
        <f>($AR454-$AR455)*100</f>
        <v/>
      </c>
      <c r="DJ454" s="59">
        <f>($AS454-$AS455)*100</f>
        <v/>
      </c>
      <c r="DK454" s="59">
        <f>($AT454-$AT455)*100</f>
        <v/>
      </c>
      <c r="DL454" s="59">
        <f>($AU454-$AU455)*100</f>
        <v/>
      </c>
      <c r="DM454" s="59">
        <f>($AV454-$AV455)*100</f>
        <v/>
      </c>
      <c r="DN454" s="59">
        <f>($AW454-$AW455)*100</f>
        <v/>
      </c>
      <c r="DO454" s="59">
        <f>($AX454-$AX455)*100</f>
        <v/>
      </c>
      <c r="DP454" s="59">
        <f>($AY454-$AY455)*100</f>
        <v/>
      </c>
      <c r="DQ454" s="59">
        <f>($AZ454-$AZ455)*100</f>
        <v/>
      </c>
      <c r="DR454" s="59">
        <f>($BA454-$BA455)*100</f>
        <v/>
      </c>
      <c r="DS454" s="58">
        <f>IFERROR($N455/$N454-1,"")</f>
        <v/>
      </c>
      <c r="DT454" s="58">
        <f>IFERROR($O455/$O454-1,"")</f>
        <v/>
      </c>
      <c r="DU454" s="58">
        <f>IFERROR($P455/$P454-1,"")</f>
        <v/>
      </c>
      <c r="DV454" s="58">
        <f>IFERROR($Q455/$Q454-1,"")</f>
        <v/>
      </c>
      <c r="DW454" s="58">
        <f>IFERROR($R455/$R454-1,"")</f>
        <v/>
      </c>
      <c r="DX454" s="58">
        <f>IFERROR($S455/$S454-1,"")</f>
        <v/>
      </c>
      <c r="DY454" s="58">
        <f>IFERROR($T455/$T454-1,"")</f>
        <v/>
      </c>
      <c r="DZ454" s="58">
        <f>IFERROR($U455/$U454-1,"")</f>
        <v/>
      </c>
      <c r="EA454" s="58">
        <f>IFERROR($V455/$V454-1,"")</f>
        <v/>
      </c>
      <c r="EB454" s="58">
        <f>IFERROR($W455/$W454-1,"")</f>
        <v/>
      </c>
      <c r="EC454" s="58">
        <f>IFERROR($X455/$X454-1,"")</f>
        <v/>
      </c>
      <c r="ED454" s="58">
        <f>IFERROR($Y455/$Y454-1,"")</f>
        <v/>
      </c>
      <c r="EE454" s="58">
        <f>IFERROR($Z455/$Z454-1,"")</f>
        <v/>
      </c>
      <c r="EF454" s="58">
        <f>IFERROR($AA455/$AA454-1,"")</f>
        <v/>
      </c>
      <c r="EG454" s="58">
        <f>IFERROR($AB455/$AB454-1,"")</f>
        <v/>
      </c>
      <c r="EH454" s="58">
        <f>IFERROR($AC455/$AC454-1,"")</f>
        <v/>
      </c>
      <c r="EI454" s="58">
        <f>IFERROR($AD455/$AD454-1,"")</f>
        <v/>
      </c>
      <c r="EJ454" s="58">
        <f>IFERROR($AE455/$AE454-1,"")</f>
        <v/>
      </c>
      <c r="EK454" s="58">
        <f>IFERROR($AF455/$AF454-1,"")</f>
        <v/>
      </c>
      <c r="EL454" s="58">
        <f>IFERROR($AG455/$AG454-1,"")</f>
        <v/>
      </c>
      <c r="EM454" s="58">
        <f>IFERROR($BB454/$BB455-1,"")</f>
        <v/>
      </c>
      <c r="EN454" s="58">
        <f>IFERROR($BC454/$BC455-1,"")</f>
        <v/>
      </c>
      <c r="EO454" s="58">
        <f>IFERROR($BD454/$BD455-1,"")</f>
        <v/>
      </c>
      <c r="EP454" s="58">
        <f>IFERROR($BE454/$BE455-1,"")</f>
        <v/>
      </c>
      <c r="EQ454" s="58">
        <f>IFERROR($BF454/$BF455-1,"")</f>
        <v/>
      </c>
      <c r="ER454" s="58">
        <f>IFERROR($BG454/$BG455-1,"")</f>
        <v/>
      </c>
      <c r="ES454" s="58">
        <f>IFERROR($BH454/$BH455-1,"")</f>
        <v/>
      </c>
      <c r="ET454" s="58">
        <f>IFERROR($BI454/$BI455-1,"")</f>
        <v/>
      </c>
      <c r="EU454" s="58">
        <f>IFERROR($BJ454/$BJ455-1,"")</f>
        <v/>
      </c>
      <c r="EV454" s="58">
        <f>IFERROR($BK454/$BK455-1,"")</f>
        <v/>
      </c>
      <c r="EW454" s="58">
        <f>IFERROR($BL454/$BL455-1,"")</f>
        <v/>
      </c>
      <c r="EX454" s="58">
        <f>IFERROR($BM454/$BM455-1,"")</f>
        <v/>
      </c>
      <c r="EY454" s="58">
        <f>IFERROR($BN454/$BN455-1,"")</f>
        <v/>
      </c>
      <c r="EZ454" s="58">
        <f>IFERROR($BO454/$BO455-1,"")</f>
        <v/>
      </c>
      <c r="FA454" s="58">
        <f>IFERROR($BP454/$BP455-1,"")</f>
        <v/>
      </c>
      <c r="FB454" s="58">
        <f>IFERROR($BQ454/$BQ455-1,"")</f>
        <v/>
      </c>
      <c r="FC454" s="58">
        <f>IFERROR($BR454/$BR455-1,"")</f>
        <v/>
      </c>
      <c r="FD454" s="58">
        <f>IFERROR($BS454/$BS455-1,"")</f>
        <v/>
      </c>
      <c r="FE454" s="58">
        <f>IFERROR($BT454/$BT455-1,"")</f>
        <v/>
      </c>
      <c r="FF454" s="58">
        <f>IFERROR($BU454/$BU455-1,"")</f>
        <v/>
      </c>
      <c r="FG454" s="58">
        <f>IFERROR($BV454/$BV455-1,"")</f>
        <v/>
      </c>
      <c r="FH454" s="58">
        <f>IFERROR($BW454/$BW455-1,"")</f>
        <v/>
      </c>
      <c r="FI454" s="58">
        <f>IFERROR($BX454/$BX455-1,"")</f>
        <v/>
      </c>
      <c r="FJ454" s="59">
        <f>$BY454-$BY455</f>
        <v/>
      </c>
      <c r="FK454" s="59">
        <f>$BZ454-$BZ455</f>
        <v/>
      </c>
      <c r="FL454" s="59">
        <f>$CA454-$CA455</f>
        <v/>
      </c>
      <c r="FM454" s="59">
        <f>$CB454-$CB455</f>
        <v/>
      </c>
      <c r="FN454" s="59">
        <f>$CC454-$CC455</f>
        <v/>
      </c>
      <c r="FO454" s="59">
        <f>$CD454-$CD455</f>
        <v/>
      </c>
      <c r="FP454" s="59">
        <f>$CE454-$CE455</f>
        <v/>
      </c>
      <c r="FQ454" s="59">
        <f>$CF454-$CF455</f>
        <v/>
      </c>
      <c r="FR454" s="59">
        <f>$CG454-$CG455</f>
        <v/>
      </c>
      <c r="FS454" s="59">
        <f>$CH454-$CH455</f>
        <v/>
      </c>
      <c r="FT454" s="59">
        <f>$CI454-$CI455</f>
        <v/>
      </c>
      <c r="FU454" s="59">
        <f>$CJ454-$CJ455</f>
        <v/>
      </c>
      <c r="FV454" s="59">
        <f>$CK454-$CK455</f>
        <v/>
      </c>
      <c r="FW454" s="59">
        <f>$CL454-$CL455</f>
        <v/>
      </c>
      <c r="FX454" s="59">
        <f>$CM454-$CM455</f>
        <v/>
      </c>
      <c r="FY454" s="59">
        <f>$CN454-$CN455</f>
        <v/>
      </c>
      <c r="FZ454" s="59">
        <f>$CO454-$CO455</f>
        <v/>
      </c>
      <c r="GA454" s="59">
        <f>$CP454-$CP455</f>
        <v/>
      </c>
      <c r="GB454" s="59">
        <f>$CQ454-$CQ455</f>
        <v/>
      </c>
      <c r="GC454" s="59">
        <f>$CR454-$CR455</f>
        <v/>
      </c>
      <c r="GD454" s="59">
        <f>$CS454-$CS455</f>
        <v/>
      </c>
      <c r="GE454" s="59">
        <f>$CT454-$CT455</f>
        <v/>
      </c>
    </row>
    <row r="455">
      <c r="CU455" s="58">
        <f>IFERROR($B455/$B456-1,"")</f>
        <v/>
      </c>
      <c r="CV455" s="59">
        <f>($F455-$F456)*100</f>
        <v/>
      </c>
      <c r="CW455" s="59">
        <f>($E455-$E456)*100</f>
        <v/>
      </c>
      <c r="CX455" s="58">
        <f>IFERROR($K455/$K456-1,"")</f>
        <v/>
      </c>
      <c r="CY455" s="59">
        <f>($AH455-$AH456)*100</f>
        <v/>
      </c>
      <c r="CZ455" s="59">
        <f>($AI455-$AI456)*100</f>
        <v/>
      </c>
      <c r="DA455" s="59">
        <f>($AJ455-$AJ456)*100</f>
        <v/>
      </c>
      <c r="DB455" s="59">
        <f>($AK455-$AK456)*100</f>
        <v/>
      </c>
      <c r="DC455" s="59">
        <f>($AL455-$AL456)*100</f>
        <v/>
      </c>
      <c r="DD455" s="59">
        <f>($AM455-$AM456)*100</f>
        <v/>
      </c>
      <c r="DE455" s="59">
        <f>($AN455-$AN456)*100</f>
        <v/>
      </c>
      <c r="DF455" s="59">
        <f>($AO455-$AO456)*100</f>
        <v/>
      </c>
      <c r="DG455" s="59">
        <f>($AP455-$AP456)*100</f>
        <v/>
      </c>
      <c r="DH455" s="59">
        <f>($AQ455-$AQ456)*100</f>
        <v/>
      </c>
      <c r="DI455" s="59">
        <f>($AR455-$AR456)*100</f>
        <v/>
      </c>
      <c r="DJ455" s="59">
        <f>($AS455-$AS456)*100</f>
        <v/>
      </c>
      <c r="DK455" s="59">
        <f>($AT455-$AT456)*100</f>
        <v/>
      </c>
      <c r="DL455" s="59">
        <f>($AU455-$AU456)*100</f>
        <v/>
      </c>
      <c r="DM455" s="59">
        <f>($AV455-$AV456)*100</f>
        <v/>
      </c>
      <c r="DN455" s="59">
        <f>($AW455-$AW456)*100</f>
        <v/>
      </c>
      <c r="DO455" s="59">
        <f>($AX455-$AX456)*100</f>
        <v/>
      </c>
      <c r="DP455" s="59">
        <f>($AY455-$AY456)*100</f>
        <v/>
      </c>
      <c r="DQ455" s="59">
        <f>($AZ455-$AZ456)*100</f>
        <v/>
      </c>
      <c r="DR455" s="59">
        <f>($BA455-$BA456)*100</f>
        <v/>
      </c>
      <c r="DS455" s="58">
        <f>IFERROR($N456/$N455-1,"")</f>
        <v/>
      </c>
      <c r="DT455" s="58">
        <f>IFERROR($O456/$O455-1,"")</f>
        <v/>
      </c>
      <c r="DU455" s="58">
        <f>IFERROR($P456/$P455-1,"")</f>
        <v/>
      </c>
      <c r="DV455" s="58">
        <f>IFERROR($Q456/$Q455-1,"")</f>
        <v/>
      </c>
      <c r="DW455" s="58">
        <f>IFERROR($R456/$R455-1,"")</f>
        <v/>
      </c>
      <c r="DX455" s="58">
        <f>IFERROR($S456/$S455-1,"")</f>
        <v/>
      </c>
      <c r="DY455" s="58">
        <f>IFERROR($T456/$T455-1,"")</f>
        <v/>
      </c>
      <c r="DZ455" s="58">
        <f>IFERROR($U456/$U455-1,"")</f>
        <v/>
      </c>
      <c r="EA455" s="58">
        <f>IFERROR($V456/$V455-1,"")</f>
        <v/>
      </c>
      <c r="EB455" s="58">
        <f>IFERROR($W456/$W455-1,"")</f>
        <v/>
      </c>
      <c r="EC455" s="58">
        <f>IFERROR($X456/$X455-1,"")</f>
        <v/>
      </c>
      <c r="ED455" s="58">
        <f>IFERROR($Y456/$Y455-1,"")</f>
        <v/>
      </c>
      <c r="EE455" s="58">
        <f>IFERROR($Z456/$Z455-1,"")</f>
        <v/>
      </c>
      <c r="EF455" s="58">
        <f>IFERROR($AA456/$AA455-1,"")</f>
        <v/>
      </c>
      <c r="EG455" s="58">
        <f>IFERROR($AB456/$AB455-1,"")</f>
        <v/>
      </c>
      <c r="EH455" s="58">
        <f>IFERROR($AC456/$AC455-1,"")</f>
        <v/>
      </c>
      <c r="EI455" s="58">
        <f>IFERROR($AD456/$AD455-1,"")</f>
        <v/>
      </c>
      <c r="EJ455" s="58">
        <f>IFERROR($AE456/$AE455-1,"")</f>
        <v/>
      </c>
      <c r="EK455" s="58">
        <f>IFERROR($AF456/$AF455-1,"")</f>
        <v/>
      </c>
      <c r="EL455" s="58">
        <f>IFERROR($AG456/$AG455-1,"")</f>
        <v/>
      </c>
      <c r="EM455" s="58">
        <f>IFERROR($BB455/$BB456-1,"")</f>
        <v/>
      </c>
      <c r="EN455" s="58">
        <f>IFERROR($BC455/$BC456-1,"")</f>
        <v/>
      </c>
      <c r="EO455" s="58">
        <f>IFERROR($BD455/$BD456-1,"")</f>
        <v/>
      </c>
      <c r="EP455" s="58">
        <f>IFERROR($BE455/$BE456-1,"")</f>
        <v/>
      </c>
      <c r="EQ455" s="58">
        <f>IFERROR($BF455/$BF456-1,"")</f>
        <v/>
      </c>
      <c r="ER455" s="58">
        <f>IFERROR($BG455/$BG456-1,"")</f>
        <v/>
      </c>
      <c r="ES455" s="58">
        <f>IFERROR($BH455/$BH456-1,"")</f>
        <v/>
      </c>
      <c r="ET455" s="58">
        <f>IFERROR($BI455/$BI456-1,"")</f>
        <v/>
      </c>
      <c r="EU455" s="58">
        <f>IFERROR($BJ455/$BJ456-1,"")</f>
        <v/>
      </c>
      <c r="EV455" s="58">
        <f>IFERROR($BK455/$BK456-1,"")</f>
        <v/>
      </c>
      <c r="EW455" s="58">
        <f>IFERROR($BL455/$BL456-1,"")</f>
        <v/>
      </c>
      <c r="EX455" s="58">
        <f>IFERROR($BM455/$BM456-1,"")</f>
        <v/>
      </c>
      <c r="EY455" s="58">
        <f>IFERROR($BN455/$BN456-1,"")</f>
        <v/>
      </c>
      <c r="EZ455" s="58">
        <f>IFERROR($BO455/$BO456-1,"")</f>
        <v/>
      </c>
      <c r="FA455" s="58">
        <f>IFERROR($BP455/$BP456-1,"")</f>
        <v/>
      </c>
      <c r="FB455" s="58">
        <f>IFERROR($BQ455/$BQ456-1,"")</f>
        <v/>
      </c>
      <c r="FC455" s="58">
        <f>IFERROR($BR455/$BR456-1,"")</f>
        <v/>
      </c>
      <c r="FD455" s="58">
        <f>IFERROR($BS455/$BS456-1,"")</f>
        <v/>
      </c>
      <c r="FE455" s="58">
        <f>IFERROR($BT455/$BT456-1,"")</f>
        <v/>
      </c>
      <c r="FF455" s="58">
        <f>IFERROR($BU455/$BU456-1,"")</f>
        <v/>
      </c>
      <c r="FG455" s="58">
        <f>IFERROR($BV455/$BV456-1,"")</f>
        <v/>
      </c>
      <c r="FH455" s="58">
        <f>IFERROR($BW455/$BW456-1,"")</f>
        <v/>
      </c>
      <c r="FI455" s="58">
        <f>IFERROR($BX455/$BX456-1,"")</f>
        <v/>
      </c>
      <c r="FJ455" s="59">
        <f>$BY455-$BY456</f>
        <v/>
      </c>
      <c r="FK455" s="59">
        <f>$BZ455-$BZ456</f>
        <v/>
      </c>
      <c r="FL455" s="59">
        <f>$CA455-$CA456</f>
        <v/>
      </c>
      <c r="FM455" s="59">
        <f>$CB455-$CB456</f>
        <v/>
      </c>
      <c r="FN455" s="59">
        <f>$CC455-$CC456</f>
        <v/>
      </c>
      <c r="FO455" s="59">
        <f>$CD455-$CD456</f>
        <v/>
      </c>
      <c r="FP455" s="59">
        <f>$CE455-$CE456</f>
        <v/>
      </c>
      <c r="FQ455" s="59">
        <f>$CF455-$CF456</f>
        <v/>
      </c>
      <c r="FR455" s="59">
        <f>$CG455-$CG456</f>
        <v/>
      </c>
      <c r="FS455" s="59">
        <f>$CH455-$CH456</f>
        <v/>
      </c>
      <c r="FT455" s="59">
        <f>$CI455-$CI456</f>
        <v/>
      </c>
      <c r="FU455" s="59">
        <f>$CJ455-$CJ456</f>
        <v/>
      </c>
      <c r="FV455" s="59">
        <f>$CK455-$CK456</f>
        <v/>
      </c>
      <c r="FW455" s="59">
        <f>$CL455-$CL456</f>
        <v/>
      </c>
      <c r="FX455" s="59">
        <f>$CM455-$CM456</f>
        <v/>
      </c>
      <c r="FY455" s="59">
        <f>$CN455-$CN456</f>
        <v/>
      </c>
      <c r="FZ455" s="59">
        <f>$CO455-$CO456</f>
        <v/>
      </c>
      <c r="GA455" s="59">
        <f>$CP455-$CP456</f>
        <v/>
      </c>
      <c r="GB455" s="59">
        <f>$CQ455-$CQ456</f>
        <v/>
      </c>
      <c r="GC455" s="59">
        <f>$CR455-$CR456</f>
        <v/>
      </c>
      <c r="GD455" s="59">
        <f>$CS455-$CS456</f>
        <v/>
      </c>
      <c r="GE455" s="59">
        <f>$CT455-$CT456</f>
        <v/>
      </c>
    </row>
    <row r="456">
      <c r="CU456" s="58">
        <f>IFERROR($B456/$B457-1,"")</f>
        <v/>
      </c>
      <c r="CV456" s="59">
        <f>($F456-$F457)*100</f>
        <v/>
      </c>
      <c r="CW456" s="59">
        <f>($E456-$E457)*100</f>
        <v/>
      </c>
      <c r="CX456" s="58">
        <f>IFERROR($K456/$K457-1,"")</f>
        <v/>
      </c>
      <c r="CY456" s="59">
        <f>($AH456-$AH457)*100</f>
        <v/>
      </c>
      <c r="CZ456" s="59">
        <f>($AI456-$AI457)*100</f>
        <v/>
      </c>
      <c r="DA456" s="59">
        <f>($AJ456-$AJ457)*100</f>
        <v/>
      </c>
      <c r="DB456" s="59">
        <f>($AK456-$AK457)*100</f>
        <v/>
      </c>
      <c r="DC456" s="59">
        <f>($AL456-$AL457)*100</f>
        <v/>
      </c>
      <c r="DD456" s="59">
        <f>($AM456-$AM457)*100</f>
        <v/>
      </c>
      <c r="DE456" s="59">
        <f>($AN456-$AN457)*100</f>
        <v/>
      </c>
      <c r="DF456" s="59">
        <f>($AO456-$AO457)*100</f>
        <v/>
      </c>
      <c r="DG456" s="59">
        <f>($AP456-$AP457)*100</f>
        <v/>
      </c>
      <c r="DH456" s="59">
        <f>($AQ456-$AQ457)*100</f>
        <v/>
      </c>
      <c r="DI456" s="59">
        <f>($AR456-$AR457)*100</f>
        <v/>
      </c>
      <c r="DJ456" s="59">
        <f>($AS456-$AS457)*100</f>
        <v/>
      </c>
      <c r="DK456" s="59">
        <f>($AT456-$AT457)*100</f>
        <v/>
      </c>
      <c r="DL456" s="59">
        <f>($AU456-$AU457)*100</f>
        <v/>
      </c>
      <c r="DM456" s="59">
        <f>($AV456-$AV457)*100</f>
        <v/>
      </c>
      <c r="DN456" s="59">
        <f>($AW456-$AW457)*100</f>
        <v/>
      </c>
      <c r="DO456" s="59">
        <f>($AX456-$AX457)*100</f>
        <v/>
      </c>
      <c r="DP456" s="59">
        <f>($AY456-$AY457)*100</f>
        <v/>
      </c>
      <c r="DQ456" s="59">
        <f>($AZ456-$AZ457)*100</f>
        <v/>
      </c>
      <c r="DR456" s="59">
        <f>($BA456-$BA457)*100</f>
        <v/>
      </c>
      <c r="DS456" s="58">
        <f>IFERROR($N457/$N456-1,"")</f>
        <v/>
      </c>
      <c r="DT456" s="58">
        <f>IFERROR($O457/$O456-1,"")</f>
        <v/>
      </c>
      <c r="DU456" s="58">
        <f>IFERROR($P457/$P456-1,"")</f>
        <v/>
      </c>
      <c r="DV456" s="58">
        <f>IFERROR($Q457/$Q456-1,"")</f>
        <v/>
      </c>
      <c r="DW456" s="58">
        <f>IFERROR($R457/$R456-1,"")</f>
        <v/>
      </c>
      <c r="DX456" s="58">
        <f>IFERROR($S457/$S456-1,"")</f>
        <v/>
      </c>
      <c r="DY456" s="58">
        <f>IFERROR($T457/$T456-1,"")</f>
        <v/>
      </c>
      <c r="DZ456" s="58">
        <f>IFERROR($U457/$U456-1,"")</f>
        <v/>
      </c>
      <c r="EA456" s="58">
        <f>IFERROR($V457/$V456-1,"")</f>
        <v/>
      </c>
      <c r="EB456" s="58">
        <f>IFERROR($W457/$W456-1,"")</f>
        <v/>
      </c>
      <c r="EC456" s="58">
        <f>IFERROR($X457/$X456-1,"")</f>
        <v/>
      </c>
      <c r="ED456" s="58">
        <f>IFERROR($Y457/$Y456-1,"")</f>
        <v/>
      </c>
      <c r="EE456" s="58">
        <f>IFERROR($Z457/$Z456-1,"")</f>
        <v/>
      </c>
      <c r="EF456" s="58">
        <f>IFERROR($AA457/$AA456-1,"")</f>
        <v/>
      </c>
      <c r="EG456" s="58">
        <f>IFERROR($AB457/$AB456-1,"")</f>
        <v/>
      </c>
      <c r="EH456" s="58">
        <f>IFERROR($AC457/$AC456-1,"")</f>
        <v/>
      </c>
      <c r="EI456" s="58">
        <f>IFERROR($AD457/$AD456-1,"")</f>
        <v/>
      </c>
      <c r="EJ456" s="58">
        <f>IFERROR($AE457/$AE456-1,"")</f>
        <v/>
      </c>
      <c r="EK456" s="58">
        <f>IFERROR($AF457/$AF456-1,"")</f>
        <v/>
      </c>
      <c r="EL456" s="58">
        <f>IFERROR($AG457/$AG456-1,"")</f>
        <v/>
      </c>
      <c r="EM456" s="58">
        <f>IFERROR($BB456/$BB457-1,"")</f>
        <v/>
      </c>
      <c r="EN456" s="58">
        <f>IFERROR($BC456/$BC457-1,"")</f>
        <v/>
      </c>
      <c r="EO456" s="58">
        <f>IFERROR($BD456/$BD457-1,"")</f>
        <v/>
      </c>
      <c r="EP456" s="58">
        <f>IFERROR($BE456/$BE457-1,"")</f>
        <v/>
      </c>
      <c r="EQ456" s="58">
        <f>IFERROR($BF456/$BF457-1,"")</f>
        <v/>
      </c>
      <c r="ER456" s="58">
        <f>IFERROR($BG456/$BG457-1,"")</f>
        <v/>
      </c>
      <c r="ES456" s="58">
        <f>IFERROR($BH456/$BH457-1,"")</f>
        <v/>
      </c>
      <c r="ET456" s="58">
        <f>IFERROR($BI456/$BI457-1,"")</f>
        <v/>
      </c>
      <c r="EU456" s="58">
        <f>IFERROR($BJ456/$BJ457-1,"")</f>
        <v/>
      </c>
      <c r="EV456" s="58">
        <f>IFERROR($BK456/$BK457-1,"")</f>
        <v/>
      </c>
      <c r="EW456" s="58">
        <f>IFERROR($BL456/$BL457-1,"")</f>
        <v/>
      </c>
      <c r="EX456" s="58">
        <f>IFERROR($BM456/$BM457-1,"")</f>
        <v/>
      </c>
      <c r="EY456" s="58">
        <f>IFERROR($BN456/$BN457-1,"")</f>
        <v/>
      </c>
      <c r="EZ456" s="58">
        <f>IFERROR($BO456/$BO457-1,"")</f>
        <v/>
      </c>
      <c r="FA456" s="58">
        <f>IFERROR($BP456/$BP457-1,"")</f>
        <v/>
      </c>
      <c r="FB456" s="58">
        <f>IFERROR($BQ456/$BQ457-1,"")</f>
        <v/>
      </c>
      <c r="FC456" s="58">
        <f>IFERROR($BR456/$BR457-1,"")</f>
        <v/>
      </c>
      <c r="FD456" s="58">
        <f>IFERROR($BS456/$BS457-1,"")</f>
        <v/>
      </c>
      <c r="FE456" s="58">
        <f>IFERROR($BT456/$BT457-1,"")</f>
        <v/>
      </c>
      <c r="FF456" s="58">
        <f>IFERROR($BU456/$BU457-1,"")</f>
        <v/>
      </c>
      <c r="FG456" s="58">
        <f>IFERROR($BV456/$BV457-1,"")</f>
        <v/>
      </c>
      <c r="FH456" s="58">
        <f>IFERROR($BW456/$BW457-1,"")</f>
        <v/>
      </c>
      <c r="FI456" s="58">
        <f>IFERROR($BX456/$BX457-1,"")</f>
        <v/>
      </c>
      <c r="FJ456" s="59">
        <f>$BY456-$BY457</f>
        <v/>
      </c>
      <c r="FK456" s="59">
        <f>$BZ456-$BZ457</f>
        <v/>
      </c>
      <c r="FL456" s="59">
        <f>$CA456-$CA457</f>
        <v/>
      </c>
      <c r="FM456" s="59">
        <f>$CB456-$CB457</f>
        <v/>
      </c>
      <c r="FN456" s="59">
        <f>$CC456-$CC457</f>
        <v/>
      </c>
      <c r="FO456" s="59">
        <f>$CD456-$CD457</f>
        <v/>
      </c>
      <c r="FP456" s="59">
        <f>$CE456-$CE457</f>
        <v/>
      </c>
      <c r="FQ456" s="59">
        <f>$CF456-$CF457</f>
        <v/>
      </c>
      <c r="FR456" s="59">
        <f>$CG456-$CG457</f>
        <v/>
      </c>
      <c r="FS456" s="59">
        <f>$CH456-$CH457</f>
        <v/>
      </c>
      <c r="FT456" s="59">
        <f>$CI456-$CI457</f>
        <v/>
      </c>
      <c r="FU456" s="59">
        <f>$CJ456-$CJ457</f>
        <v/>
      </c>
      <c r="FV456" s="59">
        <f>$CK456-$CK457</f>
        <v/>
      </c>
      <c r="FW456" s="59">
        <f>$CL456-$CL457</f>
        <v/>
      </c>
      <c r="FX456" s="59">
        <f>$CM456-$CM457</f>
        <v/>
      </c>
      <c r="FY456" s="59">
        <f>$CN456-$CN457</f>
        <v/>
      </c>
      <c r="FZ456" s="59">
        <f>$CO456-$CO457</f>
        <v/>
      </c>
      <c r="GA456" s="59">
        <f>$CP456-$CP457</f>
        <v/>
      </c>
      <c r="GB456" s="59">
        <f>$CQ456-$CQ457</f>
        <v/>
      </c>
      <c r="GC456" s="59">
        <f>$CR456-$CR457</f>
        <v/>
      </c>
      <c r="GD456" s="59">
        <f>$CS456-$CS457</f>
        <v/>
      </c>
      <c r="GE456" s="59">
        <f>$CT456-$CT457</f>
        <v/>
      </c>
    </row>
    <row r="457">
      <c r="CU457" s="58">
        <f>IFERROR($B457/$B458-1,"")</f>
        <v/>
      </c>
      <c r="CV457" s="59">
        <f>($F457-$F458)*100</f>
        <v/>
      </c>
      <c r="CW457" s="59">
        <f>($E457-$E458)*100</f>
        <v/>
      </c>
      <c r="CX457" s="58">
        <f>IFERROR($K457/$K458-1,"")</f>
        <v/>
      </c>
      <c r="CY457" s="59">
        <f>($AH457-$AH458)*100</f>
        <v/>
      </c>
      <c r="CZ457" s="59">
        <f>($AI457-$AI458)*100</f>
        <v/>
      </c>
      <c r="DA457" s="59">
        <f>($AJ457-$AJ458)*100</f>
        <v/>
      </c>
      <c r="DB457" s="59">
        <f>($AK457-$AK458)*100</f>
        <v/>
      </c>
      <c r="DC457" s="59">
        <f>($AL457-$AL458)*100</f>
        <v/>
      </c>
      <c r="DD457" s="59">
        <f>($AM457-$AM458)*100</f>
        <v/>
      </c>
      <c r="DE457" s="59">
        <f>($AN457-$AN458)*100</f>
        <v/>
      </c>
      <c r="DF457" s="59">
        <f>($AO457-$AO458)*100</f>
        <v/>
      </c>
      <c r="DG457" s="59">
        <f>($AP457-$AP458)*100</f>
        <v/>
      </c>
      <c r="DH457" s="59">
        <f>($AQ457-$AQ458)*100</f>
        <v/>
      </c>
      <c r="DI457" s="59">
        <f>($AR457-$AR458)*100</f>
        <v/>
      </c>
      <c r="DJ457" s="59">
        <f>($AS457-$AS458)*100</f>
        <v/>
      </c>
      <c r="DK457" s="59">
        <f>($AT457-$AT458)*100</f>
        <v/>
      </c>
      <c r="DL457" s="59">
        <f>($AU457-$AU458)*100</f>
        <v/>
      </c>
      <c r="DM457" s="59">
        <f>($AV457-$AV458)*100</f>
        <v/>
      </c>
      <c r="DN457" s="59">
        <f>($AW457-$AW458)*100</f>
        <v/>
      </c>
      <c r="DO457" s="59">
        <f>($AX457-$AX458)*100</f>
        <v/>
      </c>
      <c r="DP457" s="59">
        <f>($AY457-$AY458)*100</f>
        <v/>
      </c>
      <c r="DQ457" s="59">
        <f>($AZ457-$AZ458)*100</f>
        <v/>
      </c>
      <c r="DR457" s="59">
        <f>($BA457-$BA458)*100</f>
        <v/>
      </c>
      <c r="DS457" s="58">
        <f>IFERROR($N458/$N457-1,"")</f>
        <v/>
      </c>
      <c r="DT457" s="58">
        <f>IFERROR($O458/$O457-1,"")</f>
        <v/>
      </c>
      <c r="DU457" s="58">
        <f>IFERROR($P458/$P457-1,"")</f>
        <v/>
      </c>
      <c r="DV457" s="58">
        <f>IFERROR($Q458/$Q457-1,"")</f>
        <v/>
      </c>
      <c r="DW457" s="58">
        <f>IFERROR($R458/$R457-1,"")</f>
        <v/>
      </c>
      <c r="DX457" s="58">
        <f>IFERROR($S458/$S457-1,"")</f>
        <v/>
      </c>
      <c r="DY457" s="58">
        <f>IFERROR($T458/$T457-1,"")</f>
        <v/>
      </c>
      <c r="DZ457" s="58">
        <f>IFERROR($U458/$U457-1,"")</f>
        <v/>
      </c>
      <c r="EA457" s="58">
        <f>IFERROR($V458/$V457-1,"")</f>
        <v/>
      </c>
      <c r="EB457" s="58">
        <f>IFERROR($W458/$W457-1,"")</f>
        <v/>
      </c>
      <c r="EC457" s="58">
        <f>IFERROR($X458/$X457-1,"")</f>
        <v/>
      </c>
      <c r="ED457" s="58">
        <f>IFERROR($Y458/$Y457-1,"")</f>
        <v/>
      </c>
      <c r="EE457" s="58">
        <f>IFERROR($Z458/$Z457-1,"")</f>
        <v/>
      </c>
      <c r="EF457" s="58">
        <f>IFERROR($AA458/$AA457-1,"")</f>
        <v/>
      </c>
      <c r="EG457" s="58">
        <f>IFERROR($AB458/$AB457-1,"")</f>
        <v/>
      </c>
      <c r="EH457" s="58">
        <f>IFERROR($AC458/$AC457-1,"")</f>
        <v/>
      </c>
      <c r="EI457" s="58">
        <f>IFERROR($AD458/$AD457-1,"")</f>
        <v/>
      </c>
      <c r="EJ457" s="58">
        <f>IFERROR($AE458/$AE457-1,"")</f>
        <v/>
      </c>
      <c r="EK457" s="58">
        <f>IFERROR($AF458/$AF457-1,"")</f>
        <v/>
      </c>
      <c r="EL457" s="58">
        <f>IFERROR($AG458/$AG457-1,"")</f>
        <v/>
      </c>
      <c r="EM457" s="58">
        <f>IFERROR($BB457/$BB458-1,"")</f>
        <v/>
      </c>
      <c r="EN457" s="58">
        <f>IFERROR($BC457/$BC458-1,"")</f>
        <v/>
      </c>
      <c r="EO457" s="58">
        <f>IFERROR($BD457/$BD458-1,"")</f>
        <v/>
      </c>
      <c r="EP457" s="58">
        <f>IFERROR($BE457/$BE458-1,"")</f>
        <v/>
      </c>
      <c r="EQ457" s="58">
        <f>IFERROR($BF457/$BF458-1,"")</f>
        <v/>
      </c>
      <c r="ER457" s="58">
        <f>IFERROR($BG457/$BG458-1,"")</f>
        <v/>
      </c>
      <c r="ES457" s="58">
        <f>IFERROR($BH457/$BH458-1,"")</f>
        <v/>
      </c>
      <c r="ET457" s="58">
        <f>IFERROR($BI457/$BI458-1,"")</f>
        <v/>
      </c>
      <c r="EU457" s="58">
        <f>IFERROR($BJ457/$BJ458-1,"")</f>
        <v/>
      </c>
      <c r="EV457" s="58">
        <f>IFERROR($BK457/$BK458-1,"")</f>
        <v/>
      </c>
      <c r="EW457" s="58">
        <f>IFERROR($BL457/$BL458-1,"")</f>
        <v/>
      </c>
      <c r="EX457" s="58">
        <f>IFERROR($BM457/$BM458-1,"")</f>
        <v/>
      </c>
      <c r="EY457" s="58">
        <f>IFERROR($BN457/$BN458-1,"")</f>
        <v/>
      </c>
      <c r="EZ457" s="58">
        <f>IFERROR($BO457/$BO458-1,"")</f>
        <v/>
      </c>
      <c r="FA457" s="58">
        <f>IFERROR($BP457/$BP458-1,"")</f>
        <v/>
      </c>
      <c r="FB457" s="58">
        <f>IFERROR($BQ457/$BQ458-1,"")</f>
        <v/>
      </c>
      <c r="FC457" s="58">
        <f>IFERROR($BR457/$BR458-1,"")</f>
        <v/>
      </c>
      <c r="FD457" s="58">
        <f>IFERROR($BS457/$BS458-1,"")</f>
        <v/>
      </c>
      <c r="FE457" s="58">
        <f>IFERROR($BT457/$BT458-1,"")</f>
        <v/>
      </c>
      <c r="FF457" s="58">
        <f>IFERROR($BU457/$BU458-1,"")</f>
        <v/>
      </c>
      <c r="FG457" s="58">
        <f>IFERROR($BV457/$BV458-1,"")</f>
        <v/>
      </c>
      <c r="FH457" s="58">
        <f>IFERROR($BW457/$BW458-1,"")</f>
        <v/>
      </c>
      <c r="FI457" s="58">
        <f>IFERROR($BX457/$BX458-1,"")</f>
        <v/>
      </c>
      <c r="FJ457" s="59">
        <f>$BY457-$BY458</f>
        <v/>
      </c>
      <c r="FK457" s="59">
        <f>$BZ457-$BZ458</f>
        <v/>
      </c>
      <c r="FL457" s="59">
        <f>$CA457-$CA458</f>
        <v/>
      </c>
      <c r="FM457" s="59">
        <f>$CB457-$CB458</f>
        <v/>
      </c>
      <c r="FN457" s="59">
        <f>$CC457-$CC458</f>
        <v/>
      </c>
      <c r="FO457" s="59">
        <f>$CD457-$CD458</f>
        <v/>
      </c>
      <c r="FP457" s="59">
        <f>$CE457-$CE458</f>
        <v/>
      </c>
      <c r="FQ457" s="59">
        <f>$CF457-$CF458</f>
        <v/>
      </c>
      <c r="FR457" s="59">
        <f>$CG457-$CG458</f>
        <v/>
      </c>
      <c r="FS457" s="59">
        <f>$CH457-$CH458</f>
        <v/>
      </c>
      <c r="FT457" s="59">
        <f>$CI457-$CI458</f>
        <v/>
      </c>
      <c r="FU457" s="59">
        <f>$CJ457-$CJ458</f>
        <v/>
      </c>
      <c r="FV457" s="59">
        <f>$CK457-$CK458</f>
        <v/>
      </c>
      <c r="FW457" s="59">
        <f>$CL457-$CL458</f>
        <v/>
      </c>
      <c r="FX457" s="59">
        <f>$CM457-$CM458</f>
        <v/>
      </c>
      <c r="FY457" s="59">
        <f>$CN457-$CN458</f>
        <v/>
      </c>
      <c r="FZ457" s="59">
        <f>$CO457-$CO458</f>
        <v/>
      </c>
      <c r="GA457" s="59">
        <f>$CP457-$CP458</f>
        <v/>
      </c>
      <c r="GB457" s="59">
        <f>$CQ457-$CQ458</f>
        <v/>
      </c>
      <c r="GC457" s="59">
        <f>$CR457-$CR458</f>
        <v/>
      </c>
      <c r="GD457" s="59">
        <f>$CS457-$CS458</f>
        <v/>
      </c>
      <c r="GE457" s="59">
        <f>$CT457-$CT458</f>
        <v/>
      </c>
    </row>
    <row r="458">
      <c r="CU458" s="58">
        <f>IFERROR($B458/$B459-1,"")</f>
        <v/>
      </c>
      <c r="CV458" s="59">
        <f>($F458-$F459)*100</f>
        <v/>
      </c>
      <c r="CW458" s="59">
        <f>($E458-$E459)*100</f>
        <v/>
      </c>
      <c r="CX458" s="58">
        <f>IFERROR($K458/$K459-1,"")</f>
        <v/>
      </c>
      <c r="CY458" s="59">
        <f>($AH458-$AH459)*100</f>
        <v/>
      </c>
      <c r="CZ458" s="59">
        <f>($AI458-$AI459)*100</f>
        <v/>
      </c>
      <c r="DA458" s="59">
        <f>($AJ458-$AJ459)*100</f>
        <v/>
      </c>
      <c r="DB458" s="59">
        <f>($AK458-$AK459)*100</f>
        <v/>
      </c>
      <c r="DC458" s="59">
        <f>($AL458-$AL459)*100</f>
        <v/>
      </c>
      <c r="DD458" s="59">
        <f>($AM458-$AM459)*100</f>
        <v/>
      </c>
      <c r="DE458" s="59">
        <f>($AN458-$AN459)*100</f>
        <v/>
      </c>
      <c r="DF458" s="59">
        <f>($AO458-$AO459)*100</f>
        <v/>
      </c>
      <c r="DG458" s="59">
        <f>($AP458-$AP459)*100</f>
        <v/>
      </c>
      <c r="DH458" s="59">
        <f>($AQ458-$AQ459)*100</f>
        <v/>
      </c>
      <c r="DI458" s="59">
        <f>($AR458-$AR459)*100</f>
        <v/>
      </c>
      <c r="DJ458" s="59">
        <f>($AS458-$AS459)*100</f>
        <v/>
      </c>
      <c r="DK458" s="59">
        <f>($AT458-$AT459)*100</f>
        <v/>
      </c>
      <c r="DL458" s="59">
        <f>($AU458-$AU459)*100</f>
        <v/>
      </c>
      <c r="DM458" s="59">
        <f>($AV458-$AV459)*100</f>
        <v/>
      </c>
      <c r="DN458" s="59">
        <f>($AW458-$AW459)*100</f>
        <v/>
      </c>
      <c r="DO458" s="59">
        <f>($AX458-$AX459)*100</f>
        <v/>
      </c>
      <c r="DP458" s="59">
        <f>($AY458-$AY459)*100</f>
        <v/>
      </c>
      <c r="DQ458" s="59">
        <f>($AZ458-$AZ459)*100</f>
        <v/>
      </c>
      <c r="DR458" s="59">
        <f>($BA458-$BA459)*100</f>
        <v/>
      </c>
      <c r="DS458" s="58">
        <f>IFERROR($N459/$N458-1,"")</f>
        <v/>
      </c>
      <c r="DT458" s="58">
        <f>IFERROR($O459/$O458-1,"")</f>
        <v/>
      </c>
      <c r="DU458" s="58">
        <f>IFERROR($P459/$P458-1,"")</f>
        <v/>
      </c>
      <c r="DV458" s="58">
        <f>IFERROR($Q459/$Q458-1,"")</f>
        <v/>
      </c>
      <c r="DW458" s="58">
        <f>IFERROR($R459/$R458-1,"")</f>
        <v/>
      </c>
      <c r="DX458" s="58">
        <f>IFERROR($S459/$S458-1,"")</f>
        <v/>
      </c>
      <c r="DY458" s="58">
        <f>IFERROR($T459/$T458-1,"")</f>
        <v/>
      </c>
      <c r="DZ458" s="58">
        <f>IFERROR($U459/$U458-1,"")</f>
        <v/>
      </c>
      <c r="EA458" s="58">
        <f>IFERROR($V459/$V458-1,"")</f>
        <v/>
      </c>
      <c r="EB458" s="58">
        <f>IFERROR($W459/$W458-1,"")</f>
        <v/>
      </c>
      <c r="EC458" s="58">
        <f>IFERROR($X459/$X458-1,"")</f>
        <v/>
      </c>
      <c r="ED458" s="58">
        <f>IFERROR($Y459/$Y458-1,"")</f>
        <v/>
      </c>
      <c r="EE458" s="58">
        <f>IFERROR($Z459/$Z458-1,"")</f>
        <v/>
      </c>
      <c r="EF458" s="58">
        <f>IFERROR($AA459/$AA458-1,"")</f>
        <v/>
      </c>
      <c r="EG458" s="58">
        <f>IFERROR($AB459/$AB458-1,"")</f>
        <v/>
      </c>
      <c r="EH458" s="58">
        <f>IFERROR($AC459/$AC458-1,"")</f>
        <v/>
      </c>
      <c r="EI458" s="58">
        <f>IFERROR($AD459/$AD458-1,"")</f>
        <v/>
      </c>
      <c r="EJ458" s="58">
        <f>IFERROR($AE459/$AE458-1,"")</f>
        <v/>
      </c>
      <c r="EK458" s="58">
        <f>IFERROR($AF459/$AF458-1,"")</f>
        <v/>
      </c>
      <c r="EL458" s="58">
        <f>IFERROR($AG459/$AG458-1,"")</f>
        <v/>
      </c>
      <c r="EM458" s="58">
        <f>IFERROR($BB458/$BB459-1,"")</f>
        <v/>
      </c>
      <c r="EN458" s="58">
        <f>IFERROR($BC458/$BC459-1,"")</f>
        <v/>
      </c>
      <c r="EO458" s="58">
        <f>IFERROR($BD458/$BD459-1,"")</f>
        <v/>
      </c>
      <c r="EP458" s="58">
        <f>IFERROR($BE458/$BE459-1,"")</f>
        <v/>
      </c>
      <c r="EQ458" s="58">
        <f>IFERROR($BF458/$BF459-1,"")</f>
        <v/>
      </c>
      <c r="ER458" s="58">
        <f>IFERROR($BG458/$BG459-1,"")</f>
        <v/>
      </c>
      <c r="ES458" s="58">
        <f>IFERROR($BH458/$BH459-1,"")</f>
        <v/>
      </c>
      <c r="ET458" s="58">
        <f>IFERROR($BI458/$BI459-1,"")</f>
        <v/>
      </c>
      <c r="EU458" s="58">
        <f>IFERROR($BJ458/$BJ459-1,"")</f>
        <v/>
      </c>
      <c r="EV458" s="58">
        <f>IFERROR($BK458/$BK459-1,"")</f>
        <v/>
      </c>
      <c r="EW458" s="58">
        <f>IFERROR($BL458/$BL459-1,"")</f>
        <v/>
      </c>
      <c r="EX458" s="58">
        <f>IFERROR($BM458/$BM459-1,"")</f>
        <v/>
      </c>
      <c r="EY458" s="58">
        <f>IFERROR($BN458/$BN459-1,"")</f>
        <v/>
      </c>
      <c r="EZ458" s="58">
        <f>IFERROR($BO458/$BO459-1,"")</f>
        <v/>
      </c>
      <c r="FA458" s="58">
        <f>IFERROR($BP458/$BP459-1,"")</f>
        <v/>
      </c>
      <c r="FB458" s="58">
        <f>IFERROR($BQ458/$BQ459-1,"")</f>
        <v/>
      </c>
      <c r="FC458" s="58">
        <f>IFERROR($BR458/$BR459-1,"")</f>
        <v/>
      </c>
      <c r="FD458" s="58">
        <f>IFERROR($BS458/$BS459-1,"")</f>
        <v/>
      </c>
      <c r="FE458" s="58">
        <f>IFERROR($BT458/$BT459-1,"")</f>
        <v/>
      </c>
      <c r="FF458" s="58">
        <f>IFERROR($BU458/$BU459-1,"")</f>
        <v/>
      </c>
      <c r="FG458" s="58">
        <f>IFERROR($BV458/$BV459-1,"")</f>
        <v/>
      </c>
      <c r="FH458" s="58">
        <f>IFERROR($BW458/$BW459-1,"")</f>
        <v/>
      </c>
      <c r="FI458" s="58">
        <f>IFERROR($BX458/$BX459-1,"")</f>
        <v/>
      </c>
      <c r="FJ458" s="59">
        <f>$BY458-$BY459</f>
        <v/>
      </c>
      <c r="FK458" s="59">
        <f>$BZ458-$BZ459</f>
        <v/>
      </c>
      <c r="FL458" s="59">
        <f>$CA458-$CA459</f>
        <v/>
      </c>
      <c r="FM458" s="59">
        <f>$CB458-$CB459</f>
        <v/>
      </c>
      <c r="FN458" s="59">
        <f>$CC458-$CC459</f>
        <v/>
      </c>
      <c r="FO458" s="59">
        <f>$CD458-$CD459</f>
        <v/>
      </c>
      <c r="FP458" s="59">
        <f>$CE458-$CE459</f>
        <v/>
      </c>
      <c r="FQ458" s="59">
        <f>$CF458-$CF459</f>
        <v/>
      </c>
      <c r="FR458" s="59">
        <f>$CG458-$CG459</f>
        <v/>
      </c>
      <c r="FS458" s="59">
        <f>$CH458-$CH459</f>
        <v/>
      </c>
      <c r="FT458" s="59">
        <f>$CI458-$CI459</f>
        <v/>
      </c>
      <c r="FU458" s="59">
        <f>$CJ458-$CJ459</f>
        <v/>
      </c>
      <c r="FV458" s="59">
        <f>$CK458-$CK459</f>
        <v/>
      </c>
      <c r="FW458" s="59">
        <f>$CL458-$CL459</f>
        <v/>
      </c>
      <c r="FX458" s="59">
        <f>$CM458-$CM459</f>
        <v/>
      </c>
      <c r="FY458" s="59">
        <f>$CN458-$CN459</f>
        <v/>
      </c>
      <c r="FZ458" s="59">
        <f>$CO458-$CO459</f>
        <v/>
      </c>
      <c r="GA458" s="59">
        <f>$CP458-$CP459</f>
        <v/>
      </c>
      <c r="GB458" s="59">
        <f>$CQ458-$CQ459</f>
        <v/>
      </c>
      <c r="GC458" s="59">
        <f>$CR458-$CR459</f>
        <v/>
      </c>
      <c r="GD458" s="59">
        <f>$CS458-$CS459</f>
        <v/>
      </c>
      <c r="GE458" s="59">
        <f>$CT458-$CT459</f>
        <v/>
      </c>
    </row>
    <row r="459">
      <c r="CU459" s="58">
        <f>IFERROR($B459/$B460-1,"")</f>
        <v/>
      </c>
      <c r="CV459" s="59">
        <f>($F459-$F460)*100</f>
        <v/>
      </c>
      <c r="CW459" s="59">
        <f>($E459-$E460)*100</f>
        <v/>
      </c>
      <c r="CX459" s="58">
        <f>IFERROR($K459/$K460-1,"")</f>
        <v/>
      </c>
      <c r="CY459" s="59">
        <f>($AH459-$AH460)*100</f>
        <v/>
      </c>
      <c r="CZ459" s="59">
        <f>($AI459-$AI460)*100</f>
        <v/>
      </c>
      <c r="DA459" s="59">
        <f>($AJ459-$AJ460)*100</f>
        <v/>
      </c>
      <c r="DB459" s="59">
        <f>($AK459-$AK460)*100</f>
        <v/>
      </c>
      <c r="DC459" s="59">
        <f>($AL459-$AL460)*100</f>
        <v/>
      </c>
      <c r="DD459" s="59">
        <f>($AM459-$AM460)*100</f>
        <v/>
      </c>
      <c r="DE459" s="59">
        <f>($AN459-$AN460)*100</f>
        <v/>
      </c>
      <c r="DF459" s="59">
        <f>($AO459-$AO460)*100</f>
        <v/>
      </c>
      <c r="DG459" s="59">
        <f>($AP459-$AP460)*100</f>
        <v/>
      </c>
      <c r="DH459" s="59">
        <f>($AQ459-$AQ460)*100</f>
        <v/>
      </c>
      <c r="DI459" s="59">
        <f>($AR459-$AR460)*100</f>
        <v/>
      </c>
      <c r="DJ459" s="59">
        <f>($AS459-$AS460)*100</f>
        <v/>
      </c>
      <c r="DK459" s="59">
        <f>($AT459-$AT460)*100</f>
        <v/>
      </c>
      <c r="DL459" s="59">
        <f>($AU459-$AU460)*100</f>
        <v/>
      </c>
      <c r="DM459" s="59">
        <f>($AV459-$AV460)*100</f>
        <v/>
      </c>
      <c r="DN459" s="59">
        <f>($AW459-$AW460)*100</f>
        <v/>
      </c>
      <c r="DO459" s="59">
        <f>($AX459-$AX460)*100</f>
        <v/>
      </c>
      <c r="DP459" s="59">
        <f>($AY459-$AY460)*100</f>
        <v/>
      </c>
      <c r="DQ459" s="59">
        <f>($AZ459-$AZ460)*100</f>
        <v/>
      </c>
      <c r="DR459" s="59">
        <f>($BA459-$BA460)*100</f>
        <v/>
      </c>
      <c r="DS459" s="58">
        <f>IFERROR($N460/$N459-1,"")</f>
        <v/>
      </c>
      <c r="DT459" s="58">
        <f>IFERROR($O460/$O459-1,"")</f>
        <v/>
      </c>
      <c r="DU459" s="58">
        <f>IFERROR($P460/$P459-1,"")</f>
        <v/>
      </c>
      <c r="DV459" s="58">
        <f>IFERROR($Q460/$Q459-1,"")</f>
        <v/>
      </c>
      <c r="DW459" s="58">
        <f>IFERROR($R460/$R459-1,"")</f>
        <v/>
      </c>
      <c r="DX459" s="58">
        <f>IFERROR($S460/$S459-1,"")</f>
        <v/>
      </c>
      <c r="DY459" s="58">
        <f>IFERROR($T460/$T459-1,"")</f>
        <v/>
      </c>
      <c r="DZ459" s="58">
        <f>IFERROR($U460/$U459-1,"")</f>
        <v/>
      </c>
      <c r="EA459" s="58">
        <f>IFERROR($V460/$V459-1,"")</f>
        <v/>
      </c>
      <c r="EB459" s="58">
        <f>IFERROR($W460/$W459-1,"")</f>
        <v/>
      </c>
      <c r="EC459" s="58">
        <f>IFERROR($X460/$X459-1,"")</f>
        <v/>
      </c>
      <c r="ED459" s="58">
        <f>IFERROR($Y460/$Y459-1,"")</f>
        <v/>
      </c>
      <c r="EE459" s="58">
        <f>IFERROR($Z460/$Z459-1,"")</f>
        <v/>
      </c>
      <c r="EF459" s="58">
        <f>IFERROR($AA460/$AA459-1,"")</f>
        <v/>
      </c>
      <c r="EG459" s="58">
        <f>IFERROR($AB460/$AB459-1,"")</f>
        <v/>
      </c>
      <c r="EH459" s="58">
        <f>IFERROR($AC460/$AC459-1,"")</f>
        <v/>
      </c>
      <c r="EI459" s="58">
        <f>IFERROR($AD460/$AD459-1,"")</f>
        <v/>
      </c>
      <c r="EJ459" s="58">
        <f>IFERROR($AE460/$AE459-1,"")</f>
        <v/>
      </c>
      <c r="EK459" s="58">
        <f>IFERROR($AF460/$AF459-1,"")</f>
        <v/>
      </c>
      <c r="EL459" s="58">
        <f>IFERROR($AG460/$AG459-1,"")</f>
        <v/>
      </c>
      <c r="EM459" s="58">
        <f>IFERROR($BB459/$BB460-1,"")</f>
        <v/>
      </c>
      <c r="EN459" s="58">
        <f>IFERROR($BC459/$BC460-1,"")</f>
        <v/>
      </c>
      <c r="EO459" s="58">
        <f>IFERROR($BD459/$BD460-1,"")</f>
        <v/>
      </c>
      <c r="EP459" s="58">
        <f>IFERROR($BE459/$BE460-1,"")</f>
        <v/>
      </c>
      <c r="EQ459" s="58">
        <f>IFERROR($BF459/$BF460-1,"")</f>
        <v/>
      </c>
      <c r="ER459" s="58">
        <f>IFERROR($BG459/$BG460-1,"")</f>
        <v/>
      </c>
      <c r="ES459" s="58">
        <f>IFERROR($BH459/$BH460-1,"")</f>
        <v/>
      </c>
      <c r="ET459" s="58">
        <f>IFERROR($BI459/$BI460-1,"")</f>
        <v/>
      </c>
      <c r="EU459" s="58">
        <f>IFERROR($BJ459/$BJ460-1,"")</f>
        <v/>
      </c>
      <c r="EV459" s="58">
        <f>IFERROR($BK459/$BK460-1,"")</f>
        <v/>
      </c>
      <c r="EW459" s="58">
        <f>IFERROR($BL459/$BL460-1,"")</f>
        <v/>
      </c>
      <c r="EX459" s="58">
        <f>IFERROR($BM459/$BM460-1,"")</f>
        <v/>
      </c>
      <c r="EY459" s="58">
        <f>IFERROR($BN459/$BN460-1,"")</f>
        <v/>
      </c>
      <c r="EZ459" s="58">
        <f>IFERROR($BO459/$BO460-1,"")</f>
        <v/>
      </c>
      <c r="FA459" s="58">
        <f>IFERROR($BP459/$BP460-1,"")</f>
        <v/>
      </c>
      <c r="FB459" s="58">
        <f>IFERROR($BQ459/$BQ460-1,"")</f>
        <v/>
      </c>
      <c r="FC459" s="58">
        <f>IFERROR($BR459/$BR460-1,"")</f>
        <v/>
      </c>
      <c r="FD459" s="58">
        <f>IFERROR($BS459/$BS460-1,"")</f>
        <v/>
      </c>
      <c r="FE459" s="58">
        <f>IFERROR($BT459/$BT460-1,"")</f>
        <v/>
      </c>
      <c r="FF459" s="58">
        <f>IFERROR($BU459/$BU460-1,"")</f>
        <v/>
      </c>
      <c r="FG459" s="58">
        <f>IFERROR($BV459/$BV460-1,"")</f>
        <v/>
      </c>
      <c r="FH459" s="58">
        <f>IFERROR($BW459/$BW460-1,"")</f>
        <v/>
      </c>
      <c r="FI459" s="58">
        <f>IFERROR($BX459/$BX460-1,"")</f>
        <v/>
      </c>
      <c r="FJ459" s="59">
        <f>$BY459-$BY460</f>
        <v/>
      </c>
      <c r="FK459" s="59">
        <f>$BZ459-$BZ460</f>
        <v/>
      </c>
      <c r="FL459" s="59">
        <f>$CA459-$CA460</f>
        <v/>
      </c>
      <c r="FM459" s="59">
        <f>$CB459-$CB460</f>
        <v/>
      </c>
      <c r="FN459" s="59">
        <f>$CC459-$CC460</f>
        <v/>
      </c>
      <c r="FO459" s="59">
        <f>$CD459-$CD460</f>
        <v/>
      </c>
      <c r="FP459" s="59">
        <f>$CE459-$CE460</f>
        <v/>
      </c>
      <c r="FQ459" s="59">
        <f>$CF459-$CF460</f>
        <v/>
      </c>
      <c r="FR459" s="59">
        <f>$CG459-$CG460</f>
        <v/>
      </c>
      <c r="FS459" s="59">
        <f>$CH459-$CH460</f>
        <v/>
      </c>
      <c r="FT459" s="59">
        <f>$CI459-$CI460</f>
        <v/>
      </c>
      <c r="FU459" s="59">
        <f>$CJ459-$CJ460</f>
        <v/>
      </c>
      <c r="FV459" s="59">
        <f>$CK459-$CK460</f>
        <v/>
      </c>
      <c r="FW459" s="59">
        <f>$CL459-$CL460</f>
        <v/>
      </c>
      <c r="FX459" s="59">
        <f>$CM459-$CM460</f>
        <v/>
      </c>
      <c r="FY459" s="59">
        <f>$CN459-$CN460</f>
        <v/>
      </c>
      <c r="FZ459" s="59">
        <f>$CO459-$CO460</f>
        <v/>
      </c>
      <c r="GA459" s="59">
        <f>$CP459-$CP460</f>
        <v/>
      </c>
      <c r="GB459" s="59">
        <f>$CQ459-$CQ460</f>
        <v/>
      </c>
      <c r="GC459" s="59">
        <f>$CR459-$CR460</f>
        <v/>
      </c>
      <c r="GD459" s="59">
        <f>$CS459-$CS460</f>
        <v/>
      </c>
      <c r="GE459" s="59">
        <f>$CT459-$CT460</f>
        <v/>
      </c>
    </row>
    <row r="460">
      <c r="CU460" s="58">
        <f>IFERROR($B460/$B461-1,"")</f>
        <v/>
      </c>
      <c r="CV460" s="59">
        <f>($F460-$F461)*100</f>
        <v/>
      </c>
      <c r="CW460" s="59">
        <f>($E460-$E461)*100</f>
        <v/>
      </c>
      <c r="CX460" s="58">
        <f>IFERROR($K460/$K461-1,"")</f>
        <v/>
      </c>
      <c r="CY460" s="59">
        <f>($AH460-$AH461)*100</f>
        <v/>
      </c>
      <c r="CZ460" s="59">
        <f>($AI460-$AI461)*100</f>
        <v/>
      </c>
      <c r="DA460" s="59">
        <f>($AJ460-$AJ461)*100</f>
        <v/>
      </c>
      <c r="DB460" s="59">
        <f>($AK460-$AK461)*100</f>
        <v/>
      </c>
      <c r="DC460" s="59">
        <f>($AL460-$AL461)*100</f>
        <v/>
      </c>
      <c r="DD460" s="59">
        <f>($AM460-$AM461)*100</f>
        <v/>
      </c>
      <c r="DE460" s="59">
        <f>($AN460-$AN461)*100</f>
        <v/>
      </c>
      <c r="DF460" s="59">
        <f>($AO460-$AO461)*100</f>
        <v/>
      </c>
      <c r="DG460" s="59">
        <f>($AP460-$AP461)*100</f>
        <v/>
      </c>
      <c r="DH460" s="59">
        <f>($AQ460-$AQ461)*100</f>
        <v/>
      </c>
      <c r="DI460" s="59">
        <f>($AR460-$AR461)*100</f>
        <v/>
      </c>
      <c r="DJ460" s="59">
        <f>($AS460-$AS461)*100</f>
        <v/>
      </c>
      <c r="DK460" s="59">
        <f>($AT460-$AT461)*100</f>
        <v/>
      </c>
      <c r="DL460" s="59">
        <f>($AU460-$AU461)*100</f>
        <v/>
      </c>
      <c r="DM460" s="59">
        <f>($AV460-$AV461)*100</f>
        <v/>
      </c>
      <c r="DN460" s="59">
        <f>($AW460-$AW461)*100</f>
        <v/>
      </c>
      <c r="DO460" s="59">
        <f>($AX460-$AX461)*100</f>
        <v/>
      </c>
      <c r="DP460" s="59">
        <f>($AY460-$AY461)*100</f>
        <v/>
      </c>
      <c r="DQ460" s="59">
        <f>($AZ460-$AZ461)*100</f>
        <v/>
      </c>
      <c r="DR460" s="59">
        <f>($BA460-$BA461)*100</f>
        <v/>
      </c>
      <c r="DS460" s="58">
        <f>IFERROR($N461/$N460-1,"")</f>
        <v/>
      </c>
      <c r="DT460" s="58">
        <f>IFERROR($O461/$O460-1,"")</f>
        <v/>
      </c>
      <c r="DU460" s="58">
        <f>IFERROR($P461/$P460-1,"")</f>
        <v/>
      </c>
      <c r="DV460" s="58">
        <f>IFERROR($Q461/$Q460-1,"")</f>
        <v/>
      </c>
      <c r="DW460" s="58">
        <f>IFERROR($R461/$R460-1,"")</f>
        <v/>
      </c>
      <c r="DX460" s="58">
        <f>IFERROR($S461/$S460-1,"")</f>
        <v/>
      </c>
      <c r="DY460" s="58">
        <f>IFERROR($T461/$T460-1,"")</f>
        <v/>
      </c>
      <c r="DZ460" s="58">
        <f>IFERROR($U461/$U460-1,"")</f>
        <v/>
      </c>
      <c r="EA460" s="58">
        <f>IFERROR($V461/$V460-1,"")</f>
        <v/>
      </c>
      <c r="EB460" s="58">
        <f>IFERROR($W461/$W460-1,"")</f>
        <v/>
      </c>
      <c r="EC460" s="58">
        <f>IFERROR($X461/$X460-1,"")</f>
        <v/>
      </c>
      <c r="ED460" s="58">
        <f>IFERROR($Y461/$Y460-1,"")</f>
        <v/>
      </c>
      <c r="EE460" s="58">
        <f>IFERROR($Z461/$Z460-1,"")</f>
        <v/>
      </c>
      <c r="EF460" s="58">
        <f>IFERROR($AA461/$AA460-1,"")</f>
        <v/>
      </c>
      <c r="EG460" s="58">
        <f>IFERROR($AB461/$AB460-1,"")</f>
        <v/>
      </c>
      <c r="EH460" s="58">
        <f>IFERROR($AC461/$AC460-1,"")</f>
        <v/>
      </c>
      <c r="EI460" s="58">
        <f>IFERROR($AD461/$AD460-1,"")</f>
        <v/>
      </c>
      <c r="EJ460" s="58">
        <f>IFERROR($AE461/$AE460-1,"")</f>
        <v/>
      </c>
      <c r="EK460" s="58">
        <f>IFERROR($AF461/$AF460-1,"")</f>
        <v/>
      </c>
      <c r="EL460" s="58">
        <f>IFERROR($AG461/$AG460-1,"")</f>
        <v/>
      </c>
      <c r="EM460" s="58">
        <f>IFERROR($BB460/$BB461-1,"")</f>
        <v/>
      </c>
      <c r="EN460" s="58">
        <f>IFERROR($BC460/$BC461-1,"")</f>
        <v/>
      </c>
      <c r="EO460" s="58">
        <f>IFERROR($BD460/$BD461-1,"")</f>
        <v/>
      </c>
      <c r="EP460" s="58">
        <f>IFERROR($BE460/$BE461-1,"")</f>
        <v/>
      </c>
      <c r="EQ460" s="58">
        <f>IFERROR($BF460/$BF461-1,"")</f>
        <v/>
      </c>
      <c r="ER460" s="58">
        <f>IFERROR($BG460/$BG461-1,"")</f>
        <v/>
      </c>
      <c r="ES460" s="58">
        <f>IFERROR($BH460/$BH461-1,"")</f>
        <v/>
      </c>
      <c r="ET460" s="58">
        <f>IFERROR($BI460/$BI461-1,"")</f>
        <v/>
      </c>
      <c r="EU460" s="58">
        <f>IFERROR($BJ460/$BJ461-1,"")</f>
        <v/>
      </c>
      <c r="EV460" s="58">
        <f>IFERROR($BK460/$BK461-1,"")</f>
        <v/>
      </c>
      <c r="EW460" s="58">
        <f>IFERROR($BL460/$BL461-1,"")</f>
        <v/>
      </c>
      <c r="EX460" s="58">
        <f>IFERROR($BM460/$BM461-1,"")</f>
        <v/>
      </c>
      <c r="EY460" s="58">
        <f>IFERROR($BN460/$BN461-1,"")</f>
        <v/>
      </c>
      <c r="EZ460" s="58">
        <f>IFERROR($BO460/$BO461-1,"")</f>
        <v/>
      </c>
      <c r="FA460" s="58">
        <f>IFERROR($BP460/$BP461-1,"")</f>
        <v/>
      </c>
      <c r="FB460" s="58">
        <f>IFERROR($BQ460/$BQ461-1,"")</f>
        <v/>
      </c>
      <c r="FC460" s="58">
        <f>IFERROR($BR460/$BR461-1,"")</f>
        <v/>
      </c>
      <c r="FD460" s="58">
        <f>IFERROR($BS460/$BS461-1,"")</f>
        <v/>
      </c>
      <c r="FE460" s="58">
        <f>IFERROR($BT460/$BT461-1,"")</f>
        <v/>
      </c>
      <c r="FF460" s="58">
        <f>IFERROR($BU460/$BU461-1,"")</f>
        <v/>
      </c>
      <c r="FG460" s="58">
        <f>IFERROR($BV460/$BV461-1,"")</f>
        <v/>
      </c>
      <c r="FH460" s="58">
        <f>IFERROR($BW460/$BW461-1,"")</f>
        <v/>
      </c>
      <c r="FI460" s="58">
        <f>IFERROR($BX460/$BX461-1,"")</f>
        <v/>
      </c>
      <c r="FJ460" s="59">
        <f>$BY460-$BY461</f>
        <v/>
      </c>
      <c r="FK460" s="59">
        <f>$BZ460-$BZ461</f>
        <v/>
      </c>
      <c r="FL460" s="59">
        <f>$CA460-$CA461</f>
        <v/>
      </c>
      <c r="FM460" s="59">
        <f>$CB460-$CB461</f>
        <v/>
      </c>
      <c r="FN460" s="59">
        <f>$CC460-$CC461</f>
        <v/>
      </c>
      <c r="FO460" s="59">
        <f>$CD460-$CD461</f>
        <v/>
      </c>
      <c r="FP460" s="59">
        <f>$CE460-$CE461</f>
        <v/>
      </c>
      <c r="FQ460" s="59">
        <f>$CF460-$CF461</f>
        <v/>
      </c>
      <c r="FR460" s="59">
        <f>$CG460-$CG461</f>
        <v/>
      </c>
      <c r="FS460" s="59">
        <f>$CH460-$CH461</f>
        <v/>
      </c>
      <c r="FT460" s="59">
        <f>$CI460-$CI461</f>
        <v/>
      </c>
      <c r="FU460" s="59">
        <f>$CJ460-$CJ461</f>
        <v/>
      </c>
      <c r="FV460" s="59">
        <f>$CK460-$CK461</f>
        <v/>
      </c>
      <c r="FW460" s="59">
        <f>$CL460-$CL461</f>
        <v/>
      </c>
      <c r="FX460" s="59">
        <f>$CM460-$CM461</f>
        <v/>
      </c>
      <c r="FY460" s="59">
        <f>$CN460-$CN461</f>
        <v/>
      </c>
      <c r="FZ460" s="59">
        <f>$CO460-$CO461</f>
        <v/>
      </c>
      <c r="GA460" s="59">
        <f>$CP460-$CP461</f>
        <v/>
      </c>
      <c r="GB460" s="59">
        <f>$CQ460-$CQ461</f>
        <v/>
      </c>
      <c r="GC460" s="59">
        <f>$CR460-$CR461</f>
        <v/>
      </c>
      <c r="GD460" s="59">
        <f>$CS460-$CS461</f>
        <v/>
      </c>
      <c r="GE460" s="59">
        <f>$CT460-$CT461</f>
        <v/>
      </c>
    </row>
    <row r="461">
      <c r="CU461" s="58">
        <f>IFERROR($B461/$B462-1,"")</f>
        <v/>
      </c>
      <c r="CV461" s="59">
        <f>($F461-$F462)*100</f>
        <v/>
      </c>
      <c r="CW461" s="59">
        <f>($E461-$E462)*100</f>
        <v/>
      </c>
      <c r="CX461" s="58">
        <f>IFERROR($K461/$K462-1,"")</f>
        <v/>
      </c>
      <c r="CY461" s="59">
        <f>($AH461-$AH462)*100</f>
        <v/>
      </c>
      <c r="CZ461" s="59">
        <f>($AI461-$AI462)*100</f>
        <v/>
      </c>
      <c r="DA461" s="59">
        <f>($AJ461-$AJ462)*100</f>
        <v/>
      </c>
      <c r="DB461" s="59">
        <f>($AK461-$AK462)*100</f>
        <v/>
      </c>
      <c r="DC461" s="59">
        <f>($AL461-$AL462)*100</f>
        <v/>
      </c>
      <c r="DD461" s="59">
        <f>($AM461-$AM462)*100</f>
        <v/>
      </c>
      <c r="DE461" s="59">
        <f>($AN461-$AN462)*100</f>
        <v/>
      </c>
      <c r="DF461" s="59">
        <f>($AO461-$AO462)*100</f>
        <v/>
      </c>
      <c r="DG461" s="59">
        <f>($AP461-$AP462)*100</f>
        <v/>
      </c>
      <c r="DH461" s="59">
        <f>($AQ461-$AQ462)*100</f>
        <v/>
      </c>
      <c r="DI461" s="59">
        <f>($AR461-$AR462)*100</f>
        <v/>
      </c>
      <c r="DJ461" s="59">
        <f>($AS461-$AS462)*100</f>
        <v/>
      </c>
      <c r="DK461" s="59">
        <f>($AT461-$AT462)*100</f>
        <v/>
      </c>
      <c r="DL461" s="59">
        <f>($AU461-$AU462)*100</f>
        <v/>
      </c>
      <c r="DM461" s="59">
        <f>($AV461-$AV462)*100</f>
        <v/>
      </c>
      <c r="DN461" s="59">
        <f>($AW461-$AW462)*100</f>
        <v/>
      </c>
      <c r="DO461" s="59">
        <f>($AX461-$AX462)*100</f>
        <v/>
      </c>
      <c r="DP461" s="59">
        <f>($AY461-$AY462)*100</f>
        <v/>
      </c>
      <c r="DQ461" s="59">
        <f>($AZ461-$AZ462)*100</f>
        <v/>
      </c>
      <c r="DR461" s="59">
        <f>($BA461-$BA462)*100</f>
        <v/>
      </c>
      <c r="DS461" s="58">
        <f>IFERROR($N462/$N461-1,"")</f>
        <v/>
      </c>
      <c r="DT461" s="58">
        <f>IFERROR($O462/$O461-1,"")</f>
        <v/>
      </c>
      <c r="DU461" s="58">
        <f>IFERROR($P462/$P461-1,"")</f>
        <v/>
      </c>
      <c r="DV461" s="58">
        <f>IFERROR($Q462/$Q461-1,"")</f>
        <v/>
      </c>
      <c r="DW461" s="58">
        <f>IFERROR($R462/$R461-1,"")</f>
        <v/>
      </c>
      <c r="DX461" s="58">
        <f>IFERROR($S462/$S461-1,"")</f>
        <v/>
      </c>
      <c r="DY461" s="58">
        <f>IFERROR($T462/$T461-1,"")</f>
        <v/>
      </c>
      <c r="DZ461" s="58">
        <f>IFERROR($U462/$U461-1,"")</f>
        <v/>
      </c>
      <c r="EA461" s="58">
        <f>IFERROR($V462/$V461-1,"")</f>
        <v/>
      </c>
      <c r="EB461" s="58">
        <f>IFERROR($W462/$W461-1,"")</f>
        <v/>
      </c>
      <c r="EC461" s="58">
        <f>IFERROR($X462/$X461-1,"")</f>
        <v/>
      </c>
      <c r="ED461" s="58">
        <f>IFERROR($Y462/$Y461-1,"")</f>
        <v/>
      </c>
      <c r="EE461" s="58">
        <f>IFERROR($Z462/$Z461-1,"")</f>
        <v/>
      </c>
      <c r="EF461" s="58">
        <f>IFERROR($AA462/$AA461-1,"")</f>
        <v/>
      </c>
      <c r="EG461" s="58">
        <f>IFERROR($AB462/$AB461-1,"")</f>
        <v/>
      </c>
      <c r="EH461" s="58">
        <f>IFERROR($AC462/$AC461-1,"")</f>
        <v/>
      </c>
      <c r="EI461" s="58">
        <f>IFERROR($AD462/$AD461-1,"")</f>
        <v/>
      </c>
      <c r="EJ461" s="58">
        <f>IFERROR($AE462/$AE461-1,"")</f>
        <v/>
      </c>
      <c r="EK461" s="58">
        <f>IFERROR($AF462/$AF461-1,"")</f>
        <v/>
      </c>
      <c r="EL461" s="58">
        <f>IFERROR($AG462/$AG461-1,"")</f>
        <v/>
      </c>
      <c r="EM461" s="58">
        <f>IFERROR($BB461/$BB462-1,"")</f>
        <v/>
      </c>
      <c r="EN461" s="58">
        <f>IFERROR($BC461/$BC462-1,"")</f>
        <v/>
      </c>
      <c r="EO461" s="58">
        <f>IFERROR($BD461/$BD462-1,"")</f>
        <v/>
      </c>
      <c r="EP461" s="58">
        <f>IFERROR($BE461/$BE462-1,"")</f>
        <v/>
      </c>
      <c r="EQ461" s="58">
        <f>IFERROR($BF461/$BF462-1,"")</f>
        <v/>
      </c>
      <c r="ER461" s="58">
        <f>IFERROR($BG461/$BG462-1,"")</f>
        <v/>
      </c>
      <c r="ES461" s="58">
        <f>IFERROR($BH461/$BH462-1,"")</f>
        <v/>
      </c>
      <c r="ET461" s="58">
        <f>IFERROR($BI461/$BI462-1,"")</f>
        <v/>
      </c>
      <c r="EU461" s="58">
        <f>IFERROR($BJ461/$BJ462-1,"")</f>
        <v/>
      </c>
      <c r="EV461" s="58">
        <f>IFERROR($BK461/$BK462-1,"")</f>
        <v/>
      </c>
      <c r="EW461" s="58">
        <f>IFERROR($BL461/$BL462-1,"")</f>
        <v/>
      </c>
      <c r="EX461" s="58">
        <f>IFERROR($BM461/$BM462-1,"")</f>
        <v/>
      </c>
      <c r="EY461" s="58">
        <f>IFERROR($BN461/$BN462-1,"")</f>
        <v/>
      </c>
      <c r="EZ461" s="58">
        <f>IFERROR($BO461/$BO462-1,"")</f>
        <v/>
      </c>
      <c r="FA461" s="58">
        <f>IFERROR($BP461/$BP462-1,"")</f>
        <v/>
      </c>
      <c r="FB461" s="58">
        <f>IFERROR($BQ461/$BQ462-1,"")</f>
        <v/>
      </c>
      <c r="FC461" s="58">
        <f>IFERROR($BR461/$BR462-1,"")</f>
        <v/>
      </c>
      <c r="FD461" s="58">
        <f>IFERROR($BS461/$BS462-1,"")</f>
        <v/>
      </c>
      <c r="FE461" s="58">
        <f>IFERROR($BT461/$BT462-1,"")</f>
        <v/>
      </c>
      <c r="FF461" s="58">
        <f>IFERROR($BU461/$BU462-1,"")</f>
        <v/>
      </c>
      <c r="FG461" s="58">
        <f>IFERROR($BV461/$BV462-1,"")</f>
        <v/>
      </c>
      <c r="FH461" s="58">
        <f>IFERROR($BW461/$BW462-1,"")</f>
        <v/>
      </c>
      <c r="FI461" s="58">
        <f>IFERROR($BX461/$BX462-1,"")</f>
        <v/>
      </c>
      <c r="FJ461" s="59">
        <f>$BY461-$BY462</f>
        <v/>
      </c>
      <c r="FK461" s="59">
        <f>$BZ461-$BZ462</f>
        <v/>
      </c>
      <c r="FL461" s="59">
        <f>$CA461-$CA462</f>
        <v/>
      </c>
      <c r="FM461" s="59">
        <f>$CB461-$CB462</f>
        <v/>
      </c>
      <c r="FN461" s="59">
        <f>$CC461-$CC462</f>
        <v/>
      </c>
      <c r="FO461" s="59">
        <f>$CD461-$CD462</f>
        <v/>
      </c>
      <c r="FP461" s="59">
        <f>$CE461-$CE462</f>
        <v/>
      </c>
      <c r="FQ461" s="59">
        <f>$CF461-$CF462</f>
        <v/>
      </c>
      <c r="FR461" s="59">
        <f>$CG461-$CG462</f>
        <v/>
      </c>
      <c r="FS461" s="59">
        <f>$CH461-$CH462</f>
        <v/>
      </c>
      <c r="FT461" s="59">
        <f>$CI461-$CI462</f>
        <v/>
      </c>
      <c r="FU461" s="59">
        <f>$CJ461-$CJ462</f>
        <v/>
      </c>
      <c r="FV461" s="59">
        <f>$CK461-$CK462</f>
        <v/>
      </c>
      <c r="FW461" s="59">
        <f>$CL461-$CL462</f>
        <v/>
      </c>
      <c r="FX461" s="59">
        <f>$CM461-$CM462</f>
        <v/>
      </c>
      <c r="FY461" s="59">
        <f>$CN461-$CN462</f>
        <v/>
      </c>
      <c r="FZ461" s="59">
        <f>$CO461-$CO462</f>
        <v/>
      </c>
      <c r="GA461" s="59">
        <f>$CP461-$CP462</f>
        <v/>
      </c>
      <c r="GB461" s="59">
        <f>$CQ461-$CQ462</f>
        <v/>
      </c>
      <c r="GC461" s="59">
        <f>$CR461-$CR462</f>
        <v/>
      </c>
      <c r="GD461" s="59">
        <f>$CS461-$CS462</f>
        <v/>
      </c>
      <c r="GE461" s="59">
        <f>$CT461-$CT462</f>
        <v/>
      </c>
    </row>
    <row r="462">
      <c r="CU462" s="58">
        <f>IFERROR($B462/$B463-1,"")</f>
        <v/>
      </c>
      <c r="CV462" s="59">
        <f>($F462-$F463)*100</f>
        <v/>
      </c>
      <c r="CW462" s="59">
        <f>($E462-$E463)*100</f>
        <v/>
      </c>
      <c r="CX462" s="58">
        <f>IFERROR($K462/$K463-1,"")</f>
        <v/>
      </c>
      <c r="CY462" s="59">
        <f>($AH462-$AH463)*100</f>
        <v/>
      </c>
      <c r="CZ462" s="59">
        <f>($AI462-$AI463)*100</f>
        <v/>
      </c>
      <c r="DA462" s="59">
        <f>($AJ462-$AJ463)*100</f>
        <v/>
      </c>
      <c r="DB462" s="59">
        <f>($AK462-$AK463)*100</f>
        <v/>
      </c>
      <c r="DC462" s="59">
        <f>($AL462-$AL463)*100</f>
        <v/>
      </c>
      <c r="DD462" s="59">
        <f>($AM462-$AM463)*100</f>
        <v/>
      </c>
      <c r="DE462" s="59">
        <f>($AN462-$AN463)*100</f>
        <v/>
      </c>
      <c r="DF462" s="59">
        <f>($AO462-$AO463)*100</f>
        <v/>
      </c>
      <c r="DG462" s="59">
        <f>($AP462-$AP463)*100</f>
        <v/>
      </c>
      <c r="DH462" s="59">
        <f>($AQ462-$AQ463)*100</f>
        <v/>
      </c>
      <c r="DI462" s="59">
        <f>($AR462-$AR463)*100</f>
        <v/>
      </c>
      <c r="DJ462" s="59">
        <f>($AS462-$AS463)*100</f>
        <v/>
      </c>
      <c r="DK462" s="59">
        <f>($AT462-$AT463)*100</f>
        <v/>
      </c>
      <c r="DL462" s="59">
        <f>($AU462-$AU463)*100</f>
        <v/>
      </c>
      <c r="DM462" s="59">
        <f>($AV462-$AV463)*100</f>
        <v/>
      </c>
      <c r="DN462" s="59">
        <f>($AW462-$AW463)*100</f>
        <v/>
      </c>
      <c r="DO462" s="59">
        <f>($AX462-$AX463)*100</f>
        <v/>
      </c>
      <c r="DP462" s="59">
        <f>($AY462-$AY463)*100</f>
        <v/>
      </c>
      <c r="DQ462" s="59">
        <f>($AZ462-$AZ463)*100</f>
        <v/>
      </c>
      <c r="DR462" s="59">
        <f>($BA462-$BA463)*100</f>
        <v/>
      </c>
      <c r="DS462" s="58">
        <f>IFERROR($N463/$N462-1,"")</f>
        <v/>
      </c>
      <c r="DT462" s="58">
        <f>IFERROR($O463/$O462-1,"")</f>
        <v/>
      </c>
      <c r="DU462" s="58">
        <f>IFERROR($P463/$P462-1,"")</f>
        <v/>
      </c>
      <c r="DV462" s="58">
        <f>IFERROR($Q463/$Q462-1,"")</f>
        <v/>
      </c>
      <c r="DW462" s="58">
        <f>IFERROR($R463/$R462-1,"")</f>
        <v/>
      </c>
      <c r="DX462" s="58">
        <f>IFERROR($S463/$S462-1,"")</f>
        <v/>
      </c>
      <c r="DY462" s="58">
        <f>IFERROR($T463/$T462-1,"")</f>
        <v/>
      </c>
      <c r="DZ462" s="58">
        <f>IFERROR($U463/$U462-1,"")</f>
        <v/>
      </c>
      <c r="EA462" s="58">
        <f>IFERROR($V463/$V462-1,"")</f>
        <v/>
      </c>
      <c r="EB462" s="58">
        <f>IFERROR($W463/$W462-1,"")</f>
        <v/>
      </c>
      <c r="EC462" s="58">
        <f>IFERROR($X463/$X462-1,"")</f>
        <v/>
      </c>
      <c r="ED462" s="58">
        <f>IFERROR($Y463/$Y462-1,"")</f>
        <v/>
      </c>
      <c r="EE462" s="58">
        <f>IFERROR($Z463/$Z462-1,"")</f>
        <v/>
      </c>
      <c r="EF462" s="58">
        <f>IFERROR($AA463/$AA462-1,"")</f>
        <v/>
      </c>
      <c r="EG462" s="58">
        <f>IFERROR($AB463/$AB462-1,"")</f>
        <v/>
      </c>
      <c r="EH462" s="58">
        <f>IFERROR($AC463/$AC462-1,"")</f>
        <v/>
      </c>
      <c r="EI462" s="58">
        <f>IFERROR($AD463/$AD462-1,"")</f>
        <v/>
      </c>
      <c r="EJ462" s="58">
        <f>IFERROR($AE463/$AE462-1,"")</f>
        <v/>
      </c>
      <c r="EK462" s="58">
        <f>IFERROR($AF463/$AF462-1,"")</f>
        <v/>
      </c>
      <c r="EL462" s="58">
        <f>IFERROR($AG463/$AG462-1,"")</f>
        <v/>
      </c>
      <c r="EM462" s="58">
        <f>IFERROR($BB462/$BB463-1,"")</f>
        <v/>
      </c>
      <c r="EN462" s="58">
        <f>IFERROR($BC462/$BC463-1,"")</f>
        <v/>
      </c>
      <c r="EO462" s="58">
        <f>IFERROR($BD462/$BD463-1,"")</f>
        <v/>
      </c>
      <c r="EP462" s="58">
        <f>IFERROR($BE462/$BE463-1,"")</f>
        <v/>
      </c>
      <c r="EQ462" s="58">
        <f>IFERROR($BF462/$BF463-1,"")</f>
        <v/>
      </c>
      <c r="ER462" s="58">
        <f>IFERROR($BG462/$BG463-1,"")</f>
        <v/>
      </c>
      <c r="ES462" s="58">
        <f>IFERROR($BH462/$BH463-1,"")</f>
        <v/>
      </c>
      <c r="ET462" s="58">
        <f>IFERROR($BI462/$BI463-1,"")</f>
        <v/>
      </c>
      <c r="EU462" s="58">
        <f>IFERROR($BJ462/$BJ463-1,"")</f>
        <v/>
      </c>
      <c r="EV462" s="58">
        <f>IFERROR($BK462/$BK463-1,"")</f>
        <v/>
      </c>
      <c r="EW462" s="58">
        <f>IFERROR($BL462/$BL463-1,"")</f>
        <v/>
      </c>
      <c r="EX462" s="58">
        <f>IFERROR($BM462/$BM463-1,"")</f>
        <v/>
      </c>
      <c r="EY462" s="58">
        <f>IFERROR($BN462/$BN463-1,"")</f>
        <v/>
      </c>
      <c r="EZ462" s="58">
        <f>IFERROR($BO462/$BO463-1,"")</f>
        <v/>
      </c>
      <c r="FA462" s="58">
        <f>IFERROR($BP462/$BP463-1,"")</f>
        <v/>
      </c>
      <c r="FB462" s="58">
        <f>IFERROR($BQ462/$BQ463-1,"")</f>
        <v/>
      </c>
      <c r="FC462" s="58">
        <f>IFERROR($BR462/$BR463-1,"")</f>
        <v/>
      </c>
      <c r="FD462" s="58">
        <f>IFERROR($BS462/$BS463-1,"")</f>
        <v/>
      </c>
      <c r="FE462" s="58">
        <f>IFERROR($BT462/$BT463-1,"")</f>
        <v/>
      </c>
      <c r="FF462" s="58">
        <f>IFERROR($BU462/$BU463-1,"")</f>
        <v/>
      </c>
      <c r="FG462" s="58">
        <f>IFERROR($BV462/$BV463-1,"")</f>
        <v/>
      </c>
      <c r="FH462" s="58">
        <f>IFERROR($BW462/$BW463-1,"")</f>
        <v/>
      </c>
      <c r="FI462" s="58">
        <f>IFERROR($BX462/$BX463-1,"")</f>
        <v/>
      </c>
      <c r="FJ462" s="59">
        <f>$BY462-$BY463</f>
        <v/>
      </c>
      <c r="FK462" s="59">
        <f>$BZ462-$BZ463</f>
        <v/>
      </c>
      <c r="FL462" s="59">
        <f>$CA462-$CA463</f>
        <v/>
      </c>
      <c r="FM462" s="59">
        <f>$CB462-$CB463</f>
        <v/>
      </c>
      <c r="FN462" s="59">
        <f>$CC462-$CC463</f>
        <v/>
      </c>
      <c r="FO462" s="59">
        <f>$CD462-$CD463</f>
        <v/>
      </c>
      <c r="FP462" s="59">
        <f>$CE462-$CE463</f>
        <v/>
      </c>
      <c r="FQ462" s="59">
        <f>$CF462-$CF463</f>
        <v/>
      </c>
      <c r="FR462" s="59">
        <f>$CG462-$CG463</f>
        <v/>
      </c>
      <c r="FS462" s="59">
        <f>$CH462-$CH463</f>
        <v/>
      </c>
      <c r="FT462" s="59">
        <f>$CI462-$CI463</f>
        <v/>
      </c>
      <c r="FU462" s="59">
        <f>$CJ462-$CJ463</f>
        <v/>
      </c>
      <c r="FV462" s="59">
        <f>$CK462-$CK463</f>
        <v/>
      </c>
      <c r="FW462" s="59">
        <f>$CL462-$CL463</f>
        <v/>
      </c>
      <c r="FX462" s="59">
        <f>$CM462-$CM463</f>
        <v/>
      </c>
      <c r="FY462" s="59">
        <f>$CN462-$CN463</f>
        <v/>
      </c>
      <c r="FZ462" s="59">
        <f>$CO462-$CO463</f>
        <v/>
      </c>
      <c r="GA462" s="59">
        <f>$CP462-$CP463</f>
        <v/>
      </c>
      <c r="GB462" s="59">
        <f>$CQ462-$CQ463</f>
        <v/>
      </c>
      <c r="GC462" s="59">
        <f>$CR462-$CR463</f>
        <v/>
      </c>
      <c r="GD462" s="59">
        <f>$CS462-$CS463</f>
        <v/>
      </c>
      <c r="GE462" s="59">
        <f>$CT462-$CT463</f>
        <v/>
      </c>
    </row>
    <row r="463">
      <c r="CU463" s="58">
        <f>IFERROR($B463/$B464-1,"")</f>
        <v/>
      </c>
      <c r="CV463" s="59">
        <f>($F463-$F464)*100</f>
        <v/>
      </c>
      <c r="CW463" s="59">
        <f>($E463-$E464)*100</f>
        <v/>
      </c>
      <c r="CX463" s="58">
        <f>IFERROR($K463/$K464-1,"")</f>
        <v/>
      </c>
      <c r="CY463" s="59">
        <f>($AH463-$AH464)*100</f>
        <v/>
      </c>
      <c r="CZ463" s="59">
        <f>($AI463-$AI464)*100</f>
        <v/>
      </c>
      <c r="DA463" s="59">
        <f>($AJ463-$AJ464)*100</f>
        <v/>
      </c>
      <c r="DB463" s="59">
        <f>($AK463-$AK464)*100</f>
        <v/>
      </c>
      <c r="DC463" s="59">
        <f>($AL463-$AL464)*100</f>
        <v/>
      </c>
      <c r="DD463" s="59">
        <f>($AM463-$AM464)*100</f>
        <v/>
      </c>
      <c r="DE463" s="59">
        <f>($AN463-$AN464)*100</f>
        <v/>
      </c>
      <c r="DF463" s="59">
        <f>($AO463-$AO464)*100</f>
        <v/>
      </c>
      <c r="DG463" s="59">
        <f>($AP463-$AP464)*100</f>
        <v/>
      </c>
      <c r="DH463" s="59">
        <f>($AQ463-$AQ464)*100</f>
        <v/>
      </c>
      <c r="DI463" s="59">
        <f>($AR463-$AR464)*100</f>
        <v/>
      </c>
      <c r="DJ463" s="59">
        <f>($AS463-$AS464)*100</f>
        <v/>
      </c>
      <c r="DK463" s="59">
        <f>($AT463-$AT464)*100</f>
        <v/>
      </c>
      <c r="DL463" s="59">
        <f>($AU463-$AU464)*100</f>
        <v/>
      </c>
      <c r="DM463" s="59">
        <f>($AV463-$AV464)*100</f>
        <v/>
      </c>
      <c r="DN463" s="59">
        <f>($AW463-$AW464)*100</f>
        <v/>
      </c>
      <c r="DO463" s="59">
        <f>($AX463-$AX464)*100</f>
        <v/>
      </c>
      <c r="DP463" s="59">
        <f>($AY463-$AY464)*100</f>
        <v/>
      </c>
      <c r="DQ463" s="59">
        <f>($AZ463-$AZ464)*100</f>
        <v/>
      </c>
      <c r="DR463" s="59">
        <f>($BA463-$BA464)*100</f>
        <v/>
      </c>
      <c r="DS463" s="58">
        <f>IFERROR($N464/$N463-1,"")</f>
        <v/>
      </c>
      <c r="DT463" s="58">
        <f>IFERROR($O464/$O463-1,"")</f>
        <v/>
      </c>
      <c r="DU463" s="58">
        <f>IFERROR($P464/$P463-1,"")</f>
        <v/>
      </c>
      <c r="DV463" s="58">
        <f>IFERROR($Q464/$Q463-1,"")</f>
        <v/>
      </c>
      <c r="DW463" s="58">
        <f>IFERROR($R464/$R463-1,"")</f>
        <v/>
      </c>
      <c r="DX463" s="58">
        <f>IFERROR($S464/$S463-1,"")</f>
        <v/>
      </c>
      <c r="DY463" s="58">
        <f>IFERROR($T464/$T463-1,"")</f>
        <v/>
      </c>
      <c r="DZ463" s="58">
        <f>IFERROR($U464/$U463-1,"")</f>
        <v/>
      </c>
      <c r="EA463" s="58">
        <f>IFERROR($V464/$V463-1,"")</f>
        <v/>
      </c>
      <c r="EB463" s="58">
        <f>IFERROR($W464/$W463-1,"")</f>
        <v/>
      </c>
      <c r="EC463" s="58">
        <f>IFERROR($X464/$X463-1,"")</f>
        <v/>
      </c>
      <c r="ED463" s="58">
        <f>IFERROR($Y464/$Y463-1,"")</f>
        <v/>
      </c>
      <c r="EE463" s="58">
        <f>IFERROR($Z464/$Z463-1,"")</f>
        <v/>
      </c>
      <c r="EF463" s="58">
        <f>IFERROR($AA464/$AA463-1,"")</f>
        <v/>
      </c>
      <c r="EG463" s="58">
        <f>IFERROR($AB464/$AB463-1,"")</f>
        <v/>
      </c>
      <c r="EH463" s="58">
        <f>IFERROR($AC464/$AC463-1,"")</f>
        <v/>
      </c>
      <c r="EI463" s="58">
        <f>IFERROR($AD464/$AD463-1,"")</f>
        <v/>
      </c>
      <c r="EJ463" s="58">
        <f>IFERROR($AE464/$AE463-1,"")</f>
        <v/>
      </c>
      <c r="EK463" s="58">
        <f>IFERROR($AF464/$AF463-1,"")</f>
        <v/>
      </c>
      <c r="EL463" s="58">
        <f>IFERROR($AG464/$AG463-1,"")</f>
        <v/>
      </c>
      <c r="EM463" s="58">
        <f>IFERROR($BB463/$BB464-1,"")</f>
        <v/>
      </c>
      <c r="EN463" s="58">
        <f>IFERROR($BC463/$BC464-1,"")</f>
        <v/>
      </c>
      <c r="EO463" s="58">
        <f>IFERROR($BD463/$BD464-1,"")</f>
        <v/>
      </c>
      <c r="EP463" s="58">
        <f>IFERROR($BE463/$BE464-1,"")</f>
        <v/>
      </c>
      <c r="EQ463" s="58">
        <f>IFERROR($BF463/$BF464-1,"")</f>
        <v/>
      </c>
      <c r="ER463" s="58">
        <f>IFERROR($BG463/$BG464-1,"")</f>
        <v/>
      </c>
      <c r="ES463" s="58">
        <f>IFERROR($BH463/$BH464-1,"")</f>
        <v/>
      </c>
      <c r="ET463" s="58">
        <f>IFERROR($BI463/$BI464-1,"")</f>
        <v/>
      </c>
      <c r="EU463" s="58">
        <f>IFERROR($BJ463/$BJ464-1,"")</f>
        <v/>
      </c>
      <c r="EV463" s="58">
        <f>IFERROR($BK463/$BK464-1,"")</f>
        <v/>
      </c>
      <c r="EW463" s="58">
        <f>IFERROR($BL463/$BL464-1,"")</f>
        <v/>
      </c>
      <c r="EX463" s="58">
        <f>IFERROR($BM463/$BM464-1,"")</f>
        <v/>
      </c>
      <c r="EY463" s="58">
        <f>IFERROR($BN463/$BN464-1,"")</f>
        <v/>
      </c>
      <c r="EZ463" s="58">
        <f>IFERROR($BO463/$BO464-1,"")</f>
        <v/>
      </c>
      <c r="FA463" s="58">
        <f>IFERROR($BP463/$BP464-1,"")</f>
        <v/>
      </c>
      <c r="FB463" s="58">
        <f>IFERROR($BQ463/$BQ464-1,"")</f>
        <v/>
      </c>
      <c r="FC463" s="58">
        <f>IFERROR($BR463/$BR464-1,"")</f>
        <v/>
      </c>
      <c r="FD463" s="58">
        <f>IFERROR($BS463/$BS464-1,"")</f>
        <v/>
      </c>
      <c r="FE463" s="58">
        <f>IFERROR($BT463/$BT464-1,"")</f>
        <v/>
      </c>
      <c r="FF463" s="58">
        <f>IFERROR($BU463/$BU464-1,"")</f>
        <v/>
      </c>
      <c r="FG463" s="58">
        <f>IFERROR($BV463/$BV464-1,"")</f>
        <v/>
      </c>
      <c r="FH463" s="58">
        <f>IFERROR($BW463/$BW464-1,"")</f>
        <v/>
      </c>
      <c r="FI463" s="58">
        <f>IFERROR($BX463/$BX464-1,"")</f>
        <v/>
      </c>
      <c r="FJ463" s="59">
        <f>$BY463-$BY464</f>
        <v/>
      </c>
      <c r="FK463" s="59">
        <f>$BZ463-$BZ464</f>
        <v/>
      </c>
      <c r="FL463" s="59">
        <f>$CA463-$CA464</f>
        <v/>
      </c>
      <c r="FM463" s="59">
        <f>$CB463-$CB464</f>
        <v/>
      </c>
      <c r="FN463" s="59">
        <f>$CC463-$CC464</f>
        <v/>
      </c>
      <c r="FO463" s="59">
        <f>$CD463-$CD464</f>
        <v/>
      </c>
      <c r="FP463" s="59">
        <f>$CE463-$CE464</f>
        <v/>
      </c>
      <c r="FQ463" s="59">
        <f>$CF463-$CF464</f>
        <v/>
      </c>
      <c r="FR463" s="59">
        <f>$CG463-$CG464</f>
        <v/>
      </c>
      <c r="FS463" s="59">
        <f>$CH463-$CH464</f>
        <v/>
      </c>
      <c r="FT463" s="59">
        <f>$CI463-$CI464</f>
        <v/>
      </c>
      <c r="FU463" s="59">
        <f>$CJ463-$CJ464</f>
        <v/>
      </c>
      <c r="FV463" s="59">
        <f>$CK463-$CK464</f>
        <v/>
      </c>
      <c r="FW463" s="59">
        <f>$CL463-$CL464</f>
        <v/>
      </c>
      <c r="FX463" s="59">
        <f>$CM463-$CM464</f>
        <v/>
      </c>
      <c r="FY463" s="59">
        <f>$CN463-$CN464</f>
        <v/>
      </c>
      <c r="FZ463" s="59">
        <f>$CO463-$CO464</f>
        <v/>
      </c>
      <c r="GA463" s="59">
        <f>$CP463-$CP464</f>
        <v/>
      </c>
      <c r="GB463" s="59">
        <f>$CQ463-$CQ464</f>
        <v/>
      </c>
      <c r="GC463" s="59">
        <f>$CR463-$CR464</f>
        <v/>
      </c>
      <c r="GD463" s="59">
        <f>$CS463-$CS464</f>
        <v/>
      </c>
      <c r="GE463" s="59">
        <f>$CT463-$CT464</f>
        <v/>
      </c>
    </row>
    <row r="464">
      <c r="CU464" s="58">
        <f>IFERROR($B464/$B465-1,"")</f>
        <v/>
      </c>
      <c r="CV464" s="59">
        <f>($F464-$F465)*100</f>
        <v/>
      </c>
      <c r="CW464" s="59">
        <f>($E464-$E465)*100</f>
        <v/>
      </c>
      <c r="CX464" s="58">
        <f>IFERROR($K464/$K465-1,"")</f>
        <v/>
      </c>
      <c r="CY464" s="59">
        <f>($AH464-$AH465)*100</f>
        <v/>
      </c>
      <c r="CZ464" s="59">
        <f>($AI464-$AI465)*100</f>
        <v/>
      </c>
      <c r="DA464" s="59">
        <f>($AJ464-$AJ465)*100</f>
        <v/>
      </c>
      <c r="DB464" s="59">
        <f>($AK464-$AK465)*100</f>
        <v/>
      </c>
      <c r="DC464" s="59">
        <f>($AL464-$AL465)*100</f>
        <v/>
      </c>
      <c r="DD464" s="59">
        <f>($AM464-$AM465)*100</f>
        <v/>
      </c>
      <c r="DE464" s="59">
        <f>($AN464-$AN465)*100</f>
        <v/>
      </c>
      <c r="DF464" s="59">
        <f>($AO464-$AO465)*100</f>
        <v/>
      </c>
      <c r="DG464" s="59">
        <f>($AP464-$AP465)*100</f>
        <v/>
      </c>
      <c r="DH464" s="59">
        <f>($AQ464-$AQ465)*100</f>
        <v/>
      </c>
      <c r="DI464" s="59">
        <f>($AR464-$AR465)*100</f>
        <v/>
      </c>
      <c r="DJ464" s="59">
        <f>($AS464-$AS465)*100</f>
        <v/>
      </c>
      <c r="DK464" s="59">
        <f>($AT464-$AT465)*100</f>
        <v/>
      </c>
      <c r="DL464" s="59">
        <f>($AU464-$AU465)*100</f>
        <v/>
      </c>
      <c r="DM464" s="59">
        <f>($AV464-$AV465)*100</f>
        <v/>
      </c>
      <c r="DN464" s="59">
        <f>($AW464-$AW465)*100</f>
        <v/>
      </c>
      <c r="DO464" s="59">
        <f>($AX464-$AX465)*100</f>
        <v/>
      </c>
      <c r="DP464" s="59">
        <f>($AY464-$AY465)*100</f>
        <v/>
      </c>
      <c r="DQ464" s="59">
        <f>($AZ464-$AZ465)*100</f>
        <v/>
      </c>
      <c r="DR464" s="59">
        <f>($BA464-$BA465)*100</f>
        <v/>
      </c>
      <c r="DS464" s="58">
        <f>IFERROR($N465/$N464-1,"")</f>
        <v/>
      </c>
      <c r="DT464" s="58">
        <f>IFERROR($O465/$O464-1,"")</f>
        <v/>
      </c>
      <c r="DU464" s="58">
        <f>IFERROR($P465/$P464-1,"")</f>
        <v/>
      </c>
      <c r="DV464" s="58">
        <f>IFERROR($Q465/$Q464-1,"")</f>
        <v/>
      </c>
      <c r="DW464" s="58">
        <f>IFERROR($R465/$R464-1,"")</f>
        <v/>
      </c>
      <c r="DX464" s="58">
        <f>IFERROR($S465/$S464-1,"")</f>
        <v/>
      </c>
      <c r="DY464" s="58">
        <f>IFERROR($T465/$T464-1,"")</f>
        <v/>
      </c>
      <c r="DZ464" s="58">
        <f>IFERROR($U465/$U464-1,"")</f>
        <v/>
      </c>
      <c r="EA464" s="58">
        <f>IFERROR($V465/$V464-1,"")</f>
        <v/>
      </c>
      <c r="EB464" s="58">
        <f>IFERROR($W465/$W464-1,"")</f>
        <v/>
      </c>
      <c r="EC464" s="58">
        <f>IFERROR($X465/$X464-1,"")</f>
        <v/>
      </c>
      <c r="ED464" s="58">
        <f>IFERROR($Y465/$Y464-1,"")</f>
        <v/>
      </c>
      <c r="EE464" s="58">
        <f>IFERROR($Z465/$Z464-1,"")</f>
        <v/>
      </c>
      <c r="EF464" s="58">
        <f>IFERROR($AA465/$AA464-1,"")</f>
        <v/>
      </c>
      <c r="EG464" s="58">
        <f>IFERROR($AB465/$AB464-1,"")</f>
        <v/>
      </c>
      <c r="EH464" s="58">
        <f>IFERROR($AC465/$AC464-1,"")</f>
        <v/>
      </c>
      <c r="EI464" s="58">
        <f>IFERROR($AD465/$AD464-1,"")</f>
        <v/>
      </c>
      <c r="EJ464" s="58">
        <f>IFERROR($AE465/$AE464-1,"")</f>
        <v/>
      </c>
      <c r="EK464" s="58">
        <f>IFERROR($AF465/$AF464-1,"")</f>
        <v/>
      </c>
      <c r="EL464" s="58">
        <f>IFERROR($AG465/$AG464-1,"")</f>
        <v/>
      </c>
      <c r="EM464" s="58">
        <f>IFERROR($BB464/$BB465-1,"")</f>
        <v/>
      </c>
      <c r="EN464" s="58">
        <f>IFERROR($BC464/$BC465-1,"")</f>
        <v/>
      </c>
      <c r="EO464" s="58">
        <f>IFERROR($BD464/$BD465-1,"")</f>
        <v/>
      </c>
      <c r="EP464" s="58">
        <f>IFERROR($BE464/$BE465-1,"")</f>
        <v/>
      </c>
      <c r="EQ464" s="58">
        <f>IFERROR($BF464/$BF465-1,"")</f>
        <v/>
      </c>
      <c r="ER464" s="58">
        <f>IFERROR($BG464/$BG465-1,"")</f>
        <v/>
      </c>
      <c r="ES464" s="58">
        <f>IFERROR($BH464/$BH465-1,"")</f>
        <v/>
      </c>
      <c r="ET464" s="58">
        <f>IFERROR($BI464/$BI465-1,"")</f>
        <v/>
      </c>
      <c r="EU464" s="58">
        <f>IFERROR($BJ464/$BJ465-1,"")</f>
        <v/>
      </c>
      <c r="EV464" s="58">
        <f>IFERROR($BK464/$BK465-1,"")</f>
        <v/>
      </c>
      <c r="EW464" s="58">
        <f>IFERROR($BL464/$BL465-1,"")</f>
        <v/>
      </c>
      <c r="EX464" s="58">
        <f>IFERROR($BM464/$BM465-1,"")</f>
        <v/>
      </c>
      <c r="EY464" s="58">
        <f>IFERROR($BN464/$BN465-1,"")</f>
        <v/>
      </c>
      <c r="EZ464" s="58">
        <f>IFERROR($BO464/$BO465-1,"")</f>
        <v/>
      </c>
      <c r="FA464" s="58">
        <f>IFERROR($BP464/$BP465-1,"")</f>
        <v/>
      </c>
      <c r="FB464" s="58">
        <f>IFERROR($BQ464/$BQ465-1,"")</f>
        <v/>
      </c>
      <c r="FC464" s="58">
        <f>IFERROR($BR464/$BR465-1,"")</f>
        <v/>
      </c>
      <c r="FD464" s="58">
        <f>IFERROR($BS464/$BS465-1,"")</f>
        <v/>
      </c>
      <c r="FE464" s="58">
        <f>IFERROR($BT464/$BT465-1,"")</f>
        <v/>
      </c>
      <c r="FF464" s="58">
        <f>IFERROR($BU464/$BU465-1,"")</f>
        <v/>
      </c>
      <c r="FG464" s="58">
        <f>IFERROR($BV464/$BV465-1,"")</f>
        <v/>
      </c>
      <c r="FH464" s="58">
        <f>IFERROR($BW464/$BW465-1,"")</f>
        <v/>
      </c>
      <c r="FI464" s="58">
        <f>IFERROR($BX464/$BX465-1,"")</f>
        <v/>
      </c>
      <c r="FJ464" s="59">
        <f>$BY464-$BY465</f>
        <v/>
      </c>
      <c r="FK464" s="59">
        <f>$BZ464-$BZ465</f>
        <v/>
      </c>
      <c r="FL464" s="59">
        <f>$CA464-$CA465</f>
        <v/>
      </c>
      <c r="FM464" s="59">
        <f>$CB464-$CB465</f>
        <v/>
      </c>
      <c r="FN464" s="59">
        <f>$CC464-$CC465</f>
        <v/>
      </c>
      <c r="FO464" s="59">
        <f>$CD464-$CD465</f>
        <v/>
      </c>
      <c r="FP464" s="59">
        <f>$CE464-$CE465</f>
        <v/>
      </c>
      <c r="FQ464" s="59">
        <f>$CF464-$CF465</f>
        <v/>
      </c>
      <c r="FR464" s="59">
        <f>$CG464-$CG465</f>
        <v/>
      </c>
      <c r="FS464" s="59">
        <f>$CH464-$CH465</f>
        <v/>
      </c>
      <c r="FT464" s="59">
        <f>$CI464-$CI465</f>
        <v/>
      </c>
      <c r="FU464" s="59">
        <f>$CJ464-$CJ465</f>
        <v/>
      </c>
      <c r="FV464" s="59">
        <f>$CK464-$CK465</f>
        <v/>
      </c>
      <c r="FW464" s="59">
        <f>$CL464-$CL465</f>
        <v/>
      </c>
      <c r="FX464" s="59">
        <f>$CM464-$CM465</f>
        <v/>
      </c>
      <c r="FY464" s="59">
        <f>$CN464-$CN465</f>
        <v/>
      </c>
      <c r="FZ464" s="59">
        <f>$CO464-$CO465</f>
        <v/>
      </c>
      <c r="GA464" s="59">
        <f>$CP464-$CP465</f>
        <v/>
      </c>
      <c r="GB464" s="59">
        <f>$CQ464-$CQ465</f>
        <v/>
      </c>
      <c r="GC464" s="59">
        <f>$CR464-$CR465</f>
        <v/>
      </c>
      <c r="GD464" s="59">
        <f>$CS464-$CS465</f>
        <v/>
      </c>
      <c r="GE464" s="59">
        <f>$CT464-$CT465</f>
        <v/>
      </c>
    </row>
    <row r="465">
      <c r="CU465" s="58">
        <f>IFERROR($B465/$B466-1,"")</f>
        <v/>
      </c>
      <c r="CV465" s="59">
        <f>($F465-$F466)*100</f>
        <v/>
      </c>
      <c r="CW465" s="59">
        <f>($E465-$E466)*100</f>
        <v/>
      </c>
      <c r="CX465" s="58">
        <f>IFERROR($K465/$K466-1,"")</f>
        <v/>
      </c>
      <c r="CY465" s="59">
        <f>($AH465-$AH466)*100</f>
        <v/>
      </c>
      <c r="CZ465" s="59">
        <f>($AI465-$AI466)*100</f>
        <v/>
      </c>
      <c r="DA465" s="59">
        <f>($AJ465-$AJ466)*100</f>
        <v/>
      </c>
      <c r="DB465" s="59">
        <f>($AK465-$AK466)*100</f>
        <v/>
      </c>
      <c r="DC465" s="59">
        <f>($AL465-$AL466)*100</f>
        <v/>
      </c>
      <c r="DD465" s="59">
        <f>($AM465-$AM466)*100</f>
        <v/>
      </c>
      <c r="DE465" s="59">
        <f>($AN465-$AN466)*100</f>
        <v/>
      </c>
      <c r="DF465" s="59">
        <f>($AO465-$AO466)*100</f>
        <v/>
      </c>
      <c r="DG465" s="59">
        <f>($AP465-$AP466)*100</f>
        <v/>
      </c>
      <c r="DH465" s="59">
        <f>($AQ465-$AQ466)*100</f>
        <v/>
      </c>
      <c r="DI465" s="59">
        <f>($AR465-$AR466)*100</f>
        <v/>
      </c>
      <c r="DJ465" s="59">
        <f>($AS465-$AS466)*100</f>
        <v/>
      </c>
      <c r="DK465" s="59">
        <f>($AT465-$AT466)*100</f>
        <v/>
      </c>
      <c r="DL465" s="59">
        <f>($AU465-$AU466)*100</f>
        <v/>
      </c>
      <c r="DM465" s="59">
        <f>($AV465-$AV466)*100</f>
        <v/>
      </c>
      <c r="DN465" s="59">
        <f>($AW465-$AW466)*100</f>
        <v/>
      </c>
      <c r="DO465" s="59">
        <f>($AX465-$AX466)*100</f>
        <v/>
      </c>
      <c r="DP465" s="59">
        <f>($AY465-$AY466)*100</f>
        <v/>
      </c>
      <c r="DQ465" s="59">
        <f>($AZ465-$AZ466)*100</f>
        <v/>
      </c>
      <c r="DR465" s="59">
        <f>($BA465-$BA466)*100</f>
        <v/>
      </c>
      <c r="DS465" s="58">
        <f>IFERROR($N466/$N465-1,"")</f>
        <v/>
      </c>
      <c r="DT465" s="58">
        <f>IFERROR($O466/$O465-1,"")</f>
        <v/>
      </c>
      <c r="DU465" s="58">
        <f>IFERROR($P466/$P465-1,"")</f>
        <v/>
      </c>
      <c r="DV465" s="58">
        <f>IFERROR($Q466/$Q465-1,"")</f>
        <v/>
      </c>
      <c r="DW465" s="58">
        <f>IFERROR($R466/$R465-1,"")</f>
        <v/>
      </c>
      <c r="DX465" s="58">
        <f>IFERROR($S466/$S465-1,"")</f>
        <v/>
      </c>
      <c r="DY465" s="58">
        <f>IFERROR($T466/$T465-1,"")</f>
        <v/>
      </c>
      <c r="DZ465" s="58">
        <f>IFERROR($U466/$U465-1,"")</f>
        <v/>
      </c>
      <c r="EA465" s="58">
        <f>IFERROR($V466/$V465-1,"")</f>
        <v/>
      </c>
      <c r="EB465" s="58">
        <f>IFERROR($W466/$W465-1,"")</f>
        <v/>
      </c>
      <c r="EC465" s="58">
        <f>IFERROR($X466/$X465-1,"")</f>
        <v/>
      </c>
      <c r="ED465" s="58">
        <f>IFERROR($Y466/$Y465-1,"")</f>
        <v/>
      </c>
      <c r="EE465" s="58">
        <f>IFERROR($Z466/$Z465-1,"")</f>
        <v/>
      </c>
      <c r="EF465" s="58">
        <f>IFERROR($AA466/$AA465-1,"")</f>
        <v/>
      </c>
      <c r="EG465" s="58">
        <f>IFERROR($AB466/$AB465-1,"")</f>
        <v/>
      </c>
      <c r="EH465" s="58">
        <f>IFERROR($AC466/$AC465-1,"")</f>
        <v/>
      </c>
      <c r="EI465" s="58">
        <f>IFERROR($AD466/$AD465-1,"")</f>
        <v/>
      </c>
      <c r="EJ465" s="58">
        <f>IFERROR($AE466/$AE465-1,"")</f>
        <v/>
      </c>
      <c r="EK465" s="58">
        <f>IFERROR($AF466/$AF465-1,"")</f>
        <v/>
      </c>
      <c r="EL465" s="58">
        <f>IFERROR($AG466/$AG465-1,"")</f>
        <v/>
      </c>
      <c r="EM465" s="58">
        <f>IFERROR($BB465/$BB466-1,"")</f>
        <v/>
      </c>
      <c r="EN465" s="58">
        <f>IFERROR($BC465/$BC466-1,"")</f>
        <v/>
      </c>
      <c r="EO465" s="58">
        <f>IFERROR($BD465/$BD466-1,"")</f>
        <v/>
      </c>
      <c r="EP465" s="58">
        <f>IFERROR($BE465/$BE466-1,"")</f>
        <v/>
      </c>
      <c r="EQ465" s="58">
        <f>IFERROR($BF465/$BF466-1,"")</f>
        <v/>
      </c>
      <c r="ER465" s="58">
        <f>IFERROR($BG465/$BG466-1,"")</f>
        <v/>
      </c>
      <c r="ES465" s="58">
        <f>IFERROR($BH465/$BH466-1,"")</f>
        <v/>
      </c>
      <c r="ET465" s="58">
        <f>IFERROR($BI465/$BI466-1,"")</f>
        <v/>
      </c>
      <c r="EU465" s="58">
        <f>IFERROR($BJ465/$BJ466-1,"")</f>
        <v/>
      </c>
      <c r="EV465" s="58">
        <f>IFERROR($BK465/$BK466-1,"")</f>
        <v/>
      </c>
      <c r="EW465" s="58">
        <f>IFERROR($BL465/$BL466-1,"")</f>
        <v/>
      </c>
      <c r="EX465" s="58">
        <f>IFERROR($BM465/$BM466-1,"")</f>
        <v/>
      </c>
      <c r="EY465" s="58">
        <f>IFERROR($BN465/$BN466-1,"")</f>
        <v/>
      </c>
      <c r="EZ465" s="58">
        <f>IFERROR($BO465/$BO466-1,"")</f>
        <v/>
      </c>
      <c r="FA465" s="58">
        <f>IFERROR($BP465/$BP466-1,"")</f>
        <v/>
      </c>
      <c r="FB465" s="58">
        <f>IFERROR($BQ465/$BQ466-1,"")</f>
        <v/>
      </c>
      <c r="FC465" s="58">
        <f>IFERROR($BR465/$BR466-1,"")</f>
        <v/>
      </c>
      <c r="FD465" s="58">
        <f>IFERROR($BS465/$BS466-1,"")</f>
        <v/>
      </c>
      <c r="FE465" s="58">
        <f>IFERROR($BT465/$BT466-1,"")</f>
        <v/>
      </c>
      <c r="FF465" s="58">
        <f>IFERROR($BU465/$BU466-1,"")</f>
        <v/>
      </c>
      <c r="FG465" s="58">
        <f>IFERROR($BV465/$BV466-1,"")</f>
        <v/>
      </c>
      <c r="FH465" s="58">
        <f>IFERROR($BW465/$BW466-1,"")</f>
        <v/>
      </c>
      <c r="FI465" s="58">
        <f>IFERROR($BX465/$BX466-1,"")</f>
        <v/>
      </c>
      <c r="FJ465" s="59">
        <f>$BY465-$BY466</f>
        <v/>
      </c>
      <c r="FK465" s="59">
        <f>$BZ465-$BZ466</f>
        <v/>
      </c>
      <c r="FL465" s="59">
        <f>$CA465-$CA466</f>
        <v/>
      </c>
      <c r="FM465" s="59">
        <f>$CB465-$CB466</f>
        <v/>
      </c>
      <c r="FN465" s="59">
        <f>$CC465-$CC466</f>
        <v/>
      </c>
      <c r="FO465" s="59">
        <f>$CD465-$CD466</f>
        <v/>
      </c>
      <c r="FP465" s="59">
        <f>$CE465-$CE466</f>
        <v/>
      </c>
      <c r="FQ465" s="59">
        <f>$CF465-$CF466</f>
        <v/>
      </c>
      <c r="FR465" s="59">
        <f>$CG465-$CG466</f>
        <v/>
      </c>
      <c r="FS465" s="59">
        <f>$CH465-$CH466</f>
        <v/>
      </c>
      <c r="FT465" s="59">
        <f>$CI465-$CI466</f>
        <v/>
      </c>
      <c r="FU465" s="59">
        <f>$CJ465-$CJ466</f>
        <v/>
      </c>
      <c r="FV465" s="59">
        <f>$CK465-$CK466</f>
        <v/>
      </c>
      <c r="FW465" s="59">
        <f>$CL465-$CL466</f>
        <v/>
      </c>
      <c r="FX465" s="59">
        <f>$CM465-$CM466</f>
        <v/>
      </c>
      <c r="FY465" s="59">
        <f>$CN465-$CN466</f>
        <v/>
      </c>
      <c r="FZ465" s="59">
        <f>$CO465-$CO466</f>
        <v/>
      </c>
      <c r="GA465" s="59">
        <f>$CP465-$CP466</f>
        <v/>
      </c>
      <c r="GB465" s="59">
        <f>$CQ465-$CQ466</f>
        <v/>
      </c>
      <c r="GC465" s="59">
        <f>$CR465-$CR466</f>
        <v/>
      </c>
      <c r="GD465" s="59">
        <f>$CS465-$CS466</f>
        <v/>
      </c>
      <c r="GE465" s="59">
        <f>$CT465-$CT466</f>
        <v/>
      </c>
    </row>
    <row r="466">
      <c r="CU466" s="58">
        <f>IFERROR($B466/$B467-1,"")</f>
        <v/>
      </c>
      <c r="CV466" s="59">
        <f>($F466-$F467)*100</f>
        <v/>
      </c>
      <c r="CW466" s="59">
        <f>($E466-$E467)*100</f>
        <v/>
      </c>
      <c r="CX466" s="58">
        <f>IFERROR($K466/$K467-1,"")</f>
        <v/>
      </c>
      <c r="CY466" s="59">
        <f>($AH466-$AH467)*100</f>
        <v/>
      </c>
      <c r="CZ466" s="59">
        <f>($AI466-$AI467)*100</f>
        <v/>
      </c>
      <c r="DA466" s="59">
        <f>($AJ466-$AJ467)*100</f>
        <v/>
      </c>
      <c r="DB466" s="59">
        <f>($AK466-$AK467)*100</f>
        <v/>
      </c>
      <c r="DC466" s="59">
        <f>($AL466-$AL467)*100</f>
        <v/>
      </c>
      <c r="DD466" s="59">
        <f>($AM466-$AM467)*100</f>
        <v/>
      </c>
      <c r="DE466" s="59">
        <f>($AN466-$AN467)*100</f>
        <v/>
      </c>
      <c r="DF466" s="59">
        <f>($AO466-$AO467)*100</f>
        <v/>
      </c>
      <c r="DG466" s="59">
        <f>($AP466-$AP467)*100</f>
        <v/>
      </c>
      <c r="DH466" s="59">
        <f>($AQ466-$AQ467)*100</f>
        <v/>
      </c>
      <c r="DI466" s="59">
        <f>($AR466-$AR467)*100</f>
        <v/>
      </c>
      <c r="DJ466" s="59">
        <f>($AS466-$AS467)*100</f>
        <v/>
      </c>
      <c r="DK466" s="59">
        <f>($AT466-$AT467)*100</f>
        <v/>
      </c>
      <c r="DL466" s="59">
        <f>($AU466-$AU467)*100</f>
        <v/>
      </c>
      <c r="DM466" s="59">
        <f>($AV466-$AV467)*100</f>
        <v/>
      </c>
      <c r="DN466" s="59">
        <f>($AW466-$AW467)*100</f>
        <v/>
      </c>
      <c r="DO466" s="59">
        <f>($AX466-$AX467)*100</f>
        <v/>
      </c>
      <c r="DP466" s="59">
        <f>($AY466-$AY467)*100</f>
        <v/>
      </c>
      <c r="DQ466" s="59">
        <f>($AZ466-$AZ467)*100</f>
        <v/>
      </c>
      <c r="DR466" s="59">
        <f>($BA466-$BA467)*100</f>
        <v/>
      </c>
      <c r="DS466" s="58">
        <f>IFERROR($N467/$N466-1,"")</f>
        <v/>
      </c>
      <c r="DT466" s="58">
        <f>IFERROR($O467/$O466-1,"")</f>
        <v/>
      </c>
      <c r="DU466" s="58">
        <f>IFERROR($P467/$P466-1,"")</f>
        <v/>
      </c>
      <c r="DV466" s="58">
        <f>IFERROR($Q467/$Q466-1,"")</f>
        <v/>
      </c>
      <c r="DW466" s="58">
        <f>IFERROR($R467/$R466-1,"")</f>
        <v/>
      </c>
      <c r="DX466" s="58">
        <f>IFERROR($S467/$S466-1,"")</f>
        <v/>
      </c>
      <c r="DY466" s="58">
        <f>IFERROR($T467/$T466-1,"")</f>
        <v/>
      </c>
      <c r="DZ466" s="58">
        <f>IFERROR($U467/$U466-1,"")</f>
        <v/>
      </c>
      <c r="EA466" s="58">
        <f>IFERROR($V467/$V466-1,"")</f>
        <v/>
      </c>
      <c r="EB466" s="58">
        <f>IFERROR($W467/$W466-1,"")</f>
        <v/>
      </c>
      <c r="EC466" s="58">
        <f>IFERROR($X467/$X466-1,"")</f>
        <v/>
      </c>
      <c r="ED466" s="58">
        <f>IFERROR($Y467/$Y466-1,"")</f>
        <v/>
      </c>
      <c r="EE466" s="58">
        <f>IFERROR($Z467/$Z466-1,"")</f>
        <v/>
      </c>
      <c r="EF466" s="58">
        <f>IFERROR($AA467/$AA466-1,"")</f>
        <v/>
      </c>
      <c r="EG466" s="58">
        <f>IFERROR($AB467/$AB466-1,"")</f>
        <v/>
      </c>
      <c r="EH466" s="58">
        <f>IFERROR($AC467/$AC466-1,"")</f>
        <v/>
      </c>
      <c r="EI466" s="58">
        <f>IFERROR($AD467/$AD466-1,"")</f>
        <v/>
      </c>
      <c r="EJ466" s="58">
        <f>IFERROR($AE467/$AE466-1,"")</f>
        <v/>
      </c>
      <c r="EK466" s="58">
        <f>IFERROR($AF467/$AF466-1,"")</f>
        <v/>
      </c>
      <c r="EL466" s="58">
        <f>IFERROR($AG467/$AG466-1,"")</f>
        <v/>
      </c>
      <c r="EM466" s="58">
        <f>IFERROR($BB466/$BB467-1,"")</f>
        <v/>
      </c>
      <c r="EN466" s="58">
        <f>IFERROR($BC466/$BC467-1,"")</f>
        <v/>
      </c>
      <c r="EO466" s="58">
        <f>IFERROR($BD466/$BD467-1,"")</f>
        <v/>
      </c>
      <c r="EP466" s="58">
        <f>IFERROR($BE466/$BE467-1,"")</f>
        <v/>
      </c>
      <c r="EQ466" s="58">
        <f>IFERROR($BF466/$BF467-1,"")</f>
        <v/>
      </c>
      <c r="ER466" s="58">
        <f>IFERROR($BG466/$BG467-1,"")</f>
        <v/>
      </c>
      <c r="ES466" s="58">
        <f>IFERROR($BH466/$BH467-1,"")</f>
        <v/>
      </c>
      <c r="ET466" s="58">
        <f>IFERROR($BI466/$BI467-1,"")</f>
        <v/>
      </c>
      <c r="EU466" s="58">
        <f>IFERROR($BJ466/$BJ467-1,"")</f>
        <v/>
      </c>
      <c r="EV466" s="58">
        <f>IFERROR($BK466/$BK467-1,"")</f>
        <v/>
      </c>
      <c r="EW466" s="58">
        <f>IFERROR($BL466/$BL467-1,"")</f>
        <v/>
      </c>
      <c r="EX466" s="58">
        <f>IFERROR($BM466/$BM467-1,"")</f>
        <v/>
      </c>
      <c r="EY466" s="58">
        <f>IFERROR($BN466/$BN467-1,"")</f>
        <v/>
      </c>
      <c r="EZ466" s="58">
        <f>IFERROR($BO466/$BO467-1,"")</f>
        <v/>
      </c>
      <c r="FA466" s="58">
        <f>IFERROR($BP466/$BP467-1,"")</f>
        <v/>
      </c>
      <c r="FB466" s="58">
        <f>IFERROR($BQ466/$BQ467-1,"")</f>
        <v/>
      </c>
      <c r="FC466" s="58">
        <f>IFERROR($BR466/$BR467-1,"")</f>
        <v/>
      </c>
      <c r="FD466" s="58">
        <f>IFERROR($BS466/$BS467-1,"")</f>
        <v/>
      </c>
      <c r="FE466" s="58">
        <f>IFERROR($BT466/$BT467-1,"")</f>
        <v/>
      </c>
      <c r="FF466" s="58">
        <f>IFERROR($BU466/$BU467-1,"")</f>
        <v/>
      </c>
      <c r="FG466" s="58">
        <f>IFERROR($BV466/$BV467-1,"")</f>
        <v/>
      </c>
      <c r="FH466" s="58">
        <f>IFERROR($BW466/$BW467-1,"")</f>
        <v/>
      </c>
      <c r="FI466" s="58">
        <f>IFERROR($BX466/$BX467-1,"")</f>
        <v/>
      </c>
      <c r="FJ466" s="59">
        <f>$BY466-$BY467</f>
        <v/>
      </c>
      <c r="FK466" s="59">
        <f>$BZ466-$BZ467</f>
        <v/>
      </c>
      <c r="FL466" s="59">
        <f>$CA466-$CA467</f>
        <v/>
      </c>
      <c r="FM466" s="59">
        <f>$CB466-$CB467</f>
        <v/>
      </c>
      <c r="FN466" s="59">
        <f>$CC466-$CC467</f>
        <v/>
      </c>
      <c r="FO466" s="59">
        <f>$CD466-$CD467</f>
        <v/>
      </c>
      <c r="FP466" s="59">
        <f>$CE466-$CE467</f>
        <v/>
      </c>
      <c r="FQ466" s="59">
        <f>$CF466-$CF467</f>
        <v/>
      </c>
      <c r="FR466" s="59">
        <f>$CG466-$CG467</f>
        <v/>
      </c>
      <c r="FS466" s="59">
        <f>$CH466-$CH467</f>
        <v/>
      </c>
      <c r="FT466" s="59">
        <f>$CI466-$CI467</f>
        <v/>
      </c>
      <c r="FU466" s="59">
        <f>$CJ466-$CJ467</f>
        <v/>
      </c>
      <c r="FV466" s="59">
        <f>$CK466-$CK467</f>
        <v/>
      </c>
      <c r="FW466" s="59">
        <f>$CL466-$CL467</f>
        <v/>
      </c>
      <c r="FX466" s="59">
        <f>$CM466-$CM467</f>
        <v/>
      </c>
      <c r="FY466" s="59">
        <f>$CN466-$CN467</f>
        <v/>
      </c>
      <c r="FZ466" s="59">
        <f>$CO466-$CO467</f>
        <v/>
      </c>
      <c r="GA466" s="59">
        <f>$CP466-$CP467</f>
        <v/>
      </c>
      <c r="GB466" s="59">
        <f>$CQ466-$CQ467</f>
        <v/>
      </c>
      <c r="GC466" s="59">
        <f>$CR466-$CR467</f>
        <v/>
      </c>
      <c r="GD466" s="59">
        <f>$CS466-$CS467</f>
        <v/>
      </c>
      <c r="GE466" s="59">
        <f>$CT466-$CT467</f>
        <v/>
      </c>
    </row>
    <row r="467">
      <c r="CU467" s="58">
        <f>IFERROR($B467/$B468-1,"")</f>
        <v/>
      </c>
      <c r="CV467" s="59">
        <f>($F467-$F468)*100</f>
        <v/>
      </c>
      <c r="CW467" s="59">
        <f>($E467-$E468)*100</f>
        <v/>
      </c>
      <c r="CX467" s="58">
        <f>IFERROR($K467/$K468-1,"")</f>
        <v/>
      </c>
      <c r="CY467" s="59">
        <f>($AH467-$AH468)*100</f>
        <v/>
      </c>
      <c r="CZ467" s="59">
        <f>($AI467-$AI468)*100</f>
        <v/>
      </c>
      <c r="DA467" s="59">
        <f>($AJ467-$AJ468)*100</f>
        <v/>
      </c>
      <c r="DB467" s="59">
        <f>($AK467-$AK468)*100</f>
        <v/>
      </c>
      <c r="DC467" s="59">
        <f>($AL467-$AL468)*100</f>
        <v/>
      </c>
      <c r="DD467" s="59">
        <f>($AM467-$AM468)*100</f>
        <v/>
      </c>
      <c r="DE467" s="59">
        <f>($AN467-$AN468)*100</f>
        <v/>
      </c>
      <c r="DF467" s="59">
        <f>($AO467-$AO468)*100</f>
        <v/>
      </c>
      <c r="DG467" s="59">
        <f>($AP467-$AP468)*100</f>
        <v/>
      </c>
      <c r="DH467" s="59">
        <f>($AQ467-$AQ468)*100</f>
        <v/>
      </c>
      <c r="DI467" s="59">
        <f>($AR467-$AR468)*100</f>
        <v/>
      </c>
      <c r="DJ467" s="59">
        <f>($AS467-$AS468)*100</f>
        <v/>
      </c>
      <c r="DK467" s="59">
        <f>($AT467-$AT468)*100</f>
        <v/>
      </c>
      <c r="DL467" s="59">
        <f>($AU467-$AU468)*100</f>
        <v/>
      </c>
      <c r="DM467" s="59">
        <f>($AV467-$AV468)*100</f>
        <v/>
      </c>
      <c r="DN467" s="59">
        <f>($AW467-$AW468)*100</f>
        <v/>
      </c>
      <c r="DO467" s="59">
        <f>($AX467-$AX468)*100</f>
        <v/>
      </c>
      <c r="DP467" s="59">
        <f>($AY467-$AY468)*100</f>
        <v/>
      </c>
      <c r="DQ467" s="59">
        <f>($AZ467-$AZ468)*100</f>
        <v/>
      </c>
      <c r="DR467" s="59">
        <f>($BA467-$BA468)*100</f>
        <v/>
      </c>
      <c r="DS467" s="58">
        <f>IFERROR($N468/$N467-1,"")</f>
        <v/>
      </c>
      <c r="DT467" s="58">
        <f>IFERROR($O468/$O467-1,"")</f>
        <v/>
      </c>
      <c r="DU467" s="58">
        <f>IFERROR($P468/$P467-1,"")</f>
        <v/>
      </c>
      <c r="DV467" s="58">
        <f>IFERROR($Q468/$Q467-1,"")</f>
        <v/>
      </c>
      <c r="DW467" s="58">
        <f>IFERROR($R468/$R467-1,"")</f>
        <v/>
      </c>
      <c r="DX467" s="58">
        <f>IFERROR($S468/$S467-1,"")</f>
        <v/>
      </c>
      <c r="DY467" s="58">
        <f>IFERROR($T468/$T467-1,"")</f>
        <v/>
      </c>
      <c r="DZ467" s="58">
        <f>IFERROR($U468/$U467-1,"")</f>
        <v/>
      </c>
      <c r="EA467" s="58">
        <f>IFERROR($V468/$V467-1,"")</f>
        <v/>
      </c>
      <c r="EB467" s="58">
        <f>IFERROR($W468/$W467-1,"")</f>
        <v/>
      </c>
      <c r="EC467" s="58">
        <f>IFERROR($X468/$X467-1,"")</f>
        <v/>
      </c>
      <c r="ED467" s="58">
        <f>IFERROR($Y468/$Y467-1,"")</f>
        <v/>
      </c>
      <c r="EE467" s="58">
        <f>IFERROR($Z468/$Z467-1,"")</f>
        <v/>
      </c>
      <c r="EF467" s="58">
        <f>IFERROR($AA468/$AA467-1,"")</f>
        <v/>
      </c>
      <c r="EG467" s="58">
        <f>IFERROR($AB468/$AB467-1,"")</f>
        <v/>
      </c>
      <c r="EH467" s="58">
        <f>IFERROR($AC468/$AC467-1,"")</f>
        <v/>
      </c>
      <c r="EI467" s="58">
        <f>IFERROR($AD468/$AD467-1,"")</f>
        <v/>
      </c>
      <c r="EJ467" s="58">
        <f>IFERROR($AE468/$AE467-1,"")</f>
        <v/>
      </c>
      <c r="EK467" s="58">
        <f>IFERROR($AF468/$AF467-1,"")</f>
        <v/>
      </c>
      <c r="EL467" s="58">
        <f>IFERROR($AG468/$AG467-1,"")</f>
        <v/>
      </c>
      <c r="EM467" s="58">
        <f>IFERROR($BB467/$BB468-1,"")</f>
        <v/>
      </c>
      <c r="EN467" s="58">
        <f>IFERROR($BC467/$BC468-1,"")</f>
        <v/>
      </c>
      <c r="EO467" s="58">
        <f>IFERROR($BD467/$BD468-1,"")</f>
        <v/>
      </c>
      <c r="EP467" s="58">
        <f>IFERROR($BE467/$BE468-1,"")</f>
        <v/>
      </c>
      <c r="EQ467" s="58">
        <f>IFERROR($BF467/$BF468-1,"")</f>
        <v/>
      </c>
      <c r="ER467" s="58">
        <f>IFERROR($BG467/$BG468-1,"")</f>
        <v/>
      </c>
      <c r="ES467" s="58">
        <f>IFERROR($BH467/$BH468-1,"")</f>
        <v/>
      </c>
      <c r="ET467" s="58">
        <f>IFERROR($BI467/$BI468-1,"")</f>
        <v/>
      </c>
      <c r="EU467" s="58">
        <f>IFERROR($BJ467/$BJ468-1,"")</f>
        <v/>
      </c>
      <c r="EV467" s="58">
        <f>IFERROR($BK467/$BK468-1,"")</f>
        <v/>
      </c>
      <c r="EW467" s="58">
        <f>IFERROR($BL467/$BL468-1,"")</f>
        <v/>
      </c>
      <c r="EX467" s="58">
        <f>IFERROR($BM467/$BM468-1,"")</f>
        <v/>
      </c>
      <c r="EY467" s="58">
        <f>IFERROR($BN467/$BN468-1,"")</f>
        <v/>
      </c>
      <c r="EZ467" s="58">
        <f>IFERROR($BO467/$BO468-1,"")</f>
        <v/>
      </c>
      <c r="FA467" s="58">
        <f>IFERROR($BP467/$BP468-1,"")</f>
        <v/>
      </c>
      <c r="FB467" s="58">
        <f>IFERROR($BQ467/$BQ468-1,"")</f>
        <v/>
      </c>
      <c r="FC467" s="58">
        <f>IFERROR($BR467/$BR468-1,"")</f>
        <v/>
      </c>
      <c r="FD467" s="58">
        <f>IFERROR($BS467/$BS468-1,"")</f>
        <v/>
      </c>
      <c r="FE467" s="58">
        <f>IFERROR($BT467/$BT468-1,"")</f>
        <v/>
      </c>
      <c r="FF467" s="58">
        <f>IFERROR($BU467/$BU468-1,"")</f>
        <v/>
      </c>
      <c r="FG467" s="58">
        <f>IFERROR($BV467/$BV468-1,"")</f>
        <v/>
      </c>
      <c r="FH467" s="58">
        <f>IFERROR($BW467/$BW468-1,"")</f>
        <v/>
      </c>
      <c r="FI467" s="58">
        <f>IFERROR($BX467/$BX468-1,"")</f>
        <v/>
      </c>
      <c r="FJ467" s="59">
        <f>$BY467-$BY468</f>
        <v/>
      </c>
      <c r="FK467" s="59">
        <f>$BZ467-$BZ468</f>
        <v/>
      </c>
      <c r="FL467" s="59">
        <f>$CA467-$CA468</f>
        <v/>
      </c>
      <c r="FM467" s="59">
        <f>$CB467-$CB468</f>
        <v/>
      </c>
      <c r="FN467" s="59">
        <f>$CC467-$CC468</f>
        <v/>
      </c>
      <c r="FO467" s="59">
        <f>$CD467-$CD468</f>
        <v/>
      </c>
      <c r="FP467" s="59">
        <f>$CE467-$CE468</f>
        <v/>
      </c>
      <c r="FQ467" s="59">
        <f>$CF467-$CF468</f>
        <v/>
      </c>
      <c r="FR467" s="59">
        <f>$CG467-$CG468</f>
        <v/>
      </c>
      <c r="FS467" s="59">
        <f>$CH467-$CH468</f>
        <v/>
      </c>
      <c r="FT467" s="59">
        <f>$CI467-$CI468</f>
        <v/>
      </c>
      <c r="FU467" s="59">
        <f>$CJ467-$CJ468</f>
        <v/>
      </c>
      <c r="FV467" s="59">
        <f>$CK467-$CK468</f>
        <v/>
      </c>
      <c r="FW467" s="59">
        <f>$CL467-$CL468</f>
        <v/>
      </c>
      <c r="FX467" s="59">
        <f>$CM467-$CM468</f>
        <v/>
      </c>
      <c r="FY467" s="59">
        <f>$CN467-$CN468</f>
        <v/>
      </c>
      <c r="FZ467" s="59">
        <f>$CO467-$CO468</f>
        <v/>
      </c>
      <c r="GA467" s="59">
        <f>$CP467-$CP468</f>
        <v/>
      </c>
      <c r="GB467" s="59">
        <f>$CQ467-$CQ468</f>
        <v/>
      </c>
      <c r="GC467" s="59">
        <f>$CR467-$CR468</f>
        <v/>
      </c>
      <c r="GD467" s="59">
        <f>$CS467-$CS468</f>
        <v/>
      </c>
      <c r="GE467" s="59">
        <f>$CT467-$CT468</f>
        <v/>
      </c>
    </row>
    <row r="468">
      <c r="CU468" s="58">
        <f>IFERROR($B468/$B469-1,"")</f>
        <v/>
      </c>
      <c r="CV468" s="59">
        <f>($F468-$F469)*100</f>
        <v/>
      </c>
      <c r="CW468" s="59">
        <f>($E468-$E469)*100</f>
        <v/>
      </c>
      <c r="CX468" s="58">
        <f>IFERROR($K468/$K469-1,"")</f>
        <v/>
      </c>
      <c r="CY468" s="59">
        <f>($AH468-$AH469)*100</f>
        <v/>
      </c>
      <c r="CZ468" s="59">
        <f>($AI468-$AI469)*100</f>
        <v/>
      </c>
      <c r="DA468" s="59">
        <f>($AJ468-$AJ469)*100</f>
        <v/>
      </c>
      <c r="DB468" s="59">
        <f>($AK468-$AK469)*100</f>
        <v/>
      </c>
      <c r="DC468" s="59">
        <f>($AL468-$AL469)*100</f>
        <v/>
      </c>
      <c r="DD468" s="59">
        <f>($AM468-$AM469)*100</f>
        <v/>
      </c>
      <c r="DE468" s="59">
        <f>($AN468-$AN469)*100</f>
        <v/>
      </c>
      <c r="DF468" s="59">
        <f>($AO468-$AO469)*100</f>
        <v/>
      </c>
      <c r="DG468" s="59">
        <f>($AP468-$AP469)*100</f>
        <v/>
      </c>
      <c r="DH468" s="59">
        <f>($AQ468-$AQ469)*100</f>
        <v/>
      </c>
      <c r="DI468" s="59">
        <f>($AR468-$AR469)*100</f>
        <v/>
      </c>
      <c r="DJ468" s="59">
        <f>($AS468-$AS469)*100</f>
        <v/>
      </c>
      <c r="DK468" s="59">
        <f>($AT468-$AT469)*100</f>
        <v/>
      </c>
      <c r="DL468" s="59">
        <f>($AU468-$AU469)*100</f>
        <v/>
      </c>
      <c r="DM468" s="59">
        <f>($AV468-$AV469)*100</f>
        <v/>
      </c>
      <c r="DN468" s="59">
        <f>($AW468-$AW469)*100</f>
        <v/>
      </c>
      <c r="DO468" s="59">
        <f>($AX468-$AX469)*100</f>
        <v/>
      </c>
      <c r="DP468" s="59">
        <f>($AY468-$AY469)*100</f>
        <v/>
      </c>
      <c r="DQ468" s="59">
        <f>($AZ468-$AZ469)*100</f>
        <v/>
      </c>
      <c r="DR468" s="59">
        <f>($BA468-$BA469)*100</f>
        <v/>
      </c>
      <c r="DS468" s="58">
        <f>IFERROR($N469/$N468-1,"")</f>
        <v/>
      </c>
      <c r="DT468" s="58">
        <f>IFERROR($O469/$O468-1,"")</f>
        <v/>
      </c>
      <c r="DU468" s="58">
        <f>IFERROR($P469/$P468-1,"")</f>
        <v/>
      </c>
      <c r="DV468" s="58">
        <f>IFERROR($Q469/$Q468-1,"")</f>
        <v/>
      </c>
      <c r="DW468" s="58">
        <f>IFERROR($R469/$R468-1,"")</f>
        <v/>
      </c>
      <c r="DX468" s="58">
        <f>IFERROR($S469/$S468-1,"")</f>
        <v/>
      </c>
      <c r="DY468" s="58">
        <f>IFERROR($T469/$T468-1,"")</f>
        <v/>
      </c>
      <c r="DZ468" s="58">
        <f>IFERROR($U469/$U468-1,"")</f>
        <v/>
      </c>
      <c r="EA468" s="58">
        <f>IFERROR($V469/$V468-1,"")</f>
        <v/>
      </c>
      <c r="EB468" s="58">
        <f>IFERROR($W469/$W468-1,"")</f>
        <v/>
      </c>
      <c r="EC468" s="58">
        <f>IFERROR($X469/$X468-1,"")</f>
        <v/>
      </c>
      <c r="ED468" s="58">
        <f>IFERROR($Y469/$Y468-1,"")</f>
        <v/>
      </c>
      <c r="EE468" s="58">
        <f>IFERROR($Z469/$Z468-1,"")</f>
        <v/>
      </c>
      <c r="EF468" s="58">
        <f>IFERROR($AA469/$AA468-1,"")</f>
        <v/>
      </c>
      <c r="EG468" s="58">
        <f>IFERROR($AB469/$AB468-1,"")</f>
        <v/>
      </c>
      <c r="EH468" s="58">
        <f>IFERROR($AC469/$AC468-1,"")</f>
        <v/>
      </c>
      <c r="EI468" s="58">
        <f>IFERROR($AD469/$AD468-1,"")</f>
        <v/>
      </c>
      <c r="EJ468" s="58">
        <f>IFERROR($AE469/$AE468-1,"")</f>
        <v/>
      </c>
      <c r="EK468" s="58">
        <f>IFERROR($AF469/$AF468-1,"")</f>
        <v/>
      </c>
      <c r="EL468" s="58">
        <f>IFERROR($AG469/$AG468-1,"")</f>
        <v/>
      </c>
      <c r="EM468" s="58">
        <f>IFERROR($BB468/$BB469-1,"")</f>
        <v/>
      </c>
      <c r="EN468" s="58">
        <f>IFERROR($BC468/$BC469-1,"")</f>
        <v/>
      </c>
      <c r="EO468" s="58">
        <f>IFERROR($BD468/$BD469-1,"")</f>
        <v/>
      </c>
      <c r="EP468" s="58">
        <f>IFERROR($BE468/$BE469-1,"")</f>
        <v/>
      </c>
      <c r="EQ468" s="58">
        <f>IFERROR($BF468/$BF469-1,"")</f>
        <v/>
      </c>
      <c r="ER468" s="58">
        <f>IFERROR($BG468/$BG469-1,"")</f>
        <v/>
      </c>
      <c r="ES468" s="58">
        <f>IFERROR($BH468/$BH469-1,"")</f>
        <v/>
      </c>
      <c r="ET468" s="58">
        <f>IFERROR($BI468/$BI469-1,"")</f>
        <v/>
      </c>
      <c r="EU468" s="58">
        <f>IFERROR($BJ468/$BJ469-1,"")</f>
        <v/>
      </c>
      <c r="EV468" s="58">
        <f>IFERROR($BK468/$BK469-1,"")</f>
        <v/>
      </c>
      <c r="EW468" s="58">
        <f>IFERROR($BL468/$BL469-1,"")</f>
        <v/>
      </c>
      <c r="EX468" s="58">
        <f>IFERROR($BM468/$BM469-1,"")</f>
        <v/>
      </c>
      <c r="EY468" s="58">
        <f>IFERROR($BN468/$BN469-1,"")</f>
        <v/>
      </c>
      <c r="EZ468" s="58">
        <f>IFERROR($BO468/$BO469-1,"")</f>
        <v/>
      </c>
      <c r="FA468" s="58">
        <f>IFERROR($BP468/$BP469-1,"")</f>
        <v/>
      </c>
      <c r="FB468" s="58">
        <f>IFERROR($BQ468/$BQ469-1,"")</f>
        <v/>
      </c>
      <c r="FC468" s="58">
        <f>IFERROR($BR468/$BR469-1,"")</f>
        <v/>
      </c>
      <c r="FD468" s="58">
        <f>IFERROR($BS468/$BS469-1,"")</f>
        <v/>
      </c>
      <c r="FE468" s="58">
        <f>IFERROR($BT468/$BT469-1,"")</f>
        <v/>
      </c>
      <c r="FF468" s="58">
        <f>IFERROR($BU468/$BU469-1,"")</f>
        <v/>
      </c>
      <c r="FG468" s="58">
        <f>IFERROR($BV468/$BV469-1,"")</f>
        <v/>
      </c>
      <c r="FH468" s="58">
        <f>IFERROR($BW468/$BW469-1,"")</f>
        <v/>
      </c>
      <c r="FI468" s="58">
        <f>IFERROR($BX468/$BX469-1,"")</f>
        <v/>
      </c>
      <c r="FJ468" s="59">
        <f>$BY468-$BY469</f>
        <v/>
      </c>
      <c r="FK468" s="59">
        <f>$BZ468-$BZ469</f>
        <v/>
      </c>
      <c r="FL468" s="59">
        <f>$CA468-$CA469</f>
        <v/>
      </c>
      <c r="FM468" s="59">
        <f>$CB468-$CB469</f>
        <v/>
      </c>
      <c r="FN468" s="59">
        <f>$CC468-$CC469</f>
        <v/>
      </c>
      <c r="FO468" s="59">
        <f>$CD468-$CD469</f>
        <v/>
      </c>
      <c r="FP468" s="59">
        <f>$CE468-$CE469</f>
        <v/>
      </c>
      <c r="FQ468" s="59">
        <f>$CF468-$CF469</f>
        <v/>
      </c>
      <c r="FR468" s="59">
        <f>$CG468-$CG469</f>
        <v/>
      </c>
      <c r="FS468" s="59">
        <f>$CH468-$CH469</f>
        <v/>
      </c>
      <c r="FT468" s="59">
        <f>$CI468-$CI469</f>
        <v/>
      </c>
      <c r="FU468" s="59">
        <f>$CJ468-$CJ469</f>
        <v/>
      </c>
      <c r="FV468" s="59">
        <f>$CK468-$CK469</f>
        <v/>
      </c>
      <c r="FW468" s="59">
        <f>$CL468-$CL469</f>
        <v/>
      </c>
      <c r="FX468" s="59">
        <f>$CM468-$CM469</f>
        <v/>
      </c>
      <c r="FY468" s="59">
        <f>$CN468-$CN469</f>
        <v/>
      </c>
      <c r="FZ468" s="59">
        <f>$CO468-$CO469</f>
        <v/>
      </c>
      <c r="GA468" s="59">
        <f>$CP468-$CP469</f>
        <v/>
      </c>
      <c r="GB468" s="59">
        <f>$CQ468-$CQ469</f>
        <v/>
      </c>
      <c r="GC468" s="59">
        <f>$CR468-$CR469</f>
        <v/>
      </c>
      <c r="GD468" s="59">
        <f>$CS468-$CS469</f>
        <v/>
      </c>
      <c r="GE468" s="59">
        <f>$CT468-$CT469</f>
        <v/>
      </c>
    </row>
    <row r="469">
      <c r="CU469" s="58">
        <f>IFERROR($B469/$B470-1,"")</f>
        <v/>
      </c>
      <c r="CV469" s="59">
        <f>($F469-$F470)*100</f>
        <v/>
      </c>
      <c r="CW469" s="59">
        <f>($E469-$E470)*100</f>
        <v/>
      </c>
      <c r="CX469" s="58">
        <f>IFERROR($K469/$K470-1,"")</f>
        <v/>
      </c>
      <c r="CY469" s="59">
        <f>($AH469-$AH470)*100</f>
        <v/>
      </c>
      <c r="CZ469" s="59">
        <f>($AI469-$AI470)*100</f>
        <v/>
      </c>
      <c r="DA469" s="59">
        <f>($AJ469-$AJ470)*100</f>
        <v/>
      </c>
      <c r="DB469" s="59">
        <f>($AK469-$AK470)*100</f>
        <v/>
      </c>
      <c r="DC469" s="59">
        <f>($AL469-$AL470)*100</f>
        <v/>
      </c>
      <c r="DD469" s="59">
        <f>($AM469-$AM470)*100</f>
        <v/>
      </c>
      <c r="DE469" s="59">
        <f>($AN469-$AN470)*100</f>
        <v/>
      </c>
      <c r="DF469" s="59">
        <f>($AO469-$AO470)*100</f>
        <v/>
      </c>
      <c r="DG469" s="59">
        <f>($AP469-$AP470)*100</f>
        <v/>
      </c>
      <c r="DH469" s="59">
        <f>($AQ469-$AQ470)*100</f>
        <v/>
      </c>
      <c r="DI469" s="59">
        <f>($AR469-$AR470)*100</f>
        <v/>
      </c>
      <c r="DJ469" s="59">
        <f>($AS469-$AS470)*100</f>
        <v/>
      </c>
      <c r="DK469" s="59">
        <f>($AT469-$AT470)*100</f>
        <v/>
      </c>
      <c r="DL469" s="59">
        <f>($AU469-$AU470)*100</f>
        <v/>
      </c>
      <c r="DM469" s="59">
        <f>($AV469-$AV470)*100</f>
        <v/>
      </c>
      <c r="DN469" s="59">
        <f>($AW469-$AW470)*100</f>
        <v/>
      </c>
      <c r="DO469" s="59">
        <f>($AX469-$AX470)*100</f>
        <v/>
      </c>
      <c r="DP469" s="59">
        <f>($AY469-$AY470)*100</f>
        <v/>
      </c>
      <c r="DQ469" s="59">
        <f>($AZ469-$AZ470)*100</f>
        <v/>
      </c>
      <c r="DR469" s="59">
        <f>($BA469-$BA470)*100</f>
        <v/>
      </c>
      <c r="DS469" s="58">
        <f>IFERROR($N470/$N469-1,"")</f>
        <v/>
      </c>
      <c r="DT469" s="58">
        <f>IFERROR($O470/$O469-1,"")</f>
        <v/>
      </c>
      <c r="DU469" s="58">
        <f>IFERROR($P470/$P469-1,"")</f>
        <v/>
      </c>
      <c r="DV469" s="58">
        <f>IFERROR($Q470/$Q469-1,"")</f>
        <v/>
      </c>
      <c r="DW469" s="58">
        <f>IFERROR($R470/$R469-1,"")</f>
        <v/>
      </c>
      <c r="DX469" s="58">
        <f>IFERROR($S470/$S469-1,"")</f>
        <v/>
      </c>
      <c r="DY469" s="58">
        <f>IFERROR($T470/$T469-1,"")</f>
        <v/>
      </c>
      <c r="DZ469" s="58">
        <f>IFERROR($U470/$U469-1,"")</f>
        <v/>
      </c>
      <c r="EA469" s="58">
        <f>IFERROR($V470/$V469-1,"")</f>
        <v/>
      </c>
      <c r="EB469" s="58">
        <f>IFERROR($W470/$W469-1,"")</f>
        <v/>
      </c>
      <c r="EC469" s="58">
        <f>IFERROR($X470/$X469-1,"")</f>
        <v/>
      </c>
      <c r="ED469" s="58">
        <f>IFERROR($Y470/$Y469-1,"")</f>
        <v/>
      </c>
      <c r="EE469" s="58">
        <f>IFERROR($Z470/$Z469-1,"")</f>
        <v/>
      </c>
      <c r="EF469" s="58">
        <f>IFERROR($AA470/$AA469-1,"")</f>
        <v/>
      </c>
      <c r="EG469" s="58">
        <f>IFERROR($AB470/$AB469-1,"")</f>
        <v/>
      </c>
      <c r="EH469" s="58">
        <f>IFERROR($AC470/$AC469-1,"")</f>
        <v/>
      </c>
      <c r="EI469" s="58">
        <f>IFERROR($AD470/$AD469-1,"")</f>
        <v/>
      </c>
      <c r="EJ469" s="58">
        <f>IFERROR($AE470/$AE469-1,"")</f>
        <v/>
      </c>
      <c r="EK469" s="58">
        <f>IFERROR($AF470/$AF469-1,"")</f>
        <v/>
      </c>
      <c r="EL469" s="58">
        <f>IFERROR($AG470/$AG469-1,"")</f>
        <v/>
      </c>
      <c r="EM469" s="58">
        <f>IFERROR($BB469/$BB470-1,"")</f>
        <v/>
      </c>
      <c r="EN469" s="58">
        <f>IFERROR($BC469/$BC470-1,"")</f>
        <v/>
      </c>
      <c r="EO469" s="58">
        <f>IFERROR($BD469/$BD470-1,"")</f>
        <v/>
      </c>
      <c r="EP469" s="58">
        <f>IFERROR($BE469/$BE470-1,"")</f>
        <v/>
      </c>
      <c r="EQ469" s="58">
        <f>IFERROR($BF469/$BF470-1,"")</f>
        <v/>
      </c>
      <c r="ER469" s="58">
        <f>IFERROR($BG469/$BG470-1,"")</f>
        <v/>
      </c>
      <c r="ES469" s="58">
        <f>IFERROR($BH469/$BH470-1,"")</f>
        <v/>
      </c>
      <c r="ET469" s="58">
        <f>IFERROR($BI469/$BI470-1,"")</f>
        <v/>
      </c>
      <c r="EU469" s="58">
        <f>IFERROR($BJ469/$BJ470-1,"")</f>
        <v/>
      </c>
      <c r="EV469" s="58">
        <f>IFERROR($BK469/$BK470-1,"")</f>
        <v/>
      </c>
      <c r="EW469" s="58">
        <f>IFERROR($BL469/$BL470-1,"")</f>
        <v/>
      </c>
      <c r="EX469" s="58">
        <f>IFERROR($BM469/$BM470-1,"")</f>
        <v/>
      </c>
      <c r="EY469" s="58">
        <f>IFERROR($BN469/$BN470-1,"")</f>
        <v/>
      </c>
      <c r="EZ469" s="58">
        <f>IFERROR($BO469/$BO470-1,"")</f>
        <v/>
      </c>
      <c r="FA469" s="58">
        <f>IFERROR($BP469/$BP470-1,"")</f>
        <v/>
      </c>
      <c r="FB469" s="58">
        <f>IFERROR($BQ469/$BQ470-1,"")</f>
        <v/>
      </c>
      <c r="FC469" s="58">
        <f>IFERROR($BR469/$BR470-1,"")</f>
        <v/>
      </c>
      <c r="FD469" s="58">
        <f>IFERROR($BS469/$BS470-1,"")</f>
        <v/>
      </c>
      <c r="FE469" s="58">
        <f>IFERROR($BT469/$BT470-1,"")</f>
        <v/>
      </c>
      <c r="FF469" s="58">
        <f>IFERROR($BU469/$BU470-1,"")</f>
        <v/>
      </c>
      <c r="FG469" s="58">
        <f>IFERROR($BV469/$BV470-1,"")</f>
        <v/>
      </c>
      <c r="FH469" s="58">
        <f>IFERROR($BW469/$BW470-1,"")</f>
        <v/>
      </c>
      <c r="FI469" s="58">
        <f>IFERROR($BX469/$BX470-1,"")</f>
        <v/>
      </c>
      <c r="FJ469" s="59">
        <f>$BY469-$BY470</f>
        <v/>
      </c>
      <c r="FK469" s="59">
        <f>$BZ469-$BZ470</f>
        <v/>
      </c>
      <c r="FL469" s="59">
        <f>$CA469-$CA470</f>
        <v/>
      </c>
      <c r="FM469" s="59">
        <f>$CB469-$CB470</f>
        <v/>
      </c>
      <c r="FN469" s="59">
        <f>$CC469-$CC470</f>
        <v/>
      </c>
      <c r="FO469" s="59">
        <f>$CD469-$CD470</f>
        <v/>
      </c>
      <c r="FP469" s="59">
        <f>$CE469-$CE470</f>
        <v/>
      </c>
      <c r="FQ469" s="59">
        <f>$CF469-$CF470</f>
        <v/>
      </c>
      <c r="FR469" s="59">
        <f>$CG469-$CG470</f>
        <v/>
      </c>
      <c r="FS469" s="59">
        <f>$CH469-$CH470</f>
        <v/>
      </c>
      <c r="FT469" s="59">
        <f>$CI469-$CI470</f>
        <v/>
      </c>
      <c r="FU469" s="59">
        <f>$CJ469-$CJ470</f>
        <v/>
      </c>
      <c r="FV469" s="59">
        <f>$CK469-$CK470</f>
        <v/>
      </c>
      <c r="FW469" s="59">
        <f>$CL469-$CL470</f>
        <v/>
      </c>
      <c r="FX469" s="59">
        <f>$CM469-$CM470</f>
        <v/>
      </c>
      <c r="FY469" s="59">
        <f>$CN469-$CN470</f>
        <v/>
      </c>
      <c r="FZ469" s="59">
        <f>$CO469-$CO470</f>
        <v/>
      </c>
      <c r="GA469" s="59">
        <f>$CP469-$CP470</f>
        <v/>
      </c>
      <c r="GB469" s="59">
        <f>$CQ469-$CQ470</f>
        <v/>
      </c>
      <c r="GC469" s="59">
        <f>$CR469-$CR470</f>
        <v/>
      </c>
      <c r="GD469" s="59">
        <f>$CS469-$CS470</f>
        <v/>
      </c>
      <c r="GE469" s="59">
        <f>$CT469-$CT470</f>
        <v/>
      </c>
    </row>
    <row r="470">
      <c r="CU470" s="58">
        <f>IFERROR($B470/$B471-1,"")</f>
        <v/>
      </c>
      <c r="CV470" s="59">
        <f>($F470-$F471)*100</f>
        <v/>
      </c>
      <c r="CW470" s="59">
        <f>($E470-$E471)*100</f>
        <v/>
      </c>
      <c r="CX470" s="58">
        <f>IFERROR($K470/$K471-1,"")</f>
        <v/>
      </c>
      <c r="CY470" s="59">
        <f>($AH470-$AH471)*100</f>
        <v/>
      </c>
      <c r="CZ470" s="59">
        <f>($AI470-$AI471)*100</f>
        <v/>
      </c>
      <c r="DA470" s="59">
        <f>($AJ470-$AJ471)*100</f>
        <v/>
      </c>
      <c r="DB470" s="59">
        <f>($AK470-$AK471)*100</f>
        <v/>
      </c>
      <c r="DC470" s="59">
        <f>($AL470-$AL471)*100</f>
        <v/>
      </c>
      <c r="DD470" s="59">
        <f>($AM470-$AM471)*100</f>
        <v/>
      </c>
      <c r="DE470" s="59">
        <f>($AN470-$AN471)*100</f>
        <v/>
      </c>
      <c r="DF470" s="59">
        <f>($AO470-$AO471)*100</f>
        <v/>
      </c>
      <c r="DG470" s="59">
        <f>($AP470-$AP471)*100</f>
        <v/>
      </c>
      <c r="DH470" s="59">
        <f>($AQ470-$AQ471)*100</f>
        <v/>
      </c>
      <c r="DI470" s="59">
        <f>($AR470-$AR471)*100</f>
        <v/>
      </c>
      <c r="DJ470" s="59">
        <f>($AS470-$AS471)*100</f>
        <v/>
      </c>
      <c r="DK470" s="59">
        <f>($AT470-$AT471)*100</f>
        <v/>
      </c>
      <c r="DL470" s="59">
        <f>($AU470-$AU471)*100</f>
        <v/>
      </c>
      <c r="DM470" s="59">
        <f>($AV470-$AV471)*100</f>
        <v/>
      </c>
      <c r="DN470" s="59">
        <f>($AW470-$AW471)*100</f>
        <v/>
      </c>
      <c r="DO470" s="59">
        <f>($AX470-$AX471)*100</f>
        <v/>
      </c>
      <c r="DP470" s="59">
        <f>($AY470-$AY471)*100</f>
        <v/>
      </c>
      <c r="DQ470" s="59">
        <f>($AZ470-$AZ471)*100</f>
        <v/>
      </c>
      <c r="DR470" s="59">
        <f>($BA470-$BA471)*100</f>
        <v/>
      </c>
      <c r="DS470" s="58">
        <f>IFERROR($N471/$N470-1,"")</f>
        <v/>
      </c>
      <c r="DT470" s="58">
        <f>IFERROR($O471/$O470-1,"")</f>
        <v/>
      </c>
      <c r="DU470" s="58">
        <f>IFERROR($P471/$P470-1,"")</f>
        <v/>
      </c>
      <c r="DV470" s="58">
        <f>IFERROR($Q471/$Q470-1,"")</f>
        <v/>
      </c>
      <c r="DW470" s="58">
        <f>IFERROR($R471/$R470-1,"")</f>
        <v/>
      </c>
      <c r="DX470" s="58">
        <f>IFERROR($S471/$S470-1,"")</f>
        <v/>
      </c>
      <c r="DY470" s="58">
        <f>IFERROR($T471/$T470-1,"")</f>
        <v/>
      </c>
      <c r="DZ470" s="58">
        <f>IFERROR($U471/$U470-1,"")</f>
        <v/>
      </c>
      <c r="EA470" s="58">
        <f>IFERROR($V471/$V470-1,"")</f>
        <v/>
      </c>
      <c r="EB470" s="58">
        <f>IFERROR($W471/$W470-1,"")</f>
        <v/>
      </c>
      <c r="EC470" s="58">
        <f>IFERROR($X471/$X470-1,"")</f>
        <v/>
      </c>
      <c r="ED470" s="58">
        <f>IFERROR($Y471/$Y470-1,"")</f>
        <v/>
      </c>
      <c r="EE470" s="58">
        <f>IFERROR($Z471/$Z470-1,"")</f>
        <v/>
      </c>
      <c r="EF470" s="58">
        <f>IFERROR($AA471/$AA470-1,"")</f>
        <v/>
      </c>
      <c r="EG470" s="58">
        <f>IFERROR($AB471/$AB470-1,"")</f>
        <v/>
      </c>
      <c r="EH470" s="58">
        <f>IFERROR($AC471/$AC470-1,"")</f>
        <v/>
      </c>
      <c r="EI470" s="58">
        <f>IFERROR($AD471/$AD470-1,"")</f>
        <v/>
      </c>
      <c r="EJ470" s="58">
        <f>IFERROR($AE471/$AE470-1,"")</f>
        <v/>
      </c>
      <c r="EK470" s="58">
        <f>IFERROR($AF471/$AF470-1,"")</f>
        <v/>
      </c>
      <c r="EL470" s="58">
        <f>IFERROR($AG471/$AG470-1,"")</f>
        <v/>
      </c>
      <c r="EM470" s="58">
        <f>IFERROR($BB470/$BB471-1,"")</f>
        <v/>
      </c>
      <c r="EN470" s="58">
        <f>IFERROR($BC470/$BC471-1,"")</f>
        <v/>
      </c>
      <c r="EO470" s="58">
        <f>IFERROR($BD470/$BD471-1,"")</f>
        <v/>
      </c>
      <c r="EP470" s="58">
        <f>IFERROR($BE470/$BE471-1,"")</f>
        <v/>
      </c>
      <c r="EQ470" s="58">
        <f>IFERROR($BF470/$BF471-1,"")</f>
        <v/>
      </c>
      <c r="ER470" s="58">
        <f>IFERROR($BG470/$BG471-1,"")</f>
        <v/>
      </c>
      <c r="ES470" s="58">
        <f>IFERROR($BH470/$BH471-1,"")</f>
        <v/>
      </c>
      <c r="ET470" s="58">
        <f>IFERROR($BI470/$BI471-1,"")</f>
        <v/>
      </c>
      <c r="EU470" s="58">
        <f>IFERROR($BJ470/$BJ471-1,"")</f>
        <v/>
      </c>
      <c r="EV470" s="58">
        <f>IFERROR($BK470/$BK471-1,"")</f>
        <v/>
      </c>
      <c r="EW470" s="58">
        <f>IFERROR($BL470/$BL471-1,"")</f>
        <v/>
      </c>
      <c r="EX470" s="58">
        <f>IFERROR($BM470/$BM471-1,"")</f>
        <v/>
      </c>
      <c r="EY470" s="58">
        <f>IFERROR($BN470/$BN471-1,"")</f>
        <v/>
      </c>
      <c r="EZ470" s="58">
        <f>IFERROR($BO470/$BO471-1,"")</f>
        <v/>
      </c>
      <c r="FA470" s="58">
        <f>IFERROR($BP470/$BP471-1,"")</f>
        <v/>
      </c>
      <c r="FB470" s="58">
        <f>IFERROR($BQ470/$BQ471-1,"")</f>
        <v/>
      </c>
      <c r="FC470" s="58">
        <f>IFERROR($BR470/$BR471-1,"")</f>
        <v/>
      </c>
      <c r="FD470" s="58">
        <f>IFERROR($BS470/$BS471-1,"")</f>
        <v/>
      </c>
      <c r="FE470" s="58">
        <f>IFERROR($BT470/$BT471-1,"")</f>
        <v/>
      </c>
      <c r="FF470" s="58">
        <f>IFERROR($BU470/$BU471-1,"")</f>
        <v/>
      </c>
      <c r="FG470" s="58">
        <f>IFERROR($BV470/$BV471-1,"")</f>
        <v/>
      </c>
      <c r="FH470" s="58">
        <f>IFERROR($BW470/$BW471-1,"")</f>
        <v/>
      </c>
      <c r="FI470" s="58">
        <f>IFERROR($BX470/$BX471-1,"")</f>
        <v/>
      </c>
      <c r="FJ470" s="59">
        <f>$BY470-$BY471</f>
        <v/>
      </c>
      <c r="FK470" s="59">
        <f>$BZ470-$BZ471</f>
        <v/>
      </c>
      <c r="FL470" s="59">
        <f>$CA470-$CA471</f>
        <v/>
      </c>
      <c r="FM470" s="59">
        <f>$CB470-$CB471</f>
        <v/>
      </c>
      <c r="FN470" s="59">
        <f>$CC470-$CC471</f>
        <v/>
      </c>
      <c r="FO470" s="59">
        <f>$CD470-$CD471</f>
        <v/>
      </c>
      <c r="FP470" s="59">
        <f>$CE470-$CE471</f>
        <v/>
      </c>
      <c r="FQ470" s="59">
        <f>$CF470-$CF471</f>
        <v/>
      </c>
      <c r="FR470" s="59">
        <f>$CG470-$CG471</f>
        <v/>
      </c>
      <c r="FS470" s="59">
        <f>$CH470-$CH471</f>
        <v/>
      </c>
      <c r="FT470" s="59">
        <f>$CI470-$CI471</f>
        <v/>
      </c>
      <c r="FU470" s="59">
        <f>$CJ470-$CJ471</f>
        <v/>
      </c>
      <c r="FV470" s="59">
        <f>$CK470-$CK471</f>
        <v/>
      </c>
      <c r="FW470" s="59">
        <f>$CL470-$CL471</f>
        <v/>
      </c>
      <c r="FX470" s="59">
        <f>$CM470-$CM471</f>
        <v/>
      </c>
      <c r="FY470" s="59">
        <f>$CN470-$CN471</f>
        <v/>
      </c>
      <c r="FZ470" s="59">
        <f>$CO470-$CO471</f>
        <v/>
      </c>
      <c r="GA470" s="59">
        <f>$CP470-$CP471</f>
        <v/>
      </c>
      <c r="GB470" s="59">
        <f>$CQ470-$CQ471</f>
        <v/>
      </c>
      <c r="GC470" s="59">
        <f>$CR470-$CR471</f>
        <v/>
      </c>
      <c r="GD470" s="59">
        <f>$CS470-$CS471</f>
        <v/>
      </c>
      <c r="GE470" s="59">
        <f>$CT470-$CT471</f>
        <v/>
      </c>
    </row>
    <row r="471">
      <c r="CU471" s="58">
        <f>IFERROR($B471/$B472-1,"")</f>
        <v/>
      </c>
      <c r="CV471" s="59">
        <f>($F471-$F472)*100</f>
        <v/>
      </c>
      <c r="CW471" s="59">
        <f>($E471-$E472)*100</f>
        <v/>
      </c>
      <c r="CX471" s="58">
        <f>IFERROR($K471/$K472-1,"")</f>
        <v/>
      </c>
      <c r="CY471" s="59">
        <f>($AH471-$AH472)*100</f>
        <v/>
      </c>
      <c r="CZ471" s="59">
        <f>($AI471-$AI472)*100</f>
        <v/>
      </c>
      <c r="DA471" s="59">
        <f>($AJ471-$AJ472)*100</f>
        <v/>
      </c>
      <c r="DB471" s="59">
        <f>($AK471-$AK472)*100</f>
        <v/>
      </c>
      <c r="DC471" s="59">
        <f>($AL471-$AL472)*100</f>
        <v/>
      </c>
      <c r="DD471" s="59">
        <f>($AM471-$AM472)*100</f>
        <v/>
      </c>
      <c r="DE471" s="59">
        <f>($AN471-$AN472)*100</f>
        <v/>
      </c>
      <c r="DF471" s="59">
        <f>($AO471-$AO472)*100</f>
        <v/>
      </c>
      <c r="DG471" s="59">
        <f>($AP471-$AP472)*100</f>
        <v/>
      </c>
      <c r="DH471" s="59">
        <f>($AQ471-$AQ472)*100</f>
        <v/>
      </c>
      <c r="DI471" s="59">
        <f>($AR471-$AR472)*100</f>
        <v/>
      </c>
      <c r="DJ471" s="59">
        <f>($AS471-$AS472)*100</f>
        <v/>
      </c>
      <c r="DK471" s="59">
        <f>($AT471-$AT472)*100</f>
        <v/>
      </c>
      <c r="DL471" s="59">
        <f>($AU471-$AU472)*100</f>
        <v/>
      </c>
      <c r="DM471" s="59">
        <f>($AV471-$AV472)*100</f>
        <v/>
      </c>
      <c r="DN471" s="59">
        <f>($AW471-$AW472)*100</f>
        <v/>
      </c>
      <c r="DO471" s="59">
        <f>($AX471-$AX472)*100</f>
        <v/>
      </c>
      <c r="DP471" s="59">
        <f>($AY471-$AY472)*100</f>
        <v/>
      </c>
      <c r="DQ471" s="59">
        <f>($AZ471-$AZ472)*100</f>
        <v/>
      </c>
      <c r="DR471" s="59">
        <f>($BA471-$BA472)*100</f>
        <v/>
      </c>
      <c r="DS471" s="58">
        <f>IFERROR($N472/$N471-1,"")</f>
        <v/>
      </c>
      <c r="DT471" s="58">
        <f>IFERROR($O472/$O471-1,"")</f>
        <v/>
      </c>
      <c r="DU471" s="58">
        <f>IFERROR($P472/$P471-1,"")</f>
        <v/>
      </c>
      <c r="DV471" s="58">
        <f>IFERROR($Q472/$Q471-1,"")</f>
        <v/>
      </c>
      <c r="DW471" s="58">
        <f>IFERROR($R472/$R471-1,"")</f>
        <v/>
      </c>
      <c r="DX471" s="58">
        <f>IFERROR($S472/$S471-1,"")</f>
        <v/>
      </c>
      <c r="DY471" s="58">
        <f>IFERROR($T472/$T471-1,"")</f>
        <v/>
      </c>
      <c r="DZ471" s="58">
        <f>IFERROR($U472/$U471-1,"")</f>
        <v/>
      </c>
      <c r="EA471" s="58">
        <f>IFERROR($V472/$V471-1,"")</f>
        <v/>
      </c>
      <c r="EB471" s="58">
        <f>IFERROR($W472/$W471-1,"")</f>
        <v/>
      </c>
      <c r="EC471" s="58">
        <f>IFERROR($X472/$X471-1,"")</f>
        <v/>
      </c>
      <c r="ED471" s="58">
        <f>IFERROR($Y472/$Y471-1,"")</f>
        <v/>
      </c>
      <c r="EE471" s="58">
        <f>IFERROR($Z472/$Z471-1,"")</f>
        <v/>
      </c>
      <c r="EF471" s="58">
        <f>IFERROR($AA472/$AA471-1,"")</f>
        <v/>
      </c>
      <c r="EG471" s="58">
        <f>IFERROR($AB472/$AB471-1,"")</f>
        <v/>
      </c>
      <c r="EH471" s="58">
        <f>IFERROR($AC472/$AC471-1,"")</f>
        <v/>
      </c>
      <c r="EI471" s="58">
        <f>IFERROR($AD472/$AD471-1,"")</f>
        <v/>
      </c>
      <c r="EJ471" s="58">
        <f>IFERROR($AE472/$AE471-1,"")</f>
        <v/>
      </c>
      <c r="EK471" s="58">
        <f>IFERROR($AF472/$AF471-1,"")</f>
        <v/>
      </c>
      <c r="EL471" s="58">
        <f>IFERROR($AG472/$AG471-1,"")</f>
        <v/>
      </c>
      <c r="EM471" s="58">
        <f>IFERROR($BB471/$BB472-1,"")</f>
        <v/>
      </c>
      <c r="EN471" s="58">
        <f>IFERROR($BC471/$BC472-1,"")</f>
        <v/>
      </c>
      <c r="EO471" s="58">
        <f>IFERROR($BD471/$BD472-1,"")</f>
        <v/>
      </c>
      <c r="EP471" s="58">
        <f>IFERROR($BE471/$BE472-1,"")</f>
        <v/>
      </c>
      <c r="EQ471" s="58">
        <f>IFERROR($BF471/$BF472-1,"")</f>
        <v/>
      </c>
      <c r="ER471" s="58">
        <f>IFERROR($BG471/$BG472-1,"")</f>
        <v/>
      </c>
      <c r="ES471" s="58">
        <f>IFERROR($BH471/$BH472-1,"")</f>
        <v/>
      </c>
      <c r="ET471" s="58">
        <f>IFERROR($BI471/$BI472-1,"")</f>
        <v/>
      </c>
      <c r="EU471" s="58">
        <f>IFERROR($BJ471/$BJ472-1,"")</f>
        <v/>
      </c>
      <c r="EV471" s="58">
        <f>IFERROR($BK471/$BK472-1,"")</f>
        <v/>
      </c>
      <c r="EW471" s="58">
        <f>IFERROR($BL471/$BL472-1,"")</f>
        <v/>
      </c>
      <c r="EX471" s="58">
        <f>IFERROR($BM471/$BM472-1,"")</f>
        <v/>
      </c>
      <c r="EY471" s="58">
        <f>IFERROR($BN471/$BN472-1,"")</f>
        <v/>
      </c>
      <c r="EZ471" s="58">
        <f>IFERROR($BO471/$BO472-1,"")</f>
        <v/>
      </c>
      <c r="FA471" s="58">
        <f>IFERROR($BP471/$BP472-1,"")</f>
        <v/>
      </c>
      <c r="FB471" s="58">
        <f>IFERROR($BQ471/$BQ472-1,"")</f>
        <v/>
      </c>
      <c r="FC471" s="58">
        <f>IFERROR($BR471/$BR472-1,"")</f>
        <v/>
      </c>
      <c r="FD471" s="58">
        <f>IFERROR($BS471/$BS472-1,"")</f>
        <v/>
      </c>
      <c r="FE471" s="58">
        <f>IFERROR($BT471/$BT472-1,"")</f>
        <v/>
      </c>
      <c r="FF471" s="58">
        <f>IFERROR($BU471/$BU472-1,"")</f>
        <v/>
      </c>
      <c r="FG471" s="58">
        <f>IFERROR($BV471/$BV472-1,"")</f>
        <v/>
      </c>
      <c r="FH471" s="58">
        <f>IFERROR($BW471/$BW472-1,"")</f>
        <v/>
      </c>
      <c r="FI471" s="58">
        <f>IFERROR($BX471/$BX472-1,"")</f>
        <v/>
      </c>
      <c r="FJ471" s="59">
        <f>$BY471-$BY472</f>
        <v/>
      </c>
      <c r="FK471" s="59">
        <f>$BZ471-$BZ472</f>
        <v/>
      </c>
      <c r="FL471" s="59">
        <f>$CA471-$CA472</f>
        <v/>
      </c>
      <c r="FM471" s="59">
        <f>$CB471-$CB472</f>
        <v/>
      </c>
      <c r="FN471" s="59">
        <f>$CC471-$CC472</f>
        <v/>
      </c>
      <c r="FO471" s="59">
        <f>$CD471-$CD472</f>
        <v/>
      </c>
      <c r="FP471" s="59">
        <f>$CE471-$CE472</f>
        <v/>
      </c>
      <c r="FQ471" s="59">
        <f>$CF471-$CF472</f>
        <v/>
      </c>
      <c r="FR471" s="59">
        <f>$CG471-$CG472</f>
        <v/>
      </c>
      <c r="FS471" s="59">
        <f>$CH471-$CH472</f>
        <v/>
      </c>
      <c r="FT471" s="59">
        <f>$CI471-$CI472</f>
        <v/>
      </c>
      <c r="FU471" s="59">
        <f>$CJ471-$CJ472</f>
        <v/>
      </c>
      <c r="FV471" s="59">
        <f>$CK471-$CK472</f>
        <v/>
      </c>
      <c r="FW471" s="59">
        <f>$CL471-$CL472</f>
        <v/>
      </c>
      <c r="FX471" s="59">
        <f>$CM471-$CM472</f>
        <v/>
      </c>
      <c r="FY471" s="59">
        <f>$CN471-$CN472</f>
        <v/>
      </c>
      <c r="FZ471" s="59">
        <f>$CO471-$CO472</f>
        <v/>
      </c>
      <c r="GA471" s="59">
        <f>$CP471-$CP472</f>
        <v/>
      </c>
      <c r="GB471" s="59">
        <f>$CQ471-$CQ472</f>
        <v/>
      </c>
      <c r="GC471" s="59">
        <f>$CR471-$CR472</f>
        <v/>
      </c>
      <c r="GD471" s="59">
        <f>$CS471-$CS472</f>
        <v/>
      </c>
      <c r="GE471" s="59">
        <f>$CT471-$CT472</f>
        <v/>
      </c>
    </row>
    <row r="472">
      <c r="CU472" s="58">
        <f>IFERROR($B472/$B473-1,"")</f>
        <v/>
      </c>
      <c r="CV472" s="59">
        <f>($F472-$F473)*100</f>
        <v/>
      </c>
      <c r="CW472" s="59">
        <f>($E472-$E473)*100</f>
        <v/>
      </c>
      <c r="CX472" s="58">
        <f>IFERROR($K472/$K473-1,"")</f>
        <v/>
      </c>
      <c r="CY472" s="59">
        <f>($AH472-$AH473)*100</f>
        <v/>
      </c>
      <c r="CZ472" s="59">
        <f>($AI472-$AI473)*100</f>
        <v/>
      </c>
      <c r="DA472" s="59">
        <f>($AJ472-$AJ473)*100</f>
        <v/>
      </c>
      <c r="DB472" s="59">
        <f>($AK472-$AK473)*100</f>
        <v/>
      </c>
      <c r="DC472" s="59">
        <f>($AL472-$AL473)*100</f>
        <v/>
      </c>
      <c r="DD472" s="59">
        <f>($AM472-$AM473)*100</f>
        <v/>
      </c>
      <c r="DE472" s="59">
        <f>($AN472-$AN473)*100</f>
        <v/>
      </c>
      <c r="DF472" s="59">
        <f>($AO472-$AO473)*100</f>
        <v/>
      </c>
      <c r="DG472" s="59">
        <f>($AP472-$AP473)*100</f>
        <v/>
      </c>
      <c r="DH472" s="59">
        <f>($AQ472-$AQ473)*100</f>
        <v/>
      </c>
      <c r="DI472" s="59">
        <f>($AR472-$AR473)*100</f>
        <v/>
      </c>
      <c r="DJ472" s="59">
        <f>($AS472-$AS473)*100</f>
        <v/>
      </c>
      <c r="DK472" s="59">
        <f>($AT472-$AT473)*100</f>
        <v/>
      </c>
      <c r="DL472" s="59">
        <f>($AU472-$AU473)*100</f>
        <v/>
      </c>
      <c r="DM472" s="59">
        <f>($AV472-$AV473)*100</f>
        <v/>
      </c>
      <c r="DN472" s="59">
        <f>($AW472-$AW473)*100</f>
        <v/>
      </c>
      <c r="DO472" s="59">
        <f>($AX472-$AX473)*100</f>
        <v/>
      </c>
      <c r="DP472" s="59">
        <f>($AY472-$AY473)*100</f>
        <v/>
      </c>
      <c r="DQ472" s="59">
        <f>($AZ472-$AZ473)*100</f>
        <v/>
      </c>
      <c r="DR472" s="59">
        <f>($BA472-$BA473)*100</f>
        <v/>
      </c>
      <c r="DS472" s="58">
        <f>IFERROR($N473/$N472-1,"")</f>
        <v/>
      </c>
      <c r="DT472" s="58">
        <f>IFERROR($O473/$O472-1,"")</f>
        <v/>
      </c>
      <c r="DU472" s="58">
        <f>IFERROR($P473/$P472-1,"")</f>
        <v/>
      </c>
      <c r="DV472" s="58">
        <f>IFERROR($Q473/$Q472-1,"")</f>
        <v/>
      </c>
      <c r="DW472" s="58">
        <f>IFERROR($R473/$R472-1,"")</f>
        <v/>
      </c>
      <c r="DX472" s="58">
        <f>IFERROR($S473/$S472-1,"")</f>
        <v/>
      </c>
      <c r="DY472" s="58">
        <f>IFERROR($T473/$T472-1,"")</f>
        <v/>
      </c>
      <c r="DZ472" s="58">
        <f>IFERROR($U473/$U472-1,"")</f>
        <v/>
      </c>
      <c r="EA472" s="58">
        <f>IFERROR($V473/$V472-1,"")</f>
        <v/>
      </c>
      <c r="EB472" s="58">
        <f>IFERROR($W473/$W472-1,"")</f>
        <v/>
      </c>
      <c r="EC472" s="58">
        <f>IFERROR($X473/$X472-1,"")</f>
        <v/>
      </c>
      <c r="ED472" s="58">
        <f>IFERROR($Y473/$Y472-1,"")</f>
        <v/>
      </c>
      <c r="EE472" s="58">
        <f>IFERROR($Z473/$Z472-1,"")</f>
        <v/>
      </c>
      <c r="EF472" s="58">
        <f>IFERROR($AA473/$AA472-1,"")</f>
        <v/>
      </c>
      <c r="EG472" s="58">
        <f>IFERROR($AB473/$AB472-1,"")</f>
        <v/>
      </c>
      <c r="EH472" s="58">
        <f>IFERROR($AC473/$AC472-1,"")</f>
        <v/>
      </c>
      <c r="EI472" s="58">
        <f>IFERROR($AD473/$AD472-1,"")</f>
        <v/>
      </c>
      <c r="EJ472" s="58">
        <f>IFERROR($AE473/$AE472-1,"")</f>
        <v/>
      </c>
      <c r="EK472" s="58">
        <f>IFERROR($AF473/$AF472-1,"")</f>
        <v/>
      </c>
      <c r="EL472" s="58">
        <f>IFERROR($AG473/$AG472-1,"")</f>
        <v/>
      </c>
      <c r="EM472" s="58">
        <f>IFERROR($BB472/$BB473-1,"")</f>
        <v/>
      </c>
      <c r="EN472" s="58">
        <f>IFERROR($BC472/$BC473-1,"")</f>
        <v/>
      </c>
      <c r="EO472" s="58">
        <f>IFERROR($BD472/$BD473-1,"")</f>
        <v/>
      </c>
      <c r="EP472" s="58">
        <f>IFERROR($BE472/$BE473-1,"")</f>
        <v/>
      </c>
      <c r="EQ472" s="58">
        <f>IFERROR($BF472/$BF473-1,"")</f>
        <v/>
      </c>
      <c r="ER472" s="58">
        <f>IFERROR($BG472/$BG473-1,"")</f>
        <v/>
      </c>
      <c r="ES472" s="58">
        <f>IFERROR($BH472/$BH473-1,"")</f>
        <v/>
      </c>
      <c r="ET472" s="58">
        <f>IFERROR($BI472/$BI473-1,"")</f>
        <v/>
      </c>
      <c r="EU472" s="58">
        <f>IFERROR($BJ472/$BJ473-1,"")</f>
        <v/>
      </c>
      <c r="EV472" s="58">
        <f>IFERROR($BK472/$BK473-1,"")</f>
        <v/>
      </c>
      <c r="EW472" s="58">
        <f>IFERROR($BL472/$BL473-1,"")</f>
        <v/>
      </c>
      <c r="EX472" s="58">
        <f>IFERROR($BM472/$BM473-1,"")</f>
        <v/>
      </c>
      <c r="EY472" s="58">
        <f>IFERROR($BN472/$BN473-1,"")</f>
        <v/>
      </c>
      <c r="EZ472" s="58">
        <f>IFERROR($BO472/$BO473-1,"")</f>
        <v/>
      </c>
      <c r="FA472" s="58">
        <f>IFERROR($BP472/$BP473-1,"")</f>
        <v/>
      </c>
      <c r="FB472" s="58">
        <f>IFERROR($BQ472/$BQ473-1,"")</f>
        <v/>
      </c>
      <c r="FC472" s="58">
        <f>IFERROR($BR472/$BR473-1,"")</f>
        <v/>
      </c>
      <c r="FD472" s="58">
        <f>IFERROR($BS472/$BS473-1,"")</f>
        <v/>
      </c>
      <c r="FE472" s="58">
        <f>IFERROR($BT472/$BT473-1,"")</f>
        <v/>
      </c>
      <c r="FF472" s="58">
        <f>IFERROR($BU472/$BU473-1,"")</f>
        <v/>
      </c>
      <c r="FG472" s="58">
        <f>IFERROR($BV472/$BV473-1,"")</f>
        <v/>
      </c>
      <c r="FH472" s="58">
        <f>IFERROR($BW472/$BW473-1,"")</f>
        <v/>
      </c>
      <c r="FI472" s="58">
        <f>IFERROR($BX472/$BX473-1,"")</f>
        <v/>
      </c>
      <c r="FJ472" s="59">
        <f>$BY472-$BY473</f>
        <v/>
      </c>
      <c r="FK472" s="59">
        <f>$BZ472-$BZ473</f>
        <v/>
      </c>
      <c r="FL472" s="59">
        <f>$CA472-$CA473</f>
        <v/>
      </c>
      <c r="FM472" s="59">
        <f>$CB472-$CB473</f>
        <v/>
      </c>
      <c r="FN472" s="59">
        <f>$CC472-$CC473</f>
        <v/>
      </c>
      <c r="FO472" s="59">
        <f>$CD472-$CD473</f>
        <v/>
      </c>
      <c r="FP472" s="59">
        <f>$CE472-$CE473</f>
        <v/>
      </c>
      <c r="FQ472" s="59">
        <f>$CF472-$CF473</f>
        <v/>
      </c>
      <c r="FR472" s="59">
        <f>$CG472-$CG473</f>
        <v/>
      </c>
      <c r="FS472" s="59">
        <f>$CH472-$CH473</f>
        <v/>
      </c>
      <c r="FT472" s="59">
        <f>$CI472-$CI473</f>
        <v/>
      </c>
      <c r="FU472" s="59">
        <f>$CJ472-$CJ473</f>
        <v/>
      </c>
      <c r="FV472" s="59">
        <f>$CK472-$CK473</f>
        <v/>
      </c>
      <c r="FW472" s="59">
        <f>$CL472-$CL473</f>
        <v/>
      </c>
      <c r="FX472" s="59">
        <f>$CM472-$CM473</f>
        <v/>
      </c>
      <c r="FY472" s="59">
        <f>$CN472-$CN473</f>
        <v/>
      </c>
      <c r="FZ472" s="59">
        <f>$CO472-$CO473</f>
        <v/>
      </c>
      <c r="GA472" s="59">
        <f>$CP472-$CP473</f>
        <v/>
      </c>
      <c r="GB472" s="59">
        <f>$CQ472-$CQ473</f>
        <v/>
      </c>
      <c r="GC472" s="59">
        <f>$CR472-$CR473</f>
        <v/>
      </c>
      <c r="GD472" s="59">
        <f>$CS472-$CS473</f>
        <v/>
      </c>
      <c r="GE472" s="59">
        <f>$CT472-$CT473</f>
        <v/>
      </c>
    </row>
    <row r="473">
      <c r="CU473" s="58">
        <f>IFERROR($B473/$B474-1,"")</f>
        <v/>
      </c>
      <c r="CV473" s="59">
        <f>($F473-$F474)*100</f>
        <v/>
      </c>
      <c r="CW473" s="59">
        <f>($E473-$E474)*100</f>
        <v/>
      </c>
      <c r="CX473" s="58">
        <f>IFERROR($K473/$K474-1,"")</f>
        <v/>
      </c>
      <c r="CY473" s="59">
        <f>($AH473-$AH474)*100</f>
        <v/>
      </c>
      <c r="CZ473" s="59">
        <f>($AI473-$AI474)*100</f>
        <v/>
      </c>
      <c r="DA473" s="59">
        <f>($AJ473-$AJ474)*100</f>
        <v/>
      </c>
      <c r="DB473" s="59">
        <f>($AK473-$AK474)*100</f>
        <v/>
      </c>
      <c r="DC473" s="59">
        <f>($AL473-$AL474)*100</f>
        <v/>
      </c>
      <c r="DD473" s="59">
        <f>($AM473-$AM474)*100</f>
        <v/>
      </c>
      <c r="DE473" s="59">
        <f>($AN473-$AN474)*100</f>
        <v/>
      </c>
      <c r="DF473" s="59">
        <f>($AO473-$AO474)*100</f>
        <v/>
      </c>
      <c r="DG473" s="59">
        <f>($AP473-$AP474)*100</f>
        <v/>
      </c>
      <c r="DH473" s="59">
        <f>($AQ473-$AQ474)*100</f>
        <v/>
      </c>
      <c r="DI473" s="59">
        <f>($AR473-$AR474)*100</f>
        <v/>
      </c>
      <c r="DJ473" s="59">
        <f>($AS473-$AS474)*100</f>
        <v/>
      </c>
      <c r="DK473" s="59">
        <f>($AT473-$AT474)*100</f>
        <v/>
      </c>
      <c r="DL473" s="59">
        <f>($AU473-$AU474)*100</f>
        <v/>
      </c>
      <c r="DM473" s="59">
        <f>($AV473-$AV474)*100</f>
        <v/>
      </c>
      <c r="DN473" s="59">
        <f>($AW473-$AW474)*100</f>
        <v/>
      </c>
      <c r="DO473" s="59">
        <f>($AX473-$AX474)*100</f>
        <v/>
      </c>
      <c r="DP473" s="59">
        <f>($AY473-$AY474)*100</f>
        <v/>
      </c>
      <c r="DQ473" s="59">
        <f>($AZ473-$AZ474)*100</f>
        <v/>
      </c>
      <c r="DR473" s="59">
        <f>($BA473-$BA474)*100</f>
        <v/>
      </c>
      <c r="DS473" s="58">
        <f>IFERROR($N474/$N473-1,"")</f>
        <v/>
      </c>
      <c r="DT473" s="58">
        <f>IFERROR($O474/$O473-1,"")</f>
        <v/>
      </c>
      <c r="DU473" s="58">
        <f>IFERROR($P474/$P473-1,"")</f>
        <v/>
      </c>
      <c r="DV473" s="58">
        <f>IFERROR($Q474/$Q473-1,"")</f>
        <v/>
      </c>
      <c r="DW473" s="58">
        <f>IFERROR($R474/$R473-1,"")</f>
        <v/>
      </c>
      <c r="DX473" s="58">
        <f>IFERROR($S474/$S473-1,"")</f>
        <v/>
      </c>
      <c r="DY473" s="58">
        <f>IFERROR($T474/$T473-1,"")</f>
        <v/>
      </c>
      <c r="DZ473" s="58">
        <f>IFERROR($U474/$U473-1,"")</f>
        <v/>
      </c>
      <c r="EA473" s="58">
        <f>IFERROR($V474/$V473-1,"")</f>
        <v/>
      </c>
      <c r="EB473" s="58">
        <f>IFERROR($W474/$W473-1,"")</f>
        <v/>
      </c>
      <c r="EC473" s="58">
        <f>IFERROR($X474/$X473-1,"")</f>
        <v/>
      </c>
      <c r="ED473" s="58">
        <f>IFERROR($Y474/$Y473-1,"")</f>
        <v/>
      </c>
      <c r="EE473" s="58">
        <f>IFERROR($Z474/$Z473-1,"")</f>
        <v/>
      </c>
      <c r="EF473" s="58">
        <f>IFERROR($AA474/$AA473-1,"")</f>
        <v/>
      </c>
      <c r="EG473" s="58">
        <f>IFERROR($AB474/$AB473-1,"")</f>
        <v/>
      </c>
      <c r="EH473" s="58">
        <f>IFERROR($AC474/$AC473-1,"")</f>
        <v/>
      </c>
      <c r="EI473" s="58">
        <f>IFERROR($AD474/$AD473-1,"")</f>
        <v/>
      </c>
      <c r="EJ473" s="58">
        <f>IFERROR($AE474/$AE473-1,"")</f>
        <v/>
      </c>
      <c r="EK473" s="58">
        <f>IFERROR($AF474/$AF473-1,"")</f>
        <v/>
      </c>
      <c r="EL473" s="58">
        <f>IFERROR($AG474/$AG473-1,"")</f>
        <v/>
      </c>
      <c r="EM473" s="58">
        <f>IFERROR($BB473/$BB474-1,"")</f>
        <v/>
      </c>
      <c r="EN473" s="58">
        <f>IFERROR($BC473/$BC474-1,"")</f>
        <v/>
      </c>
      <c r="EO473" s="58">
        <f>IFERROR($BD473/$BD474-1,"")</f>
        <v/>
      </c>
      <c r="EP473" s="58">
        <f>IFERROR($BE473/$BE474-1,"")</f>
        <v/>
      </c>
      <c r="EQ473" s="58">
        <f>IFERROR($BF473/$BF474-1,"")</f>
        <v/>
      </c>
      <c r="ER473" s="58">
        <f>IFERROR($BG473/$BG474-1,"")</f>
        <v/>
      </c>
      <c r="ES473" s="58">
        <f>IFERROR($BH473/$BH474-1,"")</f>
        <v/>
      </c>
      <c r="ET473" s="58">
        <f>IFERROR($BI473/$BI474-1,"")</f>
        <v/>
      </c>
      <c r="EU473" s="58">
        <f>IFERROR($BJ473/$BJ474-1,"")</f>
        <v/>
      </c>
      <c r="EV473" s="58">
        <f>IFERROR($BK473/$BK474-1,"")</f>
        <v/>
      </c>
      <c r="EW473" s="58">
        <f>IFERROR($BL473/$BL474-1,"")</f>
        <v/>
      </c>
      <c r="EX473" s="58">
        <f>IFERROR($BM473/$BM474-1,"")</f>
        <v/>
      </c>
      <c r="EY473" s="58">
        <f>IFERROR($BN473/$BN474-1,"")</f>
        <v/>
      </c>
      <c r="EZ473" s="58">
        <f>IFERROR($BO473/$BO474-1,"")</f>
        <v/>
      </c>
      <c r="FA473" s="58">
        <f>IFERROR($BP473/$BP474-1,"")</f>
        <v/>
      </c>
      <c r="FB473" s="58">
        <f>IFERROR($BQ473/$BQ474-1,"")</f>
        <v/>
      </c>
      <c r="FC473" s="58">
        <f>IFERROR($BR473/$BR474-1,"")</f>
        <v/>
      </c>
      <c r="FD473" s="58">
        <f>IFERROR($BS473/$BS474-1,"")</f>
        <v/>
      </c>
      <c r="FE473" s="58">
        <f>IFERROR($BT473/$BT474-1,"")</f>
        <v/>
      </c>
      <c r="FF473" s="58">
        <f>IFERROR($BU473/$BU474-1,"")</f>
        <v/>
      </c>
      <c r="FG473" s="58">
        <f>IFERROR($BV473/$BV474-1,"")</f>
        <v/>
      </c>
      <c r="FH473" s="58">
        <f>IFERROR($BW473/$BW474-1,"")</f>
        <v/>
      </c>
      <c r="FI473" s="58">
        <f>IFERROR($BX473/$BX474-1,"")</f>
        <v/>
      </c>
      <c r="FJ473" s="59">
        <f>$BY473-$BY474</f>
        <v/>
      </c>
      <c r="FK473" s="59">
        <f>$BZ473-$BZ474</f>
        <v/>
      </c>
      <c r="FL473" s="59">
        <f>$CA473-$CA474</f>
        <v/>
      </c>
      <c r="FM473" s="59">
        <f>$CB473-$CB474</f>
        <v/>
      </c>
      <c r="FN473" s="59">
        <f>$CC473-$CC474</f>
        <v/>
      </c>
      <c r="FO473" s="59">
        <f>$CD473-$CD474</f>
        <v/>
      </c>
      <c r="FP473" s="59">
        <f>$CE473-$CE474</f>
        <v/>
      </c>
      <c r="FQ473" s="59">
        <f>$CF473-$CF474</f>
        <v/>
      </c>
      <c r="FR473" s="59">
        <f>$CG473-$CG474</f>
        <v/>
      </c>
      <c r="FS473" s="59">
        <f>$CH473-$CH474</f>
        <v/>
      </c>
      <c r="FT473" s="59">
        <f>$CI473-$CI474</f>
        <v/>
      </c>
      <c r="FU473" s="59">
        <f>$CJ473-$CJ474</f>
        <v/>
      </c>
      <c r="FV473" s="59">
        <f>$CK473-$CK474</f>
        <v/>
      </c>
      <c r="FW473" s="59">
        <f>$CL473-$CL474</f>
        <v/>
      </c>
      <c r="FX473" s="59">
        <f>$CM473-$CM474</f>
        <v/>
      </c>
      <c r="FY473" s="59">
        <f>$CN473-$CN474</f>
        <v/>
      </c>
      <c r="FZ473" s="59">
        <f>$CO473-$CO474</f>
        <v/>
      </c>
      <c r="GA473" s="59">
        <f>$CP473-$CP474</f>
        <v/>
      </c>
      <c r="GB473" s="59">
        <f>$CQ473-$CQ474</f>
        <v/>
      </c>
      <c r="GC473" s="59">
        <f>$CR473-$CR474</f>
        <v/>
      </c>
      <c r="GD473" s="59">
        <f>$CS473-$CS474</f>
        <v/>
      </c>
      <c r="GE473" s="59">
        <f>$CT473-$CT474</f>
        <v/>
      </c>
    </row>
    <row r="474">
      <c r="CU474" s="58">
        <f>IFERROR($B474/$B475-1,"")</f>
        <v/>
      </c>
      <c r="CV474" s="59">
        <f>($F474-$F475)*100</f>
        <v/>
      </c>
      <c r="CW474" s="59">
        <f>($E474-$E475)*100</f>
        <v/>
      </c>
      <c r="CX474" s="58">
        <f>IFERROR($K474/$K475-1,"")</f>
        <v/>
      </c>
      <c r="CY474" s="59">
        <f>($AH474-$AH475)*100</f>
        <v/>
      </c>
      <c r="CZ474" s="59">
        <f>($AI474-$AI475)*100</f>
        <v/>
      </c>
      <c r="DA474" s="59">
        <f>($AJ474-$AJ475)*100</f>
        <v/>
      </c>
      <c r="DB474" s="59">
        <f>($AK474-$AK475)*100</f>
        <v/>
      </c>
      <c r="DC474" s="59">
        <f>($AL474-$AL475)*100</f>
        <v/>
      </c>
      <c r="DD474" s="59">
        <f>($AM474-$AM475)*100</f>
        <v/>
      </c>
      <c r="DE474" s="59">
        <f>($AN474-$AN475)*100</f>
        <v/>
      </c>
      <c r="DF474" s="59">
        <f>($AO474-$AO475)*100</f>
        <v/>
      </c>
      <c r="DG474" s="59">
        <f>($AP474-$AP475)*100</f>
        <v/>
      </c>
      <c r="DH474" s="59">
        <f>($AQ474-$AQ475)*100</f>
        <v/>
      </c>
      <c r="DI474" s="59">
        <f>($AR474-$AR475)*100</f>
        <v/>
      </c>
      <c r="DJ474" s="59">
        <f>($AS474-$AS475)*100</f>
        <v/>
      </c>
      <c r="DK474" s="59">
        <f>($AT474-$AT475)*100</f>
        <v/>
      </c>
      <c r="DL474" s="59">
        <f>($AU474-$AU475)*100</f>
        <v/>
      </c>
      <c r="DM474" s="59">
        <f>($AV474-$AV475)*100</f>
        <v/>
      </c>
      <c r="DN474" s="59">
        <f>($AW474-$AW475)*100</f>
        <v/>
      </c>
      <c r="DO474" s="59">
        <f>($AX474-$AX475)*100</f>
        <v/>
      </c>
      <c r="DP474" s="59">
        <f>($AY474-$AY475)*100</f>
        <v/>
      </c>
      <c r="DQ474" s="59">
        <f>($AZ474-$AZ475)*100</f>
        <v/>
      </c>
      <c r="DR474" s="59">
        <f>($BA474-$BA475)*100</f>
        <v/>
      </c>
      <c r="DS474" s="58">
        <f>IFERROR($N475/$N474-1,"")</f>
        <v/>
      </c>
      <c r="DT474" s="58">
        <f>IFERROR($O475/$O474-1,"")</f>
        <v/>
      </c>
      <c r="DU474" s="58">
        <f>IFERROR($P475/$P474-1,"")</f>
        <v/>
      </c>
      <c r="DV474" s="58">
        <f>IFERROR($Q475/$Q474-1,"")</f>
        <v/>
      </c>
      <c r="DW474" s="58">
        <f>IFERROR($R475/$R474-1,"")</f>
        <v/>
      </c>
      <c r="DX474" s="58">
        <f>IFERROR($S475/$S474-1,"")</f>
        <v/>
      </c>
      <c r="DY474" s="58">
        <f>IFERROR($T475/$T474-1,"")</f>
        <v/>
      </c>
      <c r="DZ474" s="58">
        <f>IFERROR($U475/$U474-1,"")</f>
        <v/>
      </c>
      <c r="EA474" s="58">
        <f>IFERROR($V475/$V474-1,"")</f>
        <v/>
      </c>
      <c r="EB474" s="58">
        <f>IFERROR($W475/$W474-1,"")</f>
        <v/>
      </c>
      <c r="EC474" s="58">
        <f>IFERROR($X475/$X474-1,"")</f>
        <v/>
      </c>
      <c r="ED474" s="58">
        <f>IFERROR($Y475/$Y474-1,"")</f>
        <v/>
      </c>
      <c r="EE474" s="58">
        <f>IFERROR($Z475/$Z474-1,"")</f>
        <v/>
      </c>
      <c r="EF474" s="58">
        <f>IFERROR($AA475/$AA474-1,"")</f>
        <v/>
      </c>
      <c r="EG474" s="58">
        <f>IFERROR($AB475/$AB474-1,"")</f>
        <v/>
      </c>
      <c r="EH474" s="58">
        <f>IFERROR($AC475/$AC474-1,"")</f>
        <v/>
      </c>
      <c r="EI474" s="58">
        <f>IFERROR($AD475/$AD474-1,"")</f>
        <v/>
      </c>
      <c r="EJ474" s="58">
        <f>IFERROR($AE475/$AE474-1,"")</f>
        <v/>
      </c>
      <c r="EK474" s="58">
        <f>IFERROR($AF475/$AF474-1,"")</f>
        <v/>
      </c>
      <c r="EL474" s="58">
        <f>IFERROR($AG475/$AG474-1,"")</f>
        <v/>
      </c>
      <c r="EM474" s="58">
        <f>IFERROR($BB474/$BB475-1,"")</f>
        <v/>
      </c>
      <c r="EN474" s="58">
        <f>IFERROR($BC474/$BC475-1,"")</f>
        <v/>
      </c>
      <c r="EO474" s="58">
        <f>IFERROR($BD474/$BD475-1,"")</f>
        <v/>
      </c>
      <c r="EP474" s="58">
        <f>IFERROR($BE474/$BE475-1,"")</f>
        <v/>
      </c>
      <c r="EQ474" s="58">
        <f>IFERROR($BF474/$BF475-1,"")</f>
        <v/>
      </c>
      <c r="ER474" s="58">
        <f>IFERROR($BG474/$BG475-1,"")</f>
        <v/>
      </c>
      <c r="ES474" s="58">
        <f>IFERROR($BH474/$BH475-1,"")</f>
        <v/>
      </c>
      <c r="ET474" s="58">
        <f>IFERROR($BI474/$BI475-1,"")</f>
        <v/>
      </c>
      <c r="EU474" s="58">
        <f>IFERROR($BJ474/$BJ475-1,"")</f>
        <v/>
      </c>
      <c r="EV474" s="58">
        <f>IFERROR($BK474/$BK475-1,"")</f>
        <v/>
      </c>
      <c r="EW474" s="58">
        <f>IFERROR($BL474/$BL475-1,"")</f>
        <v/>
      </c>
      <c r="EX474" s="58">
        <f>IFERROR($BM474/$BM475-1,"")</f>
        <v/>
      </c>
      <c r="EY474" s="58">
        <f>IFERROR($BN474/$BN475-1,"")</f>
        <v/>
      </c>
      <c r="EZ474" s="58">
        <f>IFERROR($BO474/$BO475-1,"")</f>
        <v/>
      </c>
      <c r="FA474" s="58">
        <f>IFERROR($BP474/$BP475-1,"")</f>
        <v/>
      </c>
      <c r="FB474" s="58">
        <f>IFERROR($BQ474/$BQ475-1,"")</f>
        <v/>
      </c>
      <c r="FC474" s="58">
        <f>IFERROR($BR474/$BR475-1,"")</f>
        <v/>
      </c>
      <c r="FD474" s="58">
        <f>IFERROR($BS474/$BS475-1,"")</f>
        <v/>
      </c>
      <c r="FE474" s="58">
        <f>IFERROR($BT474/$BT475-1,"")</f>
        <v/>
      </c>
      <c r="FF474" s="58">
        <f>IFERROR($BU474/$BU475-1,"")</f>
        <v/>
      </c>
      <c r="FG474" s="58">
        <f>IFERROR($BV474/$BV475-1,"")</f>
        <v/>
      </c>
      <c r="FH474" s="58">
        <f>IFERROR($BW474/$BW475-1,"")</f>
        <v/>
      </c>
      <c r="FI474" s="58">
        <f>IFERROR($BX474/$BX475-1,"")</f>
        <v/>
      </c>
      <c r="FJ474" s="59">
        <f>$BY474-$BY475</f>
        <v/>
      </c>
      <c r="FK474" s="59">
        <f>$BZ474-$BZ475</f>
        <v/>
      </c>
      <c r="FL474" s="59">
        <f>$CA474-$CA475</f>
        <v/>
      </c>
      <c r="FM474" s="59">
        <f>$CB474-$CB475</f>
        <v/>
      </c>
      <c r="FN474" s="59">
        <f>$CC474-$CC475</f>
        <v/>
      </c>
      <c r="FO474" s="59">
        <f>$CD474-$CD475</f>
        <v/>
      </c>
      <c r="FP474" s="59">
        <f>$CE474-$CE475</f>
        <v/>
      </c>
      <c r="FQ474" s="59">
        <f>$CF474-$CF475</f>
        <v/>
      </c>
      <c r="FR474" s="59">
        <f>$CG474-$CG475</f>
        <v/>
      </c>
      <c r="FS474" s="59">
        <f>$CH474-$CH475</f>
        <v/>
      </c>
      <c r="FT474" s="59">
        <f>$CI474-$CI475</f>
        <v/>
      </c>
      <c r="FU474" s="59">
        <f>$CJ474-$CJ475</f>
        <v/>
      </c>
      <c r="FV474" s="59">
        <f>$CK474-$CK475</f>
        <v/>
      </c>
      <c r="FW474" s="59">
        <f>$CL474-$CL475</f>
        <v/>
      </c>
      <c r="FX474" s="59">
        <f>$CM474-$CM475</f>
        <v/>
      </c>
      <c r="FY474" s="59">
        <f>$CN474-$CN475</f>
        <v/>
      </c>
      <c r="FZ474" s="59">
        <f>$CO474-$CO475</f>
        <v/>
      </c>
      <c r="GA474" s="59">
        <f>$CP474-$CP475</f>
        <v/>
      </c>
      <c r="GB474" s="59">
        <f>$CQ474-$CQ475</f>
        <v/>
      </c>
      <c r="GC474" s="59">
        <f>$CR474-$CR475</f>
        <v/>
      </c>
      <c r="GD474" s="59">
        <f>$CS474-$CS475</f>
        <v/>
      </c>
      <c r="GE474" s="59">
        <f>$CT474-$CT475</f>
        <v/>
      </c>
    </row>
    <row r="475">
      <c r="CU475" s="58">
        <f>IFERROR($B475/$B476-1,"")</f>
        <v/>
      </c>
      <c r="CV475" s="59">
        <f>($F475-$F476)*100</f>
        <v/>
      </c>
      <c r="CW475" s="59">
        <f>($E475-$E476)*100</f>
        <v/>
      </c>
      <c r="CX475" s="58">
        <f>IFERROR($K475/$K476-1,"")</f>
        <v/>
      </c>
      <c r="CY475" s="59">
        <f>($AH475-$AH476)*100</f>
        <v/>
      </c>
      <c r="CZ475" s="59">
        <f>($AI475-$AI476)*100</f>
        <v/>
      </c>
      <c r="DA475" s="59">
        <f>($AJ475-$AJ476)*100</f>
        <v/>
      </c>
      <c r="DB475" s="59">
        <f>($AK475-$AK476)*100</f>
        <v/>
      </c>
      <c r="DC475" s="59">
        <f>($AL475-$AL476)*100</f>
        <v/>
      </c>
      <c r="DD475" s="59">
        <f>($AM475-$AM476)*100</f>
        <v/>
      </c>
      <c r="DE475" s="59">
        <f>($AN475-$AN476)*100</f>
        <v/>
      </c>
      <c r="DF475" s="59">
        <f>($AO475-$AO476)*100</f>
        <v/>
      </c>
      <c r="DG475" s="59">
        <f>($AP475-$AP476)*100</f>
        <v/>
      </c>
      <c r="DH475" s="59">
        <f>($AQ475-$AQ476)*100</f>
        <v/>
      </c>
      <c r="DI475" s="59">
        <f>($AR475-$AR476)*100</f>
        <v/>
      </c>
      <c r="DJ475" s="59">
        <f>($AS475-$AS476)*100</f>
        <v/>
      </c>
      <c r="DK475" s="59">
        <f>($AT475-$AT476)*100</f>
        <v/>
      </c>
      <c r="DL475" s="59">
        <f>($AU475-$AU476)*100</f>
        <v/>
      </c>
      <c r="DM475" s="59">
        <f>($AV475-$AV476)*100</f>
        <v/>
      </c>
      <c r="DN475" s="59">
        <f>($AW475-$AW476)*100</f>
        <v/>
      </c>
      <c r="DO475" s="59">
        <f>($AX475-$AX476)*100</f>
        <v/>
      </c>
      <c r="DP475" s="59">
        <f>($AY475-$AY476)*100</f>
        <v/>
      </c>
      <c r="DQ475" s="59">
        <f>($AZ475-$AZ476)*100</f>
        <v/>
      </c>
      <c r="DR475" s="59">
        <f>($BA475-$BA476)*100</f>
        <v/>
      </c>
      <c r="DS475" s="58">
        <f>IFERROR($N476/$N475-1,"")</f>
        <v/>
      </c>
      <c r="DT475" s="58">
        <f>IFERROR($O476/$O475-1,"")</f>
        <v/>
      </c>
      <c r="DU475" s="58">
        <f>IFERROR($P476/$P475-1,"")</f>
        <v/>
      </c>
      <c r="DV475" s="58">
        <f>IFERROR($Q476/$Q475-1,"")</f>
        <v/>
      </c>
      <c r="DW475" s="58">
        <f>IFERROR($R476/$R475-1,"")</f>
        <v/>
      </c>
      <c r="DX475" s="58">
        <f>IFERROR($S476/$S475-1,"")</f>
        <v/>
      </c>
      <c r="DY475" s="58">
        <f>IFERROR($T476/$T475-1,"")</f>
        <v/>
      </c>
      <c r="DZ475" s="58">
        <f>IFERROR($U476/$U475-1,"")</f>
        <v/>
      </c>
      <c r="EA475" s="58">
        <f>IFERROR($V476/$V475-1,"")</f>
        <v/>
      </c>
      <c r="EB475" s="58">
        <f>IFERROR($W476/$W475-1,"")</f>
        <v/>
      </c>
      <c r="EC475" s="58">
        <f>IFERROR($X476/$X475-1,"")</f>
        <v/>
      </c>
      <c r="ED475" s="58">
        <f>IFERROR($Y476/$Y475-1,"")</f>
        <v/>
      </c>
      <c r="EE475" s="58">
        <f>IFERROR($Z476/$Z475-1,"")</f>
        <v/>
      </c>
      <c r="EF475" s="58">
        <f>IFERROR($AA476/$AA475-1,"")</f>
        <v/>
      </c>
      <c r="EG475" s="58">
        <f>IFERROR($AB476/$AB475-1,"")</f>
        <v/>
      </c>
      <c r="EH475" s="58">
        <f>IFERROR($AC476/$AC475-1,"")</f>
        <v/>
      </c>
      <c r="EI475" s="58">
        <f>IFERROR($AD476/$AD475-1,"")</f>
        <v/>
      </c>
      <c r="EJ475" s="58">
        <f>IFERROR($AE476/$AE475-1,"")</f>
        <v/>
      </c>
      <c r="EK475" s="58">
        <f>IFERROR($AF476/$AF475-1,"")</f>
        <v/>
      </c>
      <c r="EL475" s="58">
        <f>IFERROR($AG476/$AG475-1,"")</f>
        <v/>
      </c>
      <c r="EM475" s="58">
        <f>IFERROR($BB475/$BB476-1,"")</f>
        <v/>
      </c>
      <c r="EN475" s="58">
        <f>IFERROR($BC475/$BC476-1,"")</f>
        <v/>
      </c>
      <c r="EO475" s="58">
        <f>IFERROR($BD475/$BD476-1,"")</f>
        <v/>
      </c>
      <c r="EP475" s="58">
        <f>IFERROR($BE475/$BE476-1,"")</f>
        <v/>
      </c>
      <c r="EQ475" s="58">
        <f>IFERROR($BF475/$BF476-1,"")</f>
        <v/>
      </c>
      <c r="ER475" s="58">
        <f>IFERROR($BG475/$BG476-1,"")</f>
        <v/>
      </c>
      <c r="ES475" s="58">
        <f>IFERROR($BH475/$BH476-1,"")</f>
        <v/>
      </c>
      <c r="ET475" s="58">
        <f>IFERROR($BI475/$BI476-1,"")</f>
        <v/>
      </c>
      <c r="EU475" s="58">
        <f>IFERROR($BJ475/$BJ476-1,"")</f>
        <v/>
      </c>
      <c r="EV475" s="58">
        <f>IFERROR($BK475/$BK476-1,"")</f>
        <v/>
      </c>
      <c r="EW475" s="58">
        <f>IFERROR($BL475/$BL476-1,"")</f>
        <v/>
      </c>
      <c r="EX475" s="58">
        <f>IFERROR($BM475/$BM476-1,"")</f>
        <v/>
      </c>
      <c r="EY475" s="58">
        <f>IFERROR($BN475/$BN476-1,"")</f>
        <v/>
      </c>
      <c r="EZ475" s="58">
        <f>IFERROR($BO475/$BO476-1,"")</f>
        <v/>
      </c>
      <c r="FA475" s="58">
        <f>IFERROR($BP475/$BP476-1,"")</f>
        <v/>
      </c>
      <c r="FB475" s="58">
        <f>IFERROR($BQ475/$BQ476-1,"")</f>
        <v/>
      </c>
      <c r="FC475" s="58">
        <f>IFERROR($BR475/$BR476-1,"")</f>
        <v/>
      </c>
      <c r="FD475" s="58">
        <f>IFERROR($BS475/$BS476-1,"")</f>
        <v/>
      </c>
      <c r="FE475" s="58">
        <f>IFERROR($BT475/$BT476-1,"")</f>
        <v/>
      </c>
      <c r="FF475" s="58">
        <f>IFERROR($BU475/$BU476-1,"")</f>
        <v/>
      </c>
      <c r="FG475" s="58">
        <f>IFERROR($BV475/$BV476-1,"")</f>
        <v/>
      </c>
      <c r="FH475" s="58">
        <f>IFERROR($BW475/$BW476-1,"")</f>
        <v/>
      </c>
      <c r="FI475" s="58">
        <f>IFERROR($BX475/$BX476-1,"")</f>
        <v/>
      </c>
      <c r="FJ475" s="59">
        <f>$BY475-$BY476</f>
        <v/>
      </c>
      <c r="FK475" s="59">
        <f>$BZ475-$BZ476</f>
        <v/>
      </c>
      <c r="FL475" s="59">
        <f>$CA475-$CA476</f>
        <v/>
      </c>
      <c r="FM475" s="59">
        <f>$CB475-$CB476</f>
        <v/>
      </c>
      <c r="FN475" s="59">
        <f>$CC475-$CC476</f>
        <v/>
      </c>
      <c r="FO475" s="59">
        <f>$CD475-$CD476</f>
        <v/>
      </c>
      <c r="FP475" s="59">
        <f>$CE475-$CE476</f>
        <v/>
      </c>
      <c r="FQ475" s="59">
        <f>$CF475-$CF476</f>
        <v/>
      </c>
      <c r="FR475" s="59">
        <f>$CG475-$CG476</f>
        <v/>
      </c>
      <c r="FS475" s="59">
        <f>$CH475-$CH476</f>
        <v/>
      </c>
      <c r="FT475" s="59">
        <f>$CI475-$CI476</f>
        <v/>
      </c>
      <c r="FU475" s="59">
        <f>$CJ475-$CJ476</f>
        <v/>
      </c>
      <c r="FV475" s="59">
        <f>$CK475-$CK476</f>
        <v/>
      </c>
      <c r="FW475" s="59">
        <f>$CL475-$CL476</f>
        <v/>
      </c>
      <c r="FX475" s="59">
        <f>$CM475-$CM476</f>
        <v/>
      </c>
      <c r="FY475" s="59">
        <f>$CN475-$CN476</f>
        <v/>
      </c>
      <c r="FZ475" s="59">
        <f>$CO475-$CO476</f>
        <v/>
      </c>
      <c r="GA475" s="59">
        <f>$CP475-$CP476</f>
        <v/>
      </c>
      <c r="GB475" s="59">
        <f>$CQ475-$CQ476</f>
        <v/>
      </c>
      <c r="GC475" s="59">
        <f>$CR475-$CR476</f>
        <v/>
      </c>
      <c r="GD475" s="59">
        <f>$CS475-$CS476</f>
        <v/>
      </c>
      <c r="GE475" s="59">
        <f>$CT475-$CT476</f>
        <v/>
      </c>
    </row>
    <row r="476">
      <c r="CU476" s="58">
        <f>IFERROR($B476/$B477-1,"")</f>
        <v/>
      </c>
      <c r="CV476" s="59">
        <f>($F476-$F477)*100</f>
        <v/>
      </c>
      <c r="CW476" s="59">
        <f>($E476-$E477)*100</f>
        <v/>
      </c>
      <c r="CX476" s="58">
        <f>IFERROR($K476/$K477-1,"")</f>
        <v/>
      </c>
      <c r="CY476" s="59">
        <f>($AH476-$AH477)*100</f>
        <v/>
      </c>
      <c r="CZ476" s="59">
        <f>($AI476-$AI477)*100</f>
        <v/>
      </c>
      <c r="DA476" s="59">
        <f>($AJ476-$AJ477)*100</f>
        <v/>
      </c>
      <c r="DB476" s="59">
        <f>($AK476-$AK477)*100</f>
        <v/>
      </c>
      <c r="DC476" s="59">
        <f>($AL476-$AL477)*100</f>
        <v/>
      </c>
      <c r="DD476" s="59">
        <f>($AM476-$AM477)*100</f>
        <v/>
      </c>
      <c r="DE476" s="59">
        <f>($AN476-$AN477)*100</f>
        <v/>
      </c>
      <c r="DF476" s="59">
        <f>($AO476-$AO477)*100</f>
        <v/>
      </c>
      <c r="DG476" s="59">
        <f>($AP476-$AP477)*100</f>
        <v/>
      </c>
      <c r="DH476" s="59">
        <f>($AQ476-$AQ477)*100</f>
        <v/>
      </c>
      <c r="DI476" s="59">
        <f>($AR476-$AR477)*100</f>
        <v/>
      </c>
      <c r="DJ476" s="59">
        <f>($AS476-$AS477)*100</f>
        <v/>
      </c>
      <c r="DK476" s="59">
        <f>($AT476-$AT477)*100</f>
        <v/>
      </c>
      <c r="DL476" s="59">
        <f>($AU476-$AU477)*100</f>
        <v/>
      </c>
      <c r="DM476" s="59">
        <f>($AV476-$AV477)*100</f>
        <v/>
      </c>
      <c r="DN476" s="59">
        <f>($AW476-$AW477)*100</f>
        <v/>
      </c>
      <c r="DO476" s="59">
        <f>($AX476-$AX477)*100</f>
        <v/>
      </c>
      <c r="DP476" s="59">
        <f>($AY476-$AY477)*100</f>
        <v/>
      </c>
      <c r="DQ476" s="59">
        <f>($AZ476-$AZ477)*100</f>
        <v/>
      </c>
      <c r="DR476" s="59">
        <f>($BA476-$BA477)*100</f>
        <v/>
      </c>
      <c r="DS476" s="58">
        <f>IFERROR($N477/$N476-1,"")</f>
        <v/>
      </c>
      <c r="DT476" s="58">
        <f>IFERROR($O477/$O476-1,"")</f>
        <v/>
      </c>
      <c r="DU476" s="58">
        <f>IFERROR($P477/$P476-1,"")</f>
        <v/>
      </c>
      <c r="DV476" s="58">
        <f>IFERROR($Q477/$Q476-1,"")</f>
        <v/>
      </c>
      <c r="DW476" s="58">
        <f>IFERROR($R477/$R476-1,"")</f>
        <v/>
      </c>
      <c r="DX476" s="58">
        <f>IFERROR($S477/$S476-1,"")</f>
        <v/>
      </c>
      <c r="DY476" s="58">
        <f>IFERROR($T477/$T476-1,"")</f>
        <v/>
      </c>
      <c r="DZ476" s="58">
        <f>IFERROR($U477/$U476-1,"")</f>
        <v/>
      </c>
      <c r="EA476" s="58">
        <f>IFERROR($V477/$V476-1,"")</f>
        <v/>
      </c>
      <c r="EB476" s="58">
        <f>IFERROR($W477/$W476-1,"")</f>
        <v/>
      </c>
      <c r="EC476" s="58">
        <f>IFERROR($X477/$X476-1,"")</f>
        <v/>
      </c>
      <c r="ED476" s="58">
        <f>IFERROR($Y477/$Y476-1,"")</f>
        <v/>
      </c>
      <c r="EE476" s="58">
        <f>IFERROR($Z477/$Z476-1,"")</f>
        <v/>
      </c>
      <c r="EF476" s="58">
        <f>IFERROR($AA477/$AA476-1,"")</f>
        <v/>
      </c>
      <c r="EG476" s="58">
        <f>IFERROR($AB477/$AB476-1,"")</f>
        <v/>
      </c>
      <c r="EH476" s="58">
        <f>IFERROR($AC477/$AC476-1,"")</f>
        <v/>
      </c>
      <c r="EI476" s="58">
        <f>IFERROR($AD477/$AD476-1,"")</f>
        <v/>
      </c>
      <c r="EJ476" s="58">
        <f>IFERROR($AE477/$AE476-1,"")</f>
        <v/>
      </c>
      <c r="EK476" s="58">
        <f>IFERROR($AF477/$AF476-1,"")</f>
        <v/>
      </c>
      <c r="EL476" s="58">
        <f>IFERROR($AG477/$AG476-1,"")</f>
        <v/>
      </c>
      <c r="EM476" s="58">
        <f>IFERROR($BB476/$BB477-1,"")</f>
        <v/>
      </c>
      <c r="EN476" s="58">
        <f>IFERROR($BC476/$BC477-1,"")</f>
        <v/>
      </c>
      <c r="EO476" s="58">
        <f>IFERROR($BD476/$BD477-1,"")</f>
        <v/>
      </c>
      <c r="EP476" s="58">
        <f>IFERROR($BE476/$BE477-1,"")</f>
        <v/>
      </c>
      <c r="EQ476" s="58">
        <f>IFERROR($BF476/$BF477-1,"")</f>
        <v/>
      </c>
      <c r="ER476" s="58">
        <f>IFERROR($BG476/$BG477-1,"")</f>
        <v/>
      </c>
      <c r="ES476" s="58">
        <f>IFERROR($BH476/$BH477-1,"")</f>
        <v/>
      </c>
      <c r="ET476" s="58">
        <f>IFERROR($BI476/$BI477-1,"")</f>
        <v/>
      </c>
      <c r="EU476" s="58">
        <f>IFERROR($BJ476/$BJ477-1,"")</f>
        <v/>
      </c>
      <c r="EV476" s="58">
        <f>IFERROR($BK476/$BK477-1,"")</f>
        <v/>
      </c>
      <c r="EW476" s="58">
        <f>IFERROR($BL476/$BL477-1,"")</f>
        <v/>
      </c>
      <c r="EX476" s="58">
        <f>IFERROR($BM476/$BM477-1,"")</f>
        <v/>
      </c>
      <c r="EY476" s="58">
        <f>IFERROR($BN476/$BN477-1,"")</f>
        <v/>
      </c>
      <c r="EZ476" s="58">
        <f>IFERROR($BO476/$BO477-1,"")</f>
        <v/>
      </c>
      <c r="FA476" s="58">
        <f>IFERROR($BP476/$BP477-1,"")</f>
        <v/>
      </c>
      <c r="FB476" s="58">
        <f>IFERROR($BQ476/$BQ477-1,"")</f>
        <v/>
      </c>
      <c r="FC476" s="58">
        <f>IFERROR($BR476/$BR477-1,"")</f>
        <v/>
      </c>
      <c r="FD476" s="58">
        <f>IFERROR($BS476/$BS477-1,"")</f>
        <v/>
      </c>
      <c r="FE476" s="58">
        <f>IFERROR($BT476/$BT477-1,"")</f>
        <v/>
      </c>
      <c r="FF476" s="58">
        <f>IFERROR($BU476/$BU477-1,"")</f>
        <v/>
      </c>
      <c r="FG476" s="58">
        <f>IFERROR($BV476/$BV477-1,"")</f>
        <v/>
      </c>
      <c r="FH476" s="58">
        <f>IFERROR($BW476/$BW477-1,"")</f>
        <v/>
      </c>
      <c r="FI476" s="58">
        <f>IFERROR($BX476/$BX477-1,"")</f>
        <v/>
      </c>
      <c r="FJ476" s="59">
        <f>$BY476-$BY477</f>
        <v/>
      </c>
      <c r="FK476" s="59">
        <f>$BZ476-$BZ477</f>
        <v/>
      </c>
      <c r="FL476" s="59">
        <f>$CA476-$CA477</f>
        <v/>
      </c>
      <c r="FM476" s="59">
        <f>$CB476-$CB477</f>
        <v/>
      </c>
      <c r="FN476" s="59">
        <f>$CC476-$CC477</f>
        <v/>
      </c>
      <c r="FO476" s="59">
        <f>$CD476-$CD477</f>
        <v/>
      </c>
      <c r="FP476" s="59">
        <f>$CE476-$CE477</f>
        <v/>
      </c>
      <c r="FQ476" s="59">
        <f>$CF476-$CF477</f>
        <v/>
      </c>
      <c r="FR476" s="59">
        <f>$CG476-$CG477</f>
        <v/>
      </c>
      <c r="FS476" s="59">
        <f>$CH476-$CH477</f>
        <v/>
      </c>
      <c r="FT476" s="59">
        <f>$CI476-$CI477</f>
        <v/>
      </c>
      <c r="FU476" s="59">
        <f>$CJ476-$CJ477</f>
        <v/>
      </c>
      <c r="FV476" s="59">
        <f>$CK476-$CK477</f>
        <v/>
      </c>
      <c r="FW476" s="59">
        <f>$CL476-$CL477</f>
        <v/>
      </c>
      <c r="FX476" s="59">
        <f>$CM476-$CM477</f>
        <v/>
      </c>
      <c r="FY476" s="59">
        <f>$CN476-$CN477</f>
        <v/>
      </c>
      <c r="FZ476" s="59">
        <f>$CO476-$CO477</f>
        <v/>
      </c>
      <c r="GA476" s="59">
        <f>$CP476-$CP477</f>
        <v/>
      </c>
      <c r="GB476" s="59">
        <f>$CQ476-$CQ477</f>
        <v/>
      </c>
      <c r="GC476" s="59">
        <f>$CR476-$CR477</f>
        <v/>
      </c>
      <c r="GD476" s="59">
        <f>$CS476-$CS477</f>
        <v/>
      </c>
      <c r="GE476" s="59">
        <f>$CT476-$CT477</f>
        <v/>
      </c>
    </row>
    <row r="477">
      <c r="CU477" s="58">
        <f>IFERROR($B477/$B478-1,"")</f>
        <v/>
      </c>
      <c r="CV477" s="59">
        <f>($F477-$F478)*100</f>
        <v/>
      </c>
      <c r="CW477" s="59">
        <f>($E477-$E478)*100</f>
        <v/>
      </c>
      <c r="CX477" s="58">
        <f>IFERROR($K477/$K478-1,"")</f>
        <v/>
      </c>
      <c r="CY477" s="59">
        <f>($AH477-$AH478)*100</f>
        <v/>
      </c>
      <c r="CZ477" s="59">
        <f>($AI477-$AI478)*100</f>
        <v/>
      </c>
      <c r="DA477" s="59">
        <f>($AJ477-$AJ478)*100</f>
        <v/>
      </c>
      <c r="DB477" s="59">
        <f>($AK477-$AK478)*100</f>
        <v/>
      </c>
      <c r="DC477" s="59">
        <f>($AL477-$AL478)*100</f>
        <v/>
      </c>
      <c r="DD477" s="59">
        <f>($AM477-$AM478)*100</f>
        <v/>
      </c>
      <c r="DE477" s="59">
        <f>($AN477-$AN478)*100</f>
        <v/>
      </c>
      <c r="DF477" s="59">
        <f>($AO477-$AO478)*100</f>
        <v/>
      </c>
      <c r="DG477" s="59">
        <f>($AP477-$AP478)*100</f>
        <v/>
      </c>
      <c r="DH477" s="59">
        <f>($AQ477-$AQ478)*100</f>
        <v/>
      </c>
      <c r="DI477" s="59">
        <f>($AR477-$AR478)*100</f>
        <v/>
      </c>
      <c r="DJ477" s="59">
        <f>($AS477-$AS478)*100</f>
        <v/>
      </c>
      <c r="DK477" s="59">
        <f>($AT477-$AT478)*100</f>
        <v/>
      </c>
      <c r="DL477" s="59">
        <f>($AU477-$AU478)*100</f>
        <v/>
      </c>
      <c r="DM477" s="59">
        <f>($AV477-$AV478)*100</f>
        <v/>
      </c>
      <c r="DN477" s="59">
        <f>($AW477-$AW478)*100</f>
        <v/>
      </c>
      <c r="DO477" s="59">
        <f>($AX477-$AX478)*100</f>
        <v/>
      </c>
      <c r="DP477" s="59">
        <f>($AY477-$AY478)*100</f>
        <v/>
      </c>
      <c r="DQ477" s="59">
        <f>($AZ477-$AZ478)*100</f>
        <v/>
      </c>
      <c r="DR477" s="59">
        <f>($BA477-$BA478)*100</f>
        <v/>
      </c>
      <c r="DS477" s="58">
        <f>IFERROR($N478/$N477-1,"")</f>
        <v/>
      </c>
      <c r="DT477" s="58">
        <f>IFERROR($O478/$O477-1,"")</f>
        <v/>
      </c>
      <c r="DU477" s="58">
        <f>IFERROR($P478/$P477-1,"")</f>
        <v/>
      </c>
      <c r="DV477" s="58">
        <f>IFERROR($Q478/$Q477-1,"")</f>
        <v/>
      </c>
      <c r="DW477" s="58">
        <f>IFERROR($R478/$R477-1,"")</f>
        <v/>
      </c>
      <c r="DX477" s="58">
        <f>IFERROR($S478/$S477-1,"")</f>
        <v/>
      </c>
      <c r="DY477" s="58">
        <f>IFERROR($T478/$T477-1,"")</f>
        <v/>
      </c>
      <c r="DZ477" s="58">
        <f>IFERROR($U478/$U477-1,"")</f>
        <v/>
      </c>
      <c r="EA477" s="58">
        <f>IFERROR($V478/$V477-1,"")</f>
        <v/>
      </c>
      <c r="EB477" s="58">
        <f>IFERROR($W478/$W477-1,"")</f>
        <v/>
      </c>
      <c r="EC477" s="58">
        <f>IFERROR($X478/$X477-1,"")</f>
        <v/>
      </c>
      <c r="ED477" s="58">
        <f>IFERROR($Y478/$Y477-1,"")</f>
        <v/>
      </c>
      <c r="EE477" s="58">
        <f>IFERROR($Z478/$Z477-1,"")</f>
        <v/>
      </c>
      <c r="EF477" s="58">
        <f>IFERROR($AA478/$AA477-1,"")</f>
        <v/>
      </c>
      <c r="EG477" s="58">
        <f>IFERROR($AB478/$AB477-1,"")</f>
        <v/>
      </c>
      <c r="EH477" s="58">
        <f>IFERROR($AC478/$AC477-1,"")</f>
        <v/>
      </c>
      <c r="EI477" s="58">
        <f>IFERROR($AD478/$AD477-1,"")</f>
        <v/>
      </c>
      <c r="EJ477" s="58">
        <f>IFERROR($AE478/$AE477-1,"")</f>
        <v/>
      </c>
      <c r="EK477" s="58">
        <f>IFERROR($AF478/$AF477-1,"")</f>
        <v/>
      </c>
      <c r="EL477" s="58">
        <f>IFERROR($AG478/$AG477-1,"")</f>
        <v/>
      </c>
      <c r="EM477" s="58">
        <f>IFERROR($BB477/$BB478-1,"")</f>
        <v/>
      </c>
      <c r="EN477" s="58">
        <f>IFERROR($BC477/$BC478-1,"")</f>
        <v/>
      </c>
      <c r="EO477" s="58">
        <f>IFERROR($BD477/$BD478-1,"")</f>
        <v/>
      </c>
      <c r="EP477" s="58">
        <f>IFERROR($BE477/$BE478-1,"")</f>
        <v/>
      </c>
      <c r="EQ477" s="58">
        <f>IFERROR($BF477/$BF478-1,"")</f>
        <v/>
      </c>
      <c r="ER477" s="58">
        <f>IFERROR($BG477/$BG478-1,"")</f>
        <v/>
      </c>
      <c r="ES477" s="58">
        <f>IFERROR($BH477/$BH478-1,"")</f>
        <v/>
      </c>
      <c r="ET477" s="58">
        <f>IFERROR($BI477/$BI478-1,"")</f>
        <v/>
      </c>
      <c r="EU477" s="58">
        <f>IFERROR($BJ477/$BJ478-1,"")</f>
        <v/>
      </c>
      <c r="EV477" s="58">
        <f>IFERROR($BK477/$BK478-1,"")</f>
        <v/>
      </c>
      <c r="EW477" s="58">
        <f>IFERROR($BL477/$BL478-1,"")</f>
        <v/>
      </c>
      <c r="EX477" s="58">
        <f>IFERROR($BM477/$BM478-1,"")</f>
        <v/>
      </c>
      <c r="EY477" s="58">
        <f>IFERROR($BN477/$BN478-1,"")</f>
        <v/>
      </c>
      <c r="EZ477" s="58">
        <f>IFERROR($BO477/$BO478-1,"")</f>
        <v/>
      </c>
      <c r="FA477" s="58">
        <f>IFERROR($BP477/$BP478-1,"")</f>
        <v/>
      </c>
      <c r="FB477" s="58">
        <f>IFERROR($BQ477/$BQ478-1,"")</f>
        <v/>
      </c>
      <c r="FC477" s="58">
        <f>IFERROR($BR477/$BR478-1,"")</f>
        <v/>
      </c>
      <c r="FD477" s="58">
        <f>IFERROR($BS477/$BS478-1,"")</f>
        <v/>
      </c>
      <c r="FE477" s="58">
        <f>IFERROR($BT477/$BT478-1,"")</f>
        <v/>
      </c>
      <c r="FF477" s="58">
        <f>IFERROR($BU477/$BU478-1,"")</f>
        <v/>
      </c>
      <c r="FG477" s="58">
        <f>IFERROR($BV477/$BV478-1,"")</f>
        <v/>
      </c>
      <c r="FH477" s="58">
        <f>IFERROR($BW477/$BW478-1,"")</f>
        <v/>
      </c>
      <c r="FI477" s="58">
        <f>IFERROR($BX477/$BX478-1,"")</f>
        <v/>
      </c>
      <c r="FJ477" s="59">
        <f>$BY477-$BY478</f>
        <v/>
      </c>
      <c r="FK477" s="59">
        <f>$BZ477-$BZ478</f>
        <v/>
      </c>
      <c r="FL477" s="59">
        <f>$CA477-$CA478</f>
        <v/>
      </c>
      <c r="FM477" s="59">
        <f>$CB477-$CB478</f>
        <v/>
      </c>
      <c r="FN477" s="59">
        <f>$CC477-$CC478</f>
        <v/>
      </c>
      <c r="FO477" s="59">
        <f>$CD477-$CD478</f>
        <v/>
      </c>
      <c r="FP477" s="59">
        <f>$CE477-$CE478</f>
        <v/>
      </c>
      <c r="FQ477" s="59">
        <f>$CF477-$CF478</f>
        <v/>
      </c>
      <c r="FR477" s="59">
        <f>$CG477-$CG478</f>
        <v/>
      </c>
      <c r="FS477" s="59">
        <f>$CH477-$CH478</f>
        <v/>
      </c>
      <c r="FT477" s="59">
        <f>$CI477-$CI478</f>
        <v/>
      </c>
      <c r="FU477" s="59">
        <f>$CJ477-$CJ478</f>
        <v/>
      </c>
      <c r="FV477" s="59">
        <f>$CK477-$CK478</f>
        <v/>
      </c>
      <c r="FW477" s="59">
        <f>$CL477-$CL478</f>
        <v/>
      </c>
      <c r="FX477" s="59">
        <f>$CM477-$CM478</f>
        <v/>
      </c>
      <c r="FY477" s="59">
        <f>$CN477-$CN478</f>
        <v/>
      </c>
      <c r="FZ477" s="59">
        <f>$CO477-$CO478</f>
        <v/>
      </c>
      <c r="GA477" s="59">
        <f>$CP477-$CP478</f>
        <v/>
      </c>
      <c r="GB477" s="59">
        <f>$CQ477-$CQ478</f>
        <v/>
      </c>
      <c r="GC477" s="59">
        <f>$CR477-$CR478</f>
        <v/>
      </c>
      <c r="GD477" s="59">
        <f>$CS477-$CS478</f>
        <v/>
      </c>
      <c r="GE477" s="59">
        <f>$CT477-$CT478</f>
        <v/>
      </c>
    </row>
    <row r="478">
      <c r="CU478" s="58">
        <f>IFERROR($B478/$B479-1,"")</f>
        <v/>
      </c>
      <c r="CV478" s="59">
        <f>($F478-$F479)*100</f>
        <v/>
      </c>
      <c r="CW478" s="59">
        <f>($E478-$E479)*100</f>
        <v/>
      </c>
      <c r="CX478" s="58">
        <f>IFERROR($K478/$K479-1,"")</f>
        <v/>
      </c>
      <c r="CY478" s="59">
        <f>($AH478-$AH479)*100</f>
        <v/>
      </c>
      <c r="CZ478" s="59">
        <f>($AI478-$AI479)*100</f>
        <v/>
      </c>
      <c r="DA478" s="59">
        <f>($AJ478-$AJ479)*100</f>
        <v/>
      </c>
      <c r="DB478" s="59">
        <f>($AK478-$AK479)*100</f>
        <v/>
      </c>
      <c r="DC478" s="59">
        <f>($AL478-$AL479)*100</f>
        <v/>
      </c>
      <c r="DD478" s="59">
        <f>($AM478-$AM479)*100</f>
        <v/>
      </c>
      <c r="DE478" s="59">
        <f>($AN478-$AN479)*100</f>
        <v/>
      </c>
      <c r="DF478" s="59">
        <f>($AO478-$AO479)*100</f>
        <v/>
      </c>
      <c r="DG478" s="59">
        <f>($AP478-$AP479)*100</f>
        <v/>
      </c>
      <c r="DH478" s="59">
        <f>($AQ478-$AQ479)*100</f>
        <v/>
      </c>
      <c r="DI478" s="59">
        <f>($AR478-$AR479)*100</f>
        <v/>
      </c>
      <c r="DJ478" s="59">
        <f>($AS478-$AS479)*100</f>
        <v/>
      </c>
      <c r="DK478" s="59">
        <f>($AT478-$AT479)*100</f>
        <v/>
      </c>
      <c r="DL478" s="59">
        <f>($AU478-$AU479)*100</f>
        <v/>
      </c>
      <c r="DM478" s="59">
        <f>($AV478-$AV479)*100</f>
        <v/>
      </c>
      <c r="DN478" s="59">
        <f>($AW478-$AW479)*100</f>
        <v/>
      </c>
      <c r="DO478" s="59">
        <f>($AX478-$AX479)*100</f>
        <v/>
      </c>
      <c r="DP478" s="59">
        <f>($AY478-$AY479)*100</f>
        <v/>
      </c>
      <c r="DQ478" s="59">
        <f>($AZ478-$AZ479)*100</f>
        <v/>
      </c>
      <c r="DR478" s="59">
        <f>($BA478-$BA479)*100</f>
        <v/>
      </c>
      <c r="DS478" s="58">
        <f>IFERROR($N479/$N478-1,"")</f>
        <v/>
      </c>
      <c r="DT478" s="58">
        <f>IFERROR($O479/$O478-1,"")</f>
        <v/>
      </c>
      <c r="DU478" s="58">
        <f>IFERROR($P479/$P478-1,"")</f>
        <v/>
      </c>
      <c r="DV478" s="58">
        <f>IFERROR($Q479/$Q478-1,"")</f>
        <v/>
      </c>
      <c r="DW478" s="58">
        <f>IFERROR($R479/$R478-1,"")</f>
        <v/>
      </c>
      <c r="DX478" s="58">
        <f>IFERROR($S479/$S478-1,"")</f>
        <v/>
      </c>
      <c r="DY478" s="58">
        <f>IFERROR($T479/$T478-1,"")</f>
        <v/>
      </c>
      <c r="DZ478" s="58">
        <f>IFERROR($U479/$U478-1,"")</f>
        <v/>
      </c>
      <c r="EA478" s="58">
        <f>IFERROR($V479/$V478-1,"")</f>
        <v/>
      </c>
      <c r="EB478" s="58">
        <f>IFERROR($W479/$W478-1,"")</f>
        <v/>
      </c>
      <c r="EC478" s="58">
        <f>IFERROR($X479/$X478-1,"")</f>
        <v/>
      </c>
      <c r="ED478" s="58">
        <f>IFERROR($Y479/$Y478-1,"")</f>
        <v/>
      </c>
      <c r="EE478" s="58">
        <f>IFERROR($Z479/$Z478-1,"")</f>
        <v/>
      </c>
      <c r="EF478" s="58">
        <f>IFERROR($AA479/$AA478-1,"")</f>
        <v/>
      </c>
      <c r="EG478" s="58">
        <f>IFERROR($AB479/$AB478-1,"")</f>
        <v/>
      </c>
      <c r="EH478" s="58">
        <f>IFERROR($AC479/$AC478-1,"")</f>
        <v/>
      </c>
      <c r="EI478" s="58">
        <f>IFERROR($AD479/$AD478-1,"")</f>
        <v/>
      </c>
      <c r="EJ478" s="58">
        <f>IFERROR($AE479/$AE478-1,"")</f>
        <v/>
      </c>
      <c r="EK478" s="58">
        <f>IFERROR($AF479/$AF478-1,"")</f>
        <v/>
      </c>
      <c r="EL478" s="58">
        <f>IFERROR($AG479/$AG478-1,"")</f>
        <v/>
      </c>
      <c r="EM478" s="58">
        <f>IFERROR($BB478/$BB479-1,"")</f>
        <v/>
      </c>
      <c r="EN478" s="58">
        <f>IFERROR($BC478/$BC479-1,"")</f>
        <v/>
      </c>
      <c r="EO478" s="58">
        <f>IFERROR($BD478/$BD479-1,"")</f>
        <v/>
      </c>
      <c r="EP478" s="58">
        <f>IFERROR($BE478/$BE479-1,"")</f>
        <v/>
      </c>
      <c r="EQ478" s="58">
        <f>IFERROR($BF478/$BF479-1,"")</f>
        <v/>
      </c>
      <c r="ER478" s="58">
        <f>IFERROR($BG478/$BG479-1,"")</f>
        <v/>
      </c>
      <c r="ES478" s="58">
        <f>IFERROR($BH478/$BH479-1,"")</f>
        <v/>
      </c>
      <c r="ET478" s="58">
        <f>IFERROR($BI478/$BI479-1,"")</f>
        <v/>
      </c>
      <c r="EU478" s="58">
        <f>IFERROR($BJ478/$BJ479-1,"")</f>
        <v/>
      </c>
      <c r="EV478" s="58">
        <f>IFERROR($BK478/$BK479-1,"")</f>
        <v/>
      </c>
      <c r="EW478" s="58">
        <f>IFERROR($BL478/$BL479-1,"")</f>
        <v/>
      </c>
      <c r="EX478" s="58">
        <f>IFERROR($BM478/$BM479-1,"")</f>
        <v/>
      </c>
      <c r="EY478" s="58">
        <f>IFERROR($BN478/$BN479-1,"")</f>
        <v/>
      </c>
      <c r="EZ478" s="58">
        <f>IFERROR($BO478/$BO479-1,"")</f>
        <v/>
      </c>
      <c r="FA478" s="58">
        <f>IFERROR($BP478/$BP479-1,"")</f>
        <v/>
      </c>
      <c r="FB478" s="58">
        <f>IFERROR($BQ478/$BQ479-1,"")</f>
        <v/>
      </c>
      <c r="FC478" s="58">
        <f>IFERROR($BR478/$BR479-1,"")</f>
        <v/>
      </c>
      <c r="FD478" s="58">
        <f>IFERROR($BS478/$BS479-1,"")</f>
        <v/>
      </c>
      <c r="FE478" s="58">
        <f>IFERROR($BT478/$BT479-1,"")</f>
        <v/>
      </c>
      <c r="FF478" s="58">
        <f>IFERROR($BU478/$BU479-1,"")</f>
        <v/>
      </c>
      <c r="FG478" s="58">
        <f>IFERROR($BV478/$BV479-1,"")</f>
        <v/>
      </c>
      <c r="FH478" s="58">
        <f>IFERROR($BW478/$BW479-1,"")</f>
        <v/>
      </c>
      <c r="FI478" s="58">
        <f>IFERROR($BX478/$BX479-1,"")</f>
        <v/>
      </c>
      <c r="FJ478" s="59">
        <f>$BY478-$BY479</f>
        <v/>
      </c>
      <c r="FK478" s="59">
        <f>$BZ478-$BZ479</f>
        <v/>
      </c>
      <c r="FL478" s="59">
        <f>$CA478-$CA479</f>
        <v/>
      </c>
      <c r="FM478" s="59">
        <f>$CB478-$CB479</f>
        <v/>
      </c>
      <c r="FN478" s="59">
        <f>$CC478-$CC479</f>
        <v/>
      </c>
      <c r="FO478" s="59">
        <f>$CD478-$CD479</f>
        <v/>
      </c>
      <c r="FP478" s="59">
        <f>$CE478-$CE479</f>
        <v/>
      </c>
      <c r="FQ478" s="59">
        <f>$CF478-$CF479</f>
        <v/>
      </c>
      <c r="FR478" s="59">
        <f>$CG478-$CG479</f>
        <v/>
      </c>
      <c r="FS478" s="59">
        <f>$CH478-$CH479</f>
        <v/>
      </c>
      <c r="FT478" s="59">
        <f>$CI478-$CI479</f>
        <v/>
      </c>
      <c r="FU478" s="59">
        <f>$CJ478-$CJ479</f>
        <v/>
      </c>
      <c r="FV478" s="59">
        <f>$CK478-$CK479</f>
        <v/>
      </c>
      <c r="FW478" s="59">
        <f>$CL478-$CL479</f>
        <v/>
      </c>
      <c r="FX478" s="59">
        <f>$CM478-$CM479</f>
        <v/>
      </c>
      <c r="FY478" s="59">
        <f>$CN478-$CN479</f>
        <v/>
      </c>
      <c r="FZ478" s="59">
        <f>$CO478-$CO479</f>
        <v/>
      </c>
      <c r="GA478" s="59">
        <f>$CP478-$CP479</f>
        <v/>
      </c>
      <c r="GB478" s="59">
        <f>$CQ478-$CQ479</f>
        <v/>
      </c>
      <c r="GC478" s="59">
        <f>$CR478-$CR479</f>
        <v/>
      </c>
      <c r="GD478" s="59">
        <f>$CS478-$CS479</f>
        <v/>
      </c>
      <c r="GE478" s="59">
        <f>$CT478-$CT479</f>
        <v/>
      </c>
    </row>
    <row r="479">
      <c r="CU479" s="58">
        <f>IFERROR($B479/$B480-1,"")</f>
        <v/>
      </c>
      <c r="CV479" s="59">
        <f>($F479-$F480)*100</f>
        <v/>
      </c>
      <c r="CW479" s="59">
        <f>($E479-$E480)*100</f>
        <v/>
      </c>
      <c r="CX479" s="58">
        <f>IFERROR($K479/$K480-1,"")</f>
        <v/>
      </c>
      <c r="CY479" s="59">
        <f>($AH479-$AH480)*100</f>
        <v/>
      </c>
      <c r="CZ479" s="59">
        <f>($AI479-$AI480)*100</f>
        <v/>
      </c>
      <c r="DA479" s="59">
        <f>($AJ479-$AJ480)*100</f>
        <v/>
      </c>
      <c r="DB479" s="59">
        <f>($AK479-$AK480)*100</f>
        <v/>
      </c>
      <c r="DC479" s="59">
        <f>($AL479-$AL480)*100</f>
        <v/>
      </c>
      <c r="DD479" s="59">
        <f>($AM479-$AM480)*100</f>
        <v/>
      </c>
      <c r="DE479" s="59">
        <f>($AN479-$AN480)*100</f>
        <v/>
      </c>
      <c r="DF479" s="59">
        <f>($AO479-$AO480)*100</f>
        <v/>
      </c>
      <c r="DG479" s="59">
        <f>($AP479-$AP480)*100</f>
        <v/>
      </c>
      <c r="DH479" s="59">
        <f>($AQ479-$AQ480)*100</f>
        <v/>
      </c>
      <c r="DI479" s="59">
        <f>($AR479-$AR480)*100</f>
        <v/>
      </c>
      <c r="DJ479" s="59">
        <f>($AS479-$AS480)*100</f>
        <v/>
      </c>
      <c r="DK479" s="59">
        <f>($AT479-$AT480)*100</f>
        <v/>
      </c>
      <c r="DL479" s="59">
        <f>($AU479-$AU480)*100</f>
        <v/>
      </c>
      <c r="DM479" s="59">
        <f>($AV479-$AV480)*100</f>
        <v/>
      </c>
      <c r="DN479" s="59">
        <f>($AW479-$AW480)*100</f>
        <v/>
      </c>
      <c r="DO479" s="59">
        <f>($AX479-$AX480)*100</f>
        <v/>
      </c>
      <c r="DP479" s="59">
        <f>($AY479-$AY480)*100</f>
        <v/>
      </c>
      <c r="DQ479" s="59">
        <f>($AZ479-$AZ480)*100</f>
        <v/>
      </c>
      <c r="DR479" s="59">
        <f>($BA479-$BA480)*100</f>
        <v/>
      </c>
      <c r="DS479" s="58">
        <f>IFERROR($N480/$N479-1,"")</f>
        <v/>
      </c>
      <c r="DT479" s="58">
        <f>IFERROR($O480/$O479-1,"")</f>
        <v/>
      </c>
      <c r="DU479" s="58">
        <f>IFERROR($P480/$P479-1,"")</f>
        <v/>
      </c>
      <c r="DV479" s="58">
        <f>IFERROR($Q480/$Q479-1,"")</f>
        <v/>
      </c>
      <c r="DW479" s="58">
        <f>IFERROR($R480/$R479-1,"")</f>
        <v/>
      </c>
      <c r="DX479" s="58">
        <f>IFERROR($S480/$S479-1,"")</f>
        <v/>
      </c>
      <c r="DY479" s="58">
        <f>IFERROR($T480/$T479-1,"")</f>
        <v/>
      </c>
      <c r="DZ479" s="58">
        <f>IFERROR($U480/$U479-1,"")</f>
        <v/>
      </c>
      <c r="EA479" s="58">
        <f>IFERROR($V480/$V479-1,"")</f>
        <v/>
      </c>
      <c r="EB479" s="58">
        <f>IFERROR($W480/$W479-1,"")</f>
        <v/>
      </c>
      <c r="EC479" s="58">
        <f>IFERROR($X480/$X479-1,"")</f>
        <v/>
      </c>
      <c r="ED479" s="58">
        <f>IFERROR($Y480/$Y479-1,"")</f>
        <v/>
      </c>
      <c r="EE479" s="58">
        <f>IFERROR($Z480/$Z479-1,"")</f>
        <v/>
      </c>
      <c r="EF479" s="58">
        <f>IFERROR($AA480/$AA479-1,"")</f>
        <v/>
      </c>
      <c r="EG479" s="58">
        <f>IFERROR($AB480/$AB479-1,"")</f>
        <v/>
      </c>
      <c r="EH479" s="58">
        <f>IFERROR($AC480/$AC479-1,"")</f>
        <v/>
      </c>
      <c r="EI479" s="58">
        <f>IFERROR($AD480/$AD479-1,"")</f>
        <v/>
      </c>
      <c r="EJ479" s="58">
        <f>IFERROR($AE480/$AE479-1,"")</f>
        <v/>
      </c>
      <c r="EK479" s="58">
        <f>IFERROR($AF480/$AF479-1,"")</f>
        <v/>
      </c>
      <c r="EL479" s="58">
        <f>IFERROR($AG480/$AG479-1,"")</f>
        <v/>
      </c>
      <c r="EM479" s="58">
        <f>IFERROR($BB479/$BB480-1,"")</f>
        <v/>
      </c>
      <c r="EN479" s="58">
        <f>IFERROR($BC479/$BC480-1,"")</f>
        <v/>
      </c>
      <c r="EO479" s="58">
        <f>IFERROR($BD479/$BD480-1,"")</f>
        <v/>
      </c>
      <c r="EP479" s="58">
        <f>IFERROR($BE479/$BE480-1,"")</f>
        <v/>
      </c>
      <c r="EQ479" s="58">
        <f>IFERROR($BF479/$BF480-1,"")</f>
        <v/>
      </c>
      <c r="ER479" s="58">
        <f>IFERROR($BG479/$BG480-1,"")</f>
        <v/>
      </c>
      <c r="ES479" s="58">
        <f>IFERROR($BH479/$BH480-1,"")</f>
        <v/>
      </c>
      <c r="ET479" s="58">
        <f>IFERROR($BI479/$BI480-1,"")</f>
        <v/>
      </c>
      <c r="EU479" s="58">
        <f>IFERROR($BJ479/$BJ480-1,"")</f>
        <v/>
      </c>
      <c r="EV479" s="58">
        <f>IFERROR($BK479/$BK480-1,"")</f>
        <v/>
      </c>
      <c r="EW479" s="58">
        <f>IFERROR($BL479/$BL480-1,"")</f>
        <v/>
      </c>
      <c r="EX479" s="58">
        <f>IFERROR($BM479/$BM480-1,"")</f>
        <v/>
      </c>
      <c r="EY479" s="58">
        <f>IFERROR($BN479/$BN480-1,"")</f>
        <v/>
      </c>
      <c r="EZ479" s="58">
        <f>IFERROR($BO479/$BO480-1,"")</f>
        <v/>
      </c>
      <c r="FA479" s="58">
        <f>IFERROR($BP479/$BP480-1,"")</f>
        <v/>
      </c>
      <c r="FB479" s="58">
        <f>IFERROR($BQ479/$BQ480-1,"")</f>
        <v/>
      </c>
      <c r="FC479" s="58">
        <f>IFERROR($BR479/$BR480-1,"")</f>
        <v/>
      </c>
      <c r="FD479" s="58">
        <f>IFERROR($BS479/$BS480-1,"")</f>
        <v/>
      </c>
      <c r="FE479" s="58">
        <f>IFERROR($BT479/$BT480-1,"")</f>
        <v/>
      </c>
      <c r="FF479" s="58">
        <f>IFERROR($BU479/$BU480-1,"")</f>
        <v/>
      </c>
      <c r="FG479" s="58">
        <f>IFERROR($BV479/$BV480-1,"")</f>
        <v/>
      </c>
      <c r="FH479" s="58">
        <f>IFERROR($BW479/$BW480-1,"")</f>
        <v/>
      </c>
      <c r="FI479" s="58">
        <f>IFERROR($BX479/$BX480-1,"")</f>
        <v/>
      </c>
      <c r="FJ479" s="59">
        <f>$BY479-$BY480</f>
        <v/>
      </c>
      <c r="FK479" s="59">
        <f>$BZ479-$BZ480</f>
        <v/>
      </c>
      <c r="FL479" s="59">
        <f>$CA479-$CA480</f>
        <v/>
      </c>
      <c r="FM479" s="59">
        <f>$CB479-$CB480</f>
        <v/>
      </c>
      <c r="FN479" s="59">
        <f>$CC479-$CC480</f>
        <v/>
      </c>
      <c r="FO479" s="59">
        <f>$CD479-$CD480</f>
        <v/>
      </c>
      <c r="FP479" s="59">
        <f>$CE479-$CE480</f>
        <v/>
      </c>
      <c r="FQ479" s="59">
        <f>$CF479-$CF480</f>
        <v/>
      </c>
      <c r="FR479" s="59">
        <f>$CG479-$CG480</f>
        <v/>
      </c>
      <c r="FS479" s="59">
        <f>$CH479-$CH480</f>
        <v/>
      </c>
      <c r="FT479" s="59">
        <f>$CI479-$CI480</f>
        <v/>
      </c>
      <c r="FU479" s="59">
        <f>$CJ479-$CJ480</f>
        <v/>
      </c>
      <c r="FV479" s="59">
        <f>$CK479-$CK480</f>
        <v/>
      </c>
      <c r="FW479" s="59">
        <f>$CL479-$CL480</f>
        <v/>
      </c>
      <c r="FX479" s="59">
        <f>$CM479-$CM480</f>
        <v/>
      </c>
      <c r="FY479" s="59">
        <f>$CN479-$CN480</f>
        <v/>
      </c>
      <c r="FZ479" s="59">
        <f>$CO479-$CO480</f>
        <v/>
      </c>
      <c r="GA479" s="59">
        <f>$CP479-$CP480</f>
        <v/>
      </c>
      <c r="GB479" s="59">
        <f>$CQ479-$CQ480</f>
        <v/>
      </c>
      <c r="GC479" s="59">
        <f>$CR479-$CR480</f>
        <v/>
      </c>
      <c r="GD479" s="59">
        <f>$CS479-$CS480</f>
        <v/>
      </c>
      <c r="GE479" s="59">
        <f>$CT479-$CT480</f>
        <v/>
      </c>
    </row>
    <row r="480">
      <c r="CU480" s="58">
        <f>IFERROR($B480/$B481-1,"")</f>
        <v/>
      </c>
      <c r="CV480" s="59">
        <f>($F480-$F481)*100</f>
        <v/>
      </c>
      <c r="CW480" s="59">
        <f>($E480-$E481)*100</f>
        <v/>
      </c>
      <c r="CX480" s="58">
        <f>IFERROR($K480/$K481-1,"")</f>
        <v/>
      </c>
      <c r="CY480" s="59">
        <f>($AH480-$AH481)*100</f>
        <v/>
      </c>
      <c r="CZ480" s="59">
        <f>($AI480-$AI481)*100</f>
        <v/>
      </c>
      <c r="DA480" s="59">
        <f>($AJ480-$AJ481)*100</f>
        <v/>
      </c>
      <c r="DB480" s="59">
        <f>($AK480-$AK481)*100</f>
        <v/>
      </c>
      <c r="DC480" s="59">
        <f>($AL480-$AL481)*100</f>
        <v/>
      </c>
      <c r="DD480" s="59">
        <f>($AM480-$AM481)*100</f>
        <v/>
      </c>
      <c r="DE480" s="59">
        <f>($AN480-$AN481)*100</f>
        <v/>
      </c>
      <c r="DF480" s="59">
        <f>($AO480-$AO481)*100</f>
        <v/>
      </c>
      <c r="DG480" s="59">
        <f>($AP480-$AP481)*100</f>
        <v/>
      </c>
      <c r="DH480" s="59">
        <f>($AQ480-$AQ481)*100</f>
        <v/>
      </c>
      <c r="DI480" s="59">
        <f>($AR480-$AR481)*100</f>
        <v/>
      </c>
      <c r="DJ480" s="59">
        <f>($AS480-$AS481)*100</f>
        <v/>
      </c>
      <c r="DK480" s="59">
        <f>($AT480-$AT481)*100</f>
        <v/>
      </c>
      <c r="DL480" s="59">
        <f>($AU480-$AU481)*100</f>
        <v/>
      </c>
      <c r="DM480" s="59">
        <f>($AV480-$AV481)*100</f>
        <v/>
      </c>
      <c r="DN480" s="59">
        <f>($AW480-$AW481)*100</f>
        <v/>
      </c>
      <c r="DO480" s="59">
        <f>($AX480-$AX481)*100</f>
        <v/>
      </c>
      <c r="DP480" s="59">
        <f>($AY480-$AY481)*100</f>
        <v/>
      </c>
      <c r="DQ480" s="59">
        <f>($AZ480-$AZ481)*100</f>
        <v/>
      </c>
      <c r="DR480" s="59">
        <f>($BA480-$BA481)*100</f>
        <v/>
      </c>
      <c r="DS480" s="58">
        <f>IFERROR($N481/$N480-1,"")</f>
        <v/>
      </c>
      <c r="DT480" s="58">
        <f>IFERROR($O481/$O480-1,"")</f>
        <v/>
      </c>
      <c r="DU480" s="58">
        <f>IFERROR($P481/$P480-1,"")</f>
        <v/>
      </c>
      <c r="DV480" s="58">
        <f>IFERROR($Q481/$Q480-1,"")</f>
        <v/>
      </c>
      <c r="DW480" s="58">
        <f>IFERROR($R481/$R480-1,"")</f>
        <v/>
      </c>
      <c r="DX480" s="58">
        <f>IFERROR($S481/$S480-1,"")</f>
        <v/>
      </c>
      <c r="DY480" s="58">
        <f>IFERROR($T481/$T480-1,"")</f>
        <v/>
      </c>
      <c r="DZ480" s="58">
        <f>IFERROR($U481/$U480-1,"")</f>
        <v/>
      </c>
      <c r="EA480" s="58">
        <f>IFERROR($V481/$V480-1,"")</f>
        <v/>
      </c>
      <c r="EB480" s="58">
        <f>IFERROR($W481/$W480-1,"")</f>
        <v/>
      </c>
      <c r="EC480" s="58">
        <f>IFERROR($X481/$X480-1,"")</f>
        <v/>
      </c>
      <c r="ED480" s="58">
        <f>IFERROR($Y481/$Y480-1,"")</f>
        <v/>
      </c>
      <c r="EE480" s="58">
        <f>IFERROR($Z481/$Z480-1,"")</f>
        <v/>
      </c>
      <c r="EF480" s="58">
        <f>IFERROR($AA481/$AA480-1,"")</f>
        <v/>
      </c>
      <c r="EG480" s="58">
        <f>IFERROR($AB481/$AB480-1,"")</f>
        <v/>
      </c>
      <c r="EH480" s="58">
        <f>IFERROR($AC481/$AC480-1,"")</f>
        <v/>
      </c>
      <c r="EI480" s="58">
        <f>IFERROR($AD481/$AD480-1,"")</f>
        <v/>
      </c>
      <c r="EJ480" s="58">
        <f>IFERROR($AE481/$AE480-1,"")</f>
        <v/>
      </c>
      <c r="EK480" s="58">
        <f>IFERROR($AF481/$AF480-1,"")</f>
        <v/>
      </c>
      <c r="EL480" s="58">
        <f>IFERROR($AG481/$AG480-1,"")</f>
        <v/>
      </c>
      <c r="EM480" s="58">
        <f>IFERROR($BB480/$BB481-1,"")</f>
        <v/>
      </c>
      <c r="EN480" s="58">
        <f>IFERROR($BC480/$BC481-1,"")</f>
        <v/>
      </c>
      <c r="EO480" s="58">
        <f>IFERROR($BD480/$BD481-1,"")</f>
        <v/>
      </c>
      <c r="EP480" s="58">
        <f>IFERROR($BE480/$BE481-1,"")</f>
        <v/>
      </c>
      <c r="EQ480" s="58">
        <f>IFERROR($BF480/$BF481-1,"")</f>
        <v/>
      </c>
      <c r="ER480" s="58">
        <f>IFERROR($BG480/$BG481-1,"")</f>
        <v/>
      </c>
      <c r="ES480" s="58">
        <f>IFERROR($BH480/$BH481-1,"")</f>
        <v/>
      </c>
      <c r="ET480" s="58">
        <f>IFERROR($BI480/$BI481-1,"")</f>
        <v/>
      </c>
      <c r="EU480" s="58">
        <f>IFERROR($BJ480/$BJ481-1,"")</f>
        <v/>
      </c>
      <c r="EV480" s="58">
        <f>IFERROR($BK480/$BK481-1,"")</f>
        <v/>
      </c>
      <c r="EW480" s="58">
        <f>IFERROR($BL480/$BL481-1,"")</f>
        <v/>
      </c>
      <c r="EX480" s="58">
        <f>IFERROR($BM480/$BM481-1,"")</f>
        <v/>
      </c>
      <c r="EY480" s="58">
        <f>IFERROR($BN480/$BN481-1,"")</f>
        <v/>
      </c>
      <c r="EZ480" s="58">
        <f>IFERROR($BO480/$BO481-1,"")</f>
        <v/>
      </c>
      <c r="FA480" s="58">
        <f>IFERROR($BP480/$BP481-1,"")</f>
        <v/>
      </c>
      <c r="FB480" s="58">
        <f>IFERROR($BQ480/$BQ481-1,"")</f>
        <v/>
      </c>
      <c r="FC480" s="58">
        <f>IFERROR($BR480/$BR481-1,"")</f>
        <v/>
      </c>
      <c r="FD480" s="58">
        <f>IFERROR($BS480/$BS481-1,"")</f>
        <v/>
      </c>
      <c r="FE480" s="58">
        <f>IFERROR($BT480/$BT481-1,"")</f>
        <v/>
      </c>
      <c r="FF480" s="58">
        <f>IFERROR($BU480/$BU481-1,"")</f>
        <v/>
      </c>
      <c r="FG480" s="58">
        <f>IFERROR($BV480/$BV481-1,"")</f>
        <v/>
      </c>
      <c r="FH480" s="58">
        <f>IFERROR($BW480/$BW481-1,"")</f>
        <v/>
      </c>
      <c r="FI480" s="58">
        <f>IFERROR($BX480/$BX481-1,"")</f>
        <v/>
      </c>
      <c r="FJ480" s="59">
        <f>$BY480-$BY481</f>
        <v/>
      </c>
      <c r="FK480" s="59">
        <f>$BZ480-$BZ481</f>
        <v/>
      </c>
      <c r="FL480" s="59">
        <f>$CA480-$CA481</f>
        <v/>
      </c>
      <c r="FM480" s="59">
        <f>$CB480-$CB481</f>
        <v/>
      </c>
      <c r="FN480" s="59">
        <f>$CC480-$CC481</f>
        <v/>
      </c>
      <c r="FO480" s="59">
        <f>$CD480-$CD481</f>
        <v/>
      </c>
      <c r="FP480" s="59">
        <f>$CE480-$CE481</f>
        <v/>
      </c>
      <c r="FQ480" s="59">
        <f>$CF480-$CF481</f>
        <v/>
      </c>
      <c r="FR480" s="59">
        <f>$CG480-$CG481</f>
        <v/>
      </c>
      <c r="FS480" s="59">
        <f>$CH480-$CH481</f>
        <v/>
      </c>
      <c r="FT480" s="59">
        <f>$CI480-$CI481</f>
        <v/>
      </c>
      <c r="FU480" s="59">
        <f>$CJ480-$CJ481</f>
        <v/>
      </c>
      <c r="FV480" s="59">
        <f>$CK480-$CK481</f>
        <v/>
      </c>
      <c r="FW480" s="59">
        <f>$CL480-$CL481</f>
        <v/>
      </c>
      <c r="FX480" s="59">
        <f>$CM480-$CM481</f>
        <v/>
      </c>
      <c r="FY480" s="59">
        <f>$CN480-$CN481</f>
        <v/>
      </c>
      <c r="FZ480" s="59">
        <f>$CO480-$CO481</f>
        <v/>
      </c>
      <c r="GA480" s="59">
        <f>$CP480-$CP481</f>
        <v/>
      </c>
      <c r="GB480" s="59">
        <f>$CQ480-$CQ481</f>
        <v/>
      </c>
      <c r="GC480" s="59">
        <f>$CR480-$CR481</f>
        <v/>
      </c>
      <c r="GD480" s="59">
        <f>$CS480-$CS481</f>
        <v/>
      </c>
      <c r="GE480" s="59">
        <f>$CT480-$CT481</f>
        <v/>
      </c>
    </row>
    <row r="481">
      <c r="CU481" s="58">
        <f>IFERROR($B481/$B482-1,"")</f>
        <v/>
      </c>
      <c r="CV481" s="59">
        <f>($F481-$F482)*100</f>
        <v/>
      </c>
      <c r="CW481" s="59">
        <f>($E481-$E482)*100</f>
        <v/>
      </c>
      <c r="CX481" s="58">
        <f>IFERROR($K481/$K482-1,"")</f>
        <v/>
      </c>
      <c r="CY481" s="59">
        <f>($AH481-$AH482)*100</f>
        <v/>
      </c>
      <c r="CZ481" s="59">
        <f>($AI481-$AI482)*100</f>
        <v/>
      </c>
      <c r="DA481" s="59">
        <f>($AJ481-$AJ482)*100</f>
        <v/>
      </c>
      <c r="DB481" s="59">
        <f>($AK481-$AK482)*100</f>
        <v/>
      </c>
      <c r="DC481" s="59">
        <f>($AL481-$AL482)*100</f>
        <v/>
      </c>
      <c r="DD481" s="59">
        <f>($AM481-$AM482)*100</f>
        <v/>
      </c>
      <c r="DE481" s="59">
        <f>($AN481-$AN482)*100</f>
        <v/>
      </c>
      <c r="DF481" s="59">
        <f>($AO481-$AO482)*100</f>
        <v/>
      </c>
      <c r="DG481" s="59">
        <f>($AP481-$AP482)*100</f>
        <v/>
      </c>
      <c r="DH481" s="59">
        <f>($AQ481-$AQ482)*100</f>
        <v/>
      </c>
      <c r="DI481" s="59">
        <f>($AR481-$AR482)*100</f>
        <v/>
      </c>
      <c r="DJ481" s="59">
        <f>($AS481-$AS482)*100</f>
        <v/>
      </c>
      <c r="DK481" s="59">
        <f>($AT481-$AT482)*100</f>
        <v/>
      </c>
      <c r="DL481" s="59">
        <f>($AU481-$AU482)*100</f>
        <v/>
      </c>
      <c r="DM481" s="59">
        <f>($AV481-$AV482)*100</f>
        <v/>
      </c>
      <c r="DN481" s="59">
        <f>($AW481-$AW482)*100</f>
        <v/>
      </c>
      <c r="DO481" s="59">
        <f>($AX481-$AX482)*100</f>
        <v/>
      </c>
      <c r="DP481" s="59">
        <f>($AY481-$AY482)*100</f>
        <v/>
      </c>
      <c r="DQ481" s="59">
        <f>($AZ481-$AZ482)*100</f>
        <v/>
      </c>
      <c r="DR481" s="59">
        <f>($BA481-$BA482)*100</f>
        <v/>
      </c>
      <c r="DS481" s="58">
        <f>IFERROR($N482/$N481-1,"")</f>
        <v/>
      </c>
      <c r="DT481" s="58">
        <f>IFERROR($O482/$O481-1,"")</f>
        <v/>
      </c>
      <c r="DU481" s="58">
        <f>IFERROR($P482/$P481-1,"")</f>
        <v/>
      </c>
      <c r="DV481" s="58">
        <f>IFERROR($Q482/$Q481-1,"")</f>
        <v/>
      </c>
      <c r="DW481" s="58">
        <f>IFERROR($R482/$R481-1,"")</f>
        <v/>
      </c>
      <c r="DX481" s="58">
        <f>IFERROR($S482/$S481-1,"")</f>
        <v/>
      </c>
      <c r="DY481" s="58">
        <f>IFERROR($T482/$T481-1,"")</f>
        <v/>
      </c>
      <c r="DZ481" s="58">
        <f>IFERROR($U482/$U481-1,"")</f>
        <v/>
      </c>
      <c r="EA481" s="58">
        <f>IFERROR($V482/$V481-1,"")</f>
        <v/>
      </c>
      <c r="EB481" s="58">
        <f>IFERROR($W482/$W481-1,"")</f>
        <v/>
      </c>
      <c r="EC481" s="58">
        <f>IFERROR($X482/$X481-1,"")</f>
        <v/>
      </c>
      <c r="ED481" s="58">
        <f>IFERROR($Y482/$Y481-1,"")</f>
        <v/>
      </c>
      <c r="EE481" s="58">
        <f>IFERROR($Z482/$Z481-1,"")</f>
        <v/>
      </c>
      <c r="EF481" s="58">
        <f>IFERROR($AA482/$AA481-1,"")</f>
        <v/>
      </c>
      <c r="EG481" s="58">
        <f>IFERROR($AB482/$AB481-1,"")</f>
        <v/>
      </c>
      <c r="EH481" s="58">
        <f>IFERROR($AC482/$AC481-1,"")</f>
        <v/>
      </c>
      <c r="EI481" s="58">
        <f>IFERROR($AD482/$AD481-1,"")</f>
        <v/>
      </c>
      <c r="EJ481" s="58">
        <f>IFERROR($AE482/$AE481-1,"")</f>
        <v/>
      </c>
      <c r="EK481" s="58">
        <f>IFERROR($AF482/$AF481-1,"")</f>
        <v/>
      </c>
      <c r="EL481" s="58">
        <f>IFERROR($AG482/$AG481-1,"")</f>
        <v/>
      </c>
      <c r="EM481" s="58">
        <f>IFERROR($BB481/$BB482-1,"")</f>
        <v/>
      </c>
      <c r="EN481" s="58">
        <f>IFERROR($BC481/$BC482-1,"")</f>
        <v/>
      </c>
      <c r="EO481" s="58">
        <f>IFERROR($BD481/$BD482-1,"")</f>
        <v/>
      </c>
      <c r="EP481" s="58">
        <f>IFERROR($BE481/$BE482-1,"")</f>
        <v/>
      </c>
      <c r="EQ481" s="58">
        <f>IFERROR($BF481/$BF482-1,"")</f>
        <v/>
      </c>
      <c r="ER481" s="58">
        <f>IFERROR($BG481/$BG482-1,"")</f>
        <v/>
      </c>
      <c r="ES481" s="58">
        <f>IFERROR($BH481/$BH482-1,"")</f>
        <v/>
      </c>
      <c r="ET481" s="58">
        <f>IFERROR($BI481/$BI482-1,"")</f>
        <v/>
      </c>
      <c r="EU481" s="58">
        <f>IFERROR($BJ481/$BJ482-1,"")</f>
        <v/>
      </c>
      <c r="EV481" s="58">
        <f>IFERROR($BK481/$BK482-1,"")</f>
        <v/>
      </c>
      <c r="EW481" s="58">
        <f>IFERROR($BL481/$BL482-1,"")</f>
        <v/>
      </c>
      <c r="EX481" s="58">
        <f>IFERROR($BM481/$BM482-1,"")</f>
        <v/>
      </c>
      <c r="EY481" s="58">
        <f>IFERROR($BN481/$BN482-1,"")</f>
        <v/>
      </c>
      <c r="EZ481" s="58">
        <f>IFERROR($BO481/$BO482-1,"")</f>
        <v/>
      </c>
      <c r="FA481" s="58">
        <f>IFERROR($BP481/$BP482-1,"")</f>
        <v/>
      </c>
      <c r="FB481" s="58">
        <f>IFERROR($BQ481/$BQ482-1,"")</f>
        <v/>
      </c>
      <c r="FC481" s="58">
        <f>IFERROR($BR481/$BR482-1,"")</f>
        <v/>
      </c>
      <c r="FD481" s="58">
        <f>IFERROR($BS481/$BS482-1,"")</f>
        <v/>
      </c>
      <c r="FE481" s="58">
        <f>IFERROR($BT481/$BT482-1,"")</f>
        <v/>
      </c>
      <c r="FF481" s="58">
        <f>IFERROR($BU481/$BU482-1,"")</f>
        <v/>
      </c>
      <c r="FG481" s="58">
        <f>IFERROR($BV481/$BV482-1,"")</f>
        <v/>
      </c>
      <c r="FH481" s="58">
        <f>IFERROR($BW481/$BW482-1,"")</f>
        <v/>
      </c>
      <c r="FI481" s="58">
        <f>IFERROR($BX481/$BX482-1,"")</f>
        <v/>
      </c>
      <c r="FJ481" s="59">
        <f>$BY481-$BY482</f>
        <v/>
      </c>
      <c r="FK481" s="59">
        <f>$BZ481-$BZ482</f>
        <v/>
      </c>
      <c r="FL481" s="59">
        <f>$CA481-$CA482</f>
        <v/>
      </c>
      <c r="FM481" s="59">
        <f>$CB481-$CB482</f>
        <v/>
      </c>
      <c r="FN481" s="59">
        <f>$CC481-$CC482</f>
        <v/>
      </c>
      <c r="FO481" s="59">
        <f>$CD481-$CD482</f>
        <v/>
      </c>
      <c r="FP481" s="59">
        <f>$CE481-$CE482</f>
        <v/>
      </c>
      <c r="FQ481" s="59">
        <f>$CF481-$CF482</f>
        <v/>
      </c>
      <c r="FR481" s="59">
        <f>$CG481-$CG482</f>
        <v/>
      </c>
      <c r="FS481" s="59">
        <f>$CH481-$CH482</f>
        <v/>
      </c>
      <c r="FT481" s="59">
        <f>$CI481-$CI482</f>
        <v/>
      </c>
      <c r="FU481" s="59">
        <f>$CJ481-$CJ482</f>
        <v/>
      </c>
      <c r="FV481" s="59">
        <f>$CK481-$CK482</f>
        <v/>
      </c>
      <c r="FW481" s="59">
        <f>$CL481-$CL482</f>
        <v/>
      </c>
      <c r="FX481" s="59">
        <f>$CM481-$CM482</f>
        <v/>
      </c>
      <c r="FY481" s="59">
        <f>$CN481-$CN482</f>
        <v/>
      </c>
      <c r="FZ481" s="59">
        <f>$CO481-$CO482</f>
        <v/>
      </c>
      <c r="GA481" s="59">
        <f>$CP481-$CP482</f>
        <v/>
      </c>
      <c r="GB481" s="59">
        <f>$CQ481-$CQ482</f>
        <v/>
      </c>
      <c r="GC481" s="59">
        <f>$CR481-$CR482</f>
        <v/>
      </c>
      <c r="GD481" s="59">
        <f>$CS481-$CS482</f>
        <v/>
      </c>
      <c r="GE481" s="59">
        <f>$CT481-$CT482</f>
        <v/>
      </c>
    </row>
    <row r="482">
      <c r="CU482" s="58">
        <f>IFERROR($B482/$B483-1,"")</f>
        <v/>
      </c>
      <c r="CV482" s="59">
        <f>($F482-$F483)*100</f>
        <v/>
      </c>
      <c r="CW482" s="59">
        <f>($E482-$E483)*100</f>
        <v/>
      </c>
      <c r="CX482" s="58">
        <f>IFERROR($K482/$K483-1,"")</f>
        <v/>
      </c>
      <c r="CY482" s="59">
        <f>($AH482-$AH483)*100</f>
        <v/>
      </c>
      <c r="CZ482" s="59">
        <f>($AI482-$AI483)*100</f>
        <v/>
      </c>
      <c r="DA482" s="59">
        <f>($AJ482-$AJ483)*100</f>
        <v/>
      </c>
      <c r="DB482" s="59">
        <f>($AK482-$AK483)*100</f>
        <v/>
      </c>
      <c r="DC482" s="59">
        <f>($AL482-$AL483)*100</f>
        <v/>
      </c>
      <c r="DD482" s="59">
        <f>($AM482-$AM483)*100</f>
        <v/>
      </c>
      <c r="DE482" s="59">
        <f>($AN482-$AN483)*100</f>
        <v/>
      </c>
      <c r="DF482" s="59">
        <f>($AO482-$AO483)*100</f>
        <v/>
      </c>
      <c r="DG482" s="59">
        <f>($AP482-$AP483)*100</f>
        <v/>
      </c>
      <c r="DH482" s="59">
        <f>($AQ482-$AQ483)*100</f>
        <v/>
      </c>
      <c r="DI482" s="59">
        <f>($AR482-$AR483)*100</f>
        <v/>
      </c>
      <c r="DJ482" s="59">
        <f>($AS482-$AS483)*100</f>
        <v/>
      </c>
      <c r="DK482" s="59">
        <f>($AT482-$AT483)*100</f>
        <v/>
      </c>
      <c r="DL482" s="59">
        <f>($AU482-$AU483)*100</f>
        <v/>
      </c>
      <c r="DM482" s="59">
        <f>($AV482-$AV483)*100</f>
        <v/>
      </c>
      <c r="DN482" s="59">
        <f>($AW482-$AW483)*100</f>
        <v/>
      </c>
      <c r="DO482" s="59">
        <f>($AX482-$AX483)*100</f>
        <v/>
      </c>
      <c r="DP482" s="59">
        <f>($AY482-$AY483)*100</f>
        <v/>
      </c>
      <c r="DQ482" s="59">
        <f>($AZ482-$AZ483)*100</f>
        <v/>
      </c>
      <c r="DR482" s="59">
        <f>($BA482-$BA483)*100</f>
        <v/>
      </c>
      <c r="DS482" s="58">
        <f>IFERROR($N483/$N482-1,"")</f>
        <v/>
      </c>
      <c r="DT482" s="58">
        <f>IFERROR($O483/$O482-1,"")</f>
        <v/>
      </c>
      <c r="DU482" s="58">
        <f>IFERROR($P483/$P482-1,"")</f>
        <v/>
      </c>
      <c r="DV482" s="58">
        <f>IFERROR($Q483/$Q482-1,"")</f>
        <v/>
      </c>
      <c r="DW482" s="58">
        <f>IFERROR($R483/$R482-1,"")</f>
        <v/>
      </c>
      <c r="DX482" s="58">
        <f>IFERROR($S483/$S482-1,"")</f>
        <v/>
      </c>
      <c r="DY482" s="58">
        <f>IFERROR($T483/$T482-1,"")</f>
        <v/>
      </c>
      <c r="DZ482" s="58">
        <f>IFERROR($U483/$U482-1,"")</f>
        <v/>
      </c>
      <c r="EA482" s="58">
        <f>IFERROR($V483/$V482-1,"")</f>
        <v/>
      </c>
      <c r="EB482" s="58">
        <f>IFERROR($W483/$W482-1,"")</f>
        <v/>
      </c>
      <c r="EC482" s="58">
        <f>IFERROR($X483/$X482-1,"")</f>
        <v/>
      </c>
      <c r="ED482" s="58">
        <f>IFERROR($Y483/$Y482-1,"")</f>
        <v/>
      </c>
      <c r="EE482" s="58">
        <f>IFERROR($Z483/$Z482-1,"")</f>
        <v/>
      </c>
      <c r="EF482" s="58">
        <f>IFERROR($AA483/$AA482-1,"")</f>
        <v/>
      </c>
      <c r="EG482" s="58">
        <f>IFERROR($AB483/$AB482-1,"")</f>
        <v/>
      </c>
      <c r="EH482" s="58">
        <f>IFERROR($AC483/$AC482-1,"")</f>
        <v/>
      </c>
      <c r="EI482" s="58">
        <f>IFERROR($AD483/$AD482-1,"")</f>
        <v/>
      </c>
      <c r="EJ482" s="58">
        <f>IFERROR($AE483/$AE482-1,"")</f>
        <v/>
      </c>
      <c r="EK482" s="58">
        <f>IFERROR($AF483/$AF482-1,"")</f>
        <v/>
      </c>
      <c r="EL482" s="58">
        <f>IFERROR($AG483/$AG482-1,"")</f>
        <v/>
      </c>
      <c r="EM482" s="58">
        <f>IFERROR($BB482/$BB483-1,"")</f>
        <v/>
      </c>
      <c r="EN482" s="58">
        <f>IFERROR($BC482/$BC483-1,"")</f>
        <v/>
      </c>
      <c r="EO482" s="58">
        <f>IFERROR($BD482/$BD483-1,"")</f>
        <v/>
      </c>
      <c r="EP482" s="58">
        <f>IFERROR($BE482/$BE483-1,"")</f>
        <v/>
      </c>
      <c r="EQ482" s="58">
        <f>IFERROR($BF482/$BF483-1,"")</f>
        <v/>
      </c>
      <c r="ER482" s="58">
        <f>IFERROR($BG482/$BG483-1,"")</f>
        <v/>
      </c>
      <c r="ES482" s="58">
        <f>IFERROR($BH482/$BH483-1,"")</f>
        <v/>
      </c>
      <c r="ET482" s="58">
        <f>IFERROR($BI482/$BI483-1,"")</f>
        <v/>
      </c>
      <c r="EU482" s="58">
        <f>IFERROR($BJ482/$BJ483-1,"")</f>
        <v/>
      </c>
      <c r="EV482" s="58">
        <f>IFERROR($BK482/$BK483-1,"")</f>
        <v/>
      </c>
      <c r="EW482" s="58">
        <f>IFERROR($BL482/$BL483-1,"")</f>
        <v/>
      </c>
      <c r="EX482" s="58">
        <f>IFERROR($BM482/$BM483-1,"")</f>
        <v/>
      </c>
      <c r="EY482" s="58">
        <f>IFERROR($BN482/$BN483-1,"")</f>
        <v/>
      </c>
      <c r="EZ482" s="58">
        <f>IFERROR($BO482/$BO483-1,"")</f>
        <v/>
      </c>
      <c r="FA482" s="58">
        <f>IFERROR($BP482/$BP483-1,"")</f>
        <v/>
      </c>
      <c r="FB482" s="58">
        <f>IFERROR($BQ482/$BQ483-1,"")</f>
        <v/>
      </c>
      <c r="FC482" s="58">
        <f>IFERROR($BR482/$BR483-1,"")</f>
        <v/>
      </c>
      <c r="FD482" s="58">
        <f>IFERROR($BS482/$BS483-1,"")</f>
        <v/>
      </c>
      <c r="FE482" s="58">
        <f>IFERROR($BT482/$BT483-1,"")</f>
        <v/>
      </c>
      <c r="FF482" s="58">
        <f>IFERROR($BU482/$BU483-1,"")</f>
        <v/>
      </c>
      <c r="FG482" s="58">
        <f>IFERROR($BV482/$BV483-1,"")</f>
        <v/>
      </c>
      <c r="FH482" s="58">
        <f>IFERROR($BW482/$BW483-1,"")</f>
        <v/>
      </c>
      <c r="FI482" s="58">
        <f>IFERROR($BX482/$BX483-1,"")</f>
        <v/>
      </c>
      <c r="FJ482" s="59">
        <f>$BY482-$BY483</f>
        <v/>
      </c>
      <c r="FK482" s="59">
        <f>$BZ482-$BZ483</f>
        <v/>
      </c>
      <c r="FL482" s="59">
        <f>$CA482-$CA483</f>
        <v/>
      </c>
      <c r="FM482" s="59">
        <f>$CB482-$CB483</f>
        <v/>
      </c>
      <c r="FN482" s="59">
        <f>$CC482-$CC483</f>
        <v/>
      </c>
      <c r="FO482" s="59">
        <f>$CD482-$CD483</f>
        <v/>
      </c>
      <c r="FP482" s="59">
        <f>$CE482-$CE483</f>
        <v/>
      </c>
      <c r="FQ482" s="59">
        <f>$CF482-$CF483</f>
        <v/>
      </c>
      <c r="FR482" s="59">
        <f>$CG482-$CG483</f>
        <v/>
      </c>
      <c r="FS482" s="59">
        <f>$CH482-$CH483</f>
        <v/>
      </c>
      <c r="FT482" s="59">
        <f>$CI482-$CI483</f>
        <v/>
      </c>
      <c r="FU482" s="59">
        <f>$CJ482-$CJ483</f>
        <v/>
      </c>
      <c r="FV482" s="59">
        <f>$CK482-$CK483</f>
        <v/>
      </c>
      <c r="FW482" s="59">
        <f>$CL482-$CL483</f>
        <v/>
      </c>
      <c r="FX482" s="59">
        <f>$CM482-$CM483</f>
        <v/>
      </c>
      <c r="FY482" s="59">
        <f>$CN482-$CN483</f>
        <v/>
      </c>
      <c r="FZ482" s="59">
        <f>$CO482-$CO483</f>
        <v/>
      </c>
      <c r="GA482" s="59">
        <f>$CP482-$CP483</f>
        <v/>
      </c>
      <c r="GB482" s="59">
        <f>$CQ482-$CQ483</f>
        <v/>
      </c>
      <c r="GC482" s="59">
        <f>$CR482-$CR483</f>
        <v/>
      </c>
      <c r="GD482" s="59">
        <f>$CS482-$CS483</f>
        <v/>
      </c>
      <c r="GE482" s="59">
        <f>$CT482-$CT483</f>
        <v/>
      </c>
    </row>
    <row r="483">
      <c r="CU483" s="58">
        <f>IFERROR($B483/$B484-1,"")</f>
        <v/>
      </c>
      <c r="CV483" s="59">
        <f>($F483-$F484)*100</f>
        <v/>
      </c>
      <c r="CW483" s="59">
        <f>($E483-$E484)*100</f>
        <v/>
      </c>
      <c r="CX483" s="58">
        <f>IFERROR($K483/$K484-1,"")</f>
        <v/>
      </c>
      <c r="CY483" s="59">
        <f>($AH483-$AH484)*100</f>
        <v/>
      </c>
      <c r="CZ483" s="59">
        <f>($AI483-$AI484)*100</f>
        <v/>
      </c>
      <c r="DA483" s="59">
        <f>($AJ483-$AJ484)*100</f>
        <v/>
      </c>
      <c r="DB483" s="59">
        <f>($AK483-$AK484)*100</f>
        <v/>
      </c>
      <c r="DC483" s="59">
        <f>($AL483-$AL484)*100</f>
        <v/>
      </c>
      <c r="DD483" s="59">
        <f>($AM483-$AM484)*100</f>
        <v/>
      </c>
      <c r="DE483" s="59">
        <f>($AN483-$AN484)*100</f>
        <v/>
      </c>
      <c r="DF483" s="59">
        <f>($AO483-$AO484)*100</f>
        <v/>
      </c>
      <c r="DG483" s="59">
        <f>($AP483-$AP484)*100</f>
        <v/>
      </c>
      <c r="DH483" s="59">
        <f>($AQ483-$AQ484)*100</f>
        <v/>
      </c>
      <c r="DI483" s="59">
        <f>($AR483-$AR484)*100</f>
        <v/>
      </c>
      <c r="DJ483" s="59">
        <f>($AS483-$AS484)*100</f>
        <v/>
      </c>
      <c r="DK483" s="59">
        <f>($AT483-$AT484)*100</f>
        <v/>
      </c>
      <c r="DL483" s="59">
        <f>($AU483-$AU484)*100</f>
        <v/>
      </c>
      <c r="DM483" s="59">
        <f>($AV483-$AV484)*100</f>
        <v/>
      </c>
      <c r="DN483" s="59">
        <f>($AW483-$AW484)*100</f>
        <v/>
      </c>
      <c r="DO483" s="59">
        <f>($AX483-$AX484)*100</f>
        <v/>
      </c>
      <c r="DP483" s="59">
        <f>($AY483-$AY484)*100</f>
        <v/>
      </c>
      <c r="DQ483" s="59">
        <f>($AZ483-$AZ484)*100</f>
        <v/>
      </c>
      <c r="DR483" s="59">
        <f>($BA483-$BA484)*100</f>
        <v/>
      </c>
      <c r="DS483" s="58">
        <f>IFERROR($N484/$N483-1,"")</f>
        <v/>
      </c>
      <c r="DT483" s="58">
        <f>IFERROR($O484/$O483-1,"")</f>
        <v/>
      </c>
      <c r="DU483" s="58">
        <f>IFERROR($P484/$P483-1,"")</f>
        <v/>
      </c>
      <c r="DV483" s="58">
        <f>IFERROR($Q484/$Q483-1,"")</f>
        <v/>
      </c>
      <c r="DW483" s="58">
        <f>IFERROR($R484/$R483-1,"")</f>
        <v/>
      </c>
      <c r="DX483" s="58">
        <f>IFERROR($S484/$S483-1,"")</f>
        <v/>
      </c>
      <c r="DY483" s="58">
        <f>IFERROR($T484/$T483-1,"")</f>
        <v/>
      </c>
      <c r="DZ483" s="58">
        <f>IFERROR($U484/$U483-1,"")</f>
        <v/>
      </c>
      <c r="EA483" s="58">
        <f>IFERROR($V484/$V483-1,"")</f>
        <v/>
      </c>
      <c r="EB483" s="58">
        <f>IFERROR($W484/$W483-1,"")</f>
        <v/>
      </c>
      <c r="EC483" s="58">
        <f>IFERROR($X484/$X483-1,"")</f>
        <v/>
      </c>
      <c r="ED483" s="58">
        <f>IFERROR($Y484/$Y483-1,"")</f>
        <v/>
      </c>
      <c r="EE483" s="58">
        <f>IFERROR($Z484/$Z483-1,"")</f>
        <v/>
      </c>
      <c r="EF483" s="58">
        <f>IFERROR($AA484/$AA483-1,"")</f>
        <v/>
      </c>
      <c r="EG483" s="58">
        <f>IFERROR($AB484/$AB483-1,"")</f>
        <v/>
      </c>
      <c r="EH483" s="58">
        <f>IFERROR($AC484/$AC483-1,"")</f>
        <v/>
      </c>
      <c r="EI483" s="58">
        <f>IFERROR($AD484/$AD483-1,"")</f>
        <v/>
      </c>
      <c r="EJ483" s="58">
        <f>IFERROR($AE484/$AE483-1,"")</f>
        <v/>
      </c>
      <c r="EK483" s="58">
        <f>IFERROR($AF484/$AF483-1,"")</f>
        <v/>
      </c>
      <c r="EL483" s="58">
        <f>IFERROR($AG484/$AG483-1,"")</f>
        <v/>
      </c>
      <c r="EM483" s="58">
        <f>IFERROR($BB483/$BB484-1,"")</f>
        <v/>
      </c>
      <c r="EN483" s="58">
        <f>IFERROR($BC483/$BC484-1,"")</f>
        <v/>
      </c>
      <c r="EO483" s="58">
        <f>IFERROR($BD483/$BD484-1,"")</f>
        <v/>
      </c>
      <c r="EP483" s="58">
        <f>IFERROR($BE483/$BE484-1,"")</f>
        <v/>
      </c>
      <c r="EQ483" s="58">
        <f>IFERROR($BF483/$BF484-1,"")</f>
        <v/>
      </c>
      <c r="ER483" s="58">
        <f>IFERROR($BG483/$BG484-1,"")</f>
        <v/>
      </c>
      <c r="ES483" s="58">
        <f>IFERROR($BH483/$BH484-1,"")</f>
        <v/>
      </c>
      <c r="ET483" s="58">
        <f>IFERROR($BI483/$BI484-1,"")</f>
        <v/>
      </c>
      <c r="EU483" s="58">
        <f>IFERROR($BJ483/$BJ484-1,"")</f>
        <v/>
      </c>
      <c r="EV483" s="58">
        <f>IFERROR($BK483/$BK484-1,"")</f>
        <v/>
      </c>
      <c r="EW483" s="58">
        <f>IFERROR($BL483/$BL484-1,"")</f>
        <v/>
      </c>
      <c r="EX483" s="58">
        <f>IFERROR($BM483/$BM484-1,"")</f>
        <v/>
      </c>
      <c r="EY483" s="58">
        <f>IFERROR($BN483/$BN484-1,"")</f>
        <v/>
      </c>
      <c r="EZ483" s="58">
        <f>IFERROR($BO483/$BO484-1,"")</f>
        <v/>
      </c>
      <c r="FA483" s="58">
        <f>IFERROR($BP483/$BP484-1,"")</f>
        <v/>
      </c>
      <c r="FB483" s="58">
        <f>IFERROR($BQ483/$BQ484-1,"")</f>
        <v/>
      </c>
      <c r="FC483" s="58">
        <f>IFERROR($BR483/$BR484-1,"")</f>
        <v/>
      </c>
      <c r="FD483" s="58">
        <f>IFERROR($BS483/$BS484-1,"")</f>
        <v/>
      </c>
      <c r="FE483" s="58">
        <f>IFERROR($BT483/$BT484-1,"")</f>
        <v/>
      </c>
      <c r="FF483" s="58">
        <f>IFERROR($BU483/$BU484-1,"")</f>
        <v/>
      </c>
      <c r="FG483" s="58">
        <f>IFERROR($BV483/$BV484-1,"")</f>
        <v/>
      </c>
      <c r="FH483" s="58">
        <f>IFERROR($BW483/$BW484-1,"")</f>
        <v/>
      </c>
      <c r="FI483" s="58">
        <f>IFERROR($BX483/$BX484-1,"")</f>
        <v/>
      </c>
      <c r="FJ483" s="59">
        <f>$BY483-$BY484</f>
        <v/>
      </c>
      <c r="FK483" s="59">
        <f>$BZ483-$BZ484</f>
        <v/>
      </c>
      <c r="FL483" s="59">
        <f>$CA483-$CA484</f>
        <v/>
      </c>
      <c r="FM483" s="59">
        <f>$CB483-$CB484</f>
        <v/>
      </c>
      <c r="FN483" s="59">
        <f>$CC483-$CC484</f>
        <v/>
      </c>
      <c r="FO483" s="59">
        <f>$CD483-$CD484</f>
        <v/>
      </c>
      <c r="FP483" s="59">
        <f>$CE483-$CE484</f>
        <v/>
      </c>
      <c r="FQ483" s="59">
        <f>$CF483-$CF484</f>
        <v/>
      </c>
      <c r="FR483" s="59">
        <f>$CG483-$CG484</f>
        <v/>
      </c>
      <c r="FS483" s="59">
        <f>$CH483-$CH484</f>
        <v/>
      </c>
      <c r="FT483" s="59">
        <f>$CI483-$CI484</f>
        <v/>
      </c>
      <c r="FU483" s="59">
        <f>$CJ483-$CJ484</f>
        <v/>
      </c>
      <c r="FV483" s="59">
        <f>$CK483-$CK484</f>
        <v/>
      </c>
      <c r="FW483" s="59">
        <f>$CL483-$CL484</f>
        <v/>
      </c>
      <c r="FX483" s="59">
        <f>$CM483-$CM484</f>
        <v/>
      </c>
      <c r="FY483" s="59">
        <f>$CN483-$CN484</f>
        <v/>
      </c>
      <c r="FZ483" s="59">
        <f>$CO483-$CO484</f>
        <v/>
      </c>
      <c r="GA483" s="59">
        <f>$CP483-$CP484</f>
        <v/>
      </c>
      <c r="GB483" s="59">
        <f>$CQ483-$CQ484</f>
        <v/>
      </c>
      <c r="GC483" s="59">
        <f>$CR483-$CR484</f>
        <v/>
      </c>
      <c r="GD483" s="59">
        <f>$CS483-$CS484</f>
        <v/>
      </c>
      <c r="GE483" s="59">
        <f>$CT483-$CT484</f>
        <v/>
      </c>
    </row>
    <row r="484">
      <c r="CU484" s="58">
        <f>IFERROR($B484/$B485-1,"")</f>
        <v/>
      </c>
      <c r="CV484" s="59">
        <f>($F484-$F485)*100</f>
        <v/>
      </c>
      <c r="CW484" s="59">
        <f>($E484-$E485)*100</f>
        <v/>
      </c>
      <c r="CX484" s="58">
        <f>IFERROR($K484/$K485-1,"")</f>
        <v/>
      </c>
      <c r="CY484" s="59">
        <f>($AH484-$AH485)*100</f>
        <v/>
      </c>
      <c r="CZ484" s="59">
        <f>($AI484-$AI485)*100</f>
        <v/>
      </c>
      <c r="DA484" s="59">
        <f>($AJ484-$AJ485)*100</f>
        <v/>
      </c>
      <c r="DB484" s="59">
        <f>($AK484-$AK485)*100</f>
        <v/>
      </c>
      <c r="DC484" s="59">
        <f>($AL484-$AL485)*100</f>
        <v/>
      </c>
      <c r="DD484" s="59">
        <f>($AM484-$AM485)*100</f>
        <v/>
      </c>
      <c r="DE484" s="59">
        <f>($AN484-$AN485)*100</f>
        <v/>
      </c>
      <c r="DF484" s="59">
        <f>($AO484-$AO485)*100</f>
        <v/>
      </c>
      <c r="DG484" s="59">
        <f>($AP484-$AP485)*100</f>
        <v/>
      </c>
      <c r="DH484" s="59">
        <f>($AQ484-$AQ485)*100</f>
        <v/>
      </c>
      <c r="DI484" s="59">
        <f>($AR484-$AR485)*100</f>
        <v/>
      </c>
      <c r="DJ484" s="59">
        <f>($AS484-$AS485)*100</f>
        <v/>
      </c>
      <c r="DK484" s="59">
        <f>($AT484-$AT485)*100</f>
        <v/>
      </c>
      <c r="DL484" s="59">
        <f>($AU484-$AU485)*100</f>
        <v/>
      </c>
      <c r="DM484" s="59">
        <f>($AV484-$AV485)*100</f>
        <v/>
      </c>
      <c r="DN484" s="59">
        <f>($AW484-$AW485)*100</f>
        <v/>
      </c>
      <c r="DO484" s="59">
        <f>($AX484-$AX485)*100</f>
        <v/>
      </c>
      <c r="DP484" s="59">
        <f>($AY484-$AY485)*100</f>
        <v/>
      </c>
      <c r="DQ484" s="59">
        <f>($AZ484-$AZ485)*100</f>
        <v/>
      </c>
      <c r="DR484" s="59">
        <f>($BA484-$BA485)*100</f>
        <v/>
      </c>
      <c r="DS484" s="58">
        <f>IFERROR($N485/$N484-1,"")</f>
        <v/>
      </c>
      <c r="DT484" s="58">
        <f>IFERROR($O485/$O484-1,"")</f>
        <v/>
      </c>
      <c r="DU484" s="58">
        <f>IFERROR($P485/$P484-1,"")</f>
        <v/>
      </c>
      <c r="DV484" s="58">
        <f>IFERROR($Q485/$Q484-1,"")</f>
        <v/>
      </c>
      <c r="DW484" s="58">
        <f>IFERROR($R485/$R484-1,"")</f>
        <v/>
      </c>
      <c r="DX484" s="58">
        <f>IFERROR($S485/$S484-1,"")</f>
        <v/>
      </c>
      <c r="DY484" s="58">
        <f>IFERROR($T485/$T484-1,"")</f>
        <v/>
      </c>
      <c r="DZ484" s="58">
        <f>IFERROR($U485/$U484-1,"")</f>
        <v/>
      </c>
      <c r="EA484" s="58">
        <f>IFERROR($V485/$V484-1,"")</f>
        <v/>
      </c>
      <c r="EB484" s="58">
        <f>IFERROR($W485/$W484-1,"")</f>
        <v/>
      </c>
      <c r="EC484" s="58">
        <f>IFERROR($X485/$X484-1,"")</f>
        <v/>
      </c>
      <c r="ED484" s="58">
        <f>IFERROR($Y485/$Y484-1,"")</f>
        <v/>
      </c>
      <c r="EE484" s="58">
        <f>IFERROR($Z485/$Z484-1,"")</f>
        <v/>
      </c>
      <c r="EF484" s="58">
        <f>IFERROR($AA485/$AA484-1,"")</f>
        <v/>
      </c>
      <c r="EG484" s="58">
        <f>IFERROR($AB485/$AB484-1,"")</f>
        <v/>
      </c>
      <c r="EH484" s="58">
        <f>IFERROR($AC485/$AC484-1,"")</f>
        <v/>
      </c>
      <c r="EI484" s="58">
        <f>IFERROR($AD485/$AD484-1,"")</f>
        <v/>
      </c>
      <c r="EJ484" s="58">
        <f>IFERROR($AE485/$AE484-1,"")</f>
        <v/>
      </c>
      <c r="EK484" s="58">
        <f>IFERROR($AF485/$AF484-1,"")</f>
        <v/>
      </c>
      <c r="EL484" s="58">
        <f>IFERROR($AG485/$AG484-1,"")</f>
        <v/>
      </c>
      <c r="EM484" s="58">
        <f>IFERROR($BB484/$BB485-1,"")</f>
        <v/>
      </c>
      <c r="EN484" s="58">
        <f>IFERROR($BC484/$BC485-1,"")</f>
        <v/>
      </c>
      <c r="EO484" s="58">
        <f>IFERROR($BD484/$BD485-1,"")</f>
        <v/>
      </c>
      <c r="EP484" s="58">
        <f>IFERROR($BE484/$BE485-1,"")</f>
        <v/>
      </c>
      <c r="EQ484" s="58">
        <f>IFERROR($BF484/$BF485-1,"")</f>
        <v/>
      </c>
      <c r="ER484" s="58">
        <f>IFERROR($BG484/$BG485-1,"")</f>
        <v/>
      </c>
      <c r="ES484" s="58">
        <f>IFERROR($BH484/$BH485-1,"")</f>
        <v/>
      </c>
      <c r="ET484" s="58">
        <f>IFERROR($BI484/$BI485-1,"")</f>
        <v/>
      </c>
      <c r="EU484" s="58">
        <f>IFERROR($BJ484/$BJ485-1,"")</f>
        <v/>
      </c>
      <c r="EV484" s="58">
        <f>IFERROR($BK484/$BK485-1,"")</f>
        <v/>
      </c>
      <c r="EW484" s="58">
        <f>IFERROR($BL484/$BL485-1,"")</f>
        <v/>
      </c>
      <c r="EX484" s="58">
        <f>IFERROR($BM484/$BM485-1,"")</f>
        <v/>
      </c>
      <c r="EY484" s="58">
        <f>IFERROR($BN484/$BN485-1,"")</f>
        <v/>
      </c>
      <c r="EZ484" s="58">
        <f>IFERROR($BO484/$BO485-1,"")</f>
        <v/>
      </c>
      <c r="FA484" s="58">
        <f>IFERROR($BP484/$BP485-1,"")</f>
        <v/>
      </c>
      <c r="FB484" s="58">
        <f>IFERROR($BQ484/$BQ485-1,"")</f>
        <v/>
      </c>
      <c r="FC484" s="58">
        <f>IFERROR($BR484/$BR485-1,"")</f>
        <v/>
      </c>
      <c r="FD484" s="58">
        <f>IFERROR($BS484/$BS485-1,"")</f>
        <v/>
      </c>
      <c r="FE484" s="58">
        <f>IFERROR($BT484/$BT485-1,"")</f>
        <v/>
      </c>
      <c r="FF484" s="58">
        <f>IFERROR($BU484/$BU485-1,"")</f>
        <v/>
      </c>
      <c r="FG484" s="58">
        <f>IFERROR($BV484/$BV485-1,"")</f>
        <v/>
      </c>
      <c r="FH484" s="58">
        <f>IFERROR($BW484/$BW485-1,"")</f>
        <v/>
      </c>
      <c r="FI484" s="58">
        <f>IFERROR($BX484/$BX485-1,"")</f>
        <v/>
      </c>
      <c r="FJ484" s="59">
        <f>$BY484-$BY485</f>
        <v/>
      </c>
      <c r="FK484" s="59">
        <f>$BZ484-$BZ485</f>
        <v/>
      </c>
      <c r="FL484" s="59">
        <f>$CA484-$CA485</f>
        <v/>
      </c>
      <c r="FM484" s="59">
        <f>$CB484-$CB485</f>
        <v/>
      </c>
      <c r="FN484" s="59">
        <f>$CC484-$CC485</f>
        <v/>
      </c>
      <c r="FO484" s="59">
        <f>$CD484-$CD485</f>
        <v/>
      </c>
      <c r="FP484" s="59">
        <f>$CE484-$CE485</f>
        <v/>
      </c>
      <c r="FQ484" s="59">
        <f>$CF484-$CF485</f>
        <v/>
      </c>
      <c r="FR484" s="59">
        <f>$CG484-$CG485</f>
        <v/>
      </c>
      <c r="FS484" s="59">
        <f>$CH484-$CH485</f>
        <v/>
      </c>
      <c r="FT484" s="59">
        <f>$CI484-$CI485</f>
        <v/>
      </c>
      <c r="FU484" s="59">
        <f>$CJ484-$CJ485</f>
        <v/>
      </c>
      <c r="FV484" s="59">
        <f>$CK484-$CK485</f>
        <v/>
      </c>
      <c r="FW484" s="59">
        <f>$CL484-$CL485</f>
        <v/>
      </c>
      <c r="FX484" s="59">
        <f>$CM484-$CM485</f>
        <v/>
      </c>
      <c r="FY484" s="59">
        <f>$CN484-$CN485</f>
        <v/>
      </c>
      <c r="FZ484" s="59">
        <f>$CO484-$CO485</f>
        <v/>
      </c>
      <c r="GA484" s="59">
        <f>$CP484-$CP485</f>
        <v/>
      </c>
      <c r="GB484" s="59">
        <f>$CQ484-$CQ485</f>
        <v/>
      </c>
      <c r="GC484" s="59">
        <f>$CR484-$CR485</f>
        <v/>
      </c>
      <c r="GD484" s="59">
        <f>$CS484-$CS485</f>
        <v/>
      </c>
      <c r="GE484" s="59">
        <f>$CT484-$CT485</f>
        <v/>
      </c>
    </row>
    <row r="485">
      <c r="CU485" s="58">
        <f>IFERROR($B485/$B486-1,"")</f>
        <v/>
      </c>
      <c r="CV485" s="59">
        <f>($F485-$F486)*100</f>
        <v/>
      </c>
      <c r="CW485" s="59">
        <f>($E485-$E486)*100</f>
        <v/>
      </c>
      <c r="CX485" s="58">
        <f>IFERROR($K485/$K486-1,"")</f>
        <v/>
      </c>
      <c r="CY485" s="59">
        <f>($AH485-$AH486)*100</f>
        <v/>
      </c>
      <c r="CZ485" s="59">
        <f>($AI485-$AI486)*100</f>
        <v/>
      </c>
      <c r="DA485" s="59">
        <f>($AJ485-$AJ486)*100</f>
        <v/>
      </c>
      <c r="DB485" s="59">
        <f>($AK485-$AK486)*100</f>
        <v/>
      </c>
      <c r="DC485" s="59">
        <f>($AL485-$AL486)*100</f>
        <v/>
      </c>
      <c r="DD485" s="59">
        <f>($AM485-$AM486)*100</f>
        <v/>
      </c>
      <c r="DE485" s="59">
        <f>($AN485-$AN486)*100</f>
        <v/>
      </c>
      <c r="DF485" s="59">
        <f>($AO485-$AO486)*100</f>
        <v/>
      </c>
      <c r="DG485" s="59">
        <f>($AP485-$AP486)*100</f>
        <v/>
      </c>
      <c r="DH485" s="59">
        <f>($AQ485-$AQ486)*100</f>
        <v/>
      </c>
      <c r="DI485" s="59">
        <f>($AR485-$AR486)*100</f>
        <v/>
      </c>
      <c r="DJ485" s="59">
        <f>($AS485-$AS486)*100</f>
        <v/>
      </c>
      <c r="DK485" s="59">
        <f>($AT485-$AT486)*100</f>
        <v/>
      </c>
      <c r="DL485" s="59">
        <f>($AU485-$AU486)*100</f>
        <v/>
      </c>
      <c r="DM485" s="59">
        <f>($AV485-$AV486)*100</f>
        <v/>
      </c>
      <c r="DN485" s="59">
        <f>($AW485-$AW486)*100</f>
        <v/>
      </c>
      <c r="DO485" s="59">
        <f>($AX485-$AX486)*100</f>
        <v/>
      </c>
      <c r="DP485" s="59">
        <f>($AY485-$AY486)*100</f>
        <v/>
      </c>
      <c r="DQ485" s="59">
        <f>($AZ485-$AZ486)*100</f>
        <v/>
      </c>
      <c r="DR485" s="59">
        <f>($BA485-$BA486)*100</f>
        <v/>
      </c>
      <c r="DS485" s="58">
        <f>IFERROR($N486/$N485-1,"")</f>
        <v/>
      </c>
      <c r="DT485" s="58">
        <f>IFERROR($O486/$O485-1,"")</f>
        <v/>
      </c>
      <c r="DU485" s="58">
        <f>IFERROR($P486/$P485-1,"")</f>
        <v/>
      </c>
      <c r="DV485" s="58">
        <f>IFERROR($Q486/$Q485-1,"")</f>
        <v/>
      </c>
      <c r="DW485" s="58">
        <f>IFERROR($R486/$R485-1,"")</f>
        <v/>
      </c>
      <c r="DX485" s="58">
        <f>IFERROR($S486/$S485-1,"")</f>
        <v/>
      </c>
      <c r="DY485" s="58">
        <f>IFERROR($T486/$T485-1,"")</f>
        <v/>
      </c>
      <c r="DZ485" s="58">
        <f>IFERROR($U486/$U485-1,"")</f>
        <v/>
      </c>
      <c r="EA485" s="58">
        <f>IFERROR($V486/$V485-1,"")</f>
        <v/>
      </c>
      <c r="EB485" s="58">
        <f>IFERROR($W486/$W485-1,"")</f>
        <v/>
      </c>
      <c r="EC485" s="58">
        <f>IFERROR($X486/$X485-1,"")</f>
        <v/>
      </c>
      <c r="ED485" s="58">
        <f>IFERROR($Y486/$Y485-1,"")</f>
        <v/>
      </c>
      <c r="EE485" s="58">
        <f>IFERROR($Z486/$Z485-1,"")</f>
        <v/>
      </c>
      <c r="EF485" s="58">
        <f>IFERROR($AA486/$AA485-1,"")</f>
        <v/>
      </c>
      <c r="EG485" s="58">
        <f>IFERROR($AB486/$AB485-1,"")</f>
        <v/>
      </c>
      <c r="EH485" s="58">
        <f>IFERROR($AC486/$AC485-1,"")</f>
        <v/>
      </c>
      <c r="EI485" s="58">
        <f>IFERROR($AD486/$AD485-1,"")</f>
        <v/>
      </c>
      <c r="EJ485" s="58">
        <f>IFERROR($AE486/$AE485-1,"")</f>
        <v/>
      </c>
      <c r="EK485" s="58">
        <f>IFERROR($AF486/$AF485-1,"")</f>
        <v/>
      </c>
      <c r="EL485" s="58">
        <f>IFERROR($AG486/$AG485-1,"")</f>
        <v/>
      </c>
      <c r="EM485" s="58">
        <f>IFERROR($BB485/$BB486-1,"")</f>
        <v/>
      </c>
      <c r="EN485" s="58">
        <f>IFERROR($BC485/$BC486-1,"")</f>
        <v/>
      </c>
      <c r="EO485" s="58">
        <f>IFERROR($BD485/$BD486-1,"")</f>
        <v/>
      </c>
      <c r="EP485" s="58">
        <f>IFERROR($BE485/$BE486-1,"")</f>
        <v/>
      </c>
      <c r="EQ485" s="58">
        <f>IFERROR($BF485/$BF486-1,"")</f>
        <v/>
      </c>
      <c r="ER485" s="58">
        <f>IFERROR($BG485/$BG486-1,"")</f>
        <v/>
      </c>
      <c r="ES485" s="58">
        <f>IFERROR($BH485/$BH486-1,"")</f>
        <v/>
      </c>
      <c r="ET485" s="58">
        <f>IFERROR($BI485/$BI486-1,"")</f>
        <v/>
      </c>
      <c r="EU485" s="58">
        <f>IFERROR($BJ485/$BJ486-1,"")</f>
        <v/>
      </c>
      <c r="EV485" s="58">
        <f>IFERROR($BK485/$BK486-1,"")</f>
        <v/>
      </c>
      <c r="EW485" s="58">
        <f>IFERROR($BL485/$BL486-1,"")</f>
        <v/>
      </c>
      <c r="EX485" s="58">
        <f>IFERROR($BM485/$BM486-1,"")</f>
        <v/>
      </c>
      <c r="EY485" s="58">
        <f>IFERROR($BN485/$BN486-1,"")</f>
        <v/>
      </c>
      <c r="EZ485" s="58">
        <f>IFERROR($BO485/$BO486-1,"")</f>
        <v/>
      </c>
      <c r="FA485" s="58">
        <f>IFERROR($BP485/$BP486-1,"")</f>
        <v/>
      </c>
      <c r="FB485" s="58">
        <f>IFERROR($BQ485/$BQ486-1,"")</f>
        <v/>
      </c>
      <c r="FC485" s="58">
        <f>IFERROR($BR485/$BR486-1,"")</f>
        <v/>
      </c>
      <c r="FD485" s="58">
        <f>IFERROR($BS485/$BS486-1,"")</f>
        <v/>
      </c>
      <c r="FE485" s="58">
        <f>IFERROR($BT485/$BT486-1,"")</f>
        <v/>
      </c>
      <c r="FF485" s="58">
        <f>IFERROR($BU485/$BU486-1,"")</f>
        <v/>
      </c>
      <c r="FG485" s="58">
        <f>IFERROR($BV485/$BV486-1,"")</f>
        <v/>
      </c>
      <c r="FH485" s="58">
        <f>IFERROR($BW485/$BW486-1,"")</f>
        <v/>
      </c>
      <c r="FI485" s="58">
        <f>IFERROR($BX485/$BX486-1,"")</f>
        <v/>
      </c>
      <c r="FJ485" s="59">
        <f>$BY485-$BY486</f>
        <v/>
      </c>
      <c r="FK485" s="59">
        <f>$BZ485-$BZ486</f>
        <v/>
      </c>
      <c r="FL485" s="59">
        <f>$CA485-$CA486</f>
        <v/>
      </c>
      <c r="FM485" s="59">
        <f>$CB485-$CB486</f>
        <v/>
      </c>
      <c r="FN485" s="59">
        <f>$CC485-$CC486</f>
        <v/>
      </c>
      <c r="FO485" s="59">
        <f>$CD485-$CD486</f>
        <v/>
      </c>
      <c r="FP485" s="59">
        <f>$CE485-$CE486</f>
        <v/>
      </c>
      <c r="FQ485" s="59">
        <f>$CF485-$CF486</f>
        <v/>
      </c>
      <c r="FR485" s="59">
        <f>$CG485-$CG486</f>
        <v/>
      </c>
      <c r="FS485" s="59">
        <f>$CH485-$CH486</f>
        <v/>
      </c>
      <c r="FT485" s="59">
        <f>$CI485-$CI486</f>
        <v/>
      </c>
      <c r="FU485" s="59">
        <f>$CJ485-$CJ486</f>
        <v/>
      </c>
      <c r="FV485" s="59">
        <f>$CK485-$CK486</f>
        <v/>
      </c>
      <c r="FW485" s="59">
        <f>$CL485-$CL486</f>
        <v/>
      </c>
      <c r="FX485" s="59">
        <f>$CM485-$CM486</f>
        <v/>
      </c>
      <c r="FY485" s="59">
        <f>$CN485-$CN486</f>
        <v/>
      </c>
      <c r="FZ485" s="59">
        <f>$CO485-$CO486</f>
        <v/>
      </c>
      <c r="GA485" s="59">
        <f>$CP485-$CP486</f>
        <v/>
      </c>
      <c r="GB485" s="59">
        <f>$CQ485-$CQ486</f>
        <v/>
      </c>
      <c r="GC485" s="59">
        <f>$CR485-$CR486</f>
        <v/>
      </c>
      <c r="GD485" s="59">
        <f>$CS485-$CS486</f>
        <v/>
      </c>
      <c r="GE485" s="59">
        <f>$CT485-$CT486</f>
        <v/>
      </c>
    </row>
    <row r="486">
      <c r="CU486" s="58">
        <f>IFERROR($B486/$B487-1,"")</f>
        <v/>
      </c>
      <c r="CV486" s="59">
        <f>($F486-$F487)*100</f>
        <v/>
      </c>
      <c r="CW486" s="59">
        <f>($E486-$E487)*100</f>
        <v/>
      </c>
      <c r="CX486" s="58">
        <f>IFERROR($K486/$K487-1,"")</f>
        <v/>
      </c>
      <c r="CY486" s="59">
        <f>($AH486-$AH487)*100</f>
        <v/>
      </c>
      <c r="CZ486" s="59">
        <f>($AI486-$AI487)*100</f>
        <v/>
      </c>
      <c r="DA486" s="59">
        <f>($AJ486-$AJ487)*100</f>
        <v/>
      </c>
      <c r="DB486" s="59">
        <f>($AK486-$AK487)*100</f>
        <v/>
      </c>
      <c r="DC486" s="59">
        <f>($AL486-$AL487)*100</f>
        <v/>
      </c>
      <c r="DD486" s="59">
        <f>($AM486-$AM487)*100</f>
        <v/>
      </c>
      <c r="DE486" s="59">
        <f>($AN486-$AN487)*100</f>
        <v/>
      </c>
      <c r="DF486" s="59">
        <f>($AO486-$AO487)*100</f>
        <v/>
      </c>
      <c r="DG486" s="59">
        <f>($AP486-$AP487)*100</f>
        <v/>
      </c>
      <c r="DH486" s="59">
        <f>($AQ486-$AQ487)*100</f>
        <v/>
      </c>
      <c r="DI486" s="59">
        <f>($AR486-$AR487)*100</f>
        <v/>
      </c>
      <c r="DJ486" s="59">
        <f>($AS486-$AS487)*100</f>
        <v/>
      </c>
      <c r="DK486" s="59">
        <f>($AT486-$AT487)*100</f>
        <v/>
      </c>
      <c r="DL486" s="59">
        <f>($AU486-$AU487)*100</f>
        <v/>
      </c>
      <c r="DM486" s="59">
        <f>($AV486-$AV487)*100</f>
        <v/>
      </c>
      <c r="DN486" s="59">
        <f>($AW486-$AW487)*100</f>
        <v/>
      </c>
      <c r="DO486" s="59">
        <f>($AX486-$AX487)*100</f>
        <v/>
      </c>
      <c r="DP486" s="59">
        <f>($AY486-$AY487)*100</f>
        <v/>
      </c>
      <c r="DQ486" s="59">
        <f>($AZ486-$AZ487)*100</f>
        <v/>
      </c>
      <c r="DR486" s="59">
        <f>($BA486-$BA487)*100</f>
        <v/>
      </c>
      <c r="DS486" s="58">
        <f>IFERROR($N487/$N486-1,"")</f>
        <v/>
      </c>
      <c r="DT486" s="58">
        <f>IFERROR($O487/$O486-1,"")</f>
        <v/>
      </c>
      <c r="DU486" s="58">
        <f>IFERROR($P487/$P486-1,"")</f>
        <v/>
      </c>
      <c r="DV486" s="58">
        <f>IFERROR($Q487/$Q486-1,"")</f>
        <v/>
      </c>
      <c r="DW486" s="58">
        <f>IFERROR($R487/$R486-1,"")</f>
        <v/>
      </c>
      <c r="DX486" s="58">
        <f>IFERROR($S487/$S486-1,"")</f>
        <v/>
      </c>
      <c r="DY486" s="58">
        <f>IFERROR($T487/$T486-1,"")</f>
        <v/>
      </c>
      <c r="DZ486" s="58">
        <f>IFERROR($U487/$U486-1,"")</f>
        <v/>
      </c>
      <c r="EA486" s="58">
        <f>IFERROR($V487/$V486-1,"")</f>
        <v/>
      </c>
      <c r="EB486" s="58">
        <f>IFERROR($W487/$W486-1,"")</f>
        <v/>
      </c>
      <c r="EC486" s="58">
        <f>IFERROR($X487/$X486-1,"")</f>
        <v/>
      </c>
      <c r="ED486" s="58">
        <f>IFERROR($Y487/$Y486-1,"")</f>
        <v/>
      </c>
      <c r="EE486" s="58">
        <f>IFERROR($Z487/$Z486-1,"")</f>
        <v/>
      </c>
      <c r="EF486" s="58">
        <f>IFERROR($AA487/$AA486-1,"")</f>
        <v/>
      </c>
      <c r="EG486" s="58">
        <f>IFERROR($AB487/$AB486-1,"")</f>
        <v/>
      </c>
      <c r="EH486" s="58">
        <f>IFERROR($AC487/$AC486-1,"")</f>
        <v/>
      </c>
      <c r="EI486" s="58">
        <f>IFERROR($AD487/$AD486-1,"")</f>
        <v/>
      </c>
      <c r="EJ486" s="58">
        <f>IFERROR($AE487/$AE486-1,"")</f>
        <v/>
      </c>
      <c r="EK486" s="58">
        <f>IFERROR($AF487/$AF486-1,"")</f>
        <v/>
      </c>
      <c r="EL486" s="58">
        <f>IFERROR($AG487/$AG486-1,"")</f>
        <v/>
      </c>
      <c r="EM486" s="58">
        <f>IFERROR($BB486/$BB487-1,"")</f>
        <v/>
      </c>
      <c r="EN486" s="58">
        <f>IFERROR($BC486/$BC487-1,"")</f>
        <v/>
      </c>
      <c r="EO486" s="58">
        <f>IFERROR($BD486/$BD487-1,"")</f>
        <v/>
      </c>
      <c r="EP486" s="58">
        <f>IFERROR($BE486/$BE487-1,"")</f>
        <v/>
      </c>
      <c r="EQ486" s="58">
        <f>IFERROR($BF486/$BF487-1,"")</f>
        <v/>
      </c>
      <c r="ER486" s="58">
        <f>IFERROR($BG486/$BG487-1,"")</f>
        <v/>
      </c>
      <c r="ES486" s="58">
        <f>IFERROR($BH486/$BH487-1,"")</f>
        <v/>
      </c>
      <c r="ET486" s="58">
        <f>IFERROR($BI486/$BI487-1,"")</f>
        <v/>
      </c>
      <c r="EU486" s="58">
        <f>IFERROR($BJ486/$BJ487-1,"")</f>
        <v/>
      </c>
      <c r="EV486" s="58">
        <f>IFERROR($BK486/$BK487-1,"")</f>
        <v/>
      </c>
      <c r="EW486" s="58">
        <f>IFERROR($BL486/$BL487-1,"")</f>
        <v/>
      </c>
      <c r="EX486" s="58">
        <f>IFERROR($BM486/$BM487-1,"")</f>
        <v/>
      </c>
      <c r="EY486" s="58">
        <f>IFERROR($BN486/$BN487-1,"")</f>
        <v/>
      </c>
      <c r="EZ486" s="58">
        <f>IFERROR($BO486/$BO487-1,"")</f>
        <v/>
      </c>
      <c r="FA486" s="58">
        <f>IFERROR($BP486/$BP487-1,"")</f>
        <v/>
      </c>
      <c r="FB486" s="58">
        <f>IFERROR($BQ486/$BQ487-1,"")</f>
        <v/>
      </c>
      <c r="FC486" s="58">
        <f>IFERROR($BR486/$BR487-1,"")</f>
        <v/>
      </c>
      <c r="FD486" s="58">
        <f>IFERROR($BS486/$BS487-1,"")</f>
        <v/>
      </c>
      <c r="FE486" s="58">
        <f>IFERROR($BT486/$BT487-1,"")</f>
        <v/>
      </c>
      <c r="FF486" s="58">
        <f>IFERROR($BU486/$BU487-1,"")</f>
        <v/>
      </c>
      <c r="FG486" s="58">
        <f>IFERROR($BV486/$BV487-1,"")</f>
        <v/>
      </c>
      <c r="FH486" s="58">
        <f>IFERROR($BW486/$BW487-1,"")</f>
        <v/>
      </c>
      <c r="FI486" s="58">
        <f>IFERROR($BX486/$BX487-1,"")</f>
        <v/>
      </c>
      <c r="FJ486" s="59">
        <f>$BY486-$BY487</f>
        <v/>
      </c>
      <c r="FK486" s="59">
        <f>$BZ486-$BZ487</f>
        <v/>
      </c>
      <c r="FL486" s="59">
        <f>$CA486-$CA487</f>
        <v/>
      </c>
      <c r="FM486" s="59">
        <f>$CB486-$CB487</f>
        <v/>
      </c>
      <c r="FN486" s="59">
        <f>$CC486-$CC487</f>
        <v/>
      </c>
      <c r="FO486" s="59">
        <f>$CD486-$CD487</f>
        <v/>
      </c>
      <c r="FP486" s="59">
        <f>$CE486-$CE487</f>
        <v/>
      </c>
      <c r="FQ486" s="59">
        <f>$CF486-$CF487</f>
        <v/>
      </c>
      <c r="FR486" s="59">
        <f>$CG486-$CG487</f>
        <v/>
      </c>
      <c r="FS486" s="59">
        <f>$CH486-$CH487</f>
        <v/>
      </c>
      <c r="FT486" s="59">
        <f>$CI486-$CI487</f>
        <v/>
      </c>
      <c r="FU486" s="59">
        <f>$CJ486-$CJ487</f>
        <v/>
      </c>
      <c r="FV486" s="59">
        <f>$CK486-$CK487</f>
        <v/>
      </c>
      <c r="FW486" s="59">
        <f>$CL486-$CL487</f>
        <v/>
      </c>
      <c r="FX486" s="59">
        <f>$CM486-$CM487</f>
        <v/>
      </c>
      <c r="FY486" s="59">
        <f>$CN486-$CN487</f>
        <v/>
      </c>
      <c r="FZ486" s="59">
        <f>$CO486-$CO487</f>
        <v/>
      </c>
      <c r="GA486" s="59">
        <f>$CP486-$CP487</f>
        <v/>
      </c>
      <c r="GB486" s="59">
        <f>$CQ486-$CQ487</f>
        <v/>
      </c>
      <c r="GC486" s="59">
        <f>$CR486-$CR487</f>
        <v/>
      </c>
      <c r="GD486" s="59">
        <f>$CS486-$CS487</f>
        <v/>
      </c>
      <c r="GE486" s="59">
        <f>$CT486-$CT487</f>
        <v/>
      </c>
    </row>
    <row r="487">
      <c r="CU487" s="58">
        <f>IFERROR($B487/$B488-1,"")</f>
        <v/>
      </c>
      <c r="CV487" s="59">
        <f>($F487-$F488)*100</f>
        <v/>
      </c>
      <c r="CW487" s="59">
        <f>($E487-$E488)*100</f>
        <v/>
      </c>
      <c r="CX487" s="58">
        <f>IFERROR($K487/$K488-1,"")</f>
        <v/>
      </c>
      <c r="CY487" s="59">
        <f>($AH487-$AH488)*100</f>
        <v/>
      </c>
      <c r="CZ487" s="59">
        <f>($AI487-$AI488)*100</f>
        <v/>
      </c>
      <c r="DA487" s="59">
        <f>($AJ487-$AJ488)*100</f>
        <v/>
      </c>
      <c r="DB487" s="59">
        <f>($AK487-$AK488)*100</f>
        <v/>
      </c>
      <c r="DC487" s="59">
        <f>($AL487-$AL488)*100</f>
        <v/>
      </c>
      <c r="DD487" s="59">
        <f>($AM487-$AM488)*100</f>
        <v/>
      </c>
      <c r="DE487" s="59">
        <f>($AN487-$AN488)*100</f>
        <v/>
      </c>
      <c r="DF487" s="59">
        <f>($AO487-$AO488)*100</f>
        <v/>
      </c>
      <c r="DG487" s="59">
        <f>($AP487-$AP488)*100</f>
        <v/>
      </c>
      <c r="DH487" s="59">
        <f>($AQ487-$AQ488)*100</f>
        <v/>
      </c>
      <c r="DI487" s="59">
        <f>($AR487-$AR488)*100</f>
        <v/>
      </c>
      <c r="DJ487" s="59">
        <f>($AS487-$AS488)*100</f>
        <v/>
      </c>
      <c r="DK487" s="59">
        <f>($AT487-$AT488)*100</f>
        <v/>
      </c>
      <c r="DL487" s="59">
        <f>($AU487-$AU488)*100</f>
        <v/>
      </c>
      <c r="DM487" s="59">
        <f>($AV487-$AV488)*100</f>
        <v/>
      </c>
      <c r="DN487" s="59">
        <f>($AW487-$AW488)*100</f>
        <v/>
      </c>
      <c r="DO487" s="59">
        <f>($AX487-$AX488)*100</f>
        <v/>
      </c>
      <c r="DP487" s="59">
        <f>($AY487-$AY488)*100</f>
        <v/>
      </c>
      <c r="DQ487" s="59">
        <f>($AZ487-$AZ488)*100</f>
        <v/>
      </c>
      <c r="DR487" s="59">
        <f>($BA487-$BA488)*100</f>
        <v/>
      </c>
      <c r="DS487" s="58">
        <f>IFERROR($N488/$N487-1,"")</f>
        <v/>
      </c>
      <c r="DT487" s="58">
        <f>IFERROR($O488/$O487-1,"")</f>
        <v/>
      </c>
      <c r="DU487" s="58">
        <f>IFERROR($P488/$P487-1,"")</f>
        <v/>
      </c>
      <c r="DV487" s="58">
        <f>IFERROR($Q488/$Q487-1,"")</f>
        <v/>
      </c>
      <c r="DW487" s="58">
        <f>IFERROR($R488/$R487-1,"")</f>
        <v/>
      </c>
      <c r="DX487" s="58">
        <f>IFERROR($S488/$S487-1,"")</f>
        <v/>
      </c>
      <c r="DY487" s="58">
        <f>IFERROR($T488/$T487-1,"")</f>
        <v/>
      </c>
      <c r="DZ487" s="58">
        <f>IFERROR($U488/$U487-1,"")</f>
        <v/>
      </c>
      <c r="EA487" s="58">
        <f>IFERROR($V488/$V487-1,"")</f>
        <v/>
      </c>
      <c r="EB487" s="58">
        <f>IFERROR($W488/$W487-1,"")</f>
        <v/>
      </c>
      <c r="EC487" s="58">
        <f>IFERROR($X488/$X487-1,"")</f>
        <v/>
      </c>
      <c r="ED487" s="58">
        <f>IFERROR($Y488/$Y487-1,"")</f>
        <v/>
      </c>
      <c r="EE487" s="58">
        <f>IFERROR($Z488/$Z487-1,"")</f>
        <v/>
      </c>
      <c r="EF487" s="58">
        <f>IFERROR($AA488/$AA487-1,"")</f>
        <v/>
      </c>
      <c r="EG487" s="58">
        <f>IFERROR($AB488/$AB487-1,"")</f>
        <v/>
      </c>
      <c r="EH487" s="58">
        <f>IFERROR($AC488/$AC487-1,"")</f>
        <v/>
      </c>
      <c r="EI487" s="58">
        <f>IFERROR($AD488/$AD487-1,"")</f>
        <v/>
      </c>
      <c r="EJ487" s="58">
        <f>IFERROR($AE488/$AE487-1,"")</f>
        <v/>
      </c>
      <c r="EK487" s="58">
        <f>IFERROR($AF488/$AF487-1,"")</f>
        <v/>
      </c>
      <c r="EL487" s="58">
        <f>IFERROR($AG488/$AG487-1,"")</f>
        <v/>
      </c>
      <c r="EM487" s="58">
        <f>IFERROR($BB487/$BB488-1,"")</f>
        <v/>
      </c>
      <c r="EN487" s="58">
        <f>IFERROR($BC487/$BC488-1,"")</f>
        <v/>
      </c>
      <c r="EO487" s="58">
        <f>IFERROR($BD487/$BD488-1,"")</f>
        <v/>
      </c>
      <c r="EP487" s="58">
        <f>IFERROR($BE487/$BE488-1,"")</f>
        <v/>
      </c>
      <c r="EQ487" s="58">
        <f>IFERROR($BF487/$BF488-1,"")</f>
        <v/>
      </c>
      <c r="ER487" s="58">
        <f>IFERROR($BG487/$BG488-1,"")</f>
        <v/>
      </c>
      <c r="ES487" s="58">
        <f>IFERROR($BH487/$BH488-1,"")</f>
        <v/>
      </c>
      <c r="ET487" s="58">
        <f>IFERROR($BI487/$BI488-1,"")</f>
        <v/>
      </c>
      <c r="EU487" s="58">
        <f>IFERROR($BJ487/$BJ488-1,"")</f>
        <v/>
      </c>
      <c r="EV487" s="58">
        <f>IFERROR($BK487/$BK488-1,"")</f>
        <v/>
      </c>
      <c r="EW487" s="58">
        <f>IFERROR($BL487/$BL488-1,"")</f>
        <v/>
      </c>
      <c r="EX487" s="58">
        <f>IFERROR($BM487/$BM488-1,"")</f>
        <v/>
      </c>
      <c r="EY487" s="58">
        <f>IFERROR($BN487/$BN488-1,"")</f>
        <v/>
      </c>
      <c r="EZ487" s="58">
        <f>IFERROR($BO487/$BO488-1,"")</f>
        <v/>
      </c>
      <c r="FA487" s="58">
        <f>IFERROR($BP487/$BP488-1,"")</f>
        <v/>
      </c>
      <c r="FB487" s="58">
        <f>IFERROR($BQ487/$BQ488-1,"")</f>
        <v/>
      </c>
      <c r="FC487" s="58">
        <f>IFERROR($BR487/$BR488-1,"")</f>
        <v/>
      </c>
      <c r="FD487" s="58">
        <f>IFERROR($BS487/$BS488-1,"")</f>
        <v/>
      </c>
      <c r="FE487" s="58">
        <f>IFERROR($BT487/$BT488-1,"")</f>
        <v/>
      </c>
      <c r="FF487" s="58">
        <f>IFERROR($BU487/$BU488-1,"")</f>
        <v/>
      </c>
      <c r="FG487" s="58">
        <f>IFERROR($BV487/$BV488-1,"")</f>
        <v/>
      </c>
      <c r="FH487" s="58">
        <f>IFERROR($BW487/$BW488-1,"")</f>
        <v/>
      </c>
      <c r="FI487" s="58">
        <f>IFERROR($BX487/$BX488-1,"")</f>
        <v/>
      </c>
      <c r="FJ487" s="59">
        <f>$BY487-$BY488</f>
        <v/>
      </c>
      <c r="FK487" s="59">
        <f>$BZ487-$BZ488</f>
        <v/>
      </c>
      <c r="FL487" s="59">
        <f>$CA487-$CA488</f>
        <v/>
      </c>
      <c r="FM487" s="59">
        <f>$CB487-$CB488</f>
        <v/>
      </c>
      <c r="FN487" s="59">
        <f>$CC487-$CC488</f>
        <v/>
      </c>
      <c r="FO487" s="59">
        <f>$CD487-$CD488</f>
        <v/>
      </c>
      <c r="FP487" s="59">
        <f>$CE487-$CE488</f>
        <v/>
      </c>
      <c r="FQ487" s="59">
        <f>$CF487-$CF488</f>
        <v/>
      </c>
      <c r="FR487" s="59">
        <f>$CG487-$CG488</f>
        <v/>
      </c>
      <c r="FS487" s="59">
        <f>$CH487-$CH488</f>
        <v/>
      </c>
      <c r="FT487" s="59">
        <f>$CI487-$CI488</f>
        <v/>
      </c>
      <c r="FU487" s="59">
        <f>$CJ487-$CJ488</f>
        <v/>
      </c>
      <c r="FV487" s="59">
        <f>$CK487-$CK488</f>
        <v/>
      </c>
      <c r="FW487" s="59">
        <f>$CL487-$CL488</f>
        <v/>
      </c>
      <c r="FX487" s="59">
        <f>$CM487-$CM488</f>
        <v/>
      </c>
      <c r="FY487" s="59">
        <f>$CN487-$CN488</f>
        <v/>
      </c>
      <c r="FZ487" s="59">
        <f>$CO487-$CO488</f>
        <v/>
      </c>
      <c r="GA487" s="59">
        <f>$CP487-$CP488</f>
        <v/>
      </c>
      <c r="GB487" s="59">
        <f>$CQ487-$CQ488</f>
        <v/>
      </c>
      <c r="GC487" s="59">
        <f>$CR487-$CR488</f>
        <v/>
      </c>
      <c r="GD487" s="59">
        <f>$CS487-$CS488</f>
        <v/>
      </c>
      <c r="GE487" s="59">
        <f>$CT487-$CT488</f>
        <v/>
      </c>
    </row>
    <row r="488">
      <c r="CU488" s="58">
        <f>IFERROR($B488/$B489-1,"")</f>
        <v/>
      </c>
      <c r="CV488" s="59">
        <f>($F488-$F489)*100</f>
        <v/>
      </c>
      <c r="CW488" s="59">
        <f>($E488-$E489)*100</f>
        <v/>
      </c>
      <c r="CX488" s="58">
        <f>IFERROR($K488/$K489-1,"")</f>
        <v/>
      </c>
      <c r="CY488" s="59">
        <f>($AH488-$AH489)*100</f>
        <v/>
      </c>
      <c r="CZ488" s="59">
        <f>($AI488-$AI489)*100</f>
        <v/>
      </c>
      <c r="DA488" s="59">
        <f>($AJ488-$AJ489)*100</f>
        <v/>
      </c>
      <c r="DB488" s="59">
        <f>($AK488-$AK489)*100</f>
        <v/>
      </c>
      <c r="DC488" s="59">
        <f>($AL488-$AL489)*100</f>
        <v/>
      </c>
      <c r="DD488" s="59">
        <f>($AM488-$AM489)*100</f>
        <v/>
      </c>
      <c r="DE488" s="59">
        <f>($AN488-$AN489)*100</f>
        <v/>
      </c>
      <c r="DF488" s="59">
        <f>($AO488-$AO489)*100</f>
        <v/>
      </c>
      <c r="DG488" s="59">
        <f>($AP488-$AP489)*100</f>
        <v/>
      </c>
      <c r="DH488" s="59">
        <f>($AQ488-$AQ489)*100</f>
        <v/>
      </c>
      <c r="DI488" s="59">
        <f>($AR488-$AR489)*100</f>
        <v/>
      </c>
      <c r="DJ488" s="59">
        <f>($AS488-$AS489)*100</f>
        <v/>
      </c>
      <c r="DK488" s="59">
        <f>($AT488-$AT489)*100</f>
        <v/>
      </c>
      <c r="DL488" s="59">
        <f>($AU488-$AU489)*100</f>
        <v/>
      </c>
      <c r="DM488" s="59">
        <f>($AV488-$AV489)*100</f>
        <v/>
      </c>
      <c r="DN488" s="59">
        <f>($AW488-$AW489)*100</f>
        <v/>
      </c>
      <c r="DO488" s="59">
        <f>($AX488-$AX489)*100</f>
        <v/>
      </c>
      <c r="DP488" s="59">
        <f>($AY488-$AY489)*100</f>
        <v/>
      </c>
      <c r="DQ488" s="59">
        <f>($AZ488-$AZ489)*100</f>
        <v/>
      </c>
      <c r="DR488" s="59">
        <f>($BA488-$BA489)*100</f>
        <v/>
      </c>
      <c r="DS488" s="58">
        <f>IFERROR($N489/$N488-1,"")</f>
        <v/>
      </c>
      <c r="DT488" s="58">
        <f>IFERROR($O489/$O488-1,"")</f>
        <v/>
      </c>
      <c r="DU488" s="58">
        <f>IFERROR($P489/$P488-1,"")</f>
        <v/>
      </c>
      <c r="DV488" s="58">
        <f>IFERROR($Q489/$Q488-1,"")</f>
        <v/>
      </c>
      <c r="DW488" s="58">
        <f>IFERROR($R489/$R488-1,"")</f>
        <v/>
      </c>
      <c r="DX488" s="58">
        <f>IFERROR($S489/$S488-1,"")</f>
        <v/>
      </c>
      <c r="DY488" s="58">
        <f>IFERROR($T489/$T488-1,"")</f>
        <v/>
      </c>
      <c r="DZ488" s="58">
        <f>IFERROR($U489/$U488-1,"")</f>
        <v/>
      </c>
      <c r="EA488" s="58">
        <f>IFERROR($V489/$V488-1,"")</f>
        <v/>
      </c>
      <c r="EB488" s="58">
        <f>IFERROR($W489/$W488-1,"")</f>
        <v/>
      </c>
      <c r="EC488" s="58">
        <f>IFERROR($X489/$X488-1,"")</f>
        <v/>
      </c>
      <c r="ED488" s="58">
        <f>IFERROR($Y489/$Y488-1,"")</f>
        <v/>
      </c>
      <c r="EE488" s="58">
        <f>IFERROR($Z489/$Z488-1,"")</f>
        <v/>
      </c>
      <c r="EF488" s="58">
        <f>IFERROR($AA489/$AA488-1,"")</f>
        <v/>
      </c>
      <c r="EG488" s="58">
        <f>IFERROR($AB489/$AB488-1,"")</f>
        <v/>
      </c>
      <c r="EH488" s="58">
        <f>IFERROR($AC489/$AC488-1,"")</f>
        <v/>
      </c>
      <c r="EI488" s="58">
        <f>IFERROR($AD489/$AD488-1,"")</f>
        <v/>
      </c>
      <c r="EJ488" s="58">
        <f>IFERROR($AE489/$AE488-1,"")</f>
        <v/>
      </c>
      <c r="EK488" s="58">
        <f>IFERROR($AF489/$AF488-1,"")</f>
        <v/>
      </c>
      <c r="EL488" s="58">
        <f>IFERROR($AG489/$AG488-1,"")</f>
        <v/>
      </c>
      <c r="EM488" s="58">
        <f>IFERROR($BB488/$BB489-1,"")</f>
        <v/>
      </c>
      <c r="EN488" s="58">
        <f>IFERROR($BC488/$BC489-1,"")</f>
        <v/>
      </c>
      <c r="EO488" s="58">
        <f>IFERROR($BD488/$BD489-1,"")</f>
        <v/>
      </c>
      <c r="EP488" s="58">
        <f>IFERROR($BE488/$BE489-1,"")</f>
        <v/>
      </c>
      <c r="EQ488" s="58">
        <f>IFERROR($BF488/$BF489-1,"")</f>
        <v/>
      </c>
      <c r="ER488" s="58">
        <f>IFERROR($BG488/$BG489-1,"")</f>
        <v/>
      </c>
      <c r="ES488" s="58">
        <f>IFERROR($BH488/$BH489-1,"")</f>
        <v/>
      </c>
      <c r="ET488" s="58">
        <f>IFERROR($BI488/$BI489-1,"")</f>
        <v/>
      </c>
      <c r="EU488" s="58">
        <f>IFERROR($BJ488/$BJ489-1,"")</f>
        <v/>
      </c>
      <c r="EV488" s="58">
        <f>IFERROR($BK488/$BK489-1,"")</f>
        <v/>
      </c>
      <c r="EW488" s="58">
        <f>IFERROR($BL488/$BL489-1,"")</f>
        <v/>
      </c>
      <c r="EX488" s="58">
        <f>IFERROR($BM488/$BM489-1,"")</f>
        <v/>
      </c>
      <c r="EY488" s="58">
        <f>IFERROR($BN488/$BN489-1,"")</f>
        <v/>
      </c>
      <c r="EZ488" s="58">
        <f>IFERROR($BO488/$BO489-1,"")</f>
        <v/>
      </c>
      <c r="FA488" s="58">
        <f>IFERROR($BP488/$BP489-1,"")</f>
        <v/>
      </c>
      <c r="FB488" s="58">
        <f>IFERROR($BQ488/$BQ489-1,"")</f>
        <v/>
      </c>
      <c r="FC488" s="58">
        <f>IFERROR($BR488/$BR489-1,"")</f>
        <v/>
      </c>
      <c r="FD488" s="58">
        <f>IFERROR($BS488/$BS489-1,"")</f>
        <v/>
      </c>
      <c r="FE488" s="58">
        <f>IFERROR($BT488/$BT489-1,"")</f>
        <v/>
      </c>
      <c r="FF488" s="58">
        <f>IFERROR($BU488/$BU489-1,"")</f>
        <v/>
      </c>
      <c r="FG488" s="58">
        <f>IFERROR($BV488/$BV489-1,"")</f>
        <v/>
      </c>
      <c r="FH488" s="58">
        <f>IFERROR($BW488/$BW489-1,"")</f>
        <v/>
      </c>
      <c r="FI488" s="58">
        <f>IFERROR($BX488/$BX489-1,"")</f>
        <v/>
      </c>
      <c r="FJ488" s="59">
        <f>$BY488-$BY489</f>
        <v/>
      </c>
      <c r="FK488" s="59">
        <f>$BZ488-$BZ489</f>
        <v/>
      </c>
      <c r="FL488" s="59">
        <f>$CA488-$CA489</f>
        <v/>
      </c>
      <c r="FM488" s="59">
        <f>$CB488-$CB489</f>
        <v/>
      </c>
      <c r="FN488" s="59">
        <f>$CC488-$CC489</f>
        <v/>
      </c>
      <c r="FO488" s="59">
        <f>$CD488-$CD489</f>
        <v/>
      </c>
      <c r="FP488" s="59">
        <f>$CE488-$CE489</f>
        <v/>
      </c>
      <c r="FQ488" s="59">
        <f>$CF488-$CF489</f>
        <v/>
      </c>
      <c r="FR488" s="59">
        <f>$CG488-$CG489</f>
        <v/>
      </c>
      <c r="FS488" s="59">
        <f>$CH488-$CH489</f>
        <v/>
      </c>
      <c r="FT488" s="59">
        <f>$CI488-$CI489</f>
        <v/>
      </c>
      <c r="FU488" s="59">
        <f>$CJ488-$CJ489</f>
        <v/>
      </c>
      <c r="FV488" s="59">
        <f>$CK488-$CK489</f>
        <v/>
      </c>
      <c r="FW488" s="59">
        <f>$CL488-$CL489</f>
        <v/>
      </c>
      <c r="FX488" s="59">
        <f>$CM488-$CM489</f>
        <v/>
      </c>
      <c r="FY488" s="59">
        <f>$CN488-$CN489</f>
        <v/>
      </c>
      <c r="FZ488" s="59">
        <f>$CO488-$CO489</f>
        <v/>
      </c>
      <c r="GA488" s="59">
        <f>$CP488-$CP489</f>
        <v/>
      </c>
      <c r="GB488" s="59">
        <f>$CQ488-$CQ489</f>
        <v/>
      </c>
      <c r="GC488" s="59">
        <f>$CR488-$CR489</f>
        <v/>
      </c>
      <c r="GD488" s="59">
        <f>$CS488-$CS489</f>
        <v/>
      </c>
      <c r="GE488" s="59">
        <f>$CT488-$CT489</f>
        <v/>
      </c>
    </row>
    <row r="489">
      <c r="CU489" s="58">
        <f>IFERROR($B489/$B490-1,"")</f>
        <v/>
      </c>
      <c r="CV489" s="59">
        <f>($F489-$F490)*100</f>
        <v/>
      </c>
      <c r="CW489" s="59">
        <f>($E489-$E490)*100</f>
        <v/>
      </c>
      <c r="CX489" s="58">
        <f>IFERROR($K489/$K490-1,"")</f>
        <v/>
      </c>
      <c r="CY489" s="59">
        <f>($AH489-$AH490)*100</f>
        <v/>
      </c>
      <c r="CZ489" s="59">
        <f>($AI489-$AI490)*100</f>
        <v/>
      </c>
      <c r="DA489" s="59">
        <f>($AJ489-$AJ490)*100</f>
        <v/>
      </c>
      <c r="DB489" s="59">
        <f>($AK489-$AK490)*100</f>
        <v/>
      </c>
      <c r="DC489" s="59">
        <f>($AL489-$AL490)*100</f>
        <v/>
      </c>
      <c r="DD489" s="59">
        <f>($AM489-$AM490)*100</f>
        <v/>
      </c>
      <c r="DE489" s="59">
        <f>($AN489-$AN490)*100</f>
        <v/>
      </c>
      <c r="DF489" s="59">
        <f>($AO489-$AO490)*100</f>
        <v/>
      </c>
      <c r="DG489" s="59">
        <f>($AP489-$AP490)*100</f>
        <v/>
      </c>
      <c r="DH489" s="59">
        <f>($AQ489-$AQ490)*100</f>
        <v/>
      </c>
      <c r="DI489" s="59">
        <f>($AR489-$AR490)*100</f>
        <v/>
      </c>
      <c r="DJ489" s="59">
        <f>($AS489-$AS490)*100</f>
        <v/>
      </c>
      <c r="DK489" s="59">
        <f>($AT489-$AT490)*100</f>
        <v/>
      </c>
      <c r="DL489" s="59">
        <f>($AU489-$AU490)*100</f>
        <v/>
      </c>
      <c r="DM489" s="59">
        <f>($AV489-$AV490)*100</f>
        <v/>
      </c>
      <c r="DN489" s="59">
        <f>($AW489-$AW490)*100</f>
        <v/>
      </c>
      <c r="DO489" s="59">
        <f>($AX489-$AX490)*100</f>
        <v/>
      </c>
      <c r="DP489" s="59">
        <f>($AY489-$AY490)*100</f>
        <v/>
      </c>
      <c r="DQ489" s="59">
        <f>($AZ489-$AZ490)*100</f>
        <v/>
      </c>
      <c r="DR489" s="59">
        <f>($BA489-$BA490)*100</f>
        <v/>
      </c>
      <c r="DS489" s="58">
        <f>IFERROR($N490/$N489-1,"")</f>
        <v/>
      </c>
      <c r="DT489" s="58">
        <f>IFERROR($O490/$O489-1,"")</f>
        <v/>
      </c>
      <c r="DU489" s="58">
        <f>IFERROR($P490/$P489-1,"")</f>
        <v/>
      </c>
      <c r="DV489" s="58">
        <f>IFERROR($Q490/$Q489-1,"")</f>
        <v/>
      </c>
      <c r="DW489" s="58">
        <f>IFERROR($R490/$R489-1,"")</f>
        <v/>
      </c>
      <c r="DX489" s="58">
        <f>IFERROR($S490/$S489-1,"")</f>
        <v/>
      </c>
      <c r="DY489" s="58">
        <f>IFERROR($T490/$T489-1,"")</f>
        <v/>
      </c>
      <c r="DZ489" s="58">
        <f>IFERROR($U490/$U489-1,"")</f>
        <v/>
      </c>
      <c r="EA489" s="58">
        <f>IFERROR($V490/$V489-1,"")</f>
        <v/>
      </c>
      <c r="EB489" s="58">
        <f>IFERROR($W490/$W489-1,"")</f>
        <v/>
      </c>
      <c r="EC489" s="58">
        <f>IFERROR($X490/$X489-1,"")</f>
        <v/>
      </c>
      <c r="ED489" s="58">
        <f>IFERROR($Y490/$Y489-1,"")</f>
        <v/>
      </c>
      <c r="EE489" s="58">
        <f>IFERROR($Z490/$Z489-1,"")</f>
        <v/>
      </c>
      <c r="EF489" s="58">
        <f>IFERROR($AA490/$AA489-1,"")</f>
        <v/>
      </c>
      <c r="EG489" s="58">
        <f>IFERROR($AB490/$AB489-1,"")</f>
        <v/>
      </c>
      <c r="EH489" s="58">
        <f>IFERROR($AC490/$AC489-1,"")</f>
        <v/>
      </c>
      <c r="EI489" s="58">
        <f>IFERROR($AD490/$AD489-1,"")</f>
        <v/>
      </c>
      <c r="EJ489" s="58">
        <f>IFERROR($AE490/$AE489-1,"")</f>
        <v/>
      </c>
      <c r="EK489" s="58">
        <f>IFERROR($AF490/$AF489-1,"")</f>
        <v/>
      </c>
      <c r="EL489" s="58">
        <f>IFERROR($AG490/$AG489-1,"")</f>
        <v/>
      </c>
      <c r="EM489" s="58">
        <f>IFERROR($BB489/$BB490-1,"")</f>
        <v/>
      </c>
      <c r="EN489" s="58">
        <f>IFERROR($BC489/$BC490-1,"")</f>
        <v/>
      </c>
      <c r="EO489" s="58">
        <f>IFERROR($BD489/$BD490-1,"")</f>
        <v/>
      </c>
      <c r="EP489" s="58">
        <f>IFERROR($BE489/$BE490-1,"")</f>
        <v/>
      </c>
      <c r="EQ489" s="58">
        <f>IFERROR($BF489/$BF490-1,"")</f>
        <v/>
      </c>
      <c r="ER489" s="58">
        <f>IFERROR($BG489/$BG490-1,"")</f>
        <v/>
      </c>
      <c r="ES489" s="58">
        <f>IFERROR($BH489/$BH490-1,"")</f>
        <v/>
      </c>
      <c r="ET489" s="58">
        <f>IFERROR($BI489/$BI490-1,"")</f>
        <v/>
      </c>
      <c r="EU489" s="58">
        <f>IFERROR($BJ489/$BJ490-1,"")</f>
        <v/>
      </c>
      <c r="EV489" s="58">
        <f>IFERROR($BK489/$BK490-1,"")</f>
        <v/>
      </c>
      <c r="EW489" s="58">
        <f>IFERROR($BL489/$BL490-1,"")</f>
        <v/>
      </c>
      <c r="EX489" s="58">
        <f>IFERROR($BM489/$BM490-1,"")</f>
        <v/>
      </c>
      <c r="EY489" s="58">
        <f>IFERROR($BN489/$BN490-1,"")</f>
        <v/>
      </c>
      <c r="EZ489" s="58">
        <f>IFERROR($BO489/$BO490-1,"")</f>
        <v/>
      </c>
      <c r="FA489" s="58">
        <f>IFERROR($BP489/$BP490-1,"")</f>
        <v/>
      </c>
      <c r="FB489" s="58">
        <f>IFERROR($BQ489/$BQ490-1,"")</f>
        <v/>
      </c>
      <c r="FC489" s="58">
        <f>IFERROR($BR489/$BR490-1,"")</f>
        <v/>
      </c>
      <c r="FD489" s="58">
        <f>IFERROR($BS489/$BS490-1,"")</f>
        <v/>
      </c>
      <c r="FE489" s="58">
        <f>IFERROR($BT489/$BT490-1,"")</f>
        <v/>
      </c>
      <c r="FF489" s="58">
        <f>IFERROR($BU489/$BU490-1,"")</f>
        <v/>
      </c>
      <c r="FG489" s="58">
        <f>IFERROR($BV489/$BV490-1,"")</f>
        <v/>
      </c>
      <c r="FH489" s="58">
        <f>IFERROR($BW489/$BW490-1,"")</f>
        <v/>
      </c>
      <c r="FI489" s="58">
        <f>IFERROR($BX489/$BX490-1,"")</f>
        <v/>
      </c>
      <c r="FJ489" s="59">
        <f>$BY489-$BY490</f>
        <v/>
      </c>
      <c r="FK489" s="59">
        <f>$BZ489-$BZ490</f>
        <v/>
      </c>
      <c r="FL489" s="59">
        <f>$CA489-$CA490</f>
        <v/>
      </c>
      <c r="FM489" s="59">
        <f>$CB489-$CB490</f>
        <v/>
      </c>
      <c r="FN489" s="59">
        <f>$CC489-$CC490</f>
        <v/>
      </c>
      <c r="FO489" s="59">
        <f>$CD489-$CD490</f>
        <v/>
      </c>
      <c r="FP489" s="59">
        <f>$CE489-$CE490</f>
        <v/>
      </c>
      <c r="FQ489" s="59">
        <f>$CF489-$CF490</f>
        <v/>
      </c>
      <c r="FR489" s="59">
        <f>$CG489-$CG490</f>
        <v/>
      </c>
      <c r="FS489" s="59">
        <f>$CH489-$CH490</f>
        <v/>
      </c>
      <c r="FT489" s="59">
        <f>$CI489-$CI490</f>
        <v/>
      </c>
      <c r="FU489" s="59">
        <f>$CJ489-$CJ490</f>
        <v/>
      </c>
      <c r="FV489" s="59">
        <f>$CK489-$CK490</f>
        <v/>
      </c>
      <c r="FW489" s="59">
        <f>$CL489-$CL490</f>
        <v/>
      </c>
      <c r="FX489" s="59">
        <f>$CM489-$CM490</f>
        <v/>
      </c>
      <c r="FY489" s="59">
        <f>$CN489-$CN490</f>
        <v/>
      </c>
      <c r="FZ489" s="59">
        <f>$CO489-$CO490</f>
        <v/>
      </c>
      <c r="GA489" s="59">
        <f>$CP489-$CP490</f>
        <v/>
      </c>
      <c r="GB489" s="59">
        <f>$CQ489-$CQ490</f>
        <v/>
      </c>
      <c r="GC489" s="59">
        <f>$CR489-$CR490</f>
        <v/>
      </c>
      <c r="GD489" s="59">
        <f>$CS489-$CS490</f>
        <v/>
      </c>
      <c r="GE489" s="59">
        <f>$CT489-$CT490</f>
        <v/>
      </c>
    </row>
    <row r="490">
      <c r="CU490" s="58">
        <f>IFERROR($B490/$B491-1,"")</f>
        <v/>
      </c>
      <c r="CV490" s="59">
        <f>($F490-$F491)*100</f>
        <v/>
      </c>
      <c r="CW490" s="59">
        <f>($E490-$E491)*100</f>
        <v/>
      </c>
      <c r="CX490" s="58">
        <f>IFERROR($K490/$K491-1,"")</f>
        <v/>
      </c>
      <c r="CY490" s="59">
        <f>($AH490-$AH491)*100</f>
        <v/>
      </c>
      <c r="CZ490" s="59">
        <f>($AI490-$AI491)*100</f>
        <v/>
      </c>
      <c r="DA490" s="59">
        <f>($AJ490-$AJ491)*100</f>
        <v/>
      </c>
      <c r="DB490" s="59">
        <f>($AK490-$AK491)*100</f>
        <v/>
      </c>
      <c r="DC490" s="59">
        <f>($AL490-$AL491)*100</f>
        <v/>
      </c>
      <c r="DD490" s="59">
        <f>($AM490-$AM491)*100</f>
        <v/>
      </c>
      <c r="DE490" s="59">
        <f>($AN490-$AN491)*100</f>
        <v/>
      </c>
      <c r="DF490" s="59">
        <f>($AO490-$AO491)*100</f>
        <v/>
      </c>
      <c r="DG490" s="59">
        <f>($AP490-$AP491)*100</f>
        <v/>
      </c>
      <c r="DH490" s="59">
        <f>($AQ490-$AQ491)*100</f>
        <v/>
      </c>
      <c r="DI490" s="59">
        <f>($AR490-$AR491)*100</f>
        <v/>
      </c>
      <c r="DJ490" s="59">
        <f>($AS490-$AS491)*100</f>
        <v/>
      </c>
      <c r="DK490" s="59">
        <f>($AT490-$AT491)*100</f>
        <v/>
      </c>
      <c r="DL490" s="59">
        <f>($AU490-$AU491)*100</f>
        <v/>
      </c>
      <c r="DM490" s="59">
        <f>($AV490-$AV491)*100</f>
        <v/>
      </c>
      <c r="DN490" s="59">
        <f>($AW490-$AW491)*100</f>
        <v/>
      </c>
      <c r="DO490" s="59">
        <f>($AX490-$AX491)*100</f>
        <v/>
      </c>
      <c r="DP490" s="59">
        <f>($AY490-$AY491)*100</f>
        <v/>
      </c>
      <c r="DQ490" s="59">
        <f>($AZ490-$AZ491)*100</f>
        <v/>
      </c>
      <c r="DR490" s="59">
        <f>($BA490-$BA491)*100</f>
        <v/>
      </c>
      <c r="DS490" s="58">
        <f>IFERROR($N491/$N490-1,"")</f>
        <v/>
      </c>
      <c r="DT490" s="58">
        <f>IFERROR($O491/$O490-1,"")</f>
        <v/>
      </c>
      <c r="DU490" s="58">
        <f>IFERROR($P491/$P490-1,"")</f>
        <v/>
      </c>
      <c r="DV490" s="58">
        <f>IFERROR($Q491/$Q490-1,"")</f>
        <v/>
      </c>
      <c r="DW490" s="58">
        <f>IFERROR($R491/$R490-1,"")</f>
        <v/>
      </c>
      <c r="DX490" s="58">
        <f>IFERROR($S491/$S490-1,"")</f>
        <v/>
      </c>
      <c r="DY490" s="58">
        <f>IFERROR($T491/$T490-1,"")</f>
        <v/>
      </c>
      <c r="DZ490" s="58">
        <f>IFERROR($U491/$U490-1,"")</f>
        <v/>
      </c>
      <c r="EA490" s="58">
        <f>IFERROR($V491/$V490-1,"")</f>
        <v/>
      </c>
      <c r="EB490" s="58">
        <f>IFERROR($W491/$W490-1,"")</f>
        <v/>
      </c>
      <c r="EC490" s="58">
        <f>IFERROR($X491/$X490-1,"")</f>
        <v/>
      </c>
      <c r="ED490" s="58">
        <f>IFERROR($Y491/$Y490-1,"")</f>
        <v/>
      </c>
      <c r="EE490" s="58">
        <f>IFERROR($Z491/$Z490-1,"")</f>
        <v/>
      </c>
      <c r="EF490" s="58">
        <f>IFERROR($AA491/$AA490-1,"")</f>
        <v/>
      </c>
      <c r="EG490" s="58">
        <f>IFERROR($AB491/$AB490-1,"")</f>
        <v/>
      </c>
      <c r="EH490" s="58">
        <f>IFERROR($AC491/$AC490-1,"")</f>
        <v/>
      </c>
      <c r="EI490" s="58">
        <f>IFERROR($AD491/$AD490-1,"")</f>
        <v/>
      </c>
      <c r="EJ490" s="58">
        <f>IFERROR($AE491/$AE490-1,"")</f>
        <v/>
      </c>
      <c r="EK490" s="58">
        <f>IFERROR($AF491/$AF490-1,"")</f>
        <v/>
      </c>
      <c r="EL490" s="58">
        <f>IFERROR($AG491/$AG490-1,"")</f>
        <v/>
      </c>
      <c r="EM490" s="58">
        <f>IFERROR($BB490/$BB491-1,"")</f>
        <v/>
      </c>
      <c r="EN490" s="58">
        <f>IFERROR($BC490/$BC491-1,"")</f>
        <v/>
      </c>
      <c r="EO490" s="58">
        <f>IFERROR($BD490/$BD491-1,"")</f>
        <v/>
      </c>
      <c r="EP490" s="58">
        <f>IFERROR($BE490/$BE491-1,"")</f>
        <v/>
      </c>
      <c r="EQ490" s="58">
        <f>IFERROR($BF490/$BF491-1,"")</f>
        <v/>
      </c>
      <c r="ER490" s="58">
        <f>IFERROR($BG490/$BG491-1,"")</f>
        <v/>
      </c>
      <c r="ES490" s="58">
        <f>IFERROR($BH490/$BH491-1,"")</f>
        <v/>
      </c>
      <c r="ET490" s="58">
        <f>IFERROR($BI490/$BI491-1,"")</f>
        <v/>
      </c>
      <c r="EU490" s="58">
        <f>IFERROR($BJ490/$BJ491-1,"")</f>
        <v/>
      </c>
      <c r="EV490" s="58">
        <f>IFERROR($BK490/$BK491-1,"")</f>
        <v/>
      </c>
      <c r="EW490" s="58">
        <f>IFERROR($BL490/$BL491-1,"")</f>
        <v/>
      </c>
      <c r="EX490" s="58">
        <f>IFERROR($BM490/$BM491-1,"")</f>
        <v/>
      </c>
      <c r="EY490" s="58">
        <f>IFERROR($BN490/$BN491-1,"")</f>
        <v/>
      </c>
      <c r="EZ490" s="58">
        <f>IFERROR($BO490/$BO491-1,"")</f>
        <v/>
      </c>
      <c r="FA490" s="58">
        <f>IFERROR($BP490/$BP491-1,"")</f>
        <v/>
      </c>
      <c r="FB490" s="58">
        <f>IFERROR($BQ490/$BQ491-1,"")</f>
        <v/>
      </c>
      <c r="FC490" s="58">
        <f>IFERROR($BR490/$BR491-1,"")</f>
        <v/>
      </c>
      <c r="FD490" s="58">
        <f>IFERROR($BS490/$BS491-1,"")</f>
        <v/>
      </c>
      <c r="FE490" s="58">
        <f>IFERROR($BT490/$BT491-1,"")</f>
        <v/>
      </c>
      <c r="FF490" s="58">
        <f>IFERROR($BU490/$BU491-1,"")</f>
        <v/>
      </c>
      <c r="FG490" s="58">
        <f>IFERROR($BV490/$BV491-1,"")</f>
        <v/>
      </c>
      <c r="FH490" s="58">
        <f>IFERROR($BW490/$BW491-1,"")</f>
        <v/>
      </c>
      <c r="FI490" s="58">
        <f>IFERROR($BX490/$BX491-1,"")</f>
        <v/>
      </c>
      <c r="FJ490" s="59">
        <f>$BY490-$BY491</f>
        <v/>
      </c>
      <c r="FK490" s="59">
        <f>$BZ490-$BZ491</f>
        <v/>
      </c>
      <c r="FL490" s="59">
        <f>$CA490-$CA491</f>
        <v/>
      </c>
      <c r="FM490" s="59">
        <f>$CB490-$CB491</f>
        <v/>
      </c>
      <c r="FN490" s="59">
        <f>$CC490-$CC491</f>
        <v/>
      </c>
      <c r="FO490" s="59">
        <f>$CD490-$CD491</f>
        <v/>
      </c>
      <c r="FP490" s="59">
        <f>$CE490-$CE491</f>
        <v/>
      </c>
      <c r="FQ490" s="59">
        <f>$CF490-$CF491</f>
        <v/>
      </c>
      <c r="FR490" s="59">
        <f>$CG490-$CG491</f>
        <v/>
      </c>
      <c r="FS490" s="59">
        <f>$CH490-$CH491</f>
        <v/>
      </c>
      <c r="FT490" s="59">
        <f>$CI490-$CI491</f>
        <v/>
      </c>
      <c r="FU490" s="59">
        <f>$CJ490-$CJ491</f>
        <v/>
      </c>
      <c r="FV490" s="59">
        <f>$CK490-$CK491</f>
        <v/>
      </c>
      <c r="FW490" s="59">
        <f>$CL490-$CL491</f>
        <v/>
      </c>
      <c r="FX490" s="59">
        <f>$CM490-$CM491</f>
        <v/>
      </c>
      <c r="FY490" s="59">
        <f>$CN490-$CN491</f>
        <v/>
      </c>
      <c r="FZ490" s="59">
        <f>$CO490-$CO491</f>
        <v/>
      </c>
      <c r="GA490" s="59">
        <f>$CP490-$CP491</f>
        <v/>
      </c>
      <c r="GB490" s="59">
        <f>$CQ490-$CQ491</f>
        <v/>
      </c>
      <c r="GC490" s="59">
        <f>$CR490-$CR491</f>
        <v/>
      </c>
      <c r="GD490" s="59">
        <f>$CS490-$CS491</f>
        <v/>
      </c>
      <c r="GE490" s="59">
        <f>$CT490-$CT491</f>
        <v/>
      </c>
    </row>
    <row r="491">
      <c r="CU491" s="58">
        <f>IFERROR($B491/$B492-1,"")</f>
        <v/>
      </c>
      <c r="CV491" s="59">
        <f>($F491-$F492)*100</f>
        <v/>
      </c>
      <c r="CW491" s="59">
        <f>($E491-$E492)*100</f>
        <v/>
      </c>
      <c r="CX491" s="58">
        <f>IFERROR($K491/$K492-1,"")</f>
        <v/>
      </c>
      <c r="CY491" s="59">
        <f>($AH491-$AH492)*100</f>
        <v/>
      </c>
      <c r="CZ491" s="59">
        <f>($AI491-$AI492)*100</f>
        <v/>
      </c>
      <c r="DA491" s="59">
        <f>($AJ491-$AJ492)*100</f>
        <v/>
      </c>
      <c r="DB491" s="59">
        <f>($AK491-$AK492)*100</f>
        <v/>
      </c>
      <c r="DC491" s="59">
        <f>($AL491-$AL492)*100</f>
        <v/>
      </c>
      <c r="DD491" s="59">
        <f>($AM491-$AM492)*100</f>
        <v/>
      </c>
      <c r="DE491" s="59">
        <f>($AN491-$AN492)*100</f>
        <v/>
      </c>
      <c r="DF491" s="59">
        <f>($AO491-$AO492)*100</f>
        <v/>
      </c>
      <c r="DG491" s="59">
        <f>($AP491-$AP492)*100</f>
        <v/>
      </c>
      <c r="DH491" s="59">
        <f>($AQ491-$AQ492)*100</f>
        <v/>
      </c>
      <c r="DI491" s="59">
        <f>($AR491-$AR492)*100</f>
        <v/>
      </c>
      <c r="DJ491" s="59">
        <f>($AS491-$AS492)*100</f>
        <v/>
      </c>
      <c r="DK491" s="59">
        <f>($AT491-$AT492)*100</f>
        <v/>
      </c>
      <c r="DL491" s="59">
        <f>($AU491-$AU492)*100</f>
        <v/>
      </c>
      <c r="DM491" s="59">
        <f>($AV491-$AV492)*100</f>
        <v/>
      </c>
      <c r="DN491" s="59">
        <f>($AW491-$AW492)*100</f>
        <v/>
      </c>
      <c r="DO491" s="59">
        <f>($AX491-$AX492)*100</f>
        <v/>
      </c>
      <c r="DP491" s="59">
        <f>($AY491-$AY492)*100</f>
        <v/>
      </c>
      <c r="DQ491" s="59">
        <f>($AZ491-$AZ492)*100</f>
        <v/>
      </c>
      <c r="DR491" s="59">
        <f>($BA491-$BA492)*100</f>
        <v/>
      </c>
      <c r="DS491" s="58">
        <f>IFERROR($N492/$N491-1,"")</f>
        <v/>
      </c>
      <c r="DT491" s="58">
        <f>IFERROR($O492/$O491-1,"")</f>
        <v/>
      </c>
      <c r="DU491" s="58">
        <f>IFERROR($P492/$P491-1,"")</f>
        <v/>
      </c>
      <c r="DV491" s="58">
        <f>IFERROR($Q492/$Q491-1,"")</f>
        <v/>
      </c>
      <c r="DW491" s="58">
        <f>IFERROR($R492/$R491-1,"")</f>
        <v/>
      </c>
      <c r="DX491" s="58">
        <f>IFERROR($S492/$S491-1,"")</f>
        <v/>
      </c>
      <c r="DY491" s="58">
        <f>IFERROR($T492/$T491-1,"")</f>
        <v/>
      </c>
      <c r="DZ491" s="58">
        <f>IFERROR($U492/$U491-1,"")</f>
        <v/>
      </c>
      <c r="EA491" s="58">
        <f>IFERROR($V492/$V491-1,"")</f>
        <v/>
      </c>
      <c r="EB491" s="58">
        <f>IFERROR($W492/$W491-1,"")</f>
        <v/>
      </c>
      <c r="EC491" s="58">
        <f>IFERROR($X492/$X491-1,"")</f>
        <v/>
      </c>
      <c r="ED491" s="58">
        <f>IFERROR($Y492/$Y491-1,"")</f>
        <v/>
      </c>
      <c r="EE491" s="58">
        <f>IFERROR($Z492/$Z491-1,"")</f>
        <v/>
      </c>
      <c r="EF491" s="58">
        <f>IFERROR($AA492/$AA491-1,"")</f>
        <v/>
      </c>
      <c r="EG491" s="58">
        <f>IFERROR($AB492/$AB491-1,"")</f>
        <v/>
      </c>
      <c r="EH491" s="58">
        <f>IFERROR($AC492/$AC491-1,"")</f>
        <v/>
      </c>
      <c r="EI491" s="58">
        <f>IFERROR($AD492/$AD491-1,"")</f>
        <v/>
      </c>
      <c r="EJ491" s="58">
        <f>IFERROR($AE492/$AE491-1,"")</f>
        <v/>
      </c>
      <c r="EK491" s="58">
        <f>IFERROR($AF492/$AF491-1,"")</f>
        <v/>
      </c>
      <c r="EL491" s="58">
        <f>IFERROR($AG492/$AG491-1,"")</f>
        <v/>
      </c>
      <c r="EM491" s="58">
        <f>IFERROR($BB491/$BB492-1,"")</f>
        <v/>
      </c>
      <c r="EN491" s="58">
        <f>IFERROR($BC491/$BC492-1,"")</f>
        <v/>
      </c>
      <c r="EO491" s="58">
        <f>IFERROR($BD491/$BD492-1,"")</f>
        <v/>
      </c>
      <c r="EP491" s="58">
        <f>IFERROR($BE491/$BE492-1,"")</f>
        <v/>
      </c>
      <c r="EQ491" s="58">
        <f>IFERROR($BF491/$BF492-1,"")</f>
        <v/>
      </c>
      <c r="ER491" s="58">
        <f>IFERROR($BG491/$BG492-1,"")</f>
        <v/>
      </c>
      <c r="ES491" s="58">
        <f>IFERROR($BH491/$BH492-1,"")</f>
        <v/>
      </c>
      <c r="ET491" s="58">
        <f>IFERROR($BI491/$BI492-1,"")</f>
        <v/>
      </c>
      <c r="EU491" s="58">
        <f>IFERROR($BJ491/$BJ492-1,"")</f>
        <v/>
      </c>
      <c r="EV491" s="58">
        <f>IFERROR($BK491/$BK492-1,"")</f>
        <v/>
      </c>
      <c r="EW491" s="58">
        <f>IFERROR($BL491/$BL492-1,"")</f>
        <v/>
      </c>
      <c r="EX491" s="58">
        <f>IFERROR($BM491/$BM492-1,"")</f>
        <v/>
      </c>
      <c r="EY491" s="58">
        <f>IFERROR($BN491/$BN492-1,"")</f>
        <v/>
      </c>
      <c r="EZ491" s="58">
        <f>IFERROR($BO491/$BO492-1,"")</f>
        <v/>
      </c>
      <c r="FA491" s="58">
        <f>IFERROR($BP491/$BP492-1,"")</f>
        <v/>
      </c>
      <c r="FB491" s="58">
        <f>IFERROR($BQ491/$BQ492-1,"")</f>
        <v/>
      </c>
      <c r="FC491" s="58">
        <f>IFERROR($BR491/$BR492-1,"")</f>
        <v/>
      </c>
      <c r="FD491" s="58">
        <f>IFERROR($BS491/$BS492-1,"")</f>
        <v/>
      </c>
      <c r="FE491" s="58">
        <f>IFERROR($BT491/$BT492-1,"")</f>
        <v/>
      </c>
      <c r="FF491" s="58">
        <f>IFERROR($BU491/$BU492-1,"")</f>
        <v/>
      </c>
      <c r="FG491" s="58">
        <f>IFERROR($BV491/$BV492-1,"")</f>
        <v/>
      </c>
      <c r="FH491" s="58">
        <f>IFERROR($BW491/$BW492-1,"")</f>
        <v/>
      </c>
      <c r="FI491" s="58">
        <f>IFERROR($BX491/$BX492-1,"")</f>
        <v/>
      </c>
      <c r="FJ491" s="59">
        <f>$BY491-$BY492</f>
        <v/>
      </c>
      <c r="FK491" s="59">
        <f>$BZ491-$BZ492</f>
        <v/>
      </c>
      <c r="FL491" s="59">
        <f>$CA491-$CA492</f>
        <v/>
      </c>
      <c r="FM491" s="59">
        <f>$CB491-$CB492</f>
        <v/>
      </c>
      <c r="FN491" s="59">
        <f>$CC491-$CC492</f>
        <v/>
      </c>
      <c r="FO491" s="59">
        <f>$CD491-$CD492</f>
        <v/>
      </c>
      <c r="FP491" s="59">
        <f>$CE491-$CE492</f>
        <v/>
      </c>
      <c r="FQ491" s="59">
        <f>$CF491-$CF492</f>
        <v/>
      </c>
      <c r="FR491" s="59">
        <f>$CG491-$CG492</f>
        <v/>
      </c>
      <c r="FS491" s="59">
        <f>$CH491-$CH492</f>
        <v/>
      </c>
      <c r="FT491" s="59">
        <f>$CI491-$CI492</f>
        <v/>
      </c>
      <c r="FU491" s="59">
        <f>$CJ491-$CJ492</f>
        <v/>
      </c>
      <c r="FV491" s="59">
        <f>$CK491-$CK492</f>
        <v/>
      </c>
      <c r="FW491" s="59">
        <f>$CL491-$CL492</f>
        <v/>
      </c>
      <c r="FX491" s="59">
        <f>$CM491-$CM492</f>
        <v/>
      </c>
      <c r="FY491" s="59">
        <f>$CN491-$CN492</f>
        <v/>
      </c>
      <c r="FZ491" s="59">
        <f>$CO491-$CO492</f>
        <v/>
      </c>
      <c r="GA491" s="59">
        <f>$CP491-$CP492</f>
        <v/>
      </c>
      <c r="GB491" s="59">
        <f>$CQ491-$CQ492</f>
        <v/>
      </c>
      <c r="GC491" s="59">
        <f>$CR491-$CR492</f>
        <v/>
      </c>
      <c r="GD491" s="59">
        <f>$CS491-$CS492</f>
        <v/>
      </c>
      <c r="GE491" s="59">
        <f>$CT491-$CT492</f>
        <v/>
      </c>
    </row>
    <row r="492">
      <c r="CU492" s="58">
        <f>IFERROR($B492/$B493-1,"")</f>
        <v/>
      </c>
      <c r="CV492" s="59">
        <f>($F492-$F493)*100</f>
        <v/>
      </c>
      <c r="CW492" s="59">
        <f>($E492-$E493)*100</f>
        <v/>
      </c>
      <c r="CX492" s="58">
        <f>IFERROR($K492/$K493-1,"")</f>
        <v/>
      </c>
      <c r="CY492" s="59">
        <f>($AH492-$AH493)*100</f>
        <v/>
      </c>
      <c r="CZ492" s="59">
        <f>($AI492-$AI493)*100</f>
        <v/>
      </c>
      <c r="DA492" s="59">
        <f>($AJ492-$AJ493)*100</f>
        <v/>
      </c>
      <c r="DB492" s="59">
        <f>($AK492-$AK493)*100</f>
        <v/>
      </c>
      <c r="DC492" s="59">
        <f>($AL492-$AL493)*100</f>
        <v/>
      </c>
      <c r="DD492" s="59">
        <f>($AM492-$AM493)*100</f>
        <v/>
      </c>
      <c r="DE492" s="59">
        <f>($AN492-$AN493)*100</f>
        <v/>
      </c>
      <c r="DF492" s="59">
        <f>($AO492-$AO493)*100</f>
        <v/>
      </c>
      <c r="DG492" s="59">
        <f>($AP492-$AP493)*100</f>
        <v/>
      </c>
      <c r="DH492" s="59">
        <f>($AQ492-$AQ493)*100</f>
        <v/>
      </c>
      <c r="DI492" s="59">
        <f>($AR492-$AR493)*100</f>
        <v/>
      </c>
      <c r="DJ492" s="59">
        <f>($AS492-$AS493)*100</f>
        <v/>
      </c>
      <c r="DK492" s="59">
        <f>($AT492-$AT493)*100</f>
        <v/>
      </c>
      <c r="DL492" s="59">
        <f>($AU492-$AU493)*100</f>
        <v/>
      </c>
      <c r="DM492" s="59">
        <f>($AV492-$AV493)*100</f>
        <v/>
      </c>
      <c r="DN492" s="59">
        <f>($AW492-$AW493)*100</f>
        <v/>
      </c>
      <c r="DO492" s="59">
        <f>($AX492-$AX493)*100</f>
        <v/>
      </c>
      <c r="DP492" s="59">
        <f>($AY492-$AY493)*100</f>
        <v/>
      </c>
      <c r="DQ492" s="59">
        <f>($AZ492-$AZ493)*100</f>
        <v/>
      </c>
      <c r="DR492" s="59">
        <f>($BA492-$BA493)*100</f>
        <v/>
      </c>
      <c r="DS492" s="58">
        <f>IFERROR($N493/$N492-1,"")</f>
        <v/>
      </c>
      <c r="DT492" s="58">
        <f>IFERROR($O493/$O492-1,"")</f>
        <v/>
      </c>
      <c r="DU492" s="58">
        <f>IFERROR($P493/$P492-1,"")</f>
        <v/>
      </c>
      <c r="DV492" s="58">
        <f>IFERROR($Q493/$Q492-1,"")</f>
        <v/>
      </c>
      <c r="DW492" s="58">
        <f>IFERROR($R493/$R492-1,"")</f>
        <v/>
      </c>
      <c r="DX492" s="58">
        <f>IFERROR($S493/$S492-1,"")</f>
        <v/>
      </c>
      <c r="DY492" s="58">
        <f>IFERROR($T493/$T492-1,"")</f>
        <v/>
      </c>
      <c r="DZ492" s="58">
        <f>IFERROR($U493/$U492-1,"")</f>
        <v/>
      </c>
      <c r="EA492" s="58">
        <f>IFERROR($V493/$V492-1,"")</f>
        <v/>
      </c>
      <c r="EB492" s="58">
        <f>IFERROR($W493/$W492-1,"")</f>
        <v/>
      </c>
      <c r="EC492" s="58">
        <f>IFERROR($X493/$X492-1,"")</f>
        <v/>
      </c>
      <c r="ED492" s="58">
        <f>IFERROR($Y493/$Y492-1,"")</f>
        <v/>
      </c>
      <c r="EE492" s="58">
        <f>IFERROR($Z493/$Z492-1,"")</f>
        <v/>
      </c>
      <c r="EF492" s="58">
        <f>IFERROR($AA493/$AA492-1,"")</f>
        <v/>
      </c>
      <c r="EG492" s="58">
        <f>IFERROR($AB493/$AB492-1,"")</f>
        <v/>
      </c>
      <c r="EH492" s="58">
        <f>IFERROR($AC493/$AC492-1,"")</f>
        <v/>
      </c>
      <c r="EI492" s="58">
        <f>IFERROR($AD493/$AD492-1,"")</f>
        <v/>
      </c>
      <c r="EJ492" s="58">
        <f>IFERROR($AE493/$AE492-1,"")</f>
        <v/>
      </c>
      <c r="EK492" s="58">
        <f>IFERROR($AF493/$AF492-1,"")</f>
        <v/>
      </c>
      <c r="EL492" s="58">
        <f>IFERROR($AG493/$AG492-1,"")</f>
        <v/>
      </c>
      <c r="EM492" s="58">
        <f>IFERROR($BB492/$BB493-1,"")</f>
        <v/>
      </c>
      <c r="EN492" s="58">
        <f>IFERROR($BC492/$BC493-1,"")</f>
        <v/>
      </c>
      <c r="EO492" s="58">
        <f>IFERROR($BD492/$BD493-1,"")</f>
        <v/>
      </c>
      <c r="EP492" s="58">
        <f>IFERROR($BE492/$BE493-1,"")</f>
        <v/>
      </c>
      <c r="EQ492" s="58">
        <f>IFERROR($BF492/$BF493-1,"")</f>
        <v/>
      </c>
      <c r="ER492" s="58">
        <f>IFERROR($BG492/$BG493-1,"")</f>
        <v/>
      </c>
      <c r="ES492" s="58">
        <f>IFERROR($BH492/$BH493-1,"")</f>
        <v/>
      </c>
      <c r="ET492" s="58">
        <f>IFERROR($BI492/$BI493-1,"")</f>
        <v/>
      </c>
      <c r="EU492" s="58">
        <f>IFERROR($BJ492/$BJ493-1,"")</f>
        <v/>
      </c>
      <c r="EV492" s="58">
        <f>IFERROR($BK492/$BK493-1,"")</f>
        <v/>
      </c>
      <c r="EW492" s="58">
        <f>IFERROR($BL492/$BL493-1,"")</f>
        <v/>
      </c>
      <c r="EX492" s="58">
        <f>IFERROR($BM492/$BM493-1,"")</f>
        <v/>
      </c>
      <c r="EY492" s="58">
        <f>IFERROR($BN492/$BN493-1,"")</f>
        <v/>
      </c>
      <c r="EZ492" s="58">
        <f>IFERROR($BO492/$BO493-1,"")</f>
        <v/>
      </c>
      <c r="FA492" s="58">
        <f>IFERROR($BP492/$BP493-1,"")</f>
        <v/>
      </c>
      <c r="FB492" s="58">
        <f>IFERROR($BQ492/$BQ493-1,"")</f>
        <v/>
      </c>
      <c r="FC492" s="58">
        <f>IFERROR($BR492/$BR493-1,"")</f>
        <v/>
      </c>
      <c r="FD492" s="58">
        <f>IFERROR($BS492/$BS493-1,"")</f>
        <v/>
      </c>
      <c r="FE492" s="58">
        <f>IFERROR($BT492/$BT493-1,"")</f>
        <v/>
      </c>
      <c r="FF492" s="58">
        <f>IFERROR($BU492/$BU493-1,"")</f>
        <v/>
      </c>
      <c r="FG492" s="58">
        <f>IFERROR($BV492/$BV493-1,"")</f>
        <v/>
      </c>
      <c r="FH492" s="58">
        <f>IFERROR($BW492/$BW493-1,"")</f>
        <v/>
      </c>
      <c r="FI492" s="58">
        <f>IFERROR($BX492/$BX493-1,"")</f>
        <v/>
      </c>
      <c r="FJ492" s="59">
        <f>$BY492-$BY493</f>
        <v/>
      </c>
      <c r="FK492" s="59">
        <f>$BZ492-$BZ493</f>
        <v/>
      </c>
      <c r="FL492" s="59">
        <f>$CA492-$CA493</f>
        <v/>
      </c>
      <c r="FM492" s="59">
        <f>$CB492-$CB493</f>
        <v/>
      </c>
      <c r="FN492" s="59">
        <f>$CC492-$CC493</f>
        <v/>
      </c>
      <c r="FO492" s="59">
        <f>$CD492-$CD493</f>
        <v/>
      </c>
      <c r="FP492" s="59">
        <f>$CE492-$CE493</f>
        <v/>
      </c>
      <c r="FQ492" s="59">
        <f>$CF492-$CF493</f>
        <v/>
      </c>
      <c r="FR492" s="59">
        <f>$CG492-$CG493</f>
        <v/>
      </c>
      <c r="FS492" s="59">
        <f>$CH492-$CH493</f>
        <v/>
      </c>
      <c r="FT492" s="59">
        <f>$CI492-$CI493</f>
        <v/>
      </c>
      <c r="FU492" s="59">
        <f>$CJ492-$CJ493</f>
        <v/>
      </c>
      <c r="FV492" s="59">
        <f>$CK492-$CK493</f>
        <v/>
      </c>
      <c r="FW492" s="59">
        <f>$CL492-$CL493</f>
        <v/>
      </c>
      <c r="FX492" s="59">
        <f>$CM492-$CM493</f>
        <v/>
      </c>
      <c r="FY492" s="59">
        <f>$CN492-$CN493</f>
        <v/>
      </c>
      <c r="FZ492" s="59">
        <f>$CO492-$CO493</f>
        <v/>
      </c>
      <c r="GA492" s="59">
        <f>$CP492-$CP493</f>
        <v/>
      </c>
      <c r="GB492" s="59">
        <f>$CQ492-$CQ493</f>
        <v/>
      </c>
      <c r="GC492" s="59">
        <f>$CR492-$CR493</f>
        <v/>
      </c>
      <c r="GD492" s="59">
        <f>$CS492-$CS493</f>
        <v/>
      </c>
      <c r="GE492" s="59">
        <f>$CT492-$CT493</f>
        <v/>
      </c>
    </row>
    <row r="493">
      <c r="CU493" s="58">
        <f>IFERROR($B493/$B494-1,"")</f>
        <v/>
      </c>
      <c r="CV493" s="59">
        <f>($F493-$F494)*100</f>
        <v/>
      </c>
      <c r="CW493" s="59">
        <f>($E493-$E494)*100</f>
        <v/>
      </c>
      <c r="CX493" s="58">
        <f>IFERROR($K493/$K494-1,"")</f>
        <v/>
      </c>
      <c r="CY493" s="59">
        <f>($AH493-$AH494)*100</f>
        <v/>
      </c>
      <c r="CZ493" s="59">
        <f>($AI493-$AI494)*100</f>
        <v/>
      </c>
      <c r="DA493" s="59">
        <f>($AJ493-$AJ494)*100</f>
        <v/>
      </c>
      <c r="DB493" s="59">
        <f>($AK493-$AK494)*100</f>
        <v/>
      </c>
      <c r="DC493" s="59">
        <f>($AL493-$AL494)*100</f>
        <v/>
      </c>
      <c r="DD493" s="59">
        <f>($AM493-$AM494)*100</f>
        <v/>
      </c>
      <c r="DE493" s="59">
        <f>($AN493-$AN494)*100</f>
        <v/>
      </c>
      <c r="DF493" s="59">
        <f>($AO493-$AO494)*100</f>
        <v/>
      </c>
      <c r="DG493" s="59">
        <f>($AP493-$AP494)*100</f>
        <v/>
      </c>
      <c r="DH493" s="59">
        <f>($AQ493-$AQ494)*100</f>
        <v/>
      </c>
      <c r="DI493" s="59">
        <f>($AR493-$AR494)*100</f>
        <v/>
      </c>
      <c r="DJ493" s="59">
        <f>($AS493-$AS494)*100</f>
        <v/>
      </c>
      <c r="DK493" s="59">
        <f>($AT493-$AT494)*100</f>
        <v/>
      </c>
      <c r="DL493" s="59">
        <f>($AU493-$AU494)*100</f>
        <v/>
      </c>
      <c r="DM493" s="59">
        <f>($AV493-$AV494)*100</f>
        <v/>
      </c>
      <c r="DN493" s="59">
        <f>($AW493-$AW494)*100</f>
        <v/>
      </c>
      <c r="DO493" s="59">
        <f>($AX493-$AX494)*100</f>
        <v/>
      </c>
      <c r="DP493" s="59">
        <f>($AY493-$AY494)*100</f>
        <v/>
      </c>
      <c r="DQ493" s="59">
        <f>($AZ493-$AZ494)*100</f>
        <v/>
      </c>
      <c r="DR493" s="59">
        <f>($BA493-$BA494)*100</f>
        <v/>
      </c>
      <c r="DS493" s="58">
        <f>IFERROR($N494/$N493-1,"")</f>
        <v/>
      </c>
      <c r="DT493" s="58">
        <f>IFERROR($O494/$O493-1,"")</f>
        <v/>
      </c>
      <c r="DU493" s="58">
        <f>IFERROR($P494/$P493-1,"")</f>
        <v/>
      </c>
      <c r="DV493" s="58">
        <f>IFERROR($Q494/$Q493-1,"")</f>
        <v/>
      </c>
      <c r="DW493" s="58">
        <f>IFERROR($R494/$R493-1,"")</f>
        <v/>
      </c>
      <c r="DX493" s="58">
        <f>IFERROR($S494/$S493-1,"")</f>
        <v/>
      </c>
      <c r="DY493" s="58">
        <f>IFERROR($T494/$T493-1,"")</f>
        <v/>
      </c>
      <c r="DZ493" s="58">
        <f>IFERROR($U494/$U493-1,"")</f>
        <v/>
      </c>
      <c r="EA493" s="58">
        <f>IFERROR($V494/$V493-1,"")</f>
        <v/>
      </c>
      <c r="EB493" s="58">
        <f>IFERROR($W494/$W493-1,"")</f>
        <v/>
      </c>
      <c r="EC493" s="58">
        <f>IFERROR($X494/$X493-1,"")</f>
        <v/>
      </c>
      <c r="ED493" s="58">
        <f>IFERROR($Y494/$Y493-1,"")</f>
        <v/>
      </c>
      <c r="EE493" s="58">
        <f>IFERROR($Z494/$Z493-1,"")</f>
        <v/>
      </c>
      <c r="EF493" s="58">
        <f>IFERROR($AA494/$AA493-1,"")</f>
        <v/>
      </c>
      <c r="EG493" s="58">
        <f>IFERROR($AB494/$AB493-1,"")</f>
        <v/>
      </c>
      <c r="EH493" s="58">
        <f>IFERROR($AC494/$AC493-1,"")</f>
        <v/>
      </c>
      <c r="EI493" s="58">
        <f>IFERROR($AD494/$AD493-1,"")</f>
        <v/>
      </c>
      <c r="EJ493" s="58">
        <f>IFERROR($AE494/$AE493-1,"")</f>
        <v/>
      </c>
      <c r="EK493" s="58">
        <f>IFERROR($AF494/$AF493-1,"")</f>
        <v/>
      </c>
      <c r="EL493" s="58">
        <f>IFERROR($AG494/$AG493-1,"")</f>
        <v/>
      </c>
      <c r="EM493" s="58">
        <f>IFERROR($BB493/$BB494-1,"")</f>
        <v/>
      </c>
      <c r="EN493" s="58">
        <f>IFERROR($BC493/$BC494-1,"")</f>
        <v/>
      </c>
      <c r="EO493" s="58">
        <f>IFERROR($BD493/$BD494-1,"")</f>
        <v/>
      </c>
      <c r="EP493" s="58">
        <f>IFERROR($BE493/$BE494-1,"")</f>
        <v/>
      </c>
      <c r="EQ493" s="58">
        <f>IFERROR($BF493/$BF494-1,"")</f>
        <v/>
      </c>
      <c r="ER493" s="58">
        <f>IFERROR($BG493/$BG494-1,"")</f>
        <v/>
      </c>
      <c r="ES493" s="58">
        <f>IFERROR($BH493/$BH494-1,"")</f>
        <v/>
      </c>
      <c r="ET493" s="58">
        <f>IFERROR($BI493/$BI494-1,"")</f>
        <v/>
      </c>
      <c r="EU493" s="58">
        <f>IFERROR($BJ493/$BJ494-1,"")</f>
        <v/>
      </c>
      <c r="EV493" s="58">
        <f>IFERROR($BK493/$BK494-1,"")</f>
        <v/>
      </c>
      <c r="EW493" s="58">
        <f>IFERROR($BL493/$BL494-1,"")</f>
        <v/>
      </c>
      <c r="EX493" s="58">
        <f>IFERROR($BM493/$BM494-1,"")</f>
        <v/>
      </c>
      <c r="EY493" s="58">
        <f>IFERROR($BN493/$BN494-1,"")</f>
        <v/>
      </c>
      <c r="EZ493" s="58">
        <f>IFERROR($BO493/$BO494-1,"")</f>
        <v/>
      </c>
      <c r="FA493" s="58">
        <f>IFERROR($BP493/$BP494-1,"")</f>
        <v/>
      </c>
      <c r="FB493" s="58">
        <f>IFERROR($BQ493/$BQ494-1,"")</f>
        <v/>
      </c>
      <c r="FC493" s="58">
        <f>IFERROR($BR493/$BR494-1,"")</f>
        <v/>
      </c>
      <c r="FD493" s="58">
        <f>IFERROR($BS493/$BS494-1,"")</f>
        <v/>
      </c>
      <c r="FE493" s="58">
        <f>IFERROR($BT493/$BT494-1,"")</f>
        <v/>
      </c>
      <c r="FF493" s="58">
        <f>IFERROR($BU493/$BU494-1,"")</f>
        <v/>
      </c>
      <c r="FG493" s="58">
        <f>IFERROR($BV493/$BV494-1,"")</f>
        <v/>
      </c>
      <c r="FH493" s="58">
        <f>IFERROR($BW493/$BW494-1,"")</f>
        <v/>
      </c>
      <c r="FI493" s="58">
        <f>IFERROR($BX493/$BX494-1,"")</f>
        <v/>
      </c>
      <c r="FJ493" s="59">
        <f>$BY493-$BY494</f>
        <v/>
      </c>
      <c r="FK493" s="59">
        <f>$BZ493-$BZ494</f>
        <v/>
      </c>
      <c r="FL493" s="59">
        <f>$CA493-$CA494</f>
        <v/>
      </c>
      <c r="FM493" s="59">
        <f>$CB493-$CB494</f>
        <v/>
      </c>
      <c r="FN493" s="59">
        <f>$CC493-$CC494</f>
        <v/>
      </c>
      <c r="FO493" s="59">
        <f>$CD493-$CD494</f>
        <v/>
      </c>
      <c r="FP493" s="59">
        <f>$CE493-$CE494</f>
        <v/>
      </c>
      <c r="FQ493" s="59">
        <f>$CF493-$CF494</f>
        <v/>
      </c>
      <c r="FR493" s="59">
        <f>$CG493-$CG494</f>
        <v/>
      </c>
      <c r="FS493" s="59">
        <f>$CH493-$CH494</f>
        <v/>
      </c>
      <c r="FT493" s="59">
        <f>$CI493-$CI494</f>
        <v/>
      </c>
      <c r="FU493" s="59">
        <f>$CJ493-$CJ494</f>
        <v/>
      </c>
      <c r="FV493" s="59">
        <f>$CK493-$CK494</f>
        <v/>
      </c>
      <c r="FW493" s="59">
        <f>$CL493-$CL494</f>
        <v/>
      </c>
      <c r="FX493" s="59">
        <f>$CM493-$CM494</f>
        <v/>
      </c>
      <c r="FY493" s="59">
        <f>$CN493-$CN494</f>
        <v/>
      </c>
      <c r="FZ493" s="59">
        <f>$CO493-$CO494</f>
        <v/>
      </c>
      <c r="GA493" s="59">
        <f>$CP493-$CP494</f>
        <v/>
      </c>
      <c r="GB493" s="59">
        <f>$CQ493-$CQ494</f>
        <v/>
      </c>
      <c r="GC493" s="59">
        <f>$CR493-$CR494</f>
        <v/>
      </c>
      <c r="GD493" s="59">
        <f>$CS493-$CS494</f>
        <v/>
      </c>
      <c r="GE493" s="59">
        <f>$CT493-$CT494</f>
        <v/>
      </c>
    </row>
    <row r="494">
      <c r="CU494" s="58">
        <f>IFERROR($B494/$B495-1,"")</f>
        <v/>
      </c>
      <c r="CV494" s="59">
        <f>($F494-$F495)*100</f>
        <v/>
      </c>
      <c r="CW494" s="59">
        <f>($E494-$E495)*100</f>
        <v/>
      </c>
      <c r="CX494" s="58">
        <f>IFERROR($K494/$K495-1,"")</f>
        <v/>
      </c>
      <c r="CY494" s="59">
        <f>($AH494-$AH495)*100</f>
        <v/>
      </c>
      <c r="CZ494" s="59">
        <f>($AI494-$AI495)*100</f>
        <v/>
      </c>
      <c r="DA494" s="59">
        <f>($AJ494-$AJ495)*100</f>
        <v/>
      </c>
      <c r="DB494" s="59">
        <f>($AK494-$AK495)*100</f>
        <v/>
      </c>
      <c r="DC494" s="59">
        <f>($AL494-$AL495)*100</f>
        <v/>
      </c>
      <c r="DD494" s="59">
        <f>($AM494-$AM495)*100</f>
        <v/>
      </c>
      <c r="DE494" s="59">
        <f>($AN494-$AN495)*100</f>
        <v/>
      </c>
      <c r="DF494" s="59">
        <f>($AO494-$AO495)*100</f>
        <v/>
      </c>
      <c r="DG494" s="59">
        <f>($AP494-$AP495)*100</f>
        <v/>
      </c>
      <c r="DH494" s="59">
        <f>($AQ494-$AQ495)*100</f>
        <v/>
      </c>
      <c r="DI494" s="59">
        <f>($AR494-$AR495)*100</f>
        <v/>
      </c>
      <c r="DJ494" s="59">
        <f>($AS494-$AS495)*100</f>
        <v/>
      </c>
      <c r="DK494" s="59">
        <f>($AT494-$AT495)*100</f>
        <v/>
      </c>
      <c r="DL494" s="59">
        <f>($AU494-$AU495)*100</f>
        <v/>
      </c>
      <c r="DM494" s="59">
        <f>($AV494-$AV495)*100</f>
        <v/>
      </c>
      <c r="DN494" s="59">
        <f>($AW494-$AW495)*100</f>
        <v/>
      </c>
      <c r="DO494" s="59">
        <f>($AX494-$AX495)*100</f>
        <v/>
      </c>
      <c r="DP494" s="59">
        <f>($AY494-$AY495)*100</f>
        <v/>
      </c>
      <c r="DQ494" s="59">
        <f>($AZ494-$AZ495)*100</f>
        <v/>
      </c>
      <c r="DR494" s="59">
        <f>($BA494-$BA495)*100</f>
        <v/>
      </c>
      <c r="DS494" s="58">
        <f>IFERROR($N495/$N494-1,"")</f>
        <v/>
      </c>
      <c r="DT494" s="58">
        <f>IFERROR($O495/$O494-1,"")</f>
        <v/>
      </c>
      <c r="DU494" s="58">
        <f>IFERROR($P495/$P494-1,"")</f>
        <v/>
      </c>
      <c r="DV494" s="58">
        <f>IFERROR($Q495/$Q494-1,"")</f>
        <v/>
      </c>
      <c r="DW494" s="58">
        <f>IFERROR($R495/$R494-1,"")</f>
        <v/>
      </c>
      <c r="DX494" s="58">
        <f>IFERROR($S495/$S494-1,"")</f>
        <v/>
      </c>
      <c r="DY494" s="58">
        <f>IFERROR($T495/$T494-1,"")</f>
        <v/>
      </c>
      <c r="DZ494" s="58">
        <f>IFERROR($U495/$U494-1,"")</f>
        <v/>
      </c>
      <c r="EA494" s="58">
        <f>IFERROR($V495/$V494-1,"")</f>
        <v/>
      </c>
      <c r="EB494" s="58">
        <f>IFERROR($W495/$W494-1,"")</f>
        <v/>
      </c>
      <c r="EC494" s="58">
        <f>IFERROR($X495/$X494-1,"")</f>
        <v/>
      </c>
      <c r="ED494" s="58">
        <f>IFERROR($Y495/$Y494-1,"")</f>
        <v/>
      </c>
      <c r="EE494" s="58">
        <f>IFERROR($Z495/$Z494-1,"")</f>
        <v/>
      </c>
      <c r="EF494" s="58">
        <f>IFERROR($AA495/$AA494-1,"")</f>
        <v/>
      </c>
      <c r="EG494" s="58">
        <f>IFERROR($AB495/$AB494-1,"")</f>
        <v/>
      </c>
      <c r="EH494" s="58">
        <f>IFERROR($AC495/$AC494-1,"")</f>
        <v/>
      </c>
      <c r="EI494" s="58">
        <f>IFERROR($AD495/$AD494-1,"")</f>
        <v/>
      </c>
      <c r="EJ494" s="58">
        <f>IFERROR($AE495/$AE494-1,"")</f>
        <v/>
      </c>
      <c r="EK494" s="58">
        <f>IFERROR($AF495/$AF494-1,"")</f>
        <v/>
      </c>
      <c r="EL494" s="58">
        <f>IFERROR($AG495/$AG494-1,"")</f>
        <v/>
      </c>
      <c r="EM494" s="58">
        <f>IFERROR($BB494/$BB495-1,"")</f>
        <v/>
      </c>
      <c r="EN494" s="58">
        <f>IFERROR($BC494/$BC495-1,"")</f>
        <v/>
      </c>
      <c r="EO494" s="58">
        <f>IFERROR($BD494/$BD495-1,"")</f>
        <v/>
      </c>
      <c r="EP494" s="58">
        <f>IFERROR($BE494/$BE495-1,"")</f>
        <v/>
      </c>
      <c r="EQ494" s="58">
        <f>IFERROR($BF494/$BF495-1,"")</f>
        <v/>
      </c>
      <c r="ER494" s="58">
        <f>IFERROR($BG494/$BG495-1,"")</f>
        <v/>
      </c>
      <c r="ES494" s="58">
        <f>IFERROR($BH494/$BH495-1,"")</f>
        <v/>
      </c>
      <c r="ET494" s="58">
        <f>IFERROR($BI494/$BI495-1,"")</f>
        <v/>
      </c>
      <c r="EU494" s="58">
        <f>IFERROR($BJ494/$BJ495-1,"")</f>
        <v/>
      </c>
      <c r="EV494" s="58">
        <f>IFERROR($BK494/$BK495-1,"")</f>
        <v/>
      </c>
      <c r="EW494" s="58">
        <f>IFERROR($BL494/$BL495-1,"")</f>
        <v/>
      </c>
      <c r="EX494" s="58">
        <f>IFERROR($BM494/$BM495-1,"")</f>
        <v/>
      </c>
      <c r="EY494" s="58">
        <f>IFERROR($BN494/$BN495-1,"")</f>
        <v/>
      </c>
      <c r="EZ494" s="58">
        <f>IFERROR($BO494/$BO495-1,"")</f>
        <v/>
      </c>
      <c r="FA494" s="58">
        <f>IFERROR($BP494/$BP495-1,"")</f>
        <v/>
      </c>
      <c r="FB494" s="58">
        <f>IFERROR($BQ494/$BQ495-1,"")</f>
        <v/>
      </c>
      <c r="FC494" s="58">
        <f>IFERROR($BR494/$BR495-1,"")</f>
        <v/>
      </c>
      <c r="FD494" s="58">
        <f>IFERROR($BS494/$BS495-1,"")</f>
        <v/>
      </c>
      <c r="FE494" s="58">
        <f>IFERROR($BT494/$BT495-1,"")</f>
        <v/>
      </c>
      <c r="FF494" s="58">
        <f>IFERROR($BU494/$BU495-1,"")</f>
        <v/>
      </c>
      <c r="FG494" s="58">
        <f>IFERROR($BV494/$BV495-1,"")</f>
        <v/>
      </c>
      <c r="FH494" s="58">
        <f>IFERROR($BW494/$BW495-1,"")</f>
        <v/>
      </c>
      <c r="FI494" s="58">
        <f>IFERROR($BX494/$BX495-1,"")</f>
        <v/>
      </c>
      <c r="FJ494" s="59">
        <f>$BY494-$BY495</f>
        <v/>
      </c>
      <c r="FK494" s="59">
        <f>$BZ494-$BZ495</f>
        <v/>
      </c>
      <c r="FL494" s="59">
        <f>$CA494-$CA495</f>
        <v/>
      </c>
      <c r="FM494" s="59">
        <f>$CB494-$CB495</f>
        <v/>
      </c>
      <c r="FN494" s="59">
        <f>$CC494-$CC495</f>
        <v/>
      </c>
      <c r="FO494" s="59">
        <f>$CD494-$CD495</f>
        <v/>
      </c>
      <c r="FP494" s="59">
        <f>$CE494-$CE495</f>
        <v/>
      </c>
      <c r="FQ494" s="59">
        <f>$CF494-$CF495</f>
        <v/>
      </c>
      <c r="FR494" s="59">
        <f>$CG494-$CG495</f>
        <v/>
      </c>
      <c r="FS494" s="59">
        <f>$CH494-$CH495</f>
        <v/>
      </c>
      <c r="FT494" s="59">
        <f>$CI494-$CI495</f>
        <v/>
      </c>
      <c r="FU494" s="59">
        <f>$CJ494-$CJ495</f>
        <v/>
      </c>
      <c r="FV494" s="59">
        <f>$CK494-$CK495</f>
        <v/>
      </c>
      <c r="FW494" s="59">
        <f>$CL494-$CL495</f>
        <v/>
      </c>
      <c r="FX494" s="59">
        <f>$CM494-$CM495</f>
        <v/>
      </c>
      <c r="FY494" s="59">
        <f>$CN494-$CN495</f>
        <v/>
      </c>
      <c r="FZ494" s="59">
        <f>$CO494-$CO495</f>
        <v/>
      </c>
      <c r="GA494" s="59">
        <f>$CP494-$CP495</f>
        <v/>
      </c>
      <c r="GB494" s="59">
        <f>$CQ494-$CQ495</f>
        <v/>
      </c>
      <c r="GC494" s="59">
        <f>$CR494-$CR495</f>
        <v/>
      </c>
      <c r="GD494" s="59">
        <f>$CS494-$CS495</f>
        <v/>
      </c>
      <c r="GE494" s="59">
        <f>$CT494-$CT495</f>
        <v/>
      </c>
    </row>
    <row r="495">
      <c r="CU495" s="58">
        <f>IFERROR($B495/$B496-1,"")</f>
        <v/>
      </c>
      <c r="CV495" s="59">
        <f>($F495-$F496)*100</f>
        <v/>
      </c>
      <c r="CW495" s="59">
        <f>($E495-$E496)*100</f>
        <v/>
      </c>
      <c r="CX495" s="58">
        <f>IFERROR($K495/$K496-1,"")</f>
        <v/>
      </c>
      <c r="CY495" s="59">
        <f>($AH495-$AH496)*100</f>
        <v/>
      </c>
      <c r="CZ495" s="59">
        <f>($AI495-$AI496)*100</f>
        <v/>
      </c>
      <c r="DA495" s="59">
        <f>($AJ495-$AJ496)*100</f>
        <v/>
      </c>
      <c r="DB495" s="59">
        <f>($AK495-$AK496)*100</f>
        <v/>
      </c>
      <c r="DC495" s="59">
        <f>($AL495-$AL496)*100</f>
        <v/>
      </c>
      <c r="DD495" s="59">
        <f>($AM495-$AM496)*100</f>
        <v/>
      </c>
      <c r="DE495" s="59">
        <f>($AN495-$AN496)*100</f>
        <v/>
      </c>
      <c r="DF495" s="59">
        <f>($AO495-$AO496)*100</f>
        <v/>
      </c>
      <c r="DG495" s="59">
        <f>($AP495-$AP496)*100</f>
        <v/>
      </c>
      <c r="DH495" s="59">
        <f>($AQ495-$AQ496)*100</f>
        <v/>
      </c>
      <c r="DI495" s="59">
        <f>($AR495-$AR496)*100</f>
        <v/>
      </c>
      <c r="DJ495" s="59">
        <f>($AS495-$AS496)*100</f>
        <v/>
      </c>
      <c r="DK495" s="59">
        <f>($AT495-$AT496)*100</f>
        <v/>
      </c>
      <c r="DL495" s="59">
        <f>($AU495-$AU496)*100</f>
        <v/>
      </c>
      <c r="DM495" s="59">
        <f>($AV495-$AV496)*100</f>
        <v/>
      </c>
      <c r="DN495" s="59">
        <f>($AW495-$AW496)*100</f>
        <v/>
      </c>
      <c r="DO495" s="59">
        <f>($AX495-$AX496)*100</f>
        <v/>
      </c>
      <c r="DP495" s="59">
        <f>($AY495-$AY496)*100</f>
        <v/>
      </c>
      <c r="DQ495" s="59">
        <f>($AZ495-$AZ496)*100</f>
        <v/>
      </c>
      <c r="DR495" s="59">
        <f>($BA495-$BA496)*100</f>
        <v/>
      </c>
      <c r="DS495" s="58">
        <f>IFERROR($N496/$N495-1,"")</f>
        <v/>
      </c>
      <c r="DT495" s="58">
        <f>IFERROR($O496/$O495-1,"")</f>
        <v/>
      </c>
      <c r="DU495" s="58">
        <f>IFERROR($P496/$P495-1,"")</f>
        <v/>
      </c>
      <c r="DV495" s="58">
        <f>IFERROR($Q496/$Q495-1,"")</f>
        <v/>
      </c>
      <c r="DW495" s="58">
        <f>IFERROR($R496/$R495-1,"")</f>
        <v/>
      </c>
      <c r="DX495" s="58">
        <f>IFERROR($S496/$S495-1,"")</f>
        <v/>
      </c>
      <c r="DY495" s="58">
        <f>IFERROR($T496/$T495-1,"")</f>
        <v/>
      </c>
      <c r="DZ495" s="58">
        <f>IFERROR($U496/$U495-1,"")</f>
        <v/>
      </c>
      <c r="EA495" s="58">
        <f>IFERROR($V496/$V495-1,"")</f>
        <v/>
      </c>
      <c r="EB495" s="58">
        <f>IFERROR($W496/$W495-1,"")</f>
        <v/>
      </c>
      <c r="EC495" s="58">
        <f>IFERROR($X496/$X495-1,"")</f>
        <v/>
      </c>
      <c r="ED495" s="58">
        <f>IFERROR($Y496/$Y495-1,"")</f>
        <v/>
      </c>
      <c r="EE495" s="58">
        <f>IFERROR($Z496/$Z495-1,"")</f>
        <v/>
      </c>
      <c r="EF495" s="58">
        <f>IFERROR($AA496/$AA495-1,"")</f>
        <v/>
      </c>
      <c r="EG495" s="58">
        <f>IFERROR($AB496/$AB495-1,"")</f>
        <v/>
      </c>
      <c r="EH495" s="58">
        <f>IFERROR($AC496/$AC495-1,"")</f>
        <v/>
      </c>
      <c r="EI495" s="58">
        <f>IFERROR($AD496/$AD495-1,"")</f>
        <v/>
      </c>
      <c r="EJ495" s="58">
        <f>IFERROR($AE496/$AE495-1,"")</f>
        <v/>
      </c>
      <c r="EK495" s="58">
        <f>IFERROR($AF496/$AF495-1,"")</f>
        <v/>
      </c>
      <c r="EL495" s="58">
        <f>IFERROR($AG496/$AG495-1,"")</f>
        <v/>
      </c>
      <c r="EM495" s="58">
        <f>IFERROR($BB495/$BB496-1,"")</f>
        <v/>
      </c>
      <c r="EN495" s="58">
        <f>IFERROR($BC495/$BC496-1,"")</f>
        <v/>
      </c>
      <c r="EO495" s="58">
        <f>IFERROR($BD495/$BD496-1,"")</f>
        <v/>
      </c>
      <c r="EP495" s="58">
        <f>IFERROR($BE495/$BE496-1,"")</f>
        <v/>
      </c>
      <c r="EQ495" s="58">
        <f>IFERROR($BF495/$BF496-1,"")</f>
        <v/>
      </c>
      <c r="ER495" s="58">
        <f>IFERROR($BG495/$BG496-1,"")</f>
        <v/>
      </c>
      <c r="ES495" s="58">
        <f>IFERROR($BH495/$BH496-1,"")</f>
        <v/>
      </c>
      <c r="ET495" s="58">
        <f>IFERROR($BI495/$BI496-1,"")</f>
        <v/>
      </c>
      <c r="EU495" s="58">
        <f>IFERROR($BJ495/$BJ496-1,"")</f>
        <v/>
      </c>
      <c r="EV495" s="58">
        <f>IFERROR($BK495/$BK496-1,"")</f>
        <v/>
      </c>
      <c r="EW495" s="58">
        <f>IFERROR($BL495/$BL496-1,"")</f>
        <v/>
      </c>
      <c r="EX495" s="58">
        <f>IFERROR($BM495/$BM496-1,"")</f>
        <v/>
      </c>
      <c r="EY495" s="58">
        <f>IFERROR($BN495/$BN496-1,"")</f>
        <v/>
      </c>
      <c r="EZ495" s="58">
        <f>IFERROR($BO495/$BO496-1,"")</f>
        <v/>
      </c>
      <c r="FA495" s="58">
        <f>IFERROR($BP495/$BP496-1,"")</f>
        <v/>
      </c>
      <c r="FB495" s="58">
        <f>IFERROR($BQ495/$BQ496-1,"")</f>
        <v/>
      </c>
      <c r="FC495" s="58">
        <f>IFERROR($BR495/$BR496-1,"")</f>
        <v/>
      </c>
      <c r="FD495" s="58">
        <f>IFERROR($BS495/$BS496-1,"")</f>
        <v/>
      </c>
      <c r="FE495" s="58">
        <f>IFERROR($BT495/$BT496-1,"")</f>
        <v/>
      </c>
      <c r="FF495" s="58">
        <f>IFERROR($BU495/$BU496-1,"")</f>
        <v/>
      </c>
      <c r="FG495" s="58">
        <f>IFERROR($BV495/$BV496-1,"")</f>
        <v/>
      </c>
      <c r="FH495" s="58">
        <f>IFERROR($BW495/$BW496-1,"")</f>
        <v/>
      </c>
      <c r="FI495" s="58">
        <f>IFERROR($BX495/$BX496-1,"")</f>
        <v/>
      </c>
      <c r="FJ495" s="59">
        <f>$BY495-$BY496</f>
        <v/>
      </c>
      <c r="FK495" s="59">
        <f>$BZ495-$BZ496</f>
        <v/>
      </c>
      <c r="FL495" s="59">
        <f>$CA495-$CA496</f>
        <v/>
      </c>
      <c r="FM495" s="59">
        <f>$CB495-$CB496</f>
        <v/>
      </c>
      <c r="FN495" s="59">
        <f>$CC495-$CC496</f>
        <v/>
      </c>
      <c r="FO495" s="59">
        <f>$CD495-$CD496</f>
        <v/>
      </c>
      <c r="FP495" s="59">
        <f>$CE495-$CE496</f>
        <v/>
      </c>
      <c r="FQ495" s="59">
        <f>$CF495-$CF496</f>
        <v/>
      </c>
      <c r="FR495" s="59">
        <f>$CG495-$CG496</f>
        <v/>
      </c>
      <c r="FS495" s="59">
        <f>$CH495-$CH496</f>
        <v/>
      </c>
      <c r="FT495" s="59">
        <f>$CI495-$CI496</f>
        <v/>
      </c>
      <c r="FU495" s="59">
        <f>$CJ495-$CJ496</f>
        <v/>
      </c>
      <c r="FV495" s="59">
        <f>$CK495-$CK496</f>
        <v/>
      </c>
      <c r="FW495" s="59">
        <f>$CL495-$CL496</f>
        <v/>
      </c>
      <c r="FX495" s="59">
        <f>$CM495-$CM496</f>
        <v/>
      </c>
      <c r="FY495" s="59">
        <f>$CN495-$CN496</f>
        <v/>
      </c>
      <c r="FZ495" s="59">
        <f>$CO495-$CO496</f>
        <v/>
      </c>
      <c r="GA495" s="59">
        <f>$CP495-$CP496</f>
        <v/>
      </c>
      <c r="GB495" s="59">
        <f>$CQ495-$CQ496</f>
        <v/>
      </c>
      <c r="GC495" s="59">
        <f>$CR495-$CR496</f>
        <v/>
      </c>
      <c r="GD495" s="59">
        <f>$CS495-$CS496</f>
        <v/>
      </c>
      <c r="GE495" s="59">
        <f>$CT495-$CT496</f>
        <v/>
      </c>
    </row>
    <row r="496">
      <c r="CU496" s="58">
        <f>IFERROR($B496/$B497-1,"")</f>
        <v/>
      </c>
      <c r="CV496" s="59">
        <f>($F496-$F497)*100</f>
        <v/>
      </c>
      <c r="CW496" s="59">
        <f>($E496-$E497)*100</f>
        <v/>
      </c>
      <c r="CX496" s="58">
        <f>IFERROR($K496/$K497-1,"")</f>
        <v/>
      </c>
      <c r="CY496" s="59">
        <f>($AH496-$AH497)*100</f>
        <v/>
      </c>
      <c r="CZ496" s="59">
        <f>($AI496-$AI497)*100</f>
        <v/>
      </c>
      <c r="DA496" s="59">
        <f>($AJ496-$AJ497)*100</f>
        <v/>
      </c>
      <c r="DB496" s="59">
        <f>($AK496-$AK497)*100</f>
        <v/>
      </c>
      <c r="DC496" s="59">
        <f>($AL496-$AL497)*100</f>
        <v/>
      </c>
      <c r="DD496" s="59">
        <f>($AM496-$AM497)*100</f>
        <v/>
      </c>
      <c r="DE496" s="59">
        <f>($AN496-$AN497)*100</f>
        <v/>
      </c>
      <c r="DF496" s="59">
        <f>($AO496-$AO497)*100</f>
        <v/>
      </c>
      <c r="DG496" s="59">
        <f>($AP496-$AP497)*100</f>
        <v/>
      </c>
      <c r="DH496" s="59">
        <f>($AQ496-$AQ497)*100</f>
        <v/>
      </c>
      <c r="DI496" s="59">
        <f>($AR496-$AR497)*100</f>
        <v/>
      </c>
      <c r="DJ496" s="59">
        <f>($AS496-$AS497)*100</f>
        <v/>
      </c>
      <c r="DK496" s="59">
        <f>($AT496-$AT497)*100</f>
        <v/>
      </c>
      <c r="DL496" s="59">
        <f>($AU496-$AU497)*100</f>
        <v/>
      </c>
      <c r="DM496" s="59">
        <f>($AV496-$AV497)*100</f>
        <v/>
      </c>
      <c r="DN496" s="59">
        <f>($AW496-$AW497)*100</f>
        <v/>
      </c>
      <c r="DO496" s="59">
        <f>($AX496-$AX497)*100</f>
        <v/>
      </c>
      <c r="DP496" s="59">
        <f>($AY496-$AY497)*100</f>
        <v/>
      </c>
      <c r="DQ496" s="59">
        <f>($AZ496-$AZ497)*100</f>
        <v/>
      </c>
      <c r="DR496" s="59">
        <f>($BA496-$BA497)*100</f>
        <v/>
      </c>
      <c r="DS496" s="58">
        <f>IFERROR($N497/$N496-1,"")</f>
        <v/>
      </c>
      <c r="DT496" s="58">
        <f>IFERROR($O497/$O496-1,"")</f>
        <v/>
      </c>
      <c r="DU496" s="58">
        <f>IFERROR($P497/$P496-1,"")</f>
        <v/>
      </c>
      <c r="DV496" s="58">
        <f>IFERROR($Q497/$Q496-1,"")</f>
        <v/>
      </c>
      <c r="DW496" s="58">
        <f>IFERROR($R497/$R496-1,"")</f>
        <v/>
      </c>
      <c r="DX496" s="58">
        <f>IFERROR($S497/$S496-1,"")</f>
        <v/>
      </c>
      <c r="DY496" s="58">
        <f>IFERROR($T497/$T496-1,"")</f>
        <v/>
      </c>
      <c r="DZ496" s="58">
        <f>IFERROR($U497/$U496-1,"")</f>
        <v/>
      </c>
      <c r="EA496" s="58">
        <f>IFERROR($V497/$V496-1,"")</f>
        <v/>
      </c>
      <c r="EB496" s="58">
        <f>IFERROR($W497/$W496-1,"")</f>
        <v/>
      </c>
      <c r="EC496" s="58">
        <f>IFERROR($X497/$X496-1,"")</f>
        <v/>
      </c>
      <c r="ED496" s="58">
        <f>IFERROR($Y497/$Y496-1,"")</f>
        <v/>
      </c>
      <c r="EE496" s="58">
        <f>IFERROR($Z497/$Z496-1,"")</f>
        <v/>
      </c>
      <c r="EF496" s="58">
        <f>IFERROR($AA497/$AA496-1,"")</f>
        <v/>
      </c>
      <c r="EG496" s="58">
        <f>IFERROR($AB497/$AB496-1,"")</f>
        <v/>
      </c>
      <c r="EH496" s="58">
        <f>IFERROR($AC497/$AC496-1,"")</f>
        <v/>
      </c>
      <c r="EI496" s="58">
        <f>IFERROR($AD497/$AD496-1,"")</f>
        <v/>
      </c>
      <c r="EJ496" s="58">
        <f>IFERROR($AE497/$AE496-1,"")</f>
        <v/>
      </c>
      <c r="EK496" s="58">
        <f>IFERROR($AF497/$AF496-1,"")</f>
        <v/>
      </c>
      <c r="EL496" s="58">
        <f>IFERROR($AG497/$AG496-1,"")</f>
        <v/>
      </c>
      <c r="EM496" s="58">
        <f>IFERROR($BB496/$BB497-1,"")</f>
        <v/>
      </c>
      <c r="EN496" s="58">
        <f>IFERROR($BC496/$BC497-1,"")</f>
        <v/>
      </c>
      <c r="EO496" s="58">
        <f>IFERROR($BD496/$BD497-1,"")</f>
        <v/>
      </c>
      <c r="EP496" s="58">
        <f>IFERROR($BE496/$BE497-1,"")</f>
        <v/>
      </c>
      <c r="EQ496" s="58">
        <f>IFERROR($BF496/$BF497-1,"")</f>
        <v/>
      </c>
      <c r="ER496" s="58">
        <f>IFERROR($BG496/$BG497-1,"")</f>
        <v/>
      </c>
      <c r="ES496" s="58">
        <f>IFERROR($BH496/$BH497-1,"")</f>
        <v/>
      </c>
      <c r="ET496" s="58">
        <f>IFERROR($BI496/$BI497-1,"")</f>
        <v/>
      </c>
      <c r="EU496" s="58">
        <f>IFERROR($BJ496/$BJ497-1,"")</f>
        <v/>
      </c>
      <c r="EV496" s="58">
        <f>IFERROR($BK496/$BK497-1,"")</f>
        <v/>
      </c>
      <c r="EW496" s="58">
        <f>IFERROR($BL496/$BL497-1,"")</f>
        <v/>
      </c>
      <c r="EX496" s="58">
        <f>IFERROR($BM496/$BM497-1,"")</f>
        <v/>
      </c>
      <c r="EY496" s="58">
        <f>IFERROR($BN496/$BN497-1,"")</f>
        <v/>
      </c>
      <c r="EZ496" s="58">
        <f>IFERROR($BO496/$BO497-1,"")</f>
        <v/>
      </c>
      <c r="FA496" s="58">
        <f>IFERROR($BP496/$BP497-1,"")</f>
        <v/>
      </c>
      <c r="FB496" s="58">
        <f>IFERROR($BQ496/$BQ497-1,"")</f>
        <v/>
      </c>
      <c r="FC496" s="58">
        <f>IFERROR($BR496/$BR497-1,"")</f>
        <v/>
      </c>
      <c r="FD496" s="58">
        <f>IFERROR($BS496/$BS497-1,"")</f>
        <v/>
      </c>
      <c r="FE496" s="58">
        <f>IFERROR($BT496/$BT497-1,"")</f>
        <v/>
      </c>
      <c r="FF496" s="58">
        <f>IFERROR($BU496/$BU497-1,"")</f>
        <v/>
      </c>
      <c r="FG496" s="58">
        <f>IFERROR($BV496/$BV497-1,"")</f>
        <v/>
      </c>
      <c r="FH496" s="58">
        <f>IFERROR($BW496/$BW497-1,"")</f>
        <v/>
      </c>
      <c r="FI496" s="58">
        <f>IFERROR($BX496/$BX497-1,"")</f>
        <v/>
      </c>
      <c r="FJ496" s="59">
        <f>$BY496-$BY497</f>
        <v/>
      </c>
      <c r="FK496" s="59">
        <f>$BZ496-$BZ497</f>
        <v/>
      </c>
      <c r="FL496" s="59">
        <f>$CA496-$CA497</f>
        <v/>
      </c>
      <c r="FM496" s="59">
        <f>$CB496-$CB497</f>
        <v/>
      </c>
      <c r="FN496" s="59">
        <f>$CC496-$CC497</f>
        <v/>
      </c>
      <c r="FO496" s="59">
        <f>$CD496-$CD497</f>
        <v/>
      </c>
      <c r="FP496" s="59">
        <f>$CE496-$CE497</f>
        <v/>
      </c>
      <c r="FQ496" s="59">
        <f>$CF496-$CF497</f>
        <v/>
      </c>
      <c r="FR496" s="59">
        <f>$CG496-$CG497</f>
        <v/>
      </c>
      <c r="FS496" s="59">
        <f>$CH496-$CH497</f>
        <v/>
      </c>
      <c r="FT496" s="59">
        <f>$CI496-$CI497</f>
        <v/>
      </c>
      <c r="FU496" s="59">
        <f>$CJ496-$CJ497</f>
        <v/>
      </c>
      <c r="FV496" s="59">
        <f>$CK496-$CK497</f>
        <v/>
      </c>
      <c r="FW496" s="59">
        <f>$CL496-$CL497</f>
        <v/>
      </c>
      <c r="FX496" s="59">
        <f>$CM496-$CM497</f>
        <v/>
      </c>
      <c r="FY496" s="59">
        <f>$CN496-$CN497</f>
        <v/>
      </c>
      <c r="FZ496" s="59">
        <f>$CO496-$CO497</f>
        <v/>
      </c>
      <c r="GA496" s="59">
        <f>$CP496-$CP497</f>
        <v/>
      </c>
      <c r="GB496" s="59">
        <f>$CQ496-$CQ497</f>
        <v/>
      </c>
      <c r="GC496" s="59">
        <f>$CR496-$CR497</f>
        <v/>
      </c>
      <c r="GD496" s="59">
        <f>$CS496-$CS497</f>
        <v/>
      </c>
      <c r="GE496" s="59">
        <f>$CT496-$CT497</f>
        <v/>
      </c>
    </row>
    <row r="497">
      <c r="CU497" s="58">
        <f>IFERROR($B497/$B498-1,"")</f>
        <v/>
      </c>
      <c r="CV497" s="59">
        <f>($F497-$F498)*100</f>
        <v/>
      </c>
      <c r="CW497" s="59">
        <f>($E497-$E498)*100</f>
        <v/>
      </c>
      <c r="CX497" s="58">
        <f>IFERROR($K497/$K498-1,"")</f>
        <v/>
      </c>
      <c r="CY497" s="59">
        <f>($AH497-$AH498)*100</f>
        <v/>
      </c>
      <c r="CZ497" s="59">
        <f>($AI497-$AI498)*100</f>
        <v/>
      </c>
      <c r="DA497" s="59">
        <f>($AJ497-$AJ498)*100</f>
        <v/>
      </c>
      <c r="DB497" s="59">
        <f>($AK497-$AK498)*100</f>
        <v/>
      </c>
      <c r="DC497" s="59">
        <f>($AL497-$AL498)*100</f>
        <v/>
      </c>
      <c r="DD497" s="59">
        <f>($AM497-$AM498)*100</f>
        <v/>
      </c>
      <c r="DE497" s="59">
        <f>($AN497-$AN498)*100</f>
        <v/>
      </c>
      <c r="DF497" s="59">
        <f>($AO497-$AO498)*100</f>
        <v/>
      </c>
      <c r="DG497" s="59">
        <f>($AP497-$AP498)*100</f>
        <v/>
      </c>
      <c r="DH497" s="59">
        <f>($AQ497-$AQ498)*100</f>
        <v/>
      </c>
      <c r="DI497" s="59">
        <f>($AR497-$AR498)*100</f>
        <v/>
      </c>
      <c r="DJ497" s="59">
        <f>($AS497-$AS498)*100</f>
        <v/>
      </c>
      <c r="DK497" s="59">
        <f>($AT497-$AT498)*100</f>
        <v/>
      </c>
      <c r="DL497" s="59">
        <f>($AU497-$AU498)*100</f>
        <v/>
      </c>
      <c r="DM497" s="59">
        <f>($AV497-$AV498)*100</f>
        <v/>
      </c>
      <c r="DN497" s="59">
        <f>($AW497-$AW498)*100</f>
        <v/>
      </c>
      <c r="DO497" s="59">
        <f>($AX497-$AX498)*100</f>
        <v/>
      </c>
      <c r="DP497" s="59">
        <f>($AY497-$AY498)*100</f>
        <v/>
      </c>
      <c r="DQ497" s="59">
        <f>($AZ497-$AZ498)*100</f>
        <v/>
      </c>
      <c r="DR497" s="59">
        <f>($BA497-$BA498)*100</f>
        <v/>
      </c>
      <c r="DS497" s="58">
        <f>IFERROR($N498/$N497-1,"")</f>
        <v/>
      </c>
      <c r="DT497" s="58">
        <f>IFERROR($O498/$O497-1,"")</f>
        <v/>
      </c>
      <c r="DU497" s="58">
        <f>IFERROR($P498/$P497-1,"")</f>
        <v/>
      </c>
      <c r="DV497" s="58">
        <f>IFERROR($Q498/$Q497-1,"")</f>
        <v/>
      </c>
      <c r="DW497" s="58">
        <f>IFERROR($R498/$R497-1,"")</f>
        <v/>
      </c>
      <c r="DX497" s="58">
        <f>IFERROR($S498/$S497-1,"")</f>
        <v/>
      </c>
      <c r="DY497" s="58">
        <f>IFERROR($T498/$T497-1,"")</f>
        <v/>
      </c>
      <c r="DZ497" s="58">
        <f>IFERROR($U498/$U497-1,"")</f>
        <v/>
      </c>
      <c r="EA497" s="58">
        <f>IFERROR($V498/$V497-1,"")</f>
        <v/>
      </c>
      <c r="EB497" s="58">
        <f>IFERROR($W498/$W497-1,"")</f>
        <v/>
      </c>
      <c r="EC497" s="58">
        <f>IFERROR($X498/$X497-1,"")</f>
        <v/>
      </c>
      <c r="ED497" s="58">
        <f>IFERROR($Y498/$Y497-1,"")</f>
        <v/>
      </c>
      <c r="EE497" s="58">
        <f>IFERROR($Z498/$Z497-1,"")</f>
        <v/>
      </c>
      <c r="EF497" s="58">
        <f>IFERROR($AA498/$AA497-1,"")</f>
        <v/>
      </c>
      <c r="EG497" s="58">
        <f>IFERROR($AB498/$AB497-1,"")</f>
        <v/>
      </c>
      <c r="EH497" s="58">
        <f>IFERROR($AC498/$AC497-1,"")</f>
        <v/>
      </c>
      <c r="EI497" s="58">
        <f>IFERROR($AD498/$AD497-1,"")</f>
        <v/>
      </c>
      <c r="EJ497" s="58">
        <f>IFERROR($AE498/$AE497-1,"")</f>
        <v/>
      </c>
      <c r="EK497" s="58">
        <f>IFERROR($AF498/$AF497-1,"")</f>
        <v/>
      </c>
      <c r="EL497" s="58">
        <f>IFERROR($AG498/$AG497-1,"")</f>
        <v/>
      </c>
      <c r="EM497" s="58">
        <f>IFERROR($BB497/$BB498-1,"")</f>
        <v/>
      </c>
      <c r="EN497" s="58">
        <f>IFERROR($BC497/$BC498-1,"")</f>
        <v/>
      </c>
      <c r="EO497" s="58">
        <f>IFERROR($BD497/$BD498-1,"")</f>
        <v/>
      </c>
      <c r="EP497" s="58">
        <f>IFERROR($BE497/$BE498-1,"")</f>
        <v/>
      </c>
      <c r="EQ497" s="58">
        <f>IFERROR($BF497/$BF498-1,"")</f>
        <v/>
      </c>
      <c r="ER497" s="58">
        <f>IFERROR($BG497/$BG498-1,"")</f>
        <v/>
      </c>
      <c r="ES497" s="58">
        <f>IFERROR($BH497/$BH498-1,"")</f>
        <v/>
      </c>
      <c r="ET497" s="58">
        <f>IFERROR($BI497/$BI498-1,"")</f>
        <v/>
      </c>
      <c r="EU497" s="58">
        <f>IFERROR($BJ497/$BJ498-1,"")</f>
        <v/>
      </c>
      <c r="EV497" s="58">
        <f>IFERROR($BK497/$BK498-1,"")</f>
        <v/>
      </c>
      <c r="EW497" s="58">
        <f>IFERROR($BL497/$BL498-1,"")</f>
        <v/>
      </c>
      <c r="EX497" s="58">
        <f>IFERROR($BM497/$BM498-1,"")</f>
        <v/>
      </c>
      <c r="EY497" s="58">
        <f>IFERROR($BN497/$BN498-1,"")</f>
        <v/>
      </c>
      <c r="EZ497" s="58">
        <f>IFERROR($BO497/$BO498-1,"")</f>
        <v/>
      </c>
      <c r="FA497" s="58">
        <f>IFERROR($BP497/$BP498-1,"")</f>
        <v/>
      </c>
      <c r="FB497" s="58">
        <f>IFERROR($BQ497/$BQ498-1,"")</f>
        <v/>
      </c>
      <c r="FC497" s="58">
        <f>IFERROR($BR497/$BR498-1,"")</f>
        <v/>
      </c>
      <c r="FD497" s="58">
        <f>IFERROR($BS497/$BS498-1,"")</f>
        <v/>
      </c>
      <c r="FE497" s="58">
        <f>IFERROR($BT497/$BT498-1,"")</f>
        <v/>
      </c>
      <c r="FF497" s="58">
        <f>IFERROR($BU497/$BU498-1,"")</f>
        <v/>
      </c>
      <c r="FG497" s="58">
        <f>IFERROR($BV497/$BV498-1,"")</f>
        <v/>
      </c>
      <c r="FH497" s="58">
        <f>IFERROR($BW497/$BW498-1,"")</f>
        <v/>
      </c>
      <c r="FI497" s="58">
        <f>IFERROR($BX497/$BX498-1,"")</f>
        <v/>
      </c>
      <c r="FJ497" s="59">
        <f>$BY497-$BY498</f>
        <v/>
      </c>
      <c r="FK497" s="59">
        <f>$BZ497-$BZ498</f>
        <v/>
      </c>
      <c r="FL497" s="59">
        <f>$CA497-$CA498</f>
        <v/>
      </c>
      <c r="FM497" s="59">
        <f>$CB497-$CB498</f>
        <v/>
      </c>
      <c r="FN497" s="59">
        <f>$CC497-$CC498</f>
        <v/>
      </c>
      <c r="FO497" s="59">
        <f>$CD497-$CD498</f>
        <v/>
      </c>
      <c r="FP497" s="59">
        <f>$CE497-$CE498</f>
        <v/>
      </c>
      <c r="FQ497" s="59">
        <f>$CF497-$CF498</f>
        <v/>
      </c>
      <c r="FR497" s="59">
        <f>$CG497-$CG498</f>
        <v/>
      </c>
      <c r="FS497" s="59">
        <f>$CH497-$CH498</f>
        <v/>
      </c>
      <c r="FT497" s="59">
        <f>$CI497-$CI498</f>
        <v/>
      </c>
      <c r="FU497" s="59">
        <f>$CJ497-$CJ498</f>
        <v/>
      </c>
      <c r="FV497" s="59">
        <f>$CK497-$CK498</f>
        <v/>
      </c>
      <c r="FW497" s="59">
        <f>$CL497-$CL498</f>
        <v/>
      </c>
      <c r="FX497" s="59">
        <f>$CM497-$CM498</f>
        <v/>
      </c>
      <c r="FY497" s="59">
        <f>$CN497-$CN498</f>
        <v/>
      </c>
      <c r="FZ497" s="59">
        <f>$CO497-$CO498</f>
        <v/>
      </c>
      <c r="GA497" s="59">
        <f>$CP497-$CP498</f>
        <v/>
      </c>
      <c r="GB497" s="59">
        <f>$CQ497-$CQ498</f>
        <v/>
      </c>
      <c r="GC497" s="59">
        <f>$CR497-$CR498</f>
        <v/>
      </c>
      <c r="GD497" s="59">
        <f>$CS497-$CS498</f>
        <v/>
      </c>
      <c r="GE497" s="59">
        <f>$CT497-$CT498</f>
        <v/>
      </c>
    </row>
    <row r="498">
      <c r="CU498" s="58">
        <f>IFERROR($B498/$B499-1,"")</f>
        <v/>
      </c>
      <c r="CV498" s="59">
        <f>($F498-$F499)*100</f>
        <v/>
      </c>
      <c r="CW498" s="59">
        <f>($E498-$E499)*100</f>
        <v/>
      </c>
      <c r="CX498" s="58">
        <f>IFERROR($K498/$K499-1,"")</f>
        <v/>
      </c>
      <c r="CY498" s="59">
        <f>($AH498-$AH499)*100</f>
        <v/>
      </c>
      <c r="CZ498" s="59">
        <f>($AI498-$AI499)*100</f>
        <v/>
      </c>
      <c r="DA498" s="59">
        <f>($AJ498-$AJ499)*100</f>
        <v/>
      </c>
      <c r="DB498" s="59">
        <f>($AK498-$AK499)*100</f>
        <v/>
      </c>
      <c r="DC498" s="59">
        <f>($AL498-$AL499)*100</f>
        <v/>
      </c>
      <c r="DD498" s="59">
        <f>($AM498-$AM499)*100</f>
        <v/>
      </c>
      <c r="DE498" s="59">
        <f>($AN498-$AN499)*100</f>
        <v/>
      </c>
      <c r="DF498" s="59">
        <f>($AO498-$AO499)*100</f>
        <v/>
      </c>
      <c r="DG498" s="59">
        <f>($AP498-$AP499)*100</f>
        <v/>
      </c>
      <c r="DH498" s="59">
        <f>($AQ498-$AQ499)*100</f>
        <v/>
      </c>
      <c r="DI498" s="59">
        <f>($AR498-$AR499)*100</f>
        <v/>
      </c>
      <c r="DJ498" s="59">
        <f>($AS498-$AS499)*100</f>
        <v/>
      </c>
      <c r="DK498" s="59">
        <f>($AT498-$AT499)*100</f>
        <v/>
      </c>
      <c r="DL498" s="59">
        <f>($AU498-$AU499)*100</f>
        <v/>
      </c>
      <c r="DM498" s="59">
        <f>($AV498-$AV499)*100</f>
        <v/>
      </c>
      <c r="DN498" s="59">
        <f>($AW498-$AW499)*100</f>
        <v/>
      </c>
      <c r="DO498" s="59">
        <f>($AX498-$AX499)*100</f>
        <v/>
      </c>
      <c r="DP498" s="59">
        <f>($AY498-$AY499)*100</f>
        <v/>
      </c>
      <c r="DQ498" s="59">
        <f>($AZ498-$AZ499)*100</f>
        <v/>
      </c>
      <c r="DR498" s="59">
        <f>($BA498-$BA499)*100</f>
        <v/>
      </c>
      <c r="DS498" s="58">
        <f>IFERROR($N499/$N498-1,"")</f>
        <v/>
      </c>
      <c r="DT498" s="58">
        <f>IFERROR($O499/$O498-1,"")</f>
        <v/>
      </c>
      <c r="DU498" s="58">
        <f>IFERROR($P499/$P498-1,"")</f>
        <v/>
      </c>
      <c r="DV498" s="58">
        <f>IFERROR($Q499/$Q498-1,"")</f>
        <v/>
      </c>
      <c r="DW498" s="58">
        <f>IFERROR($R499/$R498-1,"")</f>
        <v/>
      </c>
      <c r="DX498" s="58">
        <f>IFERROR($S499/$S498-1,"")</f>
        <v/>
      </c>
      <c r="DY498" s="58">
        <f>IFERROR($T499/$T498-1,"")</f>
        <v/>
      </c>
      <c r="DZ498" s="58">
        <f>IFERROR($U499/$U498-1,"")</f>
        <v/>
      </c>
      <c r="EA498" s="58">
        <f>IFERROR($V499/$V498-1,"")</f>
        <v/>
      </c>
      <c r="EB498" s="58">
        <f>IFERROR($W499/$W498-1,"")</f>
        <v/>
      </c>
      <c r="EC498" s="58">
        <f>IFERROR($X499/$X498-1,"")</f>
        <v/>
      </c>
      <c r="ED498" s="58">
        <f>IFERROR($Y499/$Y498-1,"")</f>
        <v/>
      </c>
      <c r="EE498" s="58">
        <f>IFERROR($Z499/$Z498-1,"")</f>
        <v/>
      </c>
      <c r="EF498" s="58">
        <f>IFERROR($AA499/$AA498-1,"")</f>
        <v/>
      </c>
      <c r="EG498" s="58">
        <f>IFERROR($AB499/$AB498-1,"")</f>
        <v/>
      </c>
      <c r="EH498" s="58">
        <f>IFERROR($AC499/$AC498-1,"")</f>
        <v/>
      </c>
      <c r="EI498" s="58">
        <f>IFERROR($AD499/$AD498-1,"")</f>
        <v/>
      </c>
      <c r="EJ498" s="58">
        <f>IFERROR($AE499/$AE498-1,"")</f>
        <v/>
      </c>
      <c r="EK498" s="58">
        <f>IFERROR($AF499/$AF498-1,"")</f>
        <v/>
      </c>
      <c r="EL498" s="58">
        <f>IFERROR($AG499/$AG498-1,"")</f>
        <v/>
      </c>
      <c r="EM498" s="58">
        <f>IFERROR($BB498/$BB499-1,"")</f>
        <v/>
      </c>
      <c r="EN498" s="58">
        <f>IFERROR($BC498/$BC499-1,"")</f>
        <v/>
      </c>
      <c r="EO498" s="58">
        <f>IFERROR($BD498/$BD499-1,"")</f>
        <v/>
      </c>
      <c r="EP498" s="58">
        <f>IFERROR($BE498/$BE499-1,"")</f>
        <v/>
      </c>
      <c r="EQ498" s="58">
        <f>IFERROR($BF498/$BF499-1,"")</f>
        <v/>
      </c>
      <c r="ER498" s="58">
        <f>IFERROR($BG498/$BG499-1,"")</f>
        <v/>
      </c>
      <c r="ES498" s="58">
        <f>IFERROR($BH498/$BH499-1,"")</f>
        <v/>
      </c>
      <c r="ET498" s="58">
        <f>IFERROR($BI498/$BI499-1,"")</f>
        <v/>
      </c>
      <c r="EU498" s="58">
        <f>IFERROR($BJ498/$BJ499-1,"")</f>
        <v/>
      </c>
      <c r="EV498" s="58">
        <f>IFERROR($BK498/$BK499-1,"")</f>
        <v/>
      </c>
      <c r="EW498" s="58">
        <f>IFERROR($BL498/$BL499-1,"")</f>
        <v/>
      </c>
      <c r="EX498" s="58">
        <f>IFERROR($BM498/$BM499-1,"")</f>
        <v/>
      </c>
      <c r="EY498" s="58">
        <f>IFERROR($BN498/$BN499-1,"")</f>
        <v/>
      </c>
      <c r="EZ498" s="58">
        <f>IFERROR($BO498/$BO499-1,"")</f>
        <v/>
      </c>
      <c r="FA498" s="58">
        <f>IFERROR($BP498/$BP499-1,"")</f>
        <v/>
      </c>
      <c r="FB498" s="58">
        <f>IFERROR($BQ498/$BQ499-1,"")</f>
        <v/>
      </c>
      <c r="FC498" s="58">
        <f>IFERROR($BR498/$BR499-1,"")</f>
        <v/>
      </c>
      <c r="FD498" s="58">
        <f>IFERROR($BS498/$BS499-1,"")</f>
        <v/>
      </c>
      <c r="FE498" s="58">
        <f>IFERROR($BT498/$BT499-1,"")</f>
        <v/>
      </c>
      <c r="FF498" s="58">
        <f>IFERROR($BU498/$BU499-1,"")</f>
        <v/>
      </c>
      <c r="FG498" s="58">
        <f>IFERROR($BV498/$BV499-1,"")</f>
        <v/>
      </c>
      <c r="FH498" s="58">
        <f>IFERROR($BW498/$BW499-1,"")</f>
        <v/>
      </c>
      <c r="FI498" s="58">
        <f>IFERROR($BX498/$BX499-1,"")</f>
        <v/>
      </c>
      <c r="FJ498" s="59">
        <f>$BY498-$BY499</f>
        <v/>
      </c>
      <c r="FK498" s="59">
        <f>$BZ498-$BZ499</f>
        <v/>
      </c>
      <c r="FL498" s="59">
        <f>$CA498-$CA499</f>
        <v/>
      </c>
      <c r="FM498" s="59">
        <f>$CB498-$CB499</f>
        <v/>
      </c>
      <c r="FN498" s="59">
        <f>$CC498-$CC499</f>
        <v/>
      </c>
      <c r="FO498" s="59">
        <f>$CD498-$CD499</f>
        <v/>
      </c>
      <c r="FP498" s="59">
        <f>$CE498-$CE499</f>
        <v/>
      </c>
      <c r="FQ498" s="59">
        <f>$CF498-$CF499</f>
        <v/>
      </c>
      <c r="FR498" s="59">
        <f>$CG498-$CG499</f>
        <v/>
      </c>
      <c r="FS498" s="59">
        <f>$CH498-$CH499</f>
        <v/>
      </c>
      <c r="FT498" s="59">
        <f>$CI498-$CI499</f>
        <v/>
      </c>
      <c r="FU498" s="59">
        <f>$CJ498-$CJ499</f>
        <v/>
      </c>
      <c r="FV498" s="59">
        <f>$CK498-$CK499</f>
        <v/>
      </c>
      <c r="FW498" s="59">
        <f>$CL498-$CL499</f>
        <v/>
      </c>
      <c r="FX498" s="59">
        <f>$CM498-$CM499</f>
        <v/>
      </c>
      <c r="FY498" s="59">
        <f>$CN498-$CN499</f>
        <v/>
      </c>
      <c r="FZ498" s="59">
        <f>$CO498-$CO499</f>
        <v/>
      </c>
      <c r="GA498" s="59">
        <f>$CP498-$CP499</f>
        <v/>
      </c>
      <c r="GB498" s="59">
        <f>$CQ498-$CQ499</f>
        <v/>
      </c>
      <c r="GC498" s="59">
        <f>$CR498-$CR499</f>
        <v/>
      </c>
      <c r="GD498" s="59">
        <f>$CS498-$CS499</f>
        <v/>
      </c>
      <c r="GE498" s="59">
        <f>$CT498-$CT499</f>
        <v/>
      </c>
    </row>
    <row r="499">
      <c r="CU499" s="58">
        <f>IFERROR($B499/$B500-1,"")</f>
        <v/>
      </c>
      <c r="CV499" s="59">
        <f>($F499-$F500)*100</f>
        <v/>
      </c>
      <c r="CW499" s="59">
        <f>($E499-$E500)*100</f>
        <v/>
      </c>
      <c r="CX499" s="58">
        <f>IFERROR($K499/$K500-1,"")</f>
        <v/>
      </c>
      <c r="CY499" s="59">
        <f>($AH499-$AH500)*100</f>
        <v/>
      </c>
      <c r="CZ499" s="59">
        <f>($AI499-$AI500)*100</f>
        <v/>
      </c>
      <c r="DA499" s="59">
        <f>($AJ499-$AJ500)*100</f>
        <v/>
      </c>
      <c r="DB499" s="59">
        <f>($AK499-$AK500)*100</f>
        <v/>
      </c>
      <c r="DC499" s="59">
        <f>($AL499-$AL500)*100</f>
        <v/>
      </c>
      <c r="DD499" s="59">
        <f>($AM499-$AM500)*100</f>
        <v/>
      </c>
      <c r="DE499" s="59">
        <f>($AN499-$AN500)*100</f>
        <v/>
      </c>
      <c r="DF499" s="59">
        <f>($AO499-$AO500)*100</f>
        <v/>
      </c>
      <c r="DG499" s="59">
        <f>($AP499-$AP500)*100</f>
        <v/>
      </c>
      <c r="DH499" s="59">
        <f>($AQ499-$AQ500)*100</f>
        <v/>
      </c>
      <c r="DI499" s="59">
        <f>($AR499-$AR500)*100</f>
        <v/>
      </c>
      <c r="DJ499" s="59">
        <f>($AS499-$AS500)*100</f>
        <v/>
      </c>
      <c r="DK499" s="59">
        <f>($AT499-$AT500)*100</f>
        <v/>
      </c>
      <c r="DL499" s="59">
        <f>($AU499-$AU500)*100</f>
        <v/>
      </c>
      <c r="DM499" s="59">
        <f>($AV499-$AV500)*100</f>
        <v/>
      </c>
      <c r="DN499" s="59">
        <f>($AW499-$AW500)*100</f>
        <v/>
      </c>
      <c r="DO499" s="59">
        <f>($AX499-$AX500)*100</f>
        <v/>
      </c>
      <c r="DP499" s="59">
        <f>($AY499-$AY500)*100</f>
        <v/>
      </c>
      <c r="DQ499" s="59">
        <f>($AZ499-$AZ500)*100</f>
        <v/>
      </c>
      <c r="DR499" s="59">
        <f>($BA499-$BA500)*100</f>
        <v/>
      </c>
      <c r="DS499" s="58">
        <f>IFERROR($N500/$N499-1,"")</f>
        <v/>
      </c>
      <c r="DT499" s="58">
        <f>IFERROR($O500/$O499-1,"")</f>
        <v/>
      </c>
      <c r="DU499" s="58">
        <f>IFERROR($P500/$P499-1,"")</f>
        <v/>
      </c>
      <c r="DV499" s="58">
        <f>IFERROR($Q500/$Q499-1,"")</f>
        <v/>
      </c>
      <c r="DW499" s="58">
        <f>IFERROR($R500/$R499-1,"")</f>
        <v/>
      </c>
      <c r="DX499" s="58">
        <f>IFERROR($S500/$S499-1,"")</f>
        <v/>
      </c>
      <c r="DY499" s="58">
        <f>IFERROR($T500/$T499-1,"")</f>
        <v/>
      </c>
      <c r="DZ499" s="58">
        <f>IFERROR($U500/$U499-1,"")</f>
        <v/>
      </c>
      <c r="EA499" s="58">
        <f>IFERROR($V500/$V499-1,"")</f>
        <v/>
      </c>
      <c r="EB499" s="58">
        <f>IFERROR($W500/$W499-1,"")</f>
        <v/>
      </c>
      <c r="EC499" s="58">
        <f>IFERROR($X500/$X499-1,"")</f>
        <v/>
      </c>
      <c r="ED499" s="58">
        <f>IFERROR($Y500/$Y499-1,"")</f>
        <v/>
      </c>
      <c r="EE499" s="58">
        <f>IFERROR($Z500/$Z499-1,"")</f>
        <v/>
      </c>
      <c r="EF499" s="58">
        <f>IFERROR($AA500/$AA499-1,"")</f>
        <v/>
      </c>
      <c r="EG499" s="58">
        <f>IFERROR($AB500/$AB499-1,"")</f>
        <v/>
      </c>
      <c r="EH499" s="58">
        <f>IFERROR($AC500/$AC499-1,"")</f>
        <v/>
      </c>
      <c r="EI499" s="58">
        <f>IFERROR($AD500/$AD499-1,"")</f>
        <v/>
      </c>
      <c r="EJ499" s="58">
        <f>IFERROR($AE500/$AE499-1,"")</f>
        <v/>
      </c>
      <c r="EK499" s="58">
        <f>IFERROR($AF500/$AF499-1,"")</f>
        <v/>
      </c>
      <c r="EL499" s="58">
        <f>IFERROR($AG500/$AG499-1,"")</f>
        <v/>
      </c>
      <c r="EM499" s="58">
        <f>IFERROR($BB499/$BB500-1,"")</f>
        <v/>
      </c>
      <c r="EN499" s="58">
        <f>IFERROR($BC499/$BC500-1,"")</f>
        <v/>
      </c>
      <c r="EO499" s="58">
        <f>IFERROR($BD499/$BD500-1,"")</f>
        <v/>
      </c>
      <c r="EP499" s="58">
        <f>IFERROR($BE499/$BE500-1,"")</f>
        <v/>
      </c>
      <c r="EQ499" s="58">
        <f>IFERROR($BF499/$BF500-1,"")</f>
        <v/>
      </c>
      <c r="ER499" s="58">
        <f>IFERROR($BG499/$BG500-1,"")</f>
        <v/>
      </c>
      <c r="ES499" s="58">
        <f>IFERROR($BH499/$BH500-1,"")</f>
        <v/>
      </c>
      <c r="ET499" s="58">
        <f>IFERROR($BI499/$BI500-1,"")</f>
        <v/>
      </c>
      <c r="EU499" s="58">
        <f>IFERROR($BJ499/$BJ500-1,"")</f>
        <v/>
      </c>
      <c r="EV499" s="58">
        <f>IFERROR($BK499/$BK500-1,"")</f>
        <v/>
      </c>
      <c r="EW499" s="58">
        <f>IFERROR($BL499/$BL500-1,"")</f>
        <v/>
      </c>
      <c r="EX499" s="58">
        <f>IFERROR($BM499/$BM500-1,"")</f>
        <v/>
      </c>
      <c r="EY499" s="58">
        <f>IFERROR($BN499/$BN500-1,"")</f>
        <v/>
      </c>
      <c r="EZ499" s="58">
        <f>IFERROR($BO499/$BO500-1,"")</f>
        <v/>
      </c>
      <c r="FA499" s="58">
        <f>IFERROR($BP499/$BP500-1,"")</f>
        <v/>
      </c>
      <c r="FB499" s="58">
        <f>IFERROR($BQ499/$BQ500-1,"")</f>
        <v/>
      </c>
      <c r="FC499" s="58">
        <f>IFERROR($BR499/$BR500-1,"")</f>
        <v/>
      </c>
      <c r="FD499" s="58">
        <f>IFERROR($BS499/$BS500-1,"")</f>
        <v/>
      </c>
      <c r="FE499" s="58">
        <f>IFERROR($BT499/$BT500-1,"")</f>
        <v/>
      </c>
      <c r="FF499" s="58">
        <f>IFERROR($BU499/$BU500-1,"")</f>
        <v/>
      </c>
      <c r="FG499" s="58">
        <f>IFERROR($BV499/$BV500-1,"")</f>
        <v/>
      </c>
      <c r="FH499" s="58">
        <f>IFERROR($BW499/$BW500-1,"")</f>
        <v/>
      </c>
      <c r="FI499" s="58">
        <f>IFERROR($BX499/$BX500-1,"")</f>
        <v/>
      </c>
      <c r="FJ499" s="59">
        <f>$BY499-$BY500</f>
        <v/>
      </c>
      <c r="FK499" s="59">
        <f>$BZ499-$BZ500</f>
        <v/>
      </c>
      <c r="FL499" s="59">
        <f>$CA499-$CA500</f>
        <v/>
      </c>
      <c r="FM499" s="59">
        <f>$CB499-$CB500</f>
        <v/>
      </c>
      <c r="FN499" s="59">
        <f>$CC499-$CC500</f>
        <v/>
      </c>
      <c r="FO499" s="59">
        <f>$CD499-$CD500</f>
        <v/>
      </c>
      <c r="FP499" s="59">
        <f>$CE499-$CE500</f>
        <v/>
      </c>
      <c r="FQ499" s="59">
        <f>$CF499-$CF500</f>
        <v/>
      </c>
      <c r="FR499" s="59">
        <f>$CG499-$CG500</f>
        <v/>
      </c>
      <c r="FS499" s="59">
        <f>$CH499-$CH500</f>
        <v/>
      </c>
      <c r="FT499" s="59">
        <f>$CI499-$CI500</f>
        <v/>
      </c>
      <c r="FU499" s="59">
        <f>$CJ499-$CJ500</f>
        <v/>
      </c>
      <c r="FV499" s="59">
        <f>$CK499-$CK500</f>
        <v/>
      </c>
      <c r="FW499" s="59">
        <f>$CL499-$CL500</f>
        <v/>
      </c>
      <c r="FX499" s="59">
        <f>$CM499-$CM500</f>
        <v/>
      </c>
      <c r="FY499" s="59">
        <f>$CN499-$CN500</f>
        <v/>
      </c>
      <c r="FZ499" s="59">
        <f>$CO499-$CO500</f>
        <v/>
      </c>
      <c r="GA499" s="59">
        <f>$CP499-$CP500</f>
        <v/>
      </c>
      <c r="GB499" s="59">
        <f>$CQ499-$CQ500</f>
        <v/>
      </c>
      <c r="GC499" s="59">
        <f>$CR499-$CR500</f>
        <v/>
      </c>
      <c r="GD499" s="59">
        <f>$CS499-$CS500</f>
        <v/>
      </c>
      <c r="GE499" s="59">
        <f>$CT499-$CT500</f>
        <v/>
      </c>
    </row>
    <row r="500">
      <c r="CU500" s="58">
        <f>IFERROR($B500/$B501-1,"")</f>
        <v/>
      </c>
      <c r="CV500" s="59">
        <f>($F500-$F501)*100</f>
        <v/>
      </c>
      <c r="CW500" s="59">
        <f>($E500-$E501)*100</f>
        <v/>
      </c>
      <c r="CX500" s="58">
        <f>IFERROR($K500/$K501-1,"")</f>
        <v/>
      </c>
      <c r="CY500" s="59">
        <f>($AH500-$AH501)*100</f>
        <v/>
      </c>
      <c r="CZ500" s="59">
        <f>($AI500-$AI501)*100</f>
        <v/>
      </c>
      <c r="DA500" s="59">
        <f>($AJ500-$AJ501)*100</f>
        <v/>
      </c>
      <c r="DB500" s="59">
        <f>($AK500-$AK501)*100</f>
        <v/>
      </c>
      <c r="DC500" s="59">
        <f>($AL500-$AL501)*100</f>
        <v/>
      </c>
      <c r="DD500" s="59">
        <f>($AM500-$AM501)*100</f>
        <v/>
      </c>
      <c r="DE500" s="59">
        <f>($AN500-$AN501)*100</f>
        <v/>
      </c>
      <c r="DF500" s="59">
        <f>($AO500-$AO501)*100</f>
        <v/>
      </c>
      <c r="DG500" s="59">
        <f>($AP500-$AP501)*100</f>
        <v/>
      </c>
      <c r="DH500" s="59">
        <f>($AQ500-$AQ501)*100</f>
        <v/>
      </c>
      <c r="DI500" s="59">
        <f>($AR500-$AR501)*100</f>
        <v/>
      </c>
      <c r="DJ500" s="59">
        <f>($AS500-$AS501)*100</f>
        <v/>
      </c>
      <c r="DK500" s="59">
        <f>($AT500-$AT501)*100</f>
        <v/>
      </c>
      <c r="DL500" s="59">
        <f>($AU500-$AU501)*100</f>
        <v/>
      </c>
      <c r="DM500" s="59">
        <f>($AV500-$AV501)*100</f>
        <v/>
      </c>
      <c r="DN500" s="59">
        <f>($AW500-$AW501)*100</f>
        <v/>
      </c>
      <c r="DO500" s="59">
        <f>($AX500-$AX501)*100</f>
        <v/>
      </c>
      <c r="DP500" s="59">
        <f>($AY500-$AY501)*100</f>
        <v/>
      </c>
      <c r="DQ500" s="59">
        <f>($AZ500-$AZ501)*100</f>
        <v/>
      </c>
      <c r="DR500" s="59">
        <f>($BA500-$BA501)*100</f>
        <v/>
      </c>
      <c r="DS500" s="58">
        <f>IFERROR($N501/$N500-1,"")</f>
        <v/>
      </c>
      <c r="DT500" s="58">
        <f>IFERROR($O501/$O500-1,"")</f>
        <v/>
      </c>
      <c r="DU500" s="58">
        <f>IFERROR($P501/$P500-1,"")</f>
        <v/>
      </c>
      <c r="DV500" s="58">
        <f>IFERROR($Q501/$Q500-1,"")</f>
        <v/>
      </c>
      <c r="DW500" s="58">
        <f>IFERROR($R501/$R500-1,"")</f>
        <v/>
      </c>
      <c r="DX500" s="58">
        <f>IFERROR($S501/$S500-1,"")</f>
        <v/>
      </c>
      <c r="DY500" s="58">
        <f>IFERROR($T501/$T500-1,"")</f>
        <v/>
      </c>
      <c r="DZ500" s="58">
        <f>IFERROR($U501/$U500-1,"")</f>
        <v/>
      </c>
      <c r="EA500" s="58">
        <f>IFERROR($V501/$V500-1,"")</f>
        <v/>
      </c>
      <c r="EB500" s="58">
        <f>IFERROR($W501/$W500-1,"")</f>
        <v/>
      </c>
      <c r="EC500" s="58">
        <f>IFERROR($X501/$X500-1,"")</f>
        <v/>
      </c>
      <c r="ED500" s="58">
        <f>IFERROR($Y501/$Y500-1,"")</f>
        <v/>
      </c>
      <c r="EE500" s="58">
        <f>IFERROR($Z501/$Z500-1,"")</f>
        <v/>
      </c>
      <c r="EF500" s="58">
        <f>IFERROR($AA501/$AA500-1,"")</f>
        <v/>
      </c>
      <c r="EG500" s="58">
        <f>IFERROR($AB501/$AB500-1,"")</f>
        <v/>
      </c>
      <c r="EH500" s="58">
        <f>IFERROR($AC501/$AC500-1,"")</f>
        <v/>
      </c>
      <c r="EI500" s="58">
        <f>IFERROR($AD501/$AD500-1,"")</f>
        <v/>
      </c>
      <c r="EJ500" s="58">
        <f>IFERROR($AE501/$AE500-1,"")</f>
        <v/>
      </c>
      <c r="EK500" s="58">
        <f>IFERROR($AF501/$AF500-1,"")</f>
        <v/>
      </c>
      <c r="EL500" s="58">
        <f>IFERROR($AG501/$AG500-1,"")</f>
        <v/>
      </c>
      <c r="EM500" s="58">
        <f>IFERROR($BB500/$BB501-1,"")</f>
        <v/>
      </c>
      <c r="EN500" s="58">
        <f>IFERROR($BC500/$BC501-1,"")</f>
        <v/>
      </c>
      <c r="EO500" s="58">
        <f>IFERROR($BD500/$BD501-1,"")</f>
        <v/>
      </c>
      <c r="EP500" s="58">
        <f>IFERROR($BE500/$BE501-1,"")</f>
        <v/>
      </c>
      <c r="EQ500" s="58">
        <f>IFERROR($BF500/$BF501-1,"")</f>
        <v/>
      </c>
      <c r="ER500" s="58">
        <f>IFERROR($BG500/$BG501-1,"")</f>
        <v/>
      </c>
      <c r="ES500" s="58">
        <f>IFERROR($BH500/$BH501-1,"")</f>
        <v/>
      </c>
      <c r="ET500" s="58">
        <f>IFERROR($BI500/$BI501-1,"")</f>
        <v/>
      </c>
      <c r="EU500" s="58">
        <f>IFERROR($BJ500/$BJ501-1,"")</f>
        <v/>
      </c>
      <c r="EV500" s="58">
        <f>IFERROR($BK500/$BK501-1,"")</f>
        <v/>
      </c>
      <c r="EW500" s="58">
        <f>IFERROR($BL500/$BL501-1,"")</f>
        <v/>
      </c>
      <c r="EX500" s="58">
        <f>IFERROR($BM500/$BM501-1,"")</f>
        <v/>
      </c>
      <c r="EY500" s="58">
        <f>IFERROR($BN500/$BN501-1,"")</f>
        <v/>
      </c>
      <c r="EZ500" s="58">
        <f>IFERROR($BO500/$BO501-1,"")</f>
        <v/>
      </c>
      <c r="FA500" s="58">
        <f>IFERROR($BP500/$BP501-1,"")</f>
        <v/>
      </c>
      <c r="FB500" s="58">
        <f>IFERROR($BQ500/$BQ501-1,"")</f>
        <v/>
      </c>
      <c r="FC500" s="58">
        <f>IFERROR($BR500/$BR501-1,"")</f>
        <v/>
      </c>
      <c r="FD500" s="58">
        <f>IFERROR($BS500/$BS501-1,"")</f>
        <v/>
      </c>
      <c r="FE500" s="58">
        <f>IFERROR($BT500/$BT501-1,"")</f>
        <v/>
      </c>
      <c r="FF500" s="58">
        <f>IFERROR($BU500/$BU501-1,"")</f>
        <v/>
      </c>
      <c r="FG500" s="58">
        <f>IFERROR($BV500/$BV501-1,"")</f>
        <v/>
      </c>
      <c r="FH500" s="58">
        <f>IFERROR($BW500/$BW501-1,"")</f>
        <v/>
      </c>
      <c r="FI500" s="58">
        <f>IFERROR($BX500/$BX501-1,"")</f>
        <v/>
      </c>
      <c r="FJ500" s="59">
        <f>$BY500-$BY501</f>
        <v/>
      </c>
      <c r="FK500" s="59">
        <f>$BZ500-$BZ501</f>
        <v/>
      </c>
      <c r="FL500" s="59">
        <f>$CA500-$CA501</f>
        <v/>
      </c>
      <c r="FM500" s="59">
        <f>$CB500-$CB501</f>
        <v/>
      </c>
      <c r="FN500" s="59">
        <f>$CC500-$CC501</f>
        <v/>
      </c>
      <c r="FO500" s="59">
        <f>$CD500-$CD501</f>
        <v/>
      </c>
      <c r="FP500" s="59">
        <f>$CE500-$CE501</f>
        <v/>
      </c>
      <c r="FQ500" s="59">
        <f>$CF500-$CF501</f>
        <v/>
      </c>
      <c r="FR500" s="59">
        <f>$CG500-$CG501</f>
        <v/>
      </c>
      <c r="FS500" s="59">
        <f>$CH500-$CH501</f>
        <v/>
      </c>
      <c r="FT500" s="59">
        <f>$CI500-$CI501</f>
        <v/>
      </c>
      <c r="FU500" s="59">
        <f>$CJ500-$CJ501</f>
        <v/>
      </c>
      <c r="FV500" s="59">
        <f>$CK500-$CK501</f>
        <v/>
      </c>
      <c r="FW500" s="59">
        <f>$CL500-$CL501</f>
        <v/>
      </c>
      <c r="FX500" s="59">
        <f>$CM500-$CM501</f>
        <v/>
      </c>
      <c r="FY500" s="59">
        <f>$CN500-$CN501</f>
        <v/>
      </c>
      <c r="FZ500" s="59">
        <f>$CO500-$CO501</f>
        <v/>
      </c>
      <c r="GA500" s="59">
        <f>$CP500-$CP501</f>
        <v/>
      </c>
      <c r="GB500" s="59">
        <f>$CQ500-$CQ501</f>
        <v/>
      </c>
      <c r="GC500" s="59">
        <f>$CR500-$CR501</f>
        <v/>
      </c>
      <c r="GD500" s="59">
        <f>$CS500-$CS501</f>
        <v/>
      </c>
      <c r="GE500" s="59">
        <f>$CT500-$CT501</f>
        <v/>
      </c>
    </row>
    <row r="501">
      <c r="CU501" s="58">
        <f>IFERROR($B501/$B502-1,"")</f>
        <v/>
      </c>
      <c r="CV501" s="59">
        <f>($F501-$F502)*100</f>
        <v/>
      </c>
      <c r="CW501" s="59">
        <f>($E501-$E502)*100</f>
        <v/>
      </c>
      <c r="CX501" s="58">
        <f>IFERROR($K501/$K502-1,"")</f>
        <v/>
      </c>
      <c r="CY501" s="59">
        <f>($AH501-$AH502)*100</f>
        <v/>
      </c>
      <c r="CZ501" s="59">
        <f>($AI501-$AI502)*100</f>
        <v/>
      </c>
      <c r="DA501" s="59">
        <f>($AJ501-$AJ502)*100</f>
        <v/>
      </c>
      <c r="DB501" s="59">
        <f>($AK501-$AK502)*100</f>
        <v/>
      </c>
      <c r="DC501" s="59">
        <f>($AL501-$AL502)*100</f>
        <v/>
      </c>
      <c r="DD501" s="59">
        <f>($AM501-$AM502)*100</f>
        <v/>
      </c>
      <c r="DE501" s="59">
        <f>($AN501-$AN502)*100</f>
        <v/>
      </c>
      <c r="DF501" s="59">
        <f>($AO501-$AO502)*100</f>
        <v/>
      </c>
      <c r="DG501" s="59">
        <f>($AP501-$AP502)*100</f>
        <v/>
      </c>
      <c r="DH501" s="59">
        <f>($AQ501-$AQ502)*100</f>
        <v/>
      </c>
      <c r="DI501" s="59">
        <f>($AR501-$AR502)*100</f>
        <v/>
      </c>
      <c r="DJ501" s="59">
        <f>($AS501-$AS502)*100</f>
        <v/>
      </c>
      <c r="DK501" s="59">
        <f>($AT501-$AT502)*100</f>
        <v/>
      </c>
      <c r="DL501" s="59">
        <f>($AU501-$AU502)*100</f>
        <v/>
      </c>
      <c r="DM501" s="59">
        <f>($AV501-$AV502)*100</f>
        <v/>
      </c>
      <c r="DN501" s="59">
        <f>($AW501-$AW502)*100</f>
        <v/>
      </c>
      <c r="DO501" s="59">
        <f>($AX501-$AX502)*100</f>
        <v/>
      </c>
      <c r="DP501" s="59">
        <f>($AY501-$AY502)*100</f>
        <v/>
      </c>
      <c r="DQ501" s="59">
        <f>($AZ501-$AZ502)*100</f>
        <v/>
      </c>
      <c r="DR501" s="59">
        <f>($BA501-$BA502)*100</f>
        <v/>
      </c>
      <c r="DS501" s="58">
        <f>IFERROR($N502/$N501-1,"")</f>
        <v/>
      </c>
      <c r="DT501" s="58">
        <f>IFERROR($O502/$O501-1,"")</f>
        <v/>
      </c>
      <c r="DU501" s="58">
        <f>IFERROR($P502/$P501-1,"")</f>
        <v/>
      </c>
      <c r="DV501" s="58">
        <f>IFERROR($Q502/$Q501-1,"")</f>
        <v/>
      </c>
      <c r="DW501" s="58">
        <f>IFERROR($R502/$R501-1,"")</f>
        <v/>
      </c>
      <c r="DX501" s="58">
        <f>IFERROR($S502/$S501-1,"")</f>
        <v/>
      </c>
      <c r="DY501" s="58">
        <f>IFERROR($T502/$T501-1,"")</f>
        <v/>
      </c>
      <c r="DZ501" s="58">
        <f>IFERROR($U502/$U501-1,"")</f>
        <v/>
      </c>
      <c r="EA501" s="58">
        <f>IFERROR($V502/$V501-1,"")</f>
        <v/>
      </c>
      <c r="EB501" s="58">
        <f>IFERROR($W502/$W501-1,"")</f>
        <v/>
      </c>
      <c r="EC501" s="58">
        <f>IFERROR($X502/$X501-1,"")</f>
        <v/>
      </c>
      <c r="ED501" s="58">
        <f>IFERROR($Y502/$Y501-1,"")</f>
        <v/>
      </c>
      <c r="EE501" s="58">
        <f>IFERROR($Z502/$Z501-1,"")</f>
        <v/>
      </c>
      <c r="EF501" s="58">
        <f>IFERROR($AA502/$AA501-1,"")</f>
        <v/>
      </c>
      <c r="EG501" s="58">
        <f>IFERROR($AB502/$AB501-1,"")</f>
        <v/>
      </c>
      <c r="EH501" s="58">
        <f>IFERROR($AC502/$AC501-1,"")</f>
        <v/>
      </c>
      <c r="EI501" s="58">
        <f>IFERROR($AD502/$AD501-1,"")</f>
        <v/>
      </c>
      <c r="EJ501" s="58">
        <f>IFERROR($AE502/$AE501-1,"")</f>
        <v/>
      </c>
      <c r="EK501" s="58">
        <f>IFERROR($AF502/$AF501-1,"")</f>
        <v/>
      </c>
      <c r="EL501" s="58">
        <f>IFERROR($AG502/$AG501-1,"")</f>
        <v/>
      </c>
      <c r="EM501" s="58">
        <f>IFERROR($BB501/$BB502-1,"")</f>
        <v/>
      </c>
      <c r="EN501" s="58">
        <f>IFERROR($BC501/$BC502-1,"")</f>
        <v/>
      </c>
      <c r="EO501" s="58">
        <f>IFERROR($BD501/$BD502-1,"")</f>
        <v/>
      </c>
      <c r="EP501" s="58">
        <f>IFERROR($BE501/$BE502-1,"")</f>
        <v/>
      </c>
      <c r="EQ501" s="58">
        <f>IFERROR($BF501/$BF502-1,"")</f>
        <v/>
      </c>
      <c r="ER501" s="58">
        <f>IFERROR($BG501/$BG502-1,"")</f>
        <v/>
      </c>
      <c r="ES501" s="58">
        <f>IFERROR($BH501/$BH502-1,"")</f>
        <v/>
      </c>
      <c r="ET501" s="58">
        <f>IFERROR($BI501/$BI502-1,"")</f>
        <v/>
      </c>
      <c r="EU501" s="58">
        <f>IFERROR($BJ501/$BJ502-1,"")</f>
        <v/>
      </c>
      <c r="EV501" s="58">
        <f>IFERROR($BK501/$BK502-1,"")</f>
        <v/>
      </c>
      <c r="EW501" s="58">
        <f>IFERROR($BL501/$BL502-1,"")</f>
        <v/>
      </c>
      <c r="EX501" s="58">
        <f>IFERROR($BM501/$BM502-1,"")</f>
        <v/>
      </c>
      <c r="EY501" s="58">
        <f>IFERROR($BN501/$BN502-1,"")</f>
        <v/>
      </c>
      <c r="EZ501" s="58">
        <f>IFERROR($BO501/$BO502-1,"")</f>
        <v/>
      </c>
      <c r="FA501" s="58">
        <f>IFERROR($BP501/$BP502-1,"")</f>
        <v/>
      </c>
      <c r="FB501" s="58">
        <f>IFERROR($BQ501/$BQ502-1,"")</f>
        <v/>
      </c>
      <c r="FC501" s="58">
        <f>IFERROR($BR501/$BR502-1,"")</f>
        <v/>
      </c>
      <c r="FD501" s="58">
        <f>IFERROR($BS501/$BS502-1,"")</f>
        <v/>
      </c>
      <c r="FE501" s="58">
        <f>IFERROR($BT501/$BT502-1,"")</f>
        <v/>
      </c>
      <c r="FF501" s="58">
        <f>IFERROR($BU501/$BU502-1,"")</f>
        <v/>
      </c>
      <c r="FG501" s="58">
        <f>IFERROR($BV501/$BV502-1,"")</f>
        <v/>
      </c>
      <c r="FH501" s="58">
        <f>IFERROR($BW501/$BW502-1,"")</f>
        <v/>
      </c>
      <c r="FI501" s="58">
        <f>IFERROR($BX501/$BX502-1,"")</f>
        <v/>
      </c>
      <c r="FJ501" s="59">
        <f>$BY501-$BY502</f>
        <v/>
      </c>
      <c r="FK501" s="59">
        <f>$BZ501-$BZ502</f>
        <v/>
      </c>
      <c r="FL501" s="59">
        <f>$CA501-$CA502</f>
        <v/>
      </c>
      <c r="FM501" s="59">
        <f>$CB501-$CB502</f>
        <v/>
      </c>
      <c r="FN501" s="59">
        <f>$CC501-$CC502</f>
        <v/>
      </c>
      <c r="FO501" s="59">
        <f>$CD501-$CD502</f>
        <v/>
      </c>
      <c r="FP501" s="59">
        <f>$CE501-$CE502</f>
        <v/>
      </c>
      <c r="FQ501" s="59">
        <f>$CF501-$CF502</f>
        <v/>
      </c>
      <c r="FR501" s="59">
        <f>$CG501-$CG502</f>
        <v/>
      </c>
      <c r="FS501" s="59">
        <f>$CH501-$CH502</f>
        <v/>
      </c>
      <c r="FT501" s="59">
        <f>$CI501-$CI502</f>
        <v/>
      </c>
      <c r="FU501" s="59">
        <f>$CJ501-$CJ502</f>
        <v/>
      </c>
      <c r="FV501" s="59">
        <f>$CK501-$CK502</f>
        <v/>
      </c>
      <c r="FW501" s="59">
        <f>$CL501-$CL502</f>
        <v/>
      </c>
      <c r="FX501" s="59">
        <f>$CM501-$CM502</f>
        <v/>
      </c>
      <c r="FY501" s="59">
        <f>$CN501-$CN502</f>
        <v/>
      </c>
      <c r="FZ501" s="59">
        <f>$CO501-$CO502</f>
        <v/>
      </c>
      <c r="GA501" s="59">
        <f>$CP501-$CP502</f>
        <v/>
      </c>
      <c r="GB501" s="59">
        <f>$CQ501-$CQ502</f>
        <v/>
      </c>
      <c r="GC501" s="59">
        <f>$CR501-$CR502</f>
        <v/>
      </c>
      <c r="GD501" s="59">
        <f>$CS501-$CS502</f>
        <v/>
      </c>
      <c r="GE501" s="59">
        <f>$CT501-$CT502</f>
        <v/>
      </c>
    </row>
    <row r="502">
      <c r="CU502" s="58">
        <f>IFERROR($B502/$B503-1,"")</f>
        <v/>
      </c>
      <c r="CV502" s="59">
        <f>($F502-$F503)*100</f>
        <v/>
      </c>
      <c r="CW502" s="59">
        <f>($E502-$E503)*100</f>
        <v/>
      </c>
      <c r="CX502" s="58">
        <f>IFERROR($K502/$K503-1,"")</f>
        <v/>
      </c>
      <c r="CY502" s="59">
        <f>($AH502-$AH503)*100</f>
        <v/>
      </c>
      <c r="CZ502" s="59">
        <f>($AI502-$AI503)*100</f>
        <v/>
      </c>
      <c r="DA502" s="59">
        <f>($AJ502-$AJ503)*100</f>
        <v/>
      </c>
      <c r="DB502" s="59">
        <f>($AK502-$AK503)*100</f>
        <v/>
      </c>
      <c r="DC502" s="59">
        <f>($AL502-$AL503)*100</f>
        <v/>
      </c>
      <c r="DD502" s="59">
        <f>($AM502-$AM503)*100</f>
        <v/>
      </c>
      <c r="DE502" s="59">
        <f>($AN502-$AN503)*100</f>
        <v/>
      </c>
      <c r="DF502" s="59">
        <f>($AO502-$AO503)*100</f>
        <v/>
      </c>
      <c r="DG502" s="59">
        <f>($AP502-$AP503)*100</f>
        <v/>
      </c>
      <c r="DH502" s="59">
        <f>($AQ502-$AQ503)*100</f>
        <v/>
      </c>
      <c r="DI502" s="59">
        <f>($AR502-$AR503)*100</f>
        <v/>
      </c>
      <c r="DJ502" s="59">
        <f>($AS502-$AS503)*100</f>
        <v/>
      </c>
      <c r="DK502" s="59">
        <f>($AT502-$AT503)*100</f>
        <v/>
      </c>
      <c r="DL502" s="59">
        <f>($AU502-$AU503)*100</f>
        <v/>
      </c>
      <c r="DM502" s="59">
        <f>($AV502-$AV503)*100</f>
        <v/>
      </c>
      <c r="DN502" s="59">
        <f>($AW502-$AW503)*100</f>
        <v/>
      </c>
      <c r="DO502" s="59">
        <f>($AX502-$AX503)*100</f>
        <v/>
      </c>
      <c r="DP502" s="59">
        <f>($AY502-$AY503)*100</f>
        <v/>
      </c>
      <c r="DQ502" s="59">
        <f>($AZ502-$AZ503)*100</f>
        <v/>
      </c>
      <c r="DR502" s="59">
        <f>($BA502-$BA503)*100</f>
        <v/>
      </c>
      <c r="DS502" s="58">
        <f>IFERROR($N503/$N502-1,"")</f>
        <v/>
      </c>
      <c r="DT502" s="58">
        <f>IFERROR($O503/$O502-1,"")</f>
        <v/>
      </c>
      <c r="DU502" s="58">
        <f>IFERROR($P503/$P502-1,"")</f>
        <v/>
      </c>
      <c r="DV502" s="58">
        <f>IFERROR($Q503/$Q502-1,"")</f>
        <v/>
      </c>
      <c r="DW502" s="58">
        <f>IFERROR($R503/$R502-1,"")</f>
        <v/>
      </c>
      <c r="DX502" s="58">
        <f>IFERROR($S503/$S502-1,"")</f>
        <v/>
      </c>
      <c r="DY502" s="58">
        <f>IFERROR($T503/$T502-1,"")</f>
        <v/>
      </c>
      <c r="DZ502" s="58">
        <f>IFERROR($U503/$U502-1,"")</f>
        <v/>
      </c>
      <c r="EA502" s="58">
        <f>IFERROR($V503/$V502-1,"")</f>
        <v/>
      </c>
      <c r="EB502" s="58">
        <f>IFERROR($W503/$W502-1,"")</f>
        <v/>
      </c>
      <c r="EC502" s="58">
        <f>IFERROR($X503/$X502-1,"")</f>
        <v/>
      </c>
      <c r="ED502" s="58">
        <f>IFERROR($Y503/$Y502-1,"")</f>
        <v/>
      </c>
      <c r="EE502" s="58">
        <f>IFERROR($Z503/$Z502-1,"")</f>
        <v/>
      </c>
      <c r="EF502" s="58">
        <f>IFERROR($AA503/$AA502-1,"")</f>
        <v/>
      </c>
      <c r="EG502" s="58">
        <f>IFERROR($AB503/$AB502-1,"")</f>
        <v/>
      </c>
      <c r="EH502" s="58">
        <f>IFERROR($AC503/$AC502-1,"")</f>
        <v/>
      </c>
      <c r="EI502" s="58">
        <f>IFERROR($AD503/$AD502-1,"")</f>
        <v/>
      </c>
      <c r="EJ502" s="58">
        <f>IFERROR($AE503/$AE502-1,"")</f>
        <v/>
      </c>
      <c r="EK502" s="58">
        <f>IFERROR($AF503/$AF502-1,"")</f>
        <v/>
      </c>
      <c r="EL502" s="58">
        <f>IFERROR($AG503/$AG502-1,"")</f>
        <v/>
      </c>
      <c r="EM502" s="58">
        <f>IFERROR($BB502/$BB503-1,"")</f>
        <v/>
      </c>
      <c r="EN502" s="58">
        <f>IFERROR($BC502/$BC503-1,"")</f>
        <v/>
      </c>
      <c r="EO502" s="58">
        <f>IFERROR($BD502/$BD503-1,"")</f>
        <v/>
      </c>
      <c r="EP502" s="58">
        <f>IFERROR($BE502/$BE503-1,"")</f>
        <v/>
      </c>
      <c r="EQ502" s="58">
        <f>IFERROR($BF502/$BF503-1,"")</f>
        <v/>
      </c>
      <c r="ER502" s="58">
        <f>IFERROR($BG502/$BG503-1,"")</f>
        <v/>
      </c>
      <c r="ES502" s="58">
        <f>IFERROR($BH502/$BH503-1,"")</f>
        <v/>
      </c>
      <c r="ET502" s="58">
        <f>IFERROR($BI502/$BI503-1,"")</f>
        <v/>
      </c>
      <c r="EU502" s="58">
        <f>IFERROR($BJ502/$BJ503-1,"")</f>
        <v/>
      </c>
      <c r="EV502" s="58">
        <f>IFERROR($BK502/$BK503-1,"")</f>
        <v/>
      </c>
      <c r="EW502" s="58">
        <f>IFERROR($BL502/$BL503-1,"")</f>
        <v/>
      </c>
      <c r="EX502" s="58">
        <f>IFERROR($BM502/$BM503-1,"")</f>
        <v/>
      </c>
      <c r="EY502" s="58">
        <f>IFERROR($BN502/$BN503-1,"")</f>
        <v/>
      </c>
      <c r="EZ502" s="58">
        <f>IFERROR($BO502/$BO503-1,"")</f>
        <v/>
      </c>
      <c r="FA502" s="58">
        <f>IFERROR($BP502/$BP503-1,"")</f>
        <v/>
      </c>
      <c r="FB502" s="58">
        <f>IFERROR($BQ502/$BQ503-1,"")</f>
        <v/>
      </c>
      <c r="FC502" s="58">
        <f>IFERROR($BR502/$BR503-1,"")</f>
        <v/>
      </c>
      <c r="FD502" s="58">
        <f>IFERROR($BS502/$BS503-1,"")</f>
        <v/>
      </c>
      <c r="FE502" s="58">
        <f>IFERROR($BT502/$BT503-1,"")</f>
        <v/>
      </c>
      <c r="FF502" s="58">
        <f>IFERROR($BU502/$BU503-1,"")</f>
        <v/>
      </c>
      <c r="FG502" s="58">
        <f>IFERROR($BV502/$BV503-1,"")</f>
        <v/>
      </c>
      <c r="FH502" s="58">
        <f>IFERROR($BW502/$BW503-1,"")</f>
        <v/>
      </c>
      <c r="FI502" s="58">
        <f>IFERROR($BX502/$BX503-1,"")</f>
        <v/>
      </c>
      <c r="FJ502" s="59">
        <f>$BY502-$BY503</f>
        <v/>
      </c>
      <c r="FK502" s="59">
        <f>$BZ502-$BZ503</f>
        <v/>
      </c>
      <c r="FL502" s="59">
        <f>$CA502-$CA503</f>
        <v/>
      </c>
      <c r="FM502" s="59">
        <f>$CB502-$CB503</f>
        <v/>
      </c>
      <c r="FN502" s="59">
        <f>$CC502-$CC503</f>
        <v/>
      </c>
      <c r="FO502" s="59">
        <f>$CD502-$CD503</f>
        <v/>
      </c>
      <c r="FP502" s="59">
        <f>$CE502-$CE503</f>
        <v/>
      </c>
      <c r="FQ502" s="59">
        <f>$CF502-$CF503</f>
        <v/>
      </c>
      <c r="FR502" s="59">
        <f>$CG502-$CG503</f>
        <v/>
      </c>
      <c r="FS502" s="59">
        <f>$CH502-$CH503</f>
        <v/>
      </c>
      <c r="FT502" s="59">
        <f>$CI502-$CI503</f>
        <v/>
      </c>
      <c r="FU502" s="59">
        <f>$CJ502-$CJ503</f>
        <v/>
      </c>
      <c r="FV502" s="59">
        <f>$CK502-$CK503</f>
        <v/>
      </c>
      <c r="FW502" s="59">
        <f>$CL502-$CL503</f>
        <v/>
      </c>
      <c r="FX502" s="59">
        <f>$CM502-$CM503</f>
        <v/>
      </c>
      <c r="FY502" s="59">
        <f>$CN502-$CN503</f>
        <v/>
      </c>
      <c r="FZ502" s="59">
        <f>$CO502-$CO503</f>
        <v/>
      </c>
      <c r="GA502" s="59">
        <f>$CP502-$CP503</f>
        <v/>
      </c>
      <c r="GB502" s="59">
        <f>$CQ502-$CQ503</f>
        <v/>
      </c>
      <c r="GC502" s="59">
        <f>$CR502-$CR503</f>
        <v/>
      </c>
      <c r="GD502" s="59">
        <f>$CS502-$CS503</f>
        <v/>
      </c>
      <c r="GE502" s="59">
        <f>$CT502-$CT503</f>
        <v/>
      </c>
    </row>
    <row r="503">
      <c r="CU503" s="58">
        <f>IFERROR($B503/$B504-1,"")</f>
        <v/>
      </c>
      <c r="CV503" s="59">
        <f>($F503-$F504)*100</f>
        <v/>
      </c>
      <c r="CW503" s="59">
        <f>($E503-$E504)*100</f>
        <v/>
      </c>
      <c r="CX503" s="58">
        <f>IFERROR($K503/$K504-1,"")</f>
        <v/>
      </c>
      <c r="CY503" s="59">
        <f>($AH503-$AH504)*100</f>
        <v/>
      </c>
      <c r="CZ503" s="59">
        <f>($AI503-$AI504)*100</f>
        <v/>
      </c>
      <c r="DA503" s="59">
        <f>($AJ503-$AJ504)*100</f>
        <v/>
      </c>
      <c r="DB503" s="59">
        <f>($AK503-$AK504)*100</f>
        <v/>
      </c>
      <c r="DC503" s="59">
        <f>($AL503-$AL504)*100</f>
        <v/>
      </c>
      <c r="DD503" s="59">
        <f>($AM503-$AM504)*100</f>
        <v/>
      </c>
      <c r="DE503" s="59">
        <f>($AN503-$AN504)*100</f>
        <v/>
      </c>
      <c r="DF503" s="59">
        <f>($AO503-$AO504)*100</f>
        <v/>
      </c>
      <c r="DG503" s="59">
        <f>($AP503-$AP504)*100</f>
        <v/>
      </c>
      <c r="DH503" s="59">
        <f>($AQ503-$AQ504)*100</f>
        <v/>
      </c>
      <c r="DI503" s="59">
        <f>($AR503-$AR504)*100</f>
        <v/>
      </c>
      <c r="DJ503" s="59">
        <f>($AS503-$AS504)*100</f>
        <v/>
      </c>
      <c r="DK503" s="59">
        <f>($AT503-$AT504)*100</f>
        <v/>
      </c>
      <c r="DL503" s="59">
        <f>($AU503-$AU504)*100</f>
        <v/>
      </c>
      <c r="DM503" s="59">
        <f>($AV503-$AV504)*100</f>
        <v/>
      </c>
      <c r="DN503" s="59">
        <f>($AW503-$AW504)*100</f>
        <v/>
      </c>
      <c r="DO503" s="59">
        <f>($AX503-$AX504)*100</f>
        <v/>
      </c>
      <c r="DP503" s="59">
        <f>($AY503-$AY504)*100</f>
        <v/>
      </c>
      <c r="DQ503" s="59">
        <f>($AZ503-$AZ504)*100</f>
        <v/>
      </c>
      <c r="DR503" s="59">
        <f>($BA503-$BA504)*100</f>
        <v/>
      </c>
      <c r="DS503" s="58">
        <f>IFERROR($N504/$N503-1,"")</f>
        <v/>
      </c>
      <c r="DT503" s="58">
        <f>IFERROR($O504/$O503-1,"")</f>
        <v/>
      </c>
      <c r="DU503" s="58">
        <f>IFERROR($P504/$P503-1,"")</f>
        <v/>
      </c>
      <c r="DV503" s="58">
        <f>IFERROR($Q504/$Q503-1,"")</f>
        <v/>
      </c>
      <c r="DW503" s="58">
        <f>IFERROR($R504/$R503-1,"")</f>
        <v/>
      </c>
      <c r="DX503" s="58">
        <f>IFERROR($S504/$S503-1,"")</f>
        <v/>
      </c>
      <c r="DY503" s="58">
        <f>IFERROR($T504/$T503-1,"")</f>
        <v/>
      </c>
      <c r="DZ503" s="58">
        <f>IFERROR($U504/$U503-1,"")</f>
        <v/>
      </c>
      <c r="EA503" s="58">
        <f>IFERROR($V504/$V503-1,"")</f>
        <v/>
      </c>
      <c r="EB503" s="58">
        <f>IFERROR($W504/$W503-1,"")</f>
        <v/>
      </c>
      <c r="EC503" s="58">
        <f>IFERROR($X504/$X503-1,"")</f>
        <v/>
      </c>
      <c r="ED503" s="58">
        <f>IFERROR($Y504/$Y503-1,"")</f>
        <v/>
      </c>
      <c r="EE503" s="58">
        <f>IFERROR($Z504/$Z503-1,"")</f>
        <v/>
      </c>
      <c r="EF503" s="58">
        <f>IFERROR($AA504/$AA503-1,"")</f>
        <v/>
      </c>
      <c r="EG503" s="58">
        <f>IFERROR($AB504/$AB503-1,"")</f>
        <v/>
      </c>
      <c r="EH503" s="58">
        <f>IFERROR($AC504/$AC503-1,"")</f>
        <v/>
      </c>
      <c r="EI503" s="58">
        <f>IFERROR($AD504/$AD503-1,"")</f>
        <v/>
      </c>
      <c r="EJ503" s="58">
        <f>IFERROR($AE504/$AE503-1,"")</f>
        <v/>
      </c>
      <c r="EK503" s="58">
        <f>IFERROR($AF504/$AF503-1,"")</f>
        <v/>
      </c>
      <c r="EL503" s="58">
        <f>IFERROR($AG504/$AG503-1,"")</f>
        <v/>
      </c>
      <c r="EM503" s="58">
        <f>IFERROR($BB503/$BB504-1,"")</f>
        <v/>
      </c>
      <c r="EN503" s="58">
        <f>IFERROR($BC503/$BC504-1,"")</f>
        <v/>
      </c>
      <c r="EO503" s="58">
        <f>IFERROR($BD503/$BD504-1,"")</f>
        <v/>
      </c>
      <c r="EP503" s="58">
        <f>IFERROR($BE503/$BE504-1,"")</f>
        <v/>
      </c>
      <c r="EQ503" s="58">
        <f>IFERROR($BF503/$BF504-1,"")</f>
        <v/>
      </c>
      <c r="ER503" s="58">
        <f>IFERROR($BG503/$BG504-1,"")</f>
        <v/>
      </c>
      <c r="ES503" s="58">
        <f>IFERROR($BH503/$BH504-1,"")</f>
        <v/>
      </c>
      <c r="ET503" s="58">
        <f>IFERROR($BI503/$BI504-1,"")</f>
        <v/>
      </c>
      <c r="EU503" s="58">
        <f>IFERROR($BJ503/$BJ504-1,"")</f>
        <v/>
      </c>
      <c r="EV503" s="58">
        <f>IFERROR($BK503/$BK504-1,"")</f>
        <v/>
      </c>
      <c r="EW503" s="58">
        <f>IFERROR($BL503/$BL504-1,"")</f>
        <v/>
      </c>
      <c r="EX503" s="58">
        <f>IFERROR($BM503/$BM504-1,"")</f>
        <v/>
      </c>
      <c r="EY503" s="58">
        <f>IFERROR($BN503/$BN504-1,"")</f>
        <v/>
      </c>
      <c r="EZ503" s="58">
        <f>IFERROR($BO503/$BO504-1,"")</f>
        <v/>
      </c>
      <c r="FA503" s="58">
        <f>IFERROR($BP503/$BP504-1,"")</f>
        <v/>
      </c>
      <c r="FB503" s="58">
        <f>IFERROR($BQ503/$BQ504-1,"")</f>
        <v/>
      </c>
      <c r="FC503" s="58">
        <f>IFERROR($BR503/$BR504-1,"")</f>
        <v/>
      </c>
      <c r="FD503" s="58">
        <f>IFERROR($BS503/$BS504-1,"")</f>
        <v/>
      </c>
      <c r="FE503" s="58">
        <f>IFERROR($BT503/$BT504-1,"")</f>
        <v/>
      </c>
      <c r="FF503" s="58">
        <f>IFERROR($BU503/$BU504-1,"")</f>
        <v/>
      </c>
      <c r="FG503" s="58">
        <f>IFERROR($BV503/$BV504-1,"")</f>
        <v/>
      </c>
      <c r="FH503" s="58">
        <f>IFERROR($BW503/$BW504-1,"")</f>
        <v/>
      </c>
      <c r="FI503" s="58">
        <f>IFERROR($BX503/$BX504-1,"")</f>
        <v/>
      </c>
      <c r="FJ503" s="59">
        <f>$BY503-$BY504</f>
        <v/>
      </c>
      <c r="FK503" s="59">
        <f>$BZ503-$BZ504</f>
        <v/>
      </c>
      <c r="FL503" s="59">
        <f>$CA503-$CA504</f>
        <v/>
      </c>
      <c r="FM503" s="59">
        <f>$CB503-$CB504</f>
        <v/>
      </c>
      <c r="FN503" s="59">
        <f>$CC503-$CC504</f>
        <v/>
      </c>
      <c r="FO503" s="59">
        <f>$CD503-$CD504</f>
        <v/>
      </c>
      <c r="FP503" s="59">
        <f>$CE503-$CE504</f>
        <v/>
      </c>
      <c r="FQ503" s="59">
        <f>$CF503-$CF504</f>
        <v/>
      </c>
      <c r="FR503" s="59">
        <f>$CG503-$CG504</f>
        <v/>
      </c>
      <c r="FS503" s="59">
        <f>$CH503-$CH504</f>
        <v/>
      </c>
      <c r="FT503" s="59">
        <f>$CI503-$CI504</f>
        <v/>
      </c>
      <c r="FU503" s="59">
        <f>$CJ503-$CJ504</f>
        <v/>
      </c>
      <c r="FV503" s="59">
        <f>$CK503-$CK504</f>
        <v/>
      </c>
      <c r="FW503" s="59">
        <f>$CL503-$CL504</f>
        <v/>
      </c>
      <c r="FX503" s="59">
        <f>$CM503-$CM504</f>
        <v/>
      </c>
      <c r="FY503" s="59">
        <f>$CN503-$CN504</f>
        <v/>
      </c>
      <c r="FZ503" s="59">
        <f>$CO503-$CO504</f>
        <v/>
      </c>
      <c r="GA503" s="59">
        <f>$CP503-$CP504</f>
        <v/>
      </c>
      <c r="GB503" s="59">
        <f>$CQ503-$CQ504</f>
        <v/>
      </c>
      <c r="GC503" s="59">
        <f>$CR503-$CR504</f>
        <v/>
      </c>
      <c r="GD503" s="59">
        <f>$CS503-$CS504</f>
        <v/>
      </c>
      <c r="GE503" s="59">
        <f>$CT503-$CT504</f>
        <v/>
      </c>
    </row>
    <row r="504">
      <c r="CU504" s="58">
        <f>IFERROR($B504/$B505-1,"")</f>
        <v/>
      </c>
      <c r="CV504" s="59">
        <f>($F504-$F505)*100</f>
        <v/>
      </c>
      <c r="CW504" s="59">
        <f>($E504-$E505)*100</f>
        <v/>
      </c>
      <c r="CX504" s="58">
        <f>IFERROR($K504/$K505-1,"")</f>
        <v/>
      </c>
      <c r="CY504" s="59">
        <f>($AH504-$AH505)*100</f>
        <v/>
      </c>
      <c r="CZ504" s="59">
        <f>($AI504-$AI505)*100</f>
        <v/>
      </c>
      <c r="DA504" s="59">
        <f>($AJ504-$AJ505)*100</f>
        <v/>
      </c>
      <c r="DB504" s="59">
        <f>($AK504-$AK505)*100</f>
        <v/>
      </c>
      <c r="DC504" s="59">
        <f>($AL504-$AL505)*100</f>
        <v/>
      </c>
      <c r="DD504" s="59">
        <f>($AM504-$AM505)*100</f>
        <v/>
      </c>
      <c r="DE504" s="59">
        <f>($AN504-$AN505)*100</f>
        <v/>
      </c>
      <c r="DF504" s="59">
        <f>($AO504-$AO505)*100</f>
        <v/>
      </c>
      <c r="DG504" s="59">
        <f>($AP504-$AP505)*100</f>
        <v/>
      </c>
      <c r="DH504" s="59">
        <f>($AQ504-$AQ505)*100</f>
        <v/>
      </c>
      <c r="DI504" s="59">
        <f>($AR504-$AR505)*100</f>
        <v/>
      </c>
      <c r="DJ504" s="59">
        <f>($AS504-$AS505)*100</f>
        <v/>
      </c>
      <c r="DK504" s="59">
        <f>($AT504-$AT505)*100</f>
        <v/>
      </c>
      <c r="DL504" s="59">
        <f>($AU504-$AU505)*100</f>
        <v/>
      </c>
      <c r="DM504" s="59">
        <f>($AV504-$AV505)*100</f>
        <v/>
      </c>
      <c r="DN504" s="59">
        <f>($AW504-$AW505)*100</f>
        <v/>
      </c>
      <c r="DO504" s="59">
        <f>($AX504-$AX505)*100</f>
        <v/>
      </c>
      <c r="DP504" s="59">
        <f>($AY504-$AY505)*100</f>
        <v/>
      </c>
      <c r="DQ504" s="59">
        <f>($AZ504-$AZ505)*100</f>
        <v/>
      </c>
      <c r="DR504" s="59">
        <f>($BA504-$BA505)*100</f>
        <v/>
      </c>
      <c r="DS504" s="58">
        <f>IFERROR($N505/$N504-1,"")</f>
        <v/>
      </c>
      <c r="DT504" s="58">
        <f>IFERROR($O505/$O504-1,"")</f>
        <v/>
      </c>
      <c r="DU504" s="58">
        <f>IFERROR($P505/$P504-1,"")</f>
        <v/>
      </c>
      <c r="DV504" s="58">
        <f>IFERROR($Q505/$Q504-1,"")</f>
        <v/>
      </c>
      <c r="DW504" s="58">
        <f>IFERROR($R505/$R504-1,"")</f>
        <v/>
      </c>
      <c r="DX504" s="58">
        <f>IFERROR($S505/$S504-1,"")</f>
        <v/>
      </c>
      <c r="DY504" s="58">
        <f>IFERROR($T505/$T504-1,"")</f>
        <v/>
      </c>
      <c r="DZ504" s="58">
        <f>IFERROR($U505/$U504-1,"")</f>
        <v/>
      </c>
      <c r="EA504" s="58">
        <f>IFERROR($V505/$V504-1,"")</f>
        <v/>
      </c>
      <c r="EB504" s="58">
        <f>IFERROR($W505/$W504-1,"")</f>
        <v/>
      </c>
      <c r="EC504" s="58">
        <f>IFERROR($X505/$X504-1,"")</f>
        <v/>
      </c>
      <c r="ED504" s="58">
        <f>IFERROR($Y505/$Y504-1,"")</f>
        <v/>
      </c>
      <c r="EE504" s="58">
        <f>IFERROR($Z505/$Z504-1,"")</f>
        <v/>
      </c>
      <c r="EF504" s="58">
        <f>IFERROR($AA505/$AA504-1,"")</f>
        <v/>
      </c>
      <c r="EG504" s="58">
        <f>IFERROR($AB505/$AB504-1,"")</f>
        <v/>
      </c>
      <c r="EH504" s="58">
        <f>IFERROR($AC505/$AC504-1,"")</f>
        <v/>
      </c>
      <c r="EI504" s="58">
        <f>IFERROR($AD505/$AD504-1,"")</f>
        <v/>
      </c>
      <c r="EJ504" s="58">
        <f>IFERROR($AE505/$AE504-1,"")</f>
        <v/>
      </c>
      <c r="EK504" s="58">
        <f>IFERROR($AF505/$AF504-1,"")</f>
        <v/>
      </c>
      <c r="EL504" s="58">
        <f>IFERROR($AG505/$AG504-1,"")</f>
        <v/>
      </c>
      <c r="EM504" s="58">
        <f>IFERROR($BB504/$BB505-1,"")</f>
        <v/>
      </c>
      <c r="EN504" s="58">
        <f>IFERROR($BC504/$BC505-1,"")</f>
        <v/>
      </c>
      <c r="EO504" s="58">
        <f>IFERROR($BD504/$BD505-1,"")</f>
        <v/>
      </c>
      <c r="EP504" s="58">
        <f>IFERROR($BE504/$BE505-1,"")</f>
        <v/>
      </c>
      <c r="EQ504" s="58">
        <f>IFERROR($BF504/$BF505-1,"")</f>
        <v/>
      </c>
      <c r="ER504" s="58">
        <f>IFERROR($BG504/$BG505-1,"")</f>
        <v/>
      </c>
      <c r="ES504" s="58">
        <f>IFERROR($BH504/$BH505-1,"")</f>
        <v/>
      </c>
      <c r="ET504" s="58">
        <f>IFERROR($BI504/$BI505-1,"")</f>
        <v/>
      </c>
      <c r="EU504" s="58">
        <f>IFERROR($BJ504/$BJ505-1,"")</f>
        <v/>
      </c>
      <c r="EV504" s="58">
        <f>IFERROR($BK504/$BK505-1,"")</f>
        <v/>
      </c>
      <c r="EW504" s="58">
        <f>IFERROR($BL504/$BL505-1,"")</f>
        <v/>
      </c>
      <c r="EX504" s="58">
        <f>IFERROR($BM504/$BM505-1,"")</f>
        <v/>
      </c>
      <c r="EY504" s="58">
        <f>IFERROR($BN504/$BN505-1,"")</f>
        <v/>
      </c>
      <c r="EZ504" s="58">
        <f>IFERROR($BO504/$BO505-1,"")</f>
        <v/>
      </c>
      <c r="FA504" s="58">
        <f>IFERROR($BP504/$BP505-1,"")</f>
        <v/>
      </c>
      <c r="FB504" s="58">
        <f>IFERROR($BQ504/$BQ505-1,"")</f>
        <v/>
      </c>
      <c r="FC504" s="58">
        <f>IFERROR($BR504/$BR505-1,"")</f>
        <v/>
      </c>
      <c r="FD504" s="58">
        <f>IFERROR($BS504/$BS505-1,"")</f>
        <v/>
      </c>
      <c r="FE504" s="58">
        <f>IFERROR($BT504/$BT505-1,"")</f>
        <v/>
      </c>
      <c r="FF504" s="58">
        <f>IFERROR($BU504/$BU505-1,"")</f>
        <v/>
      </c>
      <c r="FG504" s="58">
        <f>IFERROR($BV504/$BV505-1,"")</f>
        <v/>
      </c>
      <c r="FH504" s="58">
        <f>IFERROR($BW504/$BW505-1,"")</f>
        <v/>
      </c>
      <c r="FI504" s="58">
        <f>IFERROR($BX504/$BX505-1,"")</f>
        <v/>
      </c>
      <c r="FJ504" s="59">
        <f>$BY504-$BY505</f>
        <v/>
      </c>
      <c r="FK504" s="59">
        <f>$BZ504-$BZ505</f>
        <v/>
      </c>
      <c r="FL504" s="59">
        <f>$CA504-$CA505</f>
        <v/>
      </c>
      <c r="FM504" s="59">
        <f>$CB504-$CB505</f>
        <v/>
      </c>
      <c r="FN504" s="59">
        <f>$CC504-$CC505</f>
        <v/>
      </c>
      <c r="FO504" s="59">
        <f>$CD504-$CD505</f>
        <v/>
      </c>
      <c r="FP504" s="59">
        <f>$CE504-$CE505</f>
        <v/>
      </c>
      <c r="FQ504" s="59">
        <f>$CF504-$CF505</f>
        <v/>
      </c>
      <c r="FR504" s="59">
        <f>$CG504-$CG505</f>
        <v/>
      </c>
      <c r="FS504" s="59">
        <f>$CH504-$CH505</f>
        <v/>
      </c>
      <c r="FT504" s="59">
        <f>$CI504-$CI505</f>
        <v/>
      </c>
      <c r="FU504" s="59">
        <f>$CJ504-$CJ505</f>
        <v/>
      </c>
      <c r="FV504" s="59">
        <f>$CK504-$CK505</f>
        <v/>
      </c>
      <c r="FW504" s="59">
        <f>$CL504-$CL505</f>
        <v/>
      </c>
      <c r="FX504" s="59">
        <f>$CM504-$CM505</f>
        <v/>
      </c>
      <c r="FY504" s="59">
        <f>$CN504-$CN505</f>
        <v/>
      </c>
      <c r="FZ504" s="59">
        <f>$CO504-$CO505</f>
        <v/>
      </c>
      <c r="GA504" s="59">
        <f>$CP504-$CP505</f>
        <v/>
      </c>
      <c r="GB504" s="59">
        <f>$CQ504-$CQ505</f>
        <v/>
      </c>
      <c r="GC504" s="59">
        <f>$CR504-$CR505</f>
        <v/>
      </c>
      <c r="GD504" s="59">
        <f>$CS504-$CS505</f>
        <v/>
      </c>
      <c r="GE504" s="59">
        <f>$CT504-$CT505</f>
        <v/>
      </c>
    </row>
    <row r="505">
      <c r="CU505" s="58">
        <f>IFERROR($B505/$B506-1,"")</f>
        <v/>
      </c>
      <c r="CV505" s="59">
        <f>($F505-$F506)*100</f>
        <v/>
      </c>
      <c r="CW505" s="59">
        <f>($E505-$E506)*100</f>
        <v/>
      </c>
      <c r="CX505" s="58">
        <f>IFERROR($K505/$K506-1,"")</f>
        <v/>
      </c>
      <c r="CY505" s="59">
        <f>($AH505-$AH506)*100</f>
        <v/>
      </c>
      <c r="CZ505" s="59">
        <f>($AI505-$AI506)*100</f>
        <v/>
      </c>
      <c r="DA505" s="59">
        <f>($AJ505-$AJ506)*100</f>
        <v/>
      </c>
      <c r="DB505" s="59">
        <f>($AK505-$AK506)*100</f>
        <v/>
      </c>
      <c r="DC505" s="59">
        <f>($AL505-$AL506)*100</f>
        <v/>
      </c>
      <c r="DD505" s="59">
        <f>($AM505-$AM506)*100</f>
        <v/>
      </c>
      <c r="DE505" s="59">
        <f>($AN505-$AN506)*100</f>
        <v/>
      </c>
      <c r="DF505" s="59">
        <f>($AO505-$AO506)*100</f>
        <v/>
      </c>
      <c r="DG505" s="59">
        <f>($AP505-$AP506)*100</f>
        <v/>
      </c>
      <c r="DH505" s="59">
        <f>($AQ505-$AQ506)*100</f>
        <v/>
      </c>
      <c r="DI505" s="59">
        <f>($AR505-$AR506)*100</f>
        <v/>
      </c>
      <c r="DJ505" s="59">
        <f>($AS505-$AS506)*100</f>
        <v/>
      </c>
      <c r="DK505" s="59">
        <f>($AT505-$AT506)*100</f>
        <v/>
      </c>
      <c r="DL505" s="59">
        <f>($AU505-$AU506)*100</f>
        <v/>
      </c>
      <c r="DM505" s="59">
        <f>($AV505-$AV506)*100</f>
        <v/>
      </c>
      <c r="DN505" s="59">
        <f>($AW505-$AW506)*100</f>
        <v/>
      </c>
      <c r="DO505" s="59">
        <f>($AX505-$AX506)*100</f>
        <v/>
      </c>
      <c r="DP505" s="59">
        <f>($AY505-$AY506)*100</f>
        <v/>
      </c>
      <c r="DQ505" s="59">
        <f>($AZ505-$AZ506)*100</f>
        <v/>
      </c>
      <c r="DR505" s="59">
        <f>($BA505-$BA506)*100</f>
        <v/>
      </c>
      <c r="DS505" s="58">
        <f>IFERROR($N506/$N505-1,"")</f>
        <v/>
      </c>
      <c r="DT505" s="58">
        <f>IFERROR($O506/$O505-1,"")</f>
        <v/>
      </c>
      <c r="DU505" s="58">
        <f>IFERROR($P506/$P505-1,"")</f>
        <v/>
      </c>
      <c r="DV505" s="58">
        <f>IFERROR($Q506/$Q505-1,"")</f>
        <v/>
      </c>
      <c r="DW505" s="58">
        <f>IFERROR($R506/$R505-1,"")</f>
        <v/>
      </c>
      <c r="DX505" s="58">
        <f>IFERROR($S506/$S505-1,"")</f>
        <v/>
      </c>
      <c r="DY505" s="58">
        <f>IFERROR($T506/$T505-1,"")</f>
        <v/>
      </c>
      <c r="DZ505" s="58">
        <f>IFERROR($U506/$U505-1,"")</f>
        <v/>
      </c>
      <c r="EA505" s="58">
        <f>IFERROR($V506/$V505-1,"")</f>
        <v/>
      </c>
      <c r="EB505" s="58">
        <f>IFERROR($W506/$W505-1,"")</f>
        <v/>
      </c>
      <c r="EC505" s="58">
        <f>IFERROR($X506/$X505-1,"")</f>
        <v/>
      </c>
      <c r="ED505" s="58">
        <f>IFERROR($Y506/$Y505-1,"")</f>
        <v/>
      </c>
      <c r="EE505" s="58">
        <f>IFERROR($Z506/$Z505-1,"")</f>
        <v/>
      </c>
      <c r="EF505" s="58">
        <f>IFERROR($AA506/$AA505-1,"")</f>
        <v/>
      </c>
      <c r="EG505" s="58">
        <f>IFERROR($AB506/$AB505-1,"")</f>
        <v/>
      </c>
      <c r="EH505" s="58">
        <f>IFERROR($AC506/$AC505-1,"")</f>
        <v/>
      </c>
      <c r="EI505" s="58">
        <f>IFERROR($AD506/$AD505-1,"")</f>
        <v/>
      </c>
      <c r="EJ505" s="58">
        <f>IFERROR($AE506/$AE505-1,"")</f>
        <v/>
      </c>
      <c r="EK505" s="58">
        <f>IFERROR($AF506/$AF505-1,"")</f>
        <v/>
      </c>
      <c r="EL505" s="58">
        <f>IFERROR($AG506/$AG505-1,"")</f>
        <v/>
      </c>
      <c r="EM505" s="58">
        <f>IFERROR($BB505/$BB506-1,"")</f>
        <v/>
      </c>
      <c r="EN505" s="58">
        <f>IFERROR($BC505/$BC506-1,"")</f>
        <v/>
      </c>
      <c r="EO505" s="58">
        <f>IFERROR($BD505/$BD506-1,"")</f>
        <v/>
      </c>
      <c r="EP505" s="58">
        <f>IFERROR($BE505/$BE506-1,"")</f>
        <v/>
      </c>
      <c r="EQ505" s="58">
        <f>IFERROR($BF505/$BF506-1,"")</f>
        <v/>
      </c>
      <c r="ER505" s="58">
        <f>IFERROR($BG505/$BG506-1,"")</f>
        <v/>
      </c>
      <c r="ES505" s="58">
        <f>IFERROR($BH505/$BH506-1,"")</f>
        <v/>
      </c>
      <c r="ET505" s="58">
        <f>IFERROR($BI505/$BI506-1,"")</f>
        <v/>
      </c>
      <c r="EU505" s="58">
        <f>IFERROR($BJ505/$BJ506-1,"")</f>
        <v/>
      </c>
      <c r="EV505" s="58">
        <f>IFERROR($BK505/$BK506-1,"")</f>
        <v/>
      </c>
      <c r="EW505" s="58">
        <f>IFERROR($BL505/$BL506-1,"")</f>
        <v/>
      </c>
      <c r="EX505" s="58">
        <f>IFERROR($BM505/$BM506-1,"")</f>
        <v/>
      </c>
      <c r="EY505" s="58">
        <f>IFERROR($BN505/$BN506-1,"")</f>
        <v/>
      </c>
      <c r="EZ505" s="58">
        <f>IFERROR($BO505/$BO506-1,"")</f>
        <v/>
      </c>
      <c r="FA505" s="58">
        <f>IFERROR($BP505/$BP506-1,"")</f>
        <v/>
      </c>
      <c r="FB505" s="58">
        <f>IFERROR($BQ505/$BQ506-1,"")</f>
        <v/>
      </c>
      <c r="FC505" s="58">
        <f>IFERROR($BR505/$BR506-1,"")</f>
        <v/>
      </c>
      <c r="FD505" s="58">
        <f>IFERROR($BS505/$BS506-1,"")</f>
        <v/>
      </c>
      <c r="FE505" s="58">
        <f>IFERROR($BT505/$BT506-1,"")</f>
        <v/>
      </c>
      <c r="FF505" s="58">
        <f>IFERROR($BU505/$BU506-1,"")</f>
        <v/>
      </c>
      <c r="FG505" s="58">
        <f>IFERROR($BV505/$BV506-1,"")</f>
        <v/>
      </c>
      <c r="FH505" s="58">
        <f>IFERROR($BW505/$BW506-1,"")</f>
        <v/>
      </c>
      <c r="FI505" s="58">
        <f>IFERROR($BX505/$BX506-1,"")</f>
        <v/>
      </c>
      <c r="FJ505" s="59">
        <f>$BY505-$BY506</f>
        <v/>
      </c>
      <c r="FK505" s="59">
        <f>$BZ505-$BZ506</f>
        <v/>
      </c>
      <c r="FL505" s="59">
        <f>$CA505-$CA506</f>
        <v/>
      </c>
      <c r="FM505" s="59">
        <f>$CB505-$CB506</f>
        <v/>
      </c>
      <c r="FN505" s="59">
        <f>$CC505-$CC506</f>
        <v/>
      </c>
      <c r="FO505" s="59">
        <f>$CD505-$CD506</f>
        <v/>
      </c>
      <c r="FP505" s="59">
        <f>$CE505-$CE506</f>
        <v/>
      </c>
      <c r="FQ505" s="59">
        <f>$CF505-$CF506</f>
        <v/>
      </c>
      <c r="FR505" s="59">
        <f>$CG505-$CG506</f>
        <v/>
      </c>
      <c r="FS505" s="59">
        <f>$CH505-$CH506</f>
        <v/>
      </c>
      <c r="FT505" s="59">
        <f>$CI505-$CI506</f>
        <v/>
      </c>
      <c r="FU505" s="59">
        <f>$CJ505-$CJ506</f>
        <v/>
      </c>
      <c r="FV505" s="59">
        <f>$CK505-$CK506</f>
        <v/>
      </c>
      <c r="FW505" s="59">
        <f>$CL505-$CL506</f>
        <v/>
      </c>
      <c r="FX505" s="59">
        <f>$CM505-$CM506</f>
        <v/>
      </c>
      <c r="FY505" s="59">
        <f>$CN505-$CN506</f>
        <v/>
      </c>
      <c r="FZ505" s="59">
        <f>$CO505-$CO506</f>
        <v/>
      </c>
      <c r="GA505" s="59">
        <f>$CP505-$CP506</f>
        <v/>
      </c>
      <c r="GB505" s="59">
        <f>$CQ505-$CQ506</f>
        <v/>
      </c>
      <c r="GC505" s="59">
        <f>$CR505-$CR506</f>
        <v/>
      </c>
      <c r="GD505" s="59">
        <f>$CS505-$CS506</f>
        <v/>
      </c>
      <c r="GE505" s="59">
        <f>$CT505-$CT506</f>
        <v/>
      </c>
    </row>
    <row r="506">
      <c r="CU506" s="58">
        <f>IFERROR($B506/$B507-1,"")</f>
        <v/>
      </c>
      <c r="CV506" s="59">
        <f>($F506-$F507)*100</f>
        <v/>
      </c>
      <c r="CW506" s="59">
        <f>($E506-$E507)*100</f>
        <v/>
      </c>
      <c r="CX506" s="58">
        <f>IFERROR($K506/$K507-1,"")</f>
        <v/>
      </c>
      <c r="CY506" s="59">
        <f>($AH506-$AH507)*100</f>
        <v/>
      </c>
      <c r="CZ506" s="59">
        <f>($AI506-$AI507)*100</f>
        <v/>
      </c>
      <c r="DA506" s="59">
        <f>($AJ506-$AJ507)*100</f>
        <v/>
      </c>
      <c r="DB506" s="59">
        <f>($AK506-$AK507)*100</f>
        <v/>
      </c>
      <c r="DC506" s="59">
        <f>($AL506-$AL507)*100</f>
        <v/>
      </c>
      <c r="DD506" s="59">
        <f>($AM506-$AM507)*100</f>
        <v/>
      </c>
      <c r="DE506" s="59">
        <f>($AN506-$AN507)*100</f>
        <v/>
      </c>
      <c r="DF506" s="59">
        <f>($AO506-$AO507)*100</f>
        <v/>
      </c>
      <c r="DG506" s="59">
        <f>($AP506-$AP507)*100</f>
        <v/>
      </c>
      <c r="DH506" s="59">
        <f>($AQ506-$AQ507)*100</f>
        <v/>
      </c>
      <c r="DI506" s="59">
        <f>($AR506-$AR507)*100</f>
        <v/>
      </c>
      <c r="DJ506" s="59">
        <f>($AS506-$AS507)*100</f>
        <v/>
      </c>
      <c r="DK506" s="59">
        <f>($AT506-$AT507)*100</f>
        <v/>
      </c>
      <c r="DL506" s="59">
        <f>($AU506-$AU507)*100</f>
        <v/>
      </c>
      <c r="DM506" s="59">
        <f>($AV506-$AV507)*100</f>
        <v/>
      </c>
      <c r="DN506" s="59">
        <f>($AW506-$AW507)*100</f>
        <v/>
      </c>
      <c r="DO506" s="59">
        <f>($AX506-$AX507)*100</f>
        <v/>
      </c>
      <c r="DP506" s="59">
        <f>($AY506-$AY507)*100</f>
        <v/>
      </c>
      <c r="DQ506" s="59">
        <f>($AZ506-$AZ507)*100</f>
        <v/>
      </c>
      <c r="DR506" s="59">
        <f>($BA506-$BA507)*100</f>
        <v/>
      </c>
      <c r="DS506" s="58">
        <f>IFERROR($N507/$N506-1,"")</f>
        <v/>
      </c>
      <c r="DT506" s="58">
        <f>IFERROR($O507/$O506-1,"")</f>
        <v/>
      </c>
      <c r="DU506" s="58">
        <f>IFERROR($P507/$P506-1,"")</f>
        <v/>
      </c>
      <c r="DV506" s="58">
        <f>IFERROR($Q507/$Q506-1,"")</f>
        <v/>
      </c>
      <c r="DW506" s="58">
        <f>IFERROR($R507/$R506-1,"")</f>
        <v/>
      </c>
      <c r="DX506" s="58">
        <f>IFERROR($S507/$S506-1,"")</f>
        <v/>
      </c>
      <c r="DY506" s="58">
        <f>IFERROR($T507/$T506-1,"")</f>
        <v/>
      </c>
      <c r="DZ506" s="58">
        <f>IFERROR($U507/$U506-1,"")</f>
        <v/>
      </c>
      <c r="EA506" s="58">
        <f>IFERROR($V507/$V506-1,"")</f>
        <v/>
      </c>
      <c r="EB506" s="58">
        <f>IFERROR($W507/$W506-1,"")</f>
        <v/>
      </c>
      <c r="EC506" s="58">
        <f>IFERROR($X507/$X506-1,"")</f>
        <v/>
      </c>
      <c r="ED506" s="58">
        <f>IFERROR($Y507/$Y506-1,"")</f>
        <v/>
      </c>
      <c r="EE506" s="58">
        <f>IFERROR($Z507/$Z506-1,"")</f>
        <v/>
      </c>
      <c r="EF506" s="58">
        <f>IFERROR($AA507/$AA506-1,"")</f>
        <v/>
      </c>
      <c r="EG506" s="58">
        <f>IFERROR($AB507/$AB506-1,"")</f>
        <v/>
      </c>
      <c r="EH506" s="58">
        <f>IFERROR($AC507/$AC506-1,"")</f>
        <v/>
      </c>
      <c r="EI506" s="58">
        <f>IFERROR($AD507/$AD506-1,"")</f>
        <v/>
      </c>
      <c r="EJ506" s="58">
        <f>IFERROR($AE507/$AE506-1,"")</f>
        <v/>
      </c>
      <c r="EK506" s="58">
        <f>IFERROR($AF507/$AF506-1,"")</f>
        <v/>
      </c>
      <c r="EL506" s="58">
        <f>IFERROR($AG507/$AG506-1,"")</f>
        <v/>
      </c>
      <c r="EM506" s="58">
        <f>IFERROR($BB506/$BB507-1,"")</f>
        <v/>
      </c>
      <c r="EN506" s="58">
        <f>IFERROR($BC506/$BC507-1,"")</f>
        <v/>
      </c>
      <c r="EO506" s="58">
        <f>IFERROR($BD506/$BD507-1,"")</f>
        <v/>
      </c>
      <c r="EP506" s="58">
        <f>IFERROR($BE506/$BE507-1,"")</f>
        <v/>
      </c>
      <c r="EQ506" s="58">
        <f>IFERROR($BF506/$BF507-1,"")</f>
        <v/>
      </c>
      <c r="ER506" s="58">
        <f>IFERROR($BG506/$BG507-1,"")</f>
        <v/>
      </c>
      <c r="ES506" s="58">
        <f>IFERROR($BH506/$BH507-1,"")</f>
        <v/>
      </c>
      <c r="ET506" s="58">
        <f>IFERROR($BI506/$BI507-1,"")</f>
        <v/>
      </c>
      <c r="EU506" s="58">
        <f>IFERROR($BJ506/$BJ507-1,"")</f>
        <v/>
      </c>
      <c r="EV506" s="58">
        <f>IFERROR($BK506/$BK507-1,"")</f>
        <v/>
      </c>
      <c r="EW506" s="58">
        <f>IFERROR($BL506/$BL507-1,"")</f>
        <v/>
      </c>
      <c r="EX506" s="58">
        <f>IFERROR($BM506/$BM507-1,"")</f>
        <v/>
      </c>
      <c r="EY506" s="58">
        <f>IFERROR($BN506/$BN507-1,"")</f>
        <v/>
      </c>
      <c r="EZ506" s="58">
        <f>IFERROR($BO506/$BO507-1,"")</f>
        <v/>
      </c>
      <c r="FA506" s="58">
        <f>IFERROR($BP506/$BP507-1,"")</f>
        <v/>
      </c>
      <c r="FB506" s="58">
        <f>IFERROR($BQ506/$BQ507-1,"")</f>
        <v/>
      </c>
      <c r="FC506" s="58">
        <f>IFERROR($BR506/$BR507-1,"")</f>
        <v/>
      </c>
      <c r="FD506" s="58">
        <f>IFERROR($BS506/$BS507-1,"")</f>
        <v/>
      </c>
      <c r="FE506" s="58">
        <f>IFERROR($BT506/$BT507-1,"")</f>
        <v/>
      </c>
      <c r="FF506" s="58">
        <f>IFERROR($BU506/$BU507-1,"")</f>
        <v/>
      </c>
      <c r="FG506" s="58">
        <f>IFERROR($BV506/$BV507-1,"")</f>
        <v/>
      </c>
      <c r="FH506" s="58">
        <f>IFERROR($BW506/$BW507-1,"")</f>
        <v/>
      </c>
      <c r="FI506" s="58">
        <f>IFERROR($BX506/$BX507-1,"")</f>
        <v/>
      </c>
      <c r="FJ506" s="59">
        <f>$BY506-$BY507</f>
        <v/>
      </c>
      <c r="FK506" s="59">
        <f>$BZ506-$BZ507</f>
        <v/>
      </c>
      <c r="FL506" s="59">
        <f>$CA506-$CA507</f>
        <v/>
      </c>
      <c r="FM506" s="59">
        <f>$CB506-$CB507</f>
        <v/>
      </c>
      <c r="FN506" s="59">
        <f>$CC506-$CC507</f>
        <v/>
      </c>
      <c r="FO506" s="59">
        <f>$CD506-$CD507</f>
        <v/>
      </c>
      <c r="FP506" s="59">
        <f>$CE506-$CE507</f>
        <v/>
      </c>
      <c r="FQ506" s="59">
        <f>$CF506-$CF507</f>
        <v/>
      </c>
      <c r="FR506" s="59">
        <f>$CG506-$CG507</f>
        <v/>
      </c>
      <c r="FS506" s="59">
        <f>$CH506-$CH507</f>
        <v/>
      </c>
      <c r="FT506" s="59">
        <f>$CI506-$CI507</f>
        <v/>
      </c>
      <c r="FU506" s="59">
        <f>$CJ506-$CJ507</f>
        <v/>
      </c>
      <c r="FV506" s="59">
        <f>$CK506-$CK507</f>
        <v/>
      </c>
      <c r="FW506" s="59">
        <f>$CL506-$CL507</f>
        <v/>
      </c>
      <c r="FX506" s="59">
        <f>$CM506-$CM507</f>
        <v/>
      </c>
      <c r="FY506" s="59">
        <f>$CN506-$CN507</f>
        <v/>
      </c>
      <c r="FZ506" s="59">
        <f>$CO506-$CO507</f>
        <v/>
      </c>
      <c r="GA506" s="59">
        <f>$CP506-$CP507</f>
        <v/>
      </c>
      <c r="GB506" s="59">
        <f>$CQ506-$CQ507</f>
        <v/>
      </c>
      <c r="GC506" s="59">
        <f>$CR506-$CR507</f>
        <v/>
      </c>
      <c r="GD506" s="59">
        <f>$CS506-$CS507</f>
        <v/>
      </c>
      <c r="GE506" s="59">
        <f>$CT506-$CT507</f>
        <v/>
      </c>
    </row>
    <row r="507">
      <c r="CU507" s="58">
        <f>IFERROR($B507/$B508-1,"")</f>
        <v/>
      </c>
      <c r="CV507" s="59">
        <f>($F507-$F508)*100</f>
        <v/>
      </c>
      <c r="CW507" s="59">
        <f>($E507-$E508)*100</f>
        <v/>
      </c>
      <c r="CX507" s="58">
        <f>IFERROR($K507/$K508-1,"")</f>
        <v/>
      </c>
      <c r="CY507" s="59">
        <f>($AH507-$AH508)*100</f>
        <v/>
      </c>
      <c r="CZ507" s="59">
        <f>($AI507-$AI508)*100</f>
        <v/>
      </c>
      <c r="DA507" s="59">
        <f>($AJ507-$AJ508)*100</f>
        <v/>
      </c>
      <c r="DB507" s="59">
        <f>($AK507-$AK508)*100</f>
        <v/>
      </c>
      <c r="DC507" s="59">
        <f>($AL507-$AL508)*100</f>
        <v/>
      </c>
      <c r="DD507" s="59">
        <f>($AM507-$AM508)*100</f>
        <v/>
      </c>
      <c r="DE507" s="59">
        <f>($AN507-$AN508)*100</f>
        <v/>
      </c>
      <c r="DF507" s="59">
        <f>($AO507-$AO508)*100</f>
        <v/>
      </c>
      <c r="DG507" s="59">
        <f>($AP507-$AP508)*100</f>
        <v/>
      </c>
      <c r="DH507" s="59">
        <f>($AQ507-$AQ508)*100</f>
        <v/>
      </c>
      <c r="DI507" s="59">
        <f>($AR507-$AR508)*100</f>
        <v/>
      </c>
      <c r="DJ507" s="59">
        <f>($AS507-$AS508)*100</f>
        <v/>
      </c>
      <c r="DK507" s="59">
        <f>($AT507-$AT508)*100</f>
        <v/>
      </c>
      <c r="DL507" s="59">
        <f>($AU507-$AU508)*100</f>
        <v/>
      </c>
      <c r="DM507" s="59">
        <f>($AV507-$AV508)*100</f>
        <v/>
      </c>
      <c r="DN507" s="59">
        <f>($AW507-$AW508)*100</f>
        <v/>
      </c>
      <c r="DO507" s="59">
        <f>($AX507-$AX508)*100</f>
        <v/>
      </c>
      <c r="DP507" s="59">
        <f>($AY507-$AY508)*100</f>
        <v/>
      </c>
      <c r="DQ507" s="59">
        <f>($AZ507-$AZ508)*100</f>
        <v/>
      </c>
      <c r="DR507" s="59">
        <f>($BA507-$BA508)*100</f>
        <v/>
      </c>
      <c r="DS507" s="58">
        <f>IFERROR($N508/$N507-1,"")</f>
        <v/>
      </c>
      <c r="DT507" s="58">
        <f>IFERROR($O508/$O507-1,"")</f>
        <v/>
      </c>
      <c r="DU507" s="58">
        <f>IFERROR($P508/$P507-1,"")</f>
        <v/>
      </c>
      <c r="DV507" s="58">
        <f>IFERROR($Q508/$Q507-1,"")</f>
        <v/>
      </c>
      <c r="DW507" s="58">
        <f>IFERROR($R508/$R507-1,"")</f>
        <v/>
      </c>
      <c r="DX507" s="58">
        <f>IFERROR($S508/$S507-1,"")</f>
        <v/>
      </c>
      <c r="DY507" s="58">
        <f>IFERROR($T508/$T507-1,"")</f>
        <v/>
      </c>
      <c r="DZ507" s="58">
        <f>IFERROR($U508/$U507-1,"")</f>
        <v/>
      </c>
      <c r="EA507" s="58">
        <f>IFERROR($V508/$V507-1,"")</f>
        <v/>
      </c>
      <c r="EB507" s="58">
        <f>IFERROR($W508/$W507-1,"")</f>
        <v/>
      </c>
      <c r="EC507" s="58">
        <f>IFERROR($X508/$X507-1,"")</f>
        <v/>
      </c>
      <c r="ED507" s="58">
        <f>IFERROR($Y508/$Y507-1,"")</f>
        <v/>
      </c>
      <c r="EE507" s="58">
        <f>IFERROR($Z508/$Z507-1,"")</f>
        <v/>
      </c>
      <c r="EF507" s="58">
        <f>IFERROR($AA508/$AA507-1,"")</f>
        <v/>
      </c>
      <c r="EG507" s="58">
        <f>IFERROR($AB508/$AB507-1,"")</f>
        <v/>
      </c>
      <c r="EH507" s="58">
        <f>IFERROR($AC508/$AC507-1,"")</f>
        <v/>
      </c>
      <c r="EI507" s="58">
        <f>IFERROR($AD508/$AD507-1,"")</f>
        <v/>
      </c>
      <c r="EJ507" s="58">
        <f>IFERROR($AE508/$AE507-1,"")</f>
        <v/>
      </c>
      <c r="EK507" s="58">
        <f>IFERROR($AF508/$AF507-1,"")</f>
        <v/>
      </c>
      <c r="EL507" s="58">
        <f>IFERROR($AG508/$AG507-1,"")</f>
        <v/>
      </c>
      <c r="EM507" s="58">
        <f>IFERROR($BB507/$BB508-1,"")</f>
        <v/>
      </c>
      <c r="EN507" s="58">
        <f>IFERROR($BC507/$BC508-1,"")</f>
        <v/>
      </c>
      <c r="EO507" s="58">
        <f>IFERROR($BD507/$BD508-1,"")</f>
        <v/>
      </c>
      <c r="EP507" s="58">
        <f>IFERROR($BE507/$BE508-1,"")</f>
        <v/>
      </c>
      <c r="EQ507" s="58">
        <f>IFERROR($BF507/$BF508-1,"")</f>
        <v/>
      </c>
      <c r="ER507" s="58">
        <f>IFERROR($BG507/$BG508-1,"")</f>
        <v/>
      </c>
      <c r="ES507" s="58">
        <f>IFERROR($BH507/$BH508-1,"")</f>
        <v/>
      </c>
      <c r="ET507" s="58">
        <f>IFERROR($BI507/$BI508-1,"")</f>
        <v/>
      </c>
      <c r="EU507" s="58">
        <f>IFERROR($BJ507/$BJ508-1,"")</f>
        <v/>
      </c>
      <c r="EV507" s="58">
        <f>IFERROR($BK507/$BK508-1,"")</f>
        <v/>
      </c>
      <c r="EW507" s="58">
        <f>IFERROR($BL507/$BL508-1,"")</f>
        <v/>
      </c>
      <c r="EX507" s="58">
        <f>IFERROR($BM507/$BM508-1,"")</f>
        <v/>
      </c>
      <c r="EY507" s="58">
        <f>IFERROR($BN507/$BN508-1,"")</f>
        <v/>
      </c>
      <c r="EZ507" s="58">
        <f>IFERROR($BO507/$BO508-1,"")</f>
        <v/>
      </c>
      <c r="FA507" s="58">
        <f>IFERROR($BP507/$BP508-1,"")</f>
        <v/>
      </c>
      <c r="FB507" s="58">
        <f>IFERROR($BQ507/$BQ508-1,"")</f>
        <v/>
      </c>
      <c r="FC507" s="58">
        <f>IFERROR($BR507/$BR508-1,"")</f>
        <v/>
      </c>
      <c r="FD507" s="58">
        <f>IFERROR($BS507/$BS508-1,"")</f>
        <v/>
      </c>
      <c r="FE507" s="58">
        <f>IFERROR($BT507/$BT508-1,"")</f>
        <v/>
      </c>
      <c r="FF507" s="58">
        <f>IFERROR($BU507/$BU508-1,"")</f>
        <v/>
      </c>
      <c r="FG507" s="58">
        <f>IFERROR($BV507/$BV508-1,"")</f>
        <v/>
      </c>
      <c r="FH507" s="58">
        <f>IFERROR($BW507/$BW508-1,"")</f>
        <v/>
      </c>
      <c r="FI507" s="58">
        <f>IFERROR($BX507/$BX508-1,"")</f>
        <v/>
      </c>
      <c r="FJ507" s="59">
        <f>$BY507-$BY508</f>
        <v/>
      </c>
      <c r="FK507" s="59">
        <f>$BZ507-$BZ508</f>
        <v/>
      </c>
      <c r="FL507" s="59">
        <f>$CA507-$CA508</f>
        <v/>
      </c>
      <c r="FM507" s="59">
        <f>$CB507-$CB508</f>
        <v/>
      </c>
      <c r="FN507" s="59">
        <f>$CC507-$CC508</f>
        <v/>
      </c>
      <c r="FO507" s="59">
        <f>$CD507-$CD508</f>
        <v/>
      </c>
      <c r="FP507" s="59">
        <f>$CE507-$CE508</f>
        <v/>
      </c>
      <c r="FQ507" s="59">
        <f>$CF507-$CF508</f>
        <v/>
      </c>
      <c r="FR507" s="59">
        <f>$CG507-$CG508</f>
        <v/>
      </c>
      <c r="FS507" s="59">
        <f>$CH507-$CH508</f>
        <v/>
      </c>
      <c r="FT507" s="59">
        <f>$CI507-$CI508</f>
        <v/>
      </c>
      <c r="FU507" s="59">
        <f>$CJ507-$CJ508</f>
        <v/>
      </c>
      <c r="FV507" s="59">
        <f>$CK507-$CK508</f>
        <v/>
      </c>
      <c r="FW507" s="59">
        <f>$CL507-$CL508</f>
        <v/>
      </c>
      <c r="FX507" s="59">
        <f>$CM507-$CM508</f>
        <v/>
      </c>
      <c r="FY507" s="59">
        <f>$CN507-$CN508</f>
        <v/>
      </c>
      <c r="FZ507" s="59">
        <f>$CO507-$CO508</f>
        <v/>
      </c>
      <c r="GA507" s="59">
        <f>$CP507-$CP508</f>
        <v/>
      </c>
      <c r="GB507" s="59">
        <f>$CQ507-$CQ508</f>
        <v/>
      </c>
      <c r="GC507" s="59">
        <f>$CR507-$CR508</f>
        <v/>
      </c>
      <c r="GD507" s="59">
        <f>$CS507-$CS508</f>
        <v/>
      </c>
      <c r="GE507" s="59">
        <f>$CT507-$CT508</f>
        <v/>
      </c>
    </row>
    <row r="508">
      <c r="CU508" s="58">
        <f>IFERROR($B508/$B509-1,"")</f>
        <v/>
      </c>
      <c r="CV508" s="59">
        <f>($F508-$F509)*100</f>
        <v/>
      </c>
      <c r="CW508" s="59">
        <f>($E508-$E509)*100</f>
        <v/>
      </c>
      <c r="CX508" s="58">
        <f>IFERROR($K508/$K509-1,"")</f>
        <v/>
      </c>
      <c r="CY508" s="59">
        <f>($AH508-$AH509)*100</f>
        <v/>
      </c>
      <c r="CZ508" s="59">
        <f>($AI508-$AI509)*100</f>
        <v/>
      </c>
      <c r="DA508" s="59">
        <f>($AJ508-$AJ509)*100</f>
        <v/>
      </c>
      <c r="DB508" s="59">
        <f>($AK508-$AK509)*100</f>
        <v/>
      </c>
      <c r="DC508" s="59">
        <f>($AL508-$AL509)*100</f>
        <v/>
      </c>
      <c r="DD508" s="59">
        <f>($AM508-$AM509)*100</f>
        <v/>
      </c>
      <c r="DE508" s="59">
        <f>($AN508-$AN509)*100</f>
        <v/>
      </c>
      <c r="DF508" s="59">
        <f>($AO508-$AO509)*100</f>
        <v/>
      </c>
      <c r="DG508" s="59">
        <f>($AP508-$AP509)*100</f>
        <v/>
      </c>
      <c r="DH508" s="59">
        <f>($AQ508-$AQ509)*100</f>
        <v/>
      </c>
      <c r="DI508" s="59">
        <f>($AR508-$AR509)*100</f>
        <v/>
      </c>
      <c r="DJ508" s="59">
        <f>($AS508-$AS509)*100</f>
        <v/>
      </c>
      <c r="DK508" s="59">
        <f>($AT508-$AT509)*100</f>
        <v/>
      </c>
      <c r="DL508" s="59">
        <f>($AU508-$AU509)*100</f>
        <v/>
      </c>
      <c r="DM508" s="59">
        <f>($AV508-$AV509)*100</f>
        <v/>
      </c>
      <c r="DN508" s="59">
        <f>($AW508-$AW509)*100</f>
        <v/>
      </c>
      <c r="DO508" s="59">
        <f>($AX508-$AX509)*100</f>
        <v/>
      </c>
      <c r="DP508" s="59">
        <f>($AY508-$AY509)*100</f>
        <v/>
      </c>
      <c r="DQ508" s="59">
        <f>($AZ508-$AZ509)*100</f>
        <v/>
      </c>
      <c r="DR508" s="59">
        <f>($BA508-$BA509)*100</f>
        <v/>
      </c>
      <c r="DS508" s="58">
        <f>IFERROR($N509/$N508-1,"")</f>
        <v/>
      </c>
      <c r="DT508" s="58">
        <f>IFERROR($O509/$O508-1,"")</f>
        <v/>
      </c>
      <c r="DU508" s="58">
        <f>IFERROR($P509/$P508-1,"")</f>
        <v/>
      </c>
      <c r="DV508" s="58">
        <f>IFERROR($Q509/$Q508-1,"")</f>
        <v/>
      </c>
      <c r="DW508" s="58">
        <f>IFERROR($R509/$R508-1,"")</f>
        <v/>
      </c>
      <c r="DX508" s="58">
        <f>IFERROR($S509/$S508-1,"")</f>
        <v/>
      </c>
      <c r="DY508" s="58">
        <f>IFERROR($T509/$T508-1,"")</f>
        <v/>
      </c>
      <c r="DZ508" s="58">
        <f>IFERROR($U509/$U508-1,"")</f>
        <v/>
      </c>
      <c r="EA508" s="58">
        <f>IFERROR($V509/$V508-1,"")</f>
        <v/>
      </c>
      <c r="EB508" s="58">
        <f>IFERROR($W509/$W508-1,"")</f>
        <v/>
      </c>
      <c r="EC508" s="58">
        <f>IFERROR($X509/$X508-1,"")</f>
        <v/>
      </c>
      <c r="ED508" s="58">
        <f>IFERROR($Y509/$Y508-1,"")</f>
        <v/>
      </c>
      <c r="EE508" s="58">
        <f>IFERROR($Z509/$Z508-1,"")</f>
        <v/>
      </c>
      <c r="EF508" s="58">
        <f>IFERROR($AA509/$AA508-1,"")</f>
        <v/>
      </c>
      <c r="EG508" s="58">
        <f>IFERROR($AB509/$AB508-1,"")</f>
        <v/>
      </c>
      <c r="EH508" s="58">
        <f>IFERROR($AC509/$AC508-1,"")</f>
        <v/>
      </c>
      <c r="EI508" s="58">
        <f>IFERROR($AD509/$AD508-1,"")</f>
        <v/>
      </c>
      <c r="EJ508" s="58">
        <f>IFERROR($AE509/$AE508-1,"")</f>
        <v/>
      </c>
      <c r="EK508" s="58">
        <f>IFERROR($AF509/$AF508-1,"")</f>
        <v/>
      </c>
      <c r="EL508" s="58">
        <f>IFERROR($AG509/$AG508-1,"")</f>
        <v/>
      </c>
      <c r="EM508" s="58">
        <f>IFERROR($BB508/$BB509-1,"")</f>
        <v/>
      </c>
      <c r="EN508" s="58">
        <f>IFERROR($BC508/$BC509-1,"")</f>
        <v/>
      </c>
      <c r="EO508" s="58">
        <f>IFERROR($BD508/$BD509-1,"")</f>
        <v/>
      </c>
      <c r="EP508" s="58">
        <f>IFERROR($BE508/$BE509-1,"")</f>
        <v/>
      </c>
      <c r="EQ508" s="58">
        <f>IFERROR($BF508/$BF509-1,"")</f>
        <v/>
      </c>
      <c r="ER508" s="58">
        <f>IFERROR($BG508/$BG509-1,"")</f>
        <v/>
      </c>
      <c r="ES508" s="58">
        <f>IFERROR($BH508/$BH509-1,"")</f>
        <v/>
      </c>
      <c r="ET508" s="58">
        <f>IFERROR($BI508/$BI509-1,"")</f>
        <v/>
      </c>
      <c r="EU508" s="58">
        <f>IFERROR($BJ508/$BJ509-1,"")</f>
        <v/>
      </c>
      <c r="EV508" s="58">
        <f>IFERROR($BK508/$BK509-1,"")</f>
        <v/>
      </c>
      <c r="EW508" s="58">
        <f>IFERROR($BL508/$BL509-1,"")</f>
        <v/>
      </c>
      <c r="EX508" s="58">
        <f>IFERROR($BM508/$BM509-1,"")</f>
        <v/>
      </c>
      <c r="EY508" s="58">
        <f>IFERROR($BN508/$BN509-1,"")</f>
        <v/>
      </c>
      <c r="EZ508" s="58">
        <f>IFERROR($BO508/$BO509-1,"")</f>
        <v/>
      </c>
      <c r="FA508" s="58">
        <f>IFERROR($BP508/$BP509-1,"")</f>
        <v/>
      </c>
      <c r="FB508" s="58">
        <f>IFERROR($BQ508/$BQ509-1,"")</f>
        <v/>
      </c>
      <c r="FC508" s="58">
        <f>IFERROR($BR508/$BR509-1,"")</f>
        <v/>
      </c>
      <c r="FD508" s="58">
        <f>IFERROR($BS508/$BS509-1,"")</f>
        <v/>
      </c>
      <c r="FE508" s="58">
        <f>IFERROR($BT508/$BT509-1,"")</f>
        <v/>
      </c>
      <c r="FF508" s="58">
        <f>IFERROR($BU508/$BU509-1,"")</f>
        <v/>
      </c>
      <c r="FG508" s="58">
        <f>IFERROR($BV508/$BV509-1,"")</f>
        <v/>
      </c>
      <c r="FH508" s="58">
        <f>IFERROR($BW508/$BW509-1,"")</f>
        <v/>
      </c>
      <c r="FI508" s="58">
        <f>IFERROR($BX508/$BX509-1,"")</f>
        <v/>
      </c>
      <c r="FJ508" s="59">
        <f>$BY508-$BY509</f>
        <v/>
      </c>
      <c r="FK508" s="59">
        <f>$BZ508-$BZ509</f>
        <v/>
      </c>
      <c r="FL508" s="59">
        <f>$CA508-$CA509</f>
        <v/>
      </c>
      <c r="FM508" s="59">
        <f>$CB508-$CB509</f>
        <v/>
      </c>
      <c r="FN508" s="59">
        <f>$CC508-$CC509</f>
        <v/>
      </c>
      <c r="FO508" s="59">
        <f>$CD508-$CD509</f>
        <v/>
      </c>
      <c r="FP508" s="59">
        <f>$CE508-$CE509</f>
        <v/>
      </c>
      <c r="FQ508" s="59">
        <f>$CF508-$CF509</f>
        <v/>
      </c>
      <c r="FR508" s="59">
        <f>$CG508-$CG509</f>
        <v/>
      </c>
      <c r="FS508" s="59">
        <f>$CH508-$CH509</f>
        <v/>
      </c>
      <c r="FT508" s="59">
        <f>$CI508-$CI509</f>
        <v/>
      </c>
      <c r="FU508" s="59">
        <f>$CJ508-$CJ509</f>
        <v/>
      </c>
      <c r="FV508" s="59">
        <f>$CK508-$CK509</f>
        <v/>
      </c>
      <c r="FW508" s="59">
        <f>$CL508-$CL509</f>
        <v/>
      </c>
      <c r="FX508" s="59">
        <f>$CM508-$CM509</f>
        <v/>
      </c>
      <c r="FY508" s="59">
        <f>$CN508-$CN509</f>
        <v/>
      </c>
      <c r="FZ508" s="59">
        <f>$CO508-$CO509</f>
        <v/>
      </c>
      <c r="GA508" s="59">
        <f>$CP508-$CP509</f>
        <v/>
      </c>
      <c r="GB508" s="59">
        <f>$CQ508-$CQ509</f>
        <v/>
      </c>
      <c r="GC508" s="59">
        <f>$CR508-$CR509</f>
        <v/>
      </c>
      <c r="GD508" s="59">
        <f>$CS508-$CS509</f>
        <v/>
      </c>
      <c r="GE508" s="59">
        <f>$CT508-$CT509</f>
        <v/>
      </c>
    </row>
    <row r="509">
      <c r="CU509" s="58">
        <f>IFERROR($B509/$B510-1,"")</f>
        <v/>
      </c>
      <c r="CV509" s="59">
        <f>($F509-$F510)*100</f>
        <v/>
      </c>
      <c r="CW509" s="59">
        <f>($E509-$E510)*100</f>
        <v/>
      </c>
      <c r="CX509" s="58">
        <f>IFERROR($K509/$K510-1,"")</f>
        <v/>
      </c>
      <c r="CY509" s="59">
        <f>($AH509-$AH510)*100</f>
        <v/>
      </c>
      <c r="CZ509" s="59">
        <f>($AI509-$AI510)*100</f>
        <v/>
      </c>
      <c r="DA509" s="59">
        <f>($AJ509-$AJ510)*100</f>
        <v/>
      </c>
      <c r="DB509" s="59">
        <f>($AK509-$AK510)*100</f>
        <v/>
      </c>
      <c r="DC509" s="59">
        <f>($AL509-$AL510)*100</f>
        <v/>
      </c>
      <c r="DD509" s="59">
        <f>($AM509-$AM510)*100</f>
        <v/>
      </c>
      <c r="DE509" s="59">
        <f>($AN509-$AN510)*100</f>
        <v/>
      </c>
      <c r="DF509" s="59">
        <f>($AO509-$AO510)*100</f>
        <v/>
      </c>
      <c r="DG509" s="59">
        <f>($AP509-$AP510)*100</f>
        <v/>
      </c>
      <c r="DH509" s="59">
        <f>($AQ509-$AQ510)*100</f>
        <v/>
      </c>
      <c r="DI509" s="59">
        <f>($AR509-$AR510)*100</f>
        <v/>
      </c>
      <c r="DJ509" s="59">
        <f>($AS509-$AS510)*100</f>
        <v/>
      </c>
      <c r="DK509" s="59">
        <f>($AT509-$AT510)*100</f>
        <v/>
      </c>
      <c r="DL509" s="59">
        <f>($AU509-$AU510)*100</f>
        <v/>
      </c>
      <c r="DM509" s="59">
        <f>($AV509-$AV510)*100</f>
        <v/>
      </c>
      <c r="DN509" s="59">
        <f>($AW509-$AW510)*100</f>
        <v/>
      </c>
      <c r="DO509" s="59">
        <f>($AX509-$AX510)*100</f>
        <v/>
      </c>
      <c r="DP509" s="59">
        <f>($AY509-$AY510)*100</f>
        <v/>
      </c>
      <c r="DQ509" s="59">
        <f>($AZ509-$AZ510)*100</f>
        <v/>
      </c>
      <c r="DR509" s="59">
        <f>($BA509-$BA510)*100</f>
        <v/>
      </c>
      <c r="DS509" s="58">
        <f>IFERROR($N510/$N509-1,"")</f>
        <v/>
      </c>
      <c r="DT509" s="58">
        <f>IFERROR($O510/$O509-1,"")</f>
        <v/>
      </c>
      <c r="DU509" s="58">
        <f>IFERROR($P510/$P509-1,"")</f>
        <v/>
      </c>
      <c r="DV509" s="58">
        <f>IFERROR($Q510/$Q509-1,"")</f>
        <v/>
      </c>
      <c r="DW509" s="58">
        <f>IFERROR($R510/$R509-1,"")</f>
        <v/>
      </c>
      <c r="DX509" s="58">
        <f>IFERROR($S510/$S509-1,"")</f>
        <v/>
      </c>
      <c r="DY509" s="58">
        <f>IFERROR($T510/$T509-1,"")</f>
        <v/>
      </c>
      <c r="DZ509" s="58">
        <f>IFERROR($U510/$U509-1,"")</f>
        <v/>
      </c>
      <c r="EA509" s="58">
        <f>IFERROR($V510/$V509-1,"")</f>
        <v/>
      </c>
      <c r="EB509" s="58">
        <f>IFERROR($W510/$W509-1,"")</f>
        <v/>
      </c>
      <c r="EC509" s="58">
        <f>IFERROR($X510/$X509-1,"")</f>
        <v/>
      </c>
      <c r="ED509" s="58">
        <f>IFERROR($Y510/$Y509-1,"")</f>
        <v/>
      </c>
      <c r="EE509" s="58">
        <f>IFERROR($Z510/$Z509-1,"")</f>
        <v/>
      </c>
      <c r="EF509" s="58">
        <f>IFERROR($AA510/$AA509-1,"")</f>
        <v/>
      </c>
      <c r="EG509" s="58">
        <f>IFERROR($AB510/$AB509-1,"")</f>
        <v/>
      </c>
      <c r="EH509" s="58">
        <f>IFERROR($AC510/$AC509-1,"")</f>
        <v/>
      </c>
      <c r="EI509" s="58">
        <f>IFERROR($AD510/$AD509-1,"")</f>
        <v/>
      </c>
      <c r="EJ509" s="58">
        <f>IFERROR($AE510/$AE509-1,"")</f>
        <v/>
      </c>
      <c r="EK509" s="58">
        <f>IFERROR($AF510/$AF509-1,"")</f>
        <v/>
      </c>
      <c r="EL509" s="58">
        <f>IFERROR($AG510/$AG509-1,"")</f>
        <v/>
      </c>
      <c r="EM509" s="58">
        <f>IFERROR($BB509/$BB510-1,"")</f>
        <v/>
      </c>
      <c r="EN509" s="58">
        <f>IFERROR($BC509/$BC510-1,"")</f>
        <v/>
      </c>
      <c r="EO509" s="58">
        <f>IFERROR($BD509/$BD510-1,"")</f>
        <v/>
      </c>
      <c r="EP509" s="58">
        <f>IFERROR($BE509/$BE510-1,"")</f>
        <v/>
      </c>
      <c r="EQ509" s="58">
        <f>IFERROR($BF509/$BF510-1,"")</f>
        <v/>
      </c>
      <c r="ER509" s="58">
        <f>IFERROR($BG509/$BG510-1,"")</f>
        <v/>
      </c>
      <c r="ES509" s="58">
        <f>IFERROR($BH509/$BH510-1,"")</f>
        <v/>
      </c>
      <c r="ET509" s="58">
        <f>IFERROR($BI509/$BI510-1,"")</f>
        <v/>
      </c>
      <c r="EU509" s="58">
        <f>IFERROR($BJ509/$BJ510-1,"")</f>
        <v/>
      </c>
      <c r="EV509" s="58">
        <f>IFERROR($BK509/$BK510-1,"")</f>
        <v/>
      </c>
      <c r="EW509" s="58">
        <f>IFERROR($BL509/$BL510-1,"")</f>
        <v/>
      </c>
      <c r="EX509" s="58">
        <f>IFERROR($BM509/$BM510-1,"")</f>
        <v/>
      </c>
      <c r="EY509" s="58">
        <f>IFERROR($BN509/$BN510-1,"")</f>
        <v/>
      </c>
      <c r="EZ509" s="58">
        <f>IFERROR($BO509/$BO510-1,"")</f>
        <v/>
      </c>
      <c r="FA509" s="58">
        <f>IFERROR($BP509/$BP510-1,"")</f>
        <v/>
      </c>
      <c r="FB509" s="58">
        <f>IFERROR($BQ509/$BQ510-1,"")</f>
        <v/>
      </c>
      <c r="FC509" s="58">
        <f>IFERROR($BR509/$BR510-1,"")</f>
        <v/>
      </c>
      <c r="FD509" s="58">
        <f>IFERROR($BS509/$BS510-1,"")</f>
        <v/>
      </c>
      <c r="FE509" s="58">
        <f>IFERROR($BT509/$BT510-1,"")</f>
        <v/>
      </c>
      <c r="FF509" s="58">
        <f>IFERROR($BU509/$BU510-1,"")</f>
        <v/>
      </c>
      <c r="FG509" s="58">
        <f>IFERROR($BV509/$BV510-1,"")</f>
        <v/>
      </c>
      <c r="FH509" s="58">
        <f>IFERROR($BW509/$BW510-1,"")</f>
        <v/>
      </c>
      <c r="FI509" s="58">
        <f>IFERROR($BX509/$BX510-1,"")</f>
        <v/>
      </c>
      <c r="FJ509" s="59">
        <f>$BY509-$BY510</f>
        <v/>
      </c>
      <c r="FK509" s="59">
        <f>$BZ509-$BZ510</f>
        <v/>
      </c>
      <c r="FL509" s="59">
        <f>$CA509-$CA510</f>
        <v/>
      </c>
      <c r="FM509" s="59">
        <f>$CB509-$CB510</f>
        <v/>
      </c>
      <c r="FN509" s="59">
        <f>$CC509-$CC510</f>
        <v/>
      </c>
      <c r="FO509" s="59">
        <f>$CD509-$CD510</f>
        <v/>
      </c>
      <c r="FP509" s="59">
        <f>$CE509-$CE510</f>
        <v/>
      </c>
      <c r="FQ509" s="59">
        <f>$CF509-$CF510</f>
        <v/>
      </c>
      <c r="FR509" s="59">
        <f>$CG509-$CG510</f>
        <v/>
      </c>
      <c r="FS509" s="59">
        <f>$CH509-$CH510</f>
        <v/>
      </c>
      <c r="FT509" s="59">
        <f>$CI509-$CI510</f>
        <v/>
      </c>
      <c r="FU509" s="59">
        <f>$CJ509-$CJ510</f>
        <v/>
      </c>
      <c r="FV509" s="59">
        <f>$CK509-$CK510</f>
        <v/>
      </c>
      <c r="FW509" s="59">
        <f>$CL509-$CL510</f>
        <v/>
      </c>
      <c r="FX509" s="59">
        <f>$CM509-$CM510</f>
        <v/>
      </c>
      <c r="FY509" s="59">
        <f>$CN509-$CN510</f>
        <v/>
      </c>
      <c r="FZ509" s="59">
        <f>$CO509-$CO510</f>
        <v/>
      </c>
      <c r="GA509" s="59">
        <f>$CP509-$CP510</f>
        <v/>
      </c>
      <c r="GB509" s="59">
        <f>$CQ509-$CQ510</f>
        <v/>
      </c>
      <c r="GC509" s="59">
        <f>$CR509-$CR510</f>
        <v/>
      </c>
      <c r="GD509" s="59">
        <f>$CS509-$CS510</f>
        <v/>
      </c>
      <c r="GE509" s="59">
        <f>$CT509-$CT510</f>
        <v/>
      </c>
    </row>
    <row r="510">
      <c r="CU510" s="58">
        <f>IFERROR($B510/$B511-1,"")</f>
        <v/>
      </c>
      <c r="CV510" s="59">
        <f>($F510-$F511)*100</f>
        <v/>
      </c>
      <c r="CW510" s="59">
        <f>($E510-$E511)*100</f>
        <v/>
      </c>
      <c r="CX510" s="58">
        <f>IFERROR($K510/$K511-1,"")</f>
        <v/>
      </c>
      <c r="CY510" s="59">
        <f>($AH510-$AH511)*100</f>
        <v/>
      </c>
      <c r="CZ510" s="59">
        <f>($AI510-$AI511)*100</f>
        <v/>
      </c>
      <c r="DA510" s="59">
        <f>($AJ510-$AJ511)*100</f>
        <v/>
      </c>
      <c r="DB510" s="59">
        <f>($AK510-$AK511)*100</f>
        <v/>
      </c>
      <c r="DC510" s="59">
        <f>($AL510-$AL511)*100</f>
        <v/>
      </c>
      <c r="DD510" s="59">
        <f>($AM510-$AM511)*100</f>
        <v/>
      </c>
      <c r="DE510" s="59">
        <f>($AN510-$AN511)*100</f>
        <v/>
      </c>
      <c r="DF510" s="59">
        <f>($AO510-$AO511)*100</f>
        <v/>
      </c>
      <c r="DG510" s="59">
        <f>($AP510-$AP511)*100</f>
        <v/>
      </c>
      <c r="DH510" s="59">
        <f>($AQ510-$AQ511)*100</f>
        <v/>
      </c>
      <c r="DI510" s="59">
        <f>($AR510-$AR511)*100</f>
        <v/>
      </c>
      <c r="DJ510" s="59">
        <f>($AS510-$AS511)*100</f>
        <v/>
      </c>
      <c r="DK510" s="59">
        <f>($AT510-$AT511)*100</f>
        <v/>
      </c>
      <c r="DL510" s="59">
        <f>($AU510-$AU511)*100</f>
        <v/>
      </c>
      <c r="DM510" s="59">
        <f>($AV510-$AV511)*100</f>
        <v/>
      </c>
      <c r="DN510" s="59">
        <f>($AW510-$AW511)*100</f>
        <v/>
      </c>
      <c r="DO510" s="59">
        <f>($AX510-$AX511)*100</f>
        <v/>
      </c>
      <c r="DP510" s="59">
        <f>($AY510-$AY511)*100</f>
        <v/>
      </c>
      <c r="DQ510" s="59">
        <f>($AZ510-$AZ511)*100</f>
        <v/>
      </c>
      <c r="DR510" s="59">
        <f>($BA510-$BA511)*100</f>
        <v/>
      </c>
      <c r="DS510" s="58">
        <f>IFERROR($N511/$N510-1,"")</f>
        <v/>
      </c>
      <c r="DT510" s="58">
        <f>IFERROR($O511/$O510-1,"")</f>
        <v/>
      </c>
      <c r="DU510" s="58">
        <f>IFERROR($P511/$P510-1,"")</f>
        <v/>
      </c>
      <c r="DV510" s="58">
        <f>IFERROR($Q511/$Q510-1,"")</f>
        <v/>
      </c>
      <c r="DW510" s="58">
        <f>IFERROR($R511/$R510-1,"")</f>
        <v/>
      </c>
      <c r="DX510" s="58">
        <f>IFERROR($S511/$S510-1,"")</f>
        <v/>
      </c>
      <c r="DY510" s="58">
        <f>IFERROR($T511/$T510-1,"")</f>
        <v/>
      </c>
      <c r="DZ510" s="58">
        <f>IFERROR($U511/$U510-1,"")</f>
        <v/>
      </c>
      <c r="EA510" s="58">
        <f>IFERROR($V511/$V510-1,"")</f>
        <v/>
      </c>
      <c r="EB510" s="58">
        <f>IFERROR($W511/$W510-1,"")</f>
        <v/>
      </c>
      <c r="EC510" s="58">
        <f>IFERROR($X511/$X510-1,"")</f>
        <v/>
      </c>
      <c r="ED510" s="58">
        <f>IFERROR($Y511/$Y510-1,"")</f>
        <v/>
      </c>
      <c r="EE510" s="58">
        <f>IFERROR($Z511/$Z510-1,"")</f>
        <v/>
      </c>
      <c r="EF510" s="58">
        <f>IFERROR($AA511/$AA510-1,"")</f>
        <v/>
      </c>
      <c r="EG510" s="58">
        <f>IFERROR($AB511/$AB510-1,"")</f>
        <v/>
      </c>
      <c r="EH510" s="58">
        <f>IFERROR($AC511/$AC510-1,"")</f>
        <v/>
      </c>
      <c r="EI510" s="58">
        <f>IFERROR($AD511/$AD510-1,"")</f>
        <v/>
      </c>
      <c r="EJ510" s="58">
        <f>IFERROR($AE511/$AE510-1,"")</f>
        <v/>
      </c>
      <c r="EK510" s="58">
        <f>IFERROR($AF511/$AF510-1,"")</f>
        <v/>
      </c>
      <c r="EL510" s="58">
        <f>IFERROR($AG511/$AG510-1,"")</f>
        <v/>
      </c>
      <c r="EM510" s="58">
        <f>IFERROR($BB510/$BB511-1,"")</f>
        <v/>
      </c>
      <c r="EN510" s="58">
        <f>IFERROR($BC510/$BC511-1,"")</f>
        <v/>
      </c>
      <c r="EO510" s="58">
        <f>IFERROR($BD510/$BD511-1,"")</f>
        <v/>
      </c>
      <c r="EP510" s="58">
        <f>IFERROR($BE510/$BE511-1,"")</f>
        <v/>
      </c>
      <c r="EQ510" s="58">
        <f>IFERROR($BF510/$BF511-1,"")</f>
        <v/>
      </c>
      <c r="ER510" s="58">
        <f>IFERROR($BG510/$BG511-1,"")</f>
        <v/>
      </c>
      <c r="ES510" s="58">
        <f>IFERROR($BH510/$BH511-1,"")</f>
        <v/>
      </c>
      <c r="ET510" s="58">
        <f>IFERROR($BI510/$BI511-1,"")</f>
        <v/>
      </c>
      <c r="EU510" s="58">
        <f>IFERROR($BJ510/$BJ511-1,"")</f>
        <v/>
      </c>
      <c r="EV510" s="58">
        <f>IFERROR($BK510/$BK511-1,"")</f>
        <v/>
      </c>
      <c r="EW510" s="58">
        <f>IFERROR($BL510/$BL511-1,"")</f>
        <v/>
      </c>
      <c r="EX510" s="58">
        <f>IFERROR($BM510/$BM511-1,"")</f>
        <v/>
      </c>
      <c r="EY510" s="58">
        <f>IFERROR($BN510/$BN511-1,"")</f>
        <v/>
      </c>
      <c r="EZ510" s="58">
        <f>IFERROR($BO510/$BO511-1,"")</f>
        <v/>
      </c>
      <c r="FA510" s="58">
        <f>IFERROR($BP510/$BP511-1,"")</f>
        <v/>
      </c>
      <c r="FB510" s="58">
        <f>IFERROR($BQ510/$BQ511-1,"")</f>
        <v/>
      </c>
      <c r="FC510" s="58">
        <f>IFERROR($BR510/$BR511-1,"")</f>
        <v/>
      </c>
      <c r="FD510" s="58">
        <f>IFERROR($BS510/$BS511-1,"")</f>
        <v/>
      </c>
      <c r="FE510" s="58">
        <f>IFERROR($BT510/$BT511-1,"")</f>
        <v/>
      </c>
      <c r="FF510" s="58">
        <f>IFERROR($BU510/$BU511-1,"")</f>
        <v/>
      </c>
      <c r="FG510" s="58">
        <f>IFERROR($BV510/$BV511-1,"")</f>
        <v/>
      </c>
      <c r="FH510" s="58">
        <f>IFERROR($BW510/$BW511-1,"")</f>
        <v/>
      </c>
      <c r="FI510" s="58">
        <f>IFERROR($BX510/$BX511-1,"")</f>
        <v/>
      </c>
      <c r="FJ510" s="59">
        <f>$BY510-$BY511</f>
        <v/>
      </c>
      <c r="FK510" s="59">
        <f>$BZ510-$BZ511</f>
        <v/>
      </c>
      <c r="FL510" s="59">
        <f>$CA510-$CA511</f>
        <v/>
      </c>
      <c r="FM510" s="59">
        <f>$CB510-$CB511</f>
        <v/>
      </c>
      <c r="FN510" s="59">
        <f>$CC510-$CC511</f>
        <v/>
      </c>
      <c r="FO510" s="59">
        <f>$CD510-$CD511</f>
        <v/>
      </c>
      <c r="FP510" s="59">
        <f>$CE510-$CE511</f>
        <v/>
      </c>
      <c r="FQ510" s="59">
        <f>$CF510-$CF511</f>
        <v/>
      </c>
      <c r="FR510" s="59">
        <f>$CG510-$CG511</f>
        <v/>
      </c>
      <c r="FS510" s="59">
        <f>$CH510-$CH511</f>
        <v/>
      </c>
      <c r="FT510" s="59">
        <f>$CI510-$CI511</f>
        <v/>
      </c>
      <c r="FU510" s="59">
        <f>$CJ510-$CJ511</f>
        <v/>
      </c>
      <c r="FV510" s="59">
        <f>$CK510-$CK511</f>
        <v/>
      </c>
      <c r="FW510" s="59">
        <f>$CL510-$CL511</f>
        <v/>
      </c>
      <c r="FX510" s="59">
        <f>$CM510-$CM511</f>
        <v/>
      </c>
      <c r="FY510" s="59">
        <f>$CN510-$CN511</f>
        <v/>
      </c>
      <c r="FZ510" s="59">
        <f>$CO510-$CO511</f>
        <v/>
      </c>
      <c r="GA510" s="59">
        <f>$CP510-$CP511</f>
        <v/>
      </c>
      <c r="GB510" s="59">
        <f>$CQ510-$CQ511</f>
        <v/>
      </c>
      <c r="GC510" s="59">
        <f>$CR510-$CR511</f>
        <v/>
      </c>
      <c r="GD510" s="59">
        <f>$CS510-$CS511</f>
        <v/>
      </c>
      <c r="GE510" s="59">
        <f>$CT510-$CT511</f>
        <v/>
      </c>
    </row>
    <row r="511">
      <c r="CU511" s="58">
        <f>IFERROR($B511/$B512-1,"")</f>
        <v/>
      </c>
      <c r="CV511" s="59">
        <f>($F511-$F512)*100</f>
        <v/>
      </c>
      <c r="CW511" s="59">
        <f>($E511-$E512)*100</f>
        <v/>
      </c>
      <c r="CX511" s="58">
        <f>IFERROR($K511/$K512-1,"")</f>
        <v/>
      </c>
      <c r="CY511" s="59">
        <f>($AH511-$AH512)*100</f>
        <v/>
      </c>
      <c r="CZ511" s="59">
        <f>($AI511-$AI512)*100</f>
        <v/>
      </c>
      <c r="DA511" s="59">
        <f>($AJ511-$AJ512)*100</f>
        <v/>
      </c>
      <c r="DB511" s="59">
        <f>($AK511-$AK512)*100</f>
        <v/>
      </c>
      <c r="DC511" s="59">
        <f>($AL511-$AL512)*100</f>
        <v/>
      </c>
      <c r="DD511" s="59">
        <f>($AM511-$AM512)*100</f>
        <v/>
      </c>
      <c r="DE511" s="59">
        <f>($AN511-$AN512)*100</f>
        <v/>
      </c>
      <c r="DF511" s="59">
        <f>($AO511-$AO512)*100</f>
        <v/>
      </c>
      <c r="DG511" s="59">
        <f>($AP511-$AP512)*100</f>
        <v/>
      </c>
      <c r="DH511" s="59">
        <f>($AQ511-$AQ512)*100</f>
        <v/>
      </c>
      <c r="DI511" s="59">
        <f>($AR511-$AR512)*100</f>
        <v/>
      </c>
      <c r="DJ511" s="59">
        <f>($AS511-$AS512)*100</f>
        <v/>
      </c>
      <c r="DK511" s="59">
        <f>($AT511-$AT512)*100</f>
        <v/>
      </c>
      <c r="DL511" s="59">
        <f>($AU511-$AU512)*100</f>
        <v/>
      </c>
      <c r="DM511" s="59">
        <f>($AV511-$AV512)*100</f>
        <v/>
      </c>
      <c r="DN511" s="59">
        <f>($AW511-$AW512)*100</f>
        <v/>
      </c>
      <c r="DO511" s="59">
        <f>($AX511-$AX512)*100</f>
        <v/>
      </c>
      <c r="DP511" s="59">
        <f>($AY511-$AY512)*100</f>
        <v/>
      </c>
      <c r="DQ511" s="59">
        <f>($AZ511-$AZ512)*100</f>
        <v/>
      </c>
      <c r="DR511" s="59">
        <f>($BA511-$BA512)*100</f>
        <v/>
      </c>
      <c r="DS511" s="58">
        <f>IFERROR($N512/$N511-1,"")</f>
        <v/>
      </c>
      <c r="DT511" s="58">
        <f>IFERROR($O512/$O511-1,"")</f>
        <v/>
      </c>
      <c r="DU511" s="58">
        <f>IFERROR($P512/$P511-1,"")</f>
        <v/>
      </c>
      <c r="DV511" s="58">
        <f>IFERROR($Q512/$Q511-1,"")</f>
        <v/>
      </c>
      <c r="DW511" s="58">
        <f>IFERROR($R512/$R511-1,"")</f>
        <v/>
      </c>
      <c r="DX511" s="58">
        <f>IFERROR($S512/$S511-1,"")</f>
        <v/>
      </c>
      <c r="DY511" s="58">
        <f>IFERROR($T512/$T511-1,"")</f>
        <v/>
      </c>
      <c r="DZ511" s="58">
        <f>IFERROR($U512/$U511-1,"")</f>
        <v/>
      </c>
      <c r="EA511" s="58">
        <f>IFERROR($V512/$V511-1,"")</f>
        <v/>
      </c>
      <c r="EB511" s="58">
        <f>IFERROR($W512/$W511-1,"")</f>
        <v/>
      </c>
      <c r="EC511" s="58">
        <f>IFERROR($X512/$X511-1,"")</f>
        <v/>
      </c>
      <c r="ED511" s="58">
        <f>IFERROR($Y512/$Y511-1,"")</f>
        <v/>
      </c>
      <c r="EE511" s="58">
        <f>IFERROR($Z512/$Z511-1,"")</f>
        <v/>
      </c>
      <c r="EF511" s="58">
        <f>IFERROR($AA512/$AA511-1,"")</f>
        <v/>
      </c>
      <c r="EG511" s="58">
        <f>IFERROR($AB512/$AB511-1,"")</f>
        <v/>
      </c>
      <c r="EH511" s="58">
        <f>IFERROR($AC512/$AC511-1,"")</f>
        <v/>
      </c>
      <c r="EI511" s="58">
        <f>IFERROR($AD512/$AD511-1,"")</f>
        <v/>
      </c>
      <c r="EJ511" s="58">
        <f>IFERROR($AE512/$AE511-1,"")</f>
        <v/>
      </c>
      <c r="EK511" s="58">
        <f>IFERROR($AF512/$AF511-1,"")</f>
        <v/>
      </c>
      <c r="EL511" s="58">
        <f>IFERROR($AG512/$AG511-1,"")</f>
        <v/>
      </c>
      <c r="EM511" s="58">
        <f>IFERROR($BB511/$BB512-1,"")</f>
        <v/>
      </c>
      <c r="EN511" s="58">
        <f>IFERROR($BC511/$BC512-1,"")</f>
        <v/>
      </c>
      <c r="EO511" s="58">
        <f>IFERROR($BD511/$BD512-1,"")</f>
        <v/>
      </c>
      <c r="EP511" s="58">
        <f>IFERROR($BE511/$BE512-1,"")</f>
        <v/>
      </c>
      <c r="EQ511" s="58">
        <f>IFERROR($BF511/$BF512-1,"")</f>
        <v/>
      </c>
      <c r="ER511" s="58">
        <f>IFERROR($BG511/$BG512-1,"")</f>
        <v/>
      </c>
      <c r="ES511" s="58">
        <f>IFERROR($BH511/$BH512-1,"")</f>
        <v/>
      </c>
      <c r="ET511" s="58">
        <f>IFERROR($BI511/$BI512-1,"")</f>
        <v/>
      </c>
      <c r="EU511" s="58">
        <f>IFERROR($BJ511/$BJ512-1,"")</f>
        <v/>
      </c>
      <c r="EV511" s="58">
        <f>IFERROR($BK511/$BK512-1,"")</f>
        <v/>
      </c>
      <c r="EW511" s="58">
        <f>IFERROR($BL511/$BL512-1,"")</f>
        <v/>
      </c>
      <c r="EX511" s="58">
        <f>IFERROR($BM511/$BM512-1,"")</f>
        <v/>
      </c>
      <c r="EY511" s="58">
        <f>IFERROR($BN511/$BN512-1,"")</f>
        <v/>
      </c>
      <c r="EZ511" s="58">
        <f>IFERROR($BO511/$BO512-1,"")</f>
        <v/>
      </c>
      <c r="FA511" s="58">
        <f>IFERROR($BP511/$BP512-1,"")</f>
        <v/>
      </c>
      <c r="FB511" s="58">
        <f>IFERROR($BQ511/$BQ512-1,"")</f>
        <v/>
      </c>
      <c r="FC511" s="58">
        <f>IFERROR($BR511/$BR512-1,"")</f>
        <v/>
      </c>
      <c r="FD511" s="58">
        <f>IFERROR($BS511/$BS512-1,"")</f>
        <v/>
      </c>
      <c r="FE511" s="58">
        <f>IFERROR($BT511/$BT512-1,"")</f>
        <v/>
      </c>
      <c r="FF511" s="58">
        <f>IFERROR($BU511/$BU512-1,"")</f>
        <v/>
      </c>
      <c r="FG511" s="58">
        <f>IFERROR($BV511/$BV512-1,"")</f>
        <v/>
      </c>
      <c r="FH511" s="58">
        <f>IFERROR($BW511/$BW512-1,"")</f>
        <v/>
      </c>
      <c r="FI511" s="58">
        <f>IFERROR($BX511/$BX512-1,"")</f>
        <v/>
      </c>
      <c r="FJ511" s="59">
        <f>$BY511-$BY512</f>
        <v/>
      </c>
      <c r="FK511" s="59">
        <f>$BZ511-$BZ512</f>
        <v/>
      </c>
      <c r="FL511" s="59">
        <f>$CA511-$CA512</f>
        <v/>
      </c>
      <c r="FM511" s="59">
        <f>$CB511-$CB512</f>
        <v/>
      </c>
      <c r="FN511" s="59">
        <f>$CC511-$CC512</f>
        <v/>
      </c>
      <c r="FO511" s="59">
        <f>$CD511-$CD512</f>
        <v/>
      </c>
      <c r="FP511" s="59">
        <f>$CE511-$CE512</f>
        <v/>
      </c>
      <c r="FQ511" s="59">
        <f>$CF511-$CF512</f>
        <v/>
      </c>
      <c r="FR511" s="59">
        <f>$CG511-$CG512</f>
        <v/>
      </c>
      <c r="FS511" s="59">
        <f>$CH511-$CH512</f>
        <v/>
      </c>
      <c r="FT511" s="59">
        <f>$CI511-$CI512</f>
        <v/>
      </c>
      <c r="FU511" s="59">
        <f>$CJ511-$CJ512</f>
        <v/>
      </c>
      <c r="FV511" s="59">
        <f>$CK511-$CK512</f>
        <v/>
      </c>
      <c r="FW511" s="59">
        <f>$CL511-$CL512</f>
        <v/>
      </c>
      <c r="FX511" s="59">
        <f>$CM511-$CM512</f>
        <v/>
      </c>
      <c r="FY511" s="59">
        <f>$CN511-$CN512</f>
        <v/>
      </c>
      <c r="FZ511" s="59">
        <f>$CO511-$CO512</f>
        <v/>
      </c>
      <c r="GA511" s="59">
        <f>$CP511-$CP512</f>
        <v/>
      </c>
      <c r="GB511" s="59">
        <f>$CQ511-$CQ512</f>
        <v/>
      </c>
      <c r="GC511" s="59">
        <f>$CR511-$CR512</f>
        <v/>
      </c>
      <c r="GD511" s="59">
        <f>$CS511-$CS512</f>
        <v/>
      </c>
      <c r="GE511" s="59">
        <f>$CT511-$CT512</f>
        <v/>
      </c>
    </row>
    <row r="512">
      <c r="CU512" s="58">
        <f>IFERROR($B512/$B513-1,"")</f>
        <v/>
      </c>
      <c r="CV512" s="59">
        <f>($F512-$F513)*100</f>
        <v/>
      </c>
      <c r="CW512" s="59">
        <f>($E512-$E513)*100</f>
        <v/>
      </c>
      <c r="CX512" s="58">
        <f>IFERROR($K512/$K513-1,"")</f>
        <v/>
      </c>
      <c r="CY512" s="59">
        <f>($AH512-$AH513)*100</f>
        <v/>
      </c>
      <c r="CZ512" s="59">
        <f>($AI512-$AI513)*100</f>
        <v/>
      </c>
      <c r="DA512" s="59">
        <f>($AJ512-$AJ513)*100</f>
        <v/>
      </c>
      <c r="DB512" s="59">
        <f>($AK512-$AK513)*100</f>
        <v/>
      </c>
      <c r="DC512" s="59">
        <f>($AL512-$AL513)*100</f>
        <v/>
      </c>
      <c r="DD512" s="59">
        <f>($AM512-$AM513)*100</f>
        <v/>
      </c>
      <c r="DE512" s="59">
        <f>($AN512-$AN513)*100</f>
        <v/>
      </c>
      <c r="DF512" s="59">
        <f>($AO512-$AO513)*100</f>
        <v/>
      </c>
      <c r="DG512" s="59">
        <f>($AP512-$AP513)*100</f>
        <v/>
      </c>
      <c r="DH512" s="59">
        <f>($AQ512-$AQ513)*100</f>
        <v/>
      </c>
      <c r="DI512" s="59">
        <f>($AR512-$AR513)*100</f>
        <v/>
      </c>
      <c r="DJ512" s="59">
        <f>($AS512-$AS513)*100</f>
        <v/>
      </c>
      <c r="DK512" s="59">
        <f>($AT512-$AT513)*100</f>
        <v/>
      </c>
      <c r="DL512" s="59">
        <f>($AU512-$AU513)*100</f>
        <v/>
      </c>
      <c r="DM512" s="59">
        <f>($AV512-$AV513)*100</f>
        <v/>
      </c>
      <c r="DN512" s="59">
        <f>($AW512-$AW513)*100</f>
        <v/>
      </c>
      <c r="DO512" s="59">
        <f>($AX512-$AX513)*100</f>
        <v/>
      </c>
      <c r="DP512" s="59">
        <f>($AY512-$AY513)*100</f>
        <v/>
      </c>
      <c r="DQ512" s="59">
        <f>($AZ512-$AZ513)*100</f>
        <v/>
      </c>
      <c r="DR512" s="59">
        <f>($BA512-$BA513)*100</f>
        <v/>
      </c>
      <c r="DS512" s="58">
        <f>IFERROR($N513/$N512-1,"")</f>
        <v/>
      </c>
      <c r="DT512" s="58">
        <f>IFERROR($O513/$O512-1,"")</f>
        <v/>
      </c>
      <c r="DU512" s="58">
        <f>IFERROR($P513/$P512-1,"")</f>
        <v/>
      </c>
      <c r="DV512" s="58">
        <f>IFERROR($Q513/$Q512-1,"")</f>
        <v/>
      </c>
      <c r="DW512" s="58">
        <f>IFERROR($R513/$R512-1,"")</f>
        <v/>
      </c>
      <c r="DX512" s="58">
        <f>IFERROR($S513/$S512-1,"")</f>
        <v/>
      </c>
      <c r="DY512" s="58">
        <f>IFERROR($T513/$T512-1,"")</f>
        <v/>
      </c>
      <c r="DZ512" s="58">
        <f>IFERROR($U513/$U512-1,"")</f>
        <v/>
      </c>
      <c r="EA512" s="58">
        <f>IFERROR($V513/$V512-1,"")</f>
        <v/>
      </c>
      <c r="EB512" s="58">
        <f>IFERROR($W513/$W512-1,"")</f>
        <v/>
      </c>
      <c r="EC512" s="58">
        <f>IFERROR($X513/$X512-1,"")</f>
        <v/>
      </c>
      <c r="ED512" s="58">
        <f>IFERROR($Y513/$Y512-1,"")</f>
        <v/>
      </c>
      <c r="EE512" s="58">
        <f>IFERROR($Z513/$Z512-1,"")</f>
        <v/>
      </c>
      <c r="EF512" s="58">
        <f>IFERROR($AA513/$AA512-1,"")</f>
        <v/>
      </c>
      <c r="EG512" s="58">
        <f>IFERROR($AB513/$AB512-1,"")</f>
        <v/>
      </c>
      <c r="EH512" s="58">
        <f>IFERROR($AC513/$AC512-1,"")</f>
        <v/>
      </c>
      <c r="EI512" s="58">
        <f>IFERROR($AD513/$AD512-1,"")</f>
        <v/>
      </c>
      <c r="EJ512" s="58">
        <f>IFERROR($AE513/$AE512-1,"")</f>
        <v/>
      </c>
      <c r="EK512" s="58">
        <f>IFERROR($AF513/$AF512-1,"")</f>
        <v/>
      </c>
      <c r="EL512" s="58">
        <f>IFERROR($AG513/$AG512-1,"")</f>
        <v/>
      </c>
      <c r="EM512" s="58">
        <f>IFERROR($BB512/$BB513-1,"")</f>
        <v/>
      </c>
      <c r="EN512" s="58">
        <f>IFERROR($BC512/$BC513-1,"")</f>
        <v/>
      </c>
      <c r="EO512" s="58">
        <f>IFERROR($BD512/$BD513-1,"")</f>
        <v/>
      </c>
      <c r="EP512" s="58">
        <f>IFERROR($BE512/$BE513-1,"")</f>
        <v/>
      </c>
      <c r="EQ512" s="58">
        <f>IFERROR($BF512/$BF513-1,"")</f>
        <v/>
      </c>
      <c r="ER512" s="58">
        <f>IFERROR($BG512/$BG513-1,"")</f>
        <v/>
      </c>
      <c r="ES512" s="58">
        <f>IFERROR($BH512/$BH513-1,"")</f>
        <v/>
      </c>
      <c r="ET512" s="58">
        <f>IFERROR($BI512/$BI513-1,"")</f>
        <v/>
      </c>
      <c r="EU512" s="58">
        <f>IFERROR($BJ512/$BJ513-1,"")</f>
        <v/>
      </c>
      <c r="EV512" s="58">
        <f>IFERROR($BK512/$BK513-1,"")</f>
        <v/>
      </c>
      <c r="EW512" s="58">
        <f>IFERROR($BL512/$BL513-1,"")</f>
        <v/>
      </c>
      <c r="EX512" s="58">
        <f>IFERROR($BM512/$BM513-1,"")</f>
        <v/>
      </c>
      <c r="EY512" s="58">
        <f>IFERROR($BN512/$BN513-1,"")</f>
        <v/>
      </c>
      <c r="EZ512" s="58">
        <f>IFERROR($BO512/$BO513-1,"")</f>
        <v/>
      </c>
      <c r="FA512" s="58">
        <f>IFERROR($BP512/$BP513-1,"")</f>
        <v/>
      </c>
      <c r="FB512" s="58">
        <f>IFERROR($BQ512/$BQ513-1,"")</f>
        <v/>
      </c>
      <c r="FC512" s="58">
        <f>IFERROR($BR512/$BR513-1,"")</f>
        <v/>
      </c>
      <c r="FD512" s="58">
        <f>IFERROR($BS512/$BS513-1,"")</f>
        <v/>
      </c>
      <c r="FE512" s="58">
        <f>IFERROR($BT512/$BT513-1,"")</f>
        <v/>
      </c>
      <c r="FF512" s="58">
        <f>IFERROR($BU512/$BU513-1,"")</f>
        <v/>
      </c>
      <c r="FG512" s="58">
        <f>IFERROR($BV512/$BV513-1,"")</f>
        <v/>
      </c>
      <c r="FH512" s="58">
        <f>IFERROR($BW512/$BW513-1,"")</f>
        <v/>
      </c>
      <c r="FI512" s="58">
        <f>IFERROR($BX512/$BX513-1,"")</f>
        <v/>
      </c>
      <c r="FJ512" s="59">
        <f>$BY512-$BY513</f>
        <v/>
      </c>
      <c r="FK512" s="59">
        <f>$BZ512-$BZ513</f>
        <v/>
      </c>
      <c r="FL512" s="59">
        <f>$CA512-$CA513</f>
        <v/>
      </c>
      <c r="FM512" s="59">
        <f>$CB512-$CB513</f>
        <v/>
      </c>
      <c r="FN512" s="59">
        <f>$CC512-$CC513</f>
        <v/>
      </c>
      <c r="FO512" s="59">
        <f>$CD512-$CD513</f>
        <v/>
      </c>
      <c r="FP512" s="59">
        <f>$CE512-$CE513</f>
        <v/>
      </c>
      <c r="FQ512" s="59">
        <f>$CF512-$CF513</f>
        <v/>
      </c>
      <c r="FR512" s="59">
        <f>$CG512-$CG513</f>
        <v/>
      </c>
      <c r="FS512" s="59">
        <f>$CH512-$CH513</f>
        <v/>
      </c>
      <c r="FT512" s="59">
        <f>$CI512-$CI513</f>
        <v/>
      </c>
      <c r="FU512" s="59">
        <f>$CJ512-$CJ513</f>
        <v/>
      </c>
      <c r="FV512" s="59">
        <f>$CK512-$CK513</f>
        <v/>
      </c>
      <c r="FW512" s="59">
        <f>$CL512-$CL513</f>
        <v/>
      </c>
      <c r="FX512" s="59">
        <f>$CM512-$CM513</f>
        <v/>
      </c>
      <c r="FY512" s="59">
        <f>$CN512-$CN513</f>
        <v/>
      </c>
      <c r="FZ512" s="59">
        <f>$CO512-$CO513</f>
        <v/>
      </c>
      <c r="GA512" s="59">
        <f>$CP512-$CP513</f>
        <v/>
      </c>
      <c r="GB512" s="59">
        <f>$CQ512-$CQ513</f>
        <v/>
      </c>
      <c r="GC512" s="59">
        <f>$CR512-$CR513</f>
        <v/>
      </c>
      <c r="GD512" s="59">
        <f>$CS512-$CS513</f>
        <v/>
      </c>
      <c r="GE512" s="59">
        <f>$CT512-$CT513</f>
        <v/>
      </c>
    </row>
    <row r="513">
      <c r="CU513" s="58">
        <f>IFERROR($B513/$B514-1,"")</f>
        <v/>
      </c>
      <c r="CV513" s="59">
        <f>($F513-$F514)*100</f>
        <v/>
      </c>
      <c r="CW513" s="59">
        <f>($E513-$E514)*100</f>
        <v/>
      </c>
      <c r="CX513" s="58">
        <f>IFERROR($K513/$K514-1,"")</f>
        <v/>
      </c>
      <c r="CY513" s="59">
        <f>($AH513-$AH514)*100</f>
        <v/>
      </c>
      <c r="CZ513" s="59">
        <f>($AI513-$AI514)*100</f>
        <v/>
      </c>
      <c r="DA513" s="59">
        <f>($AJ513-$AJ514)*100</f>
        <v/>
      </c>
      <c r="DB513" s="59">
        <f>($AK513-$AK514)*100</f>
        <v/>
      </c>
      <c r="DC513" s="59">
        <f>($AL513-$AL514)*100</f>
        <v/>
      </c>
      <c r="DD513" s="59">
        <f>($AM513-$AM514)*100</f>
        <v/>
      </c>
      <c r="DE513" s="59">
        <f>($AN513-$AN514)*100</f>
        <v/>
      </c>
      <c r="DF513" s="59">
        <f>($AO513-$AO514)*100</f>
        <v/>
      </c>
      <c r="DG513" s="59">
        <f>($AP513-$AP514)*100</f>
        <v/>
      </c>
      <c r="DH513" s="59">
        <f>($AQ513-$AQ514)*100</f>
        <v/>
      </c>
      <c r="DI513" s="59">
        <f>($AR513-$AR514)*100</f>
        <v/>
      </c>
      <c r="DJ513" s="59">
        <f>($AS513-$AS514)*100</f>
        <v/>
      </c>
      <c r="DK513" s="59">
        <f>($AT513-$AT514)*100</f>
        <v/>
      </c>
      <c r="DL513" s="59">
        <f>($AU513-$AU514)*100</f>
        <v/>
      </c>
      <c r="DM513" s="59">
        <f>($AV513-$AV514)*100</f>
        <v/>
      </c>
      <c r="DN513" s="59">
        <f>($AW513-$AW514)*100</f>
        <v/>
      </c>
      <c r="DO513" s="59">
        <f>($AX513-$AX514)*100</f>
        <v/>
      </c>
      <c r="DP513" s="59">
        <f>($AY513-$AY514)*100</f>
        <v/>
      </c>
      <c r="DQ513" s="59">
        <f>($AZ513-$AZ514)*100</f>
        <v/>
      </c>
      <c r="DR513" s="59">
        <f>($BA513-$BA514)*100</f>
        <v/>
      </c>
      <c r="DS513" s="58">
        <f>IFERROR($N514/$N513-1,"")</f>
        <v/>
      </c>
      <c r="DT513" s="58">
        <f>IFERROR($O514/$O513-1,"")</f>
        <v/>
      </c>
      <c r="DU513" s="58">
        <f>IFERROR($P514/$P513-1,"")</f>
        <v/>
      </c>
      <c r="DV513" s="58">
        <f>IFERROR($Q514/$Q513-1,"")</f>
        <v/>
      </c>
      <c r="DW513" s="58">
        <f>IFERROR($R514/$R513-1,"")</f>
        <v/>
      </c>
      <c r="DX513" s="58">
        <f>IFERROR($S514/$S513-1,"")</f>
        <v/>
      </c>
      <c r="DY513" s="58">
        <f>IFERROR($T514/$T513-1,"")</f>
        <v/>
      </c>
      <c r="DZ513" s="58">
        <f>IFERROR($U514/$U513-1,"")</f>
        <v/>
      </c>
      <c r="EA513" s="58">
        <f>IFERROR($V514/$V513-1,"")</f>
        <v/>
      </c>
      <c r="EB513" s="58">
        <f>IFERROR($W514/$W513-1,"")</f>
        <v/>
      </c>
      <c r="EC513" s="58">
        <f>IFERROR($X514/$X513-1,"")</f>
        <v/>
      </c>
      <c r="ED513" s="58">
        <f>IFERROR($Y514/$Y513-1,"")</f>
        <v/>
      </c>
      <c r="EE513" s="58">
        <f>IFERROR($Z514/$Z513-1,"")</f>
        <v/>
      </c>
      <c r="EF513" s="58">
        <f>IFERROR($AA514/$AA513-1,"")</f>
        <v/>
      </c>
      <c r="EG513" s="58">
        <f>IFERROR($AB514/$AB513-1,"")</f>
        <v/>
      </c>
      <c r="EH513" s="58">
        <f>IFERROR($AC514/$AC513-1,"")</f>
        <v/>
      </c>
      <c r="EI513" s="58">
        <f>IFERROR($AD514/$AD513-1,"")</f>
        <v/>
      </c>
      <c r="EJ513" s="58">
        <f>IFERROR($AE514/$AE513-1,"")</f>
        <v/>
      </c>
      <c r="EK513" s="58">
        <f>IFERROR($AF514/$AF513-1,"")</f>
        <v/>
      </c>
      <c r="EL513" s="58">
        <f>IFERROR($AG514/$AG513-1,"")</f>
        <v/>
      </c>
      <c r="EM513" s="58">
        <f>IFERROR($BB513/$BB514-1,"")</f>
        <v/>
      </c>
      <c r="EN513" s="58">
        <f>IFERROR($BC513/$BC514-1,"")</f>
        <v/>
      </c>
      <c r="EO513" s="58">
        <f>IFERROR($BD513/$BD514-1,"")</f>
        <v/>
      </c>
      <c r="EP513" s="58">
        <f>IFERROR($BE513/$BE514-1,"")</f>
        <v/>
      </c>
      <c r="EQ513" s="58">
        <f>IFERROR($BF513/$BF514-1,"")</f>
        <v/>
      </c>
      <c r="ER513" s="58">
        <f>IFERROR($BG513/$BG514-1,"")</f>
        <v/>
      </c>
      <c r="ES513" s="58">
        <f>IFERROR($BH513/$BH514-1,"")</f>
        <v/>
      </c>
      <c r="ET513" s="58">
        <f>IFERROR($BI513/$BI514-1,"")</f>
        <v/>
      </c>
      <c r="EU513" s="58">
        <f>IFERROR($BJ513/$BJ514-1,"")</f>
        <v/>
      </c>
      <c r="EV513" s="58">
        <f>IFERROR($BK513/$BK514-1,"")</f>
        <v/>
      </c>
      <c r="EW513" s="58">
        <f>IFERROR($BL513/$BL514-1,"")</f>
        <v/>
      </c>
      <c r="EX513" s="58">
        <f>IFERROR($BM513/$BM514-1,"")</f>
        <v/>
      </c>
      <c r="EY513" s="58">
        <f>IFERROR($BN513/$BN514-1,"")</f>
        <v/>
      </c>
      <c r="EZ513" s="58">
        <f>IFERROR($BO513/$BO514-1,"")</f>
        <v/>
      </c>
      <c r="FA513" s="58">
        <f>IFERROR($BP513/$BP514-1,"")</f>
        <v/>
      </c>
      <c r="FB513" s="58">
        <f>IFERROR($BQ513/$BQ514-1,"")</f>
        <v/>
      </c>
      <c r="FC513" s="58">
        <f>IFERROR($BR513/$BR514-1,"")</f>
        <v/>
      </c>
      <c r="FD513" s="58">
        <f>IFERROR($BS513/$BS514-1,"")</f>
        <v/>
      </c>
      <c r="FE513" s="58">
        <f>IFERROR($BT513/$BT514-1,"")</f>
        <v/>
      </c>
      <c r="FF513" s="58">
        <f>IFERROR($BU513/$BU514-1,"")</f>
        <v/>
      </c>
      <c r="FG513" s="58">
        <f>IFERROR($BV513/$BV514-1,"")</f>
        <v/>
      </c>
      <c r="FH513" s="58">
        <f>IFERROR($BW513/$BW514-1,"")</f>
        <v/>
      </c>
      <c r="FI513" s="58">
        <f>IFERROR($BX513/$BX514-1,"")</f>
        <v/>
      </c>
      <c r="FJ513" s="59">
        <f>$BY513-$BY514</f>
        <v/>
      </c>
      <c r="FK513" s="59">
        <f>$BZ513-$BZ514</f>
        <v/>
      </c>
      <c r="FL513" s="59">
        <f>$CA513-$CA514</f>
        <v/>
      </c>
      <c r="FM513" s="59">
        <f>$CB513-$CB514</f>
        <v/>
      </c>
      <c r="FN513" s="59">
        <f>$CC513-$CC514</f>
        <v/>
      </c>
      <c r="FO513" s="59">
        <f>$CD513-$CD514</f>
        <v/>
      </c>
      <c r="FP513" s="59">
        <f>$CE513-$CE514</f>
        <v/>
      </c>
      <c r="FQ513" s="59">
        <f>$CF513-$CF514</f>
        <v/>
      </c>
      <c r="FR513" s="59">
        <f>$CG513-$CG514</f>
        <v/>
      </c>
      <c r="FS513" s="59">
        <f>$CH513-$CH514</f>
        <v/>
      </c>
      <c r="FT513" s="59">
        <f>$CI513-$CI514</f>
        <v/>
      </c>
      <c r="FU513" s="59">
        <f>$CJ513-$CJ514</f>
        <v/>
      </c>
      <c r="FV513" s="59">
        <f>$CK513-$CK514</f>
        <v/>
      </c>
      <c r="FW513" s="59">
        <f>$CL513-$CL514</f>
        <v/>
      </c>
      <c r="FX513" s="59">
        <f>$CM513-$CM514</f>
        <v/>
      </c>
      <c r="FY513" s="59">
        <f>$CN513-$CN514</f>
        <v/>
      </c>
      <c r="FZ513" s="59">
        <f>$CO513-$CO514</f>
        <v/>
      </c>
      <c r="GA513" s="59">
        <f>$CP513-$CP514</f>
        <v/>
      </c>
      <c r="GB513" s="59">
        <f>$CQ513-$CQ514</f>
        <v/>
      </c>
      <c r="GC513" s="59">
        <f>$CR513-$CR514</f>
        <v/>
      </c>
      <c r="GD513" s="59">
        <f>$CS513-$CS514</f>
        <v/>
      </c>
      <c r="GE513" s="59">
        <f>$CT513-$CT514</f>
        <v/>
      </c>
    </row>
    <row r="514">
      <c r="CU514" s="58">
        <f>IFERROR($B514/$B515-1,"")</f>
        <v/>
      </c>
      <c r="CV514" s="59">
        <f>($F514-$F515)*100</f>
        <v/>
      </c>
      <c r="CW514" s="59">
        <f>($E514-$E515)*100</f>
        <v/>
      </c>
      <c r="CX514" s="58">
        <f>IFERROR($K514/$K515-1,"")</f>
        <v/>
      </c>
      <c r="CY514" s="59">
        <f>($AH514-$AH515)*100</f>
        <v/>
      </c>
      <c r="CZ514" s="59">
        <f>($AI514-$AI515)*100</f>
        <v/>
      </c>
      <c r="DA514" s="59">
        <f>($AJ514-$AJ515)*100</f>
        <v/>
      </c>
      <c r="DB514" s="59">
        <f>($AK514-$AK515)*100</f>
        <v/>
      </c>
      <c r="DC514" s="59">
        <f>($AL514-$AL515)*100</f>
        <v/>
      </c>
      <c r="DD514" s="59">
        <f>($AM514-$AM515)*100</f>
        <v/>
      </c>
      <c r="DE514" s="59">
        <f>($AN514-$AN515)*100</f>
        <v/>
      </c>
      <c r="DF514" s="59">
        <f>($AO514-$AO515)*100</f>
        <v/>
      </c>
      <c r="DG514" s="59">
        <f>($AP514-$AP515)*100</f>
        <v/>
      </c>
      <c r="DH514" s="59">
        <f>($AQ514-$AQ515)*100</f>
        <v/>
      </c>
      <c r="DI514" s="59">
        <f>($AR514-$AR515)*100</f>
        <v/>
      </c>
      <c r="DJ514" s="59">
        <f>($AS514-$AS515)*100</f>
        <v/>
      </c>
      <c r="DK514" s="59">
        <f>($AT514-$AT515)*100</f>
        <v/>
      </c>
      <c r="DL514" s="59">
        <f>($AU514-$AU515)*100</f>
        <v/>
      </c>
      <c r="DM514" s="59">
        <f>($AV514-$AV515)*100</f>
        <v/>
      </c>
      <c r="DN514" s="59">
        <f>($AW514-$AW515)*100</f>
        <v/>
      </c>
      <c r="DO514" s="59">
        <f>($AX514-$AX515)*100</f>
        <v/>
      </c>
      <c r="DP514" s="59">
        <f>($AY514-$AY515)*100</f>
        <v/>
      </c>
      <c r="DQ514" s="59">
        <f>($AZ514-$AZ515)*100</f>
        <v/>
      </c>
      <c r="DR514" s="59">
        <f>($BA514-$BA515)*100</f>
        <v/>
      </c>
      <c r="DS514" s="58">
        <f>IFERROR($N515/$N514-1,"")</f>
        <v/>
      </c>
      <c r="DT514" s="58">
        <f>IFERROR($O515/$O514-1,"")</f>
        <v/>
      </c>
      <c r="DU514" s="58">
        <f>IFERROR($P515/$P514-1,"")</f>
        <v/>
      </c>
      <c r="DV514" s="58">
        <f>IFERROR($Q515/$Q514-1,"")</f>
        <v/>
      </c>
      <c r="DW514" s="58">
        <f>IFERROR($R515/$R514-1,"")</f>
        <v/>
      </c>
      <c r="DX514" s="58">
        <f>IFERROR($S515/$S514-1,"")</f>
        <v/>
      </c>
      <c r="DY514" s="58">
        <f>IFERROR($T515/$T514-1,"")</f>
        <v/>
      </c>
      <c r="DZ514" s="58">
        <f>IFERROR($U515/$U514-1,"")</f>
        <v/>
      </c>
      <c r="EA514" s="58">
        <f>IFERROR($V515/$V514-1,"")</f>
        <v/>
      </c>
      <c r="EB514" s="58">
        <f>IFERROR($W515/$W514-1,"")</f>
        <v/>
      </c>
      <c r="EC514" s="58">
        <f>IFERROR($X515/$X514-1,"")</f>
        <v/>
      </c>
      <c r="ED514" s="58">
        <f>IFERROR($Y515/$Y514-1,"")</f>
        <v/>
      </c>
      <c r="EE514" s="58">
        <f>IFERROR($Z515/$Z514-1,"")</f>
        <v/>
      </c>
      <c r="EF514" s="58">
        <f>IFERROR($AA515/$AA514-1,"")</f>
        <v/>
      </c>
      <c r="EG514" s="58">
        <f>IFERROR($AB515/$AB514-1,"")</f>
        <v/>
      </c>
      <c r="EH514" s="58">
        <f>IFERROR($AC515/$AC514-1,"")</f>
        <v/>
      </c>
      <c r="EI514" s="58">
        <f>IFERROR($AD515/$AD514-1,"")</f>
        <v/>
      </c>
      <c r="EJ514" s="58">
        <f>IFERROR($AE515/$AE514-1,"")</f>
        <v/>
      </c>
      <c r="EK514" s="58">
        <f>IFERROR($AF515/$AF514-1,"")</f>
        <v/>
      </c>
      <c r="EL514" s="58">
        <f>IFERROR($AG515/$AG514-1,"")</f>
        <v/>
      </c>
      <c r="EM514" s="58">
        <f>IFERROR($BB514/$BB515-1,"")</f>
        <v/>
      </c>
      <c r="EN514" s="58">
        <f>IFERROR($BC514/$BC515-1,"")</f>
        <v/>
      </c>
      <c r="EO514" s="58">
        <f>IFERROR($BD514/$BD515-1,"")</f>
        <v/>
      </c>
      <c r="EP514" s="58">
        <f>IFERROR($BE514/$BE515-1,"")</f>
        <v/>
      </c>
      <c r="EQ514" s="58">
        <f>IFERROR($BF514/$BF515-1,"")</f>
        <v/>
      </c>
      <c r="ER514" s="58">
        <f>IFERROR($BG514/$BG515-1,"")</f>
        <v/>
      </c>
      <c r="ES514" s="58">
        <f>IFERROR($BH514/$BH515-1,"")</f>
        <v/>
      </c>
      <c r="ET514" s="58">
        <f>IFERROR($BI514/$BI515-1,"")</f>
        <v/>
      </c>
      <c r="EU514" s="58">
        <f>IFERROR($BJ514/$BJ515-1,"")</f>
        <v/>
      </c>
      <c r="EV514" s="58">
        <f>IFERROR($BK514/$BK515-1,"")</f>
        <v/>
      </c>
      <c r="EW514" s="58">
        <f>IFERROR($BL514/$BL515-1,"")</f>
        <v/>
      </c>
      <c r="EX514" s="58">
        <f>IFERROR($BM514/$BM515-1,"")</f>
        <v/>
      </c>
      <c r="EY514" s="58">
        <f>IFERROR($BN514/$BN515-1,"")</f>
        <v/>
      </c>
      <c r="EZ514" s="58">
        <f>IFERROR($BO514/$BO515-1,"")</f>
        <v/>
      </c>
      <c r="FA514" s="58">
        <f>IFERROR($BP514/$BP515-1,"")</f>
        <v/>
      </c>
      <c r="FB514" s="58">
        <f>IFERROR($BQ514/$BQ515-1,"")</f>
        <v/>
      </c>
      <c r="FC514" s="58">
        <f>IFERROR($BR514/$BR515-1,"")</f>
        <v/>
      </c>
      <c r="FD514" s="58">
        <f>IFERROR($BS514/$BS515-1,"")</f>
        <v/>
      </c>
      <c r="FE514" s="58">
        <f>IFERROR($BT514/$BT515-1,"")</f>
        <v/>
      </c>
      <c r="FF514" s="58">
        <f>IFERROR($BU514/$BU515-1,"")</f>
        <v/>
      </c>
      <c r="FG514" s="58">
        <f>IFERROR($BV514/$BV515-1,"")</f>
        <v/>
      </c>
      <c r="FH514" s="58">
        <f>IFERROR($BW514/$BW515-1,"")</f>
        <v/>
      </c>
      <c r="FI514" s="58">
        <f>IFERROR($BX514/$BX515-1,"")</f>
        <v/>
      </c>
      <c r="FJ514" s="59">
        <f>$BY514-$BY515</f>
        <v/>
      </c>
      <c r="FK514" s="59">
        <f>$BZ514-$BZ515</f>
        <v/>
      </c>
      <c r="FL514" s="59">
        <f>$CA514-$CA515</f>
        <v/>
      </c>
      <c r="FM514" s="59">
        <f>$CB514-$CB515</f>
        <v/>
      </c>
      <c r="FN514" s="59">
        <f>$CC514-$CC515</f>
        <v/>
      </c>
      <c r="FO514" s="59">
        <f>$CD514-$CD515</f>
        <v/>
      </c>
      <c r="FP514" s="59">
        <f>$CE514-$CE515</f>
        <v/>
      </c>
      <c r="FQ514" s="59">
        <f>$CF514-$CF515</f>
        <v/>
      </c>
      <c r="FR514" s="59">
        <f>$CG514-$CG515</f>
        <v/>
      </c>
      <c r="FS514" s="59">
        <f>$CH514-$CH515</f>
        <v/>
      </c>
      <c r="FT514" s="59">
        <f>$CI514-$CI515</f>
        <v/>
      </c>
      <c r="FU514" s="59">
        <f>$CJ514-$CJ515</f>
        <v/>
      </c>
      <c r="FV514" s="59">
        <f>$CK514-$CK515</f>
        <v/>
      </c>
      <c r="FW514" s="59">
        <f>$CL514-$CL515</f>
        <v/>
      </c>
      <c r="FX514" s="59">
        <f>$CM514-$CM515</f>
        <v/>
      </c>
      <c r="FY514" s="59">
        <f>$CN514-$CN515</f>
        <v/>
      </c>
      <c r="FZ514" s="59">
        <f>$CO514-$CO515</f>
        <v/>
      </c>
      <c r="GA514" s="59">
        <f>$CP514-$CP515</f>
        <v/>
      </c>
      <c r="GB514" s="59">
        <f>$CQ514-$CQ515</f>
        <v/>
      </c>
      <c r="GC514" s="59">
        <f>$CR514-$CR515</f>
        <v/>
      </c>
      <c r="GD514" s="59">
        <f>$CS514-$CS515</f>
        <v/>
      </c>
      <c r="GE514" s="59">
        <f>$CT514-$CT515</f>
        <v/>
      </c>
    </row>
    <row r="515">
      <c r="CU515" s="58">
        <f>IFERROR($B515/$B516-1,"")</f>
        <v/>
      </c>
      <c r="CV515" s="59">
        <f>($F515-$F516)*100</f>
        <v/>
      </c>
      <c r="CW515" s="59">
        <f>($E515-$E516)*100</f>
        <v/>
      </c>
      <c r="CX515" s="58">
        <f>IFERROR($K515/$K516-1,"")</f>
        <v/>
      </c>
      <c r="CY515" s="59">
        <f>($AH515-$AH516)*100</f>
        <v/>
      </c>
      <c r="CZ515" s="59">
        <f>($AI515-$AI516)*100</f>
        <v/>
      </c>
      <c r="DA515" s="59">
        <f>($AJ515-$AJ516)*100</f>
        <v/>
      </c>
      <c r="DB515" s="59">
        <f>($AK515-$AK516)*100</f>
        <v/>
      </c>
      <c r="DC515" s="59">
        <f>($AL515-$AL516)*100</f>
        <v/>
      </c>
      <c r="DD515" s="59">
        <f>($AM515-$AM516)*100</f>
        <v/>
      </c>
      <c r="DE515" s="59">
        <f>($AN515-$AN516)*100</f>
        <v/>
      </c>
      <c r="DF515" s="59">
        <f>($AO515-$AO516)*100</f>
        <v/>
      </c>
      <c r="DG515" s="59">
        <f>($AP515-$AP516)*100</f>
        <v/>
      </c>
      <c r="DH515" s="59">
        <f>($AQ515-$AQ516)*100</f>
        <v/>
      </c>
      <c r="DI515" s="59">
        <f>($AR515-$AR516)*100</f>
        <v/>
      </c>
      <c r="DJ515" s="59">
        <f>($AS515-$AS516)*100</f>
        <v/>
      </c>
      <c r="DK515" s="59">
        <f>($AT515-$AT516)*100</f>
        <v/>
      </c>
      <c r="DL515" s="59">
        <f>($AU515-$AU516)*100</f>
        <v/>
      </c>
      <c r="DM515" s="59">
        <f>($AV515-$AV516)*100</f>
        <v/>
      </c>
      <c r="DN515" s="59">
        <f>($AW515-$AW516)*100</f>
        <v/>
      </c>
      <c r="DO515" s="59">
        <f>($AX515-$AX516)*100</f>
        <v/>
      </c>
      <c r="DP515" s="59">
        <f>($AY515-$AY516)*100</f>
        <v/>
      </c>
      <c r="DQ515" s="59">
        <f>($AZ515-$AZ516)*100</f>
        <v/>
      </c>
      <c r="DR515" s="59">
        <f>($BA515-$BA516)*100</f>
        <v/>
      </c>
      <c r="DS515" s="58">
        <f>IFERROR($N516/$N515-1,"")</f>
        <v/>
      </c>
      <c r="DT515" s="58">
        <f>IFERROR($O516/$O515-1,"")</f>
        <v/>
      </c>
      <c r="DU515" s="58">
        <f>IFERROR($P516/$P515-1,"")</f>
        <v/>
      </c>
      <c r="DV515" s="58">
        <f>IFERROR($Q516/$Q515-1,"")</f>
        <v/>
      </c>
      <c r="DW515" s="58">
        <f>IFERROR($R516/$R515-1,"")</f>
        <v/>
      </c>
      <c r="DX515" s="58">
        <f>IFERROR($S516/$S515-1,"")</f>
        <v/>
      </c>
      <c r="DY515" s="58">
        <f>IFERROR($T516/$T515-1,"")</f>
        <v/>
      </c>
      <c r="DZ515" s="58">
        <f>IFERROR($U516/$U515-1,"")</f>
        <v/>
      </c>
      <c r="EA515" s="58">
        <f>IFERROR($V516/$V515-1,"")</f>
        <v/>
      </c>
      <c r="EB515" s="58">
        <f>IFERROR($W516/$W515-1,"")</f>
        <v/>
      </c>
      <c r="EC515" s="58">
        <f>IFERROR($X516/$X515-1,"")</f>
        <v/>
      </c>
      <c r="ED515" s="58">
        <f>IFERROR($Y516/$Y515-1,"")</f>
        <v/>
      </c>
      <c r="EE515" s="58">
        <f>IFERROR($Z516/$Z515-1,"")</f>
        <v/>
      </c>
      <c r="EF515" s="58">
        <f>IFERROR($AA516/$AA515-1,"")</f>
        <v/>
      </c>
      <c r="EG515" s="58">
        <f>IFERROR($AB516/$AB515-1,"")</f>
        <v/>
      </c>
      <c r="EH515" s="58">
        <f>IFERROR($AC516/$AC515-1,"")</f>
        <v/>
      </c>
      <c r="EI515" s="58">
        <f>IFERROR($AD516/$AD515-1,"")</f>
        <v/>
      </c>
      <c r="EJ515" s="58">
        <f>IFERROR($AE516/$AE515-1,"")</f>
        <v/>
      </c>
      <c r="EK515" s="58">
        <f>IFERROR($AF516/$AF515-1,"")</f>
        <v/>
      </c>
      <c r="EL515" s="58">
        <f>IFERROR($AG516/$AG515-1,"")</f>
        <v/>
      </c>
      <c r="EM515" s="58">
        <f>IFERROR($BB515/$BB516-1,"")</f>
        <v/>
      </c>
      <c r="EN515" s="58">
        <f>IFERROR($BC515/$BC516-1,"")</f>
        <v/>
      </c>
      <c r="EO515" s="58">
        <f>IFERROR($BD515/$BD516-1,"")</f>
        <v/>
      </c>
      <c r="EP515" s="58">
        <f>IFERROR($BE515/$BE516-1,"")</f>
        <v/>
      </c>
      <c r="EQ515" s="58">
        <f>IFERROR($BF515/$BF516-1,"")</f>
        <v/>
      </c>
      <c r="ER515" s="58">
        <f>IFERROR($BG515/$BG516-1,"")</f>
        <v/>
      </c>
      <c r="ES515" s="58">
        <f>IFERROR($BH515/$BH516-1,"")</f>
        <v/>
      </c>
      <c r="ET515" s="58">
        <f>IFERROR($BI515/$BI516-1,"")</f>
        <v/>
      </c>
      <c r="EU515" s="58">
        <f>IFERROR($BJ515/$BJ516-1,"")</f>
        <v/>
      </c>
      <c r="EV515" s="58">
        <f>IFERROR($BK515/$BK516-1,"")</f>
        <v/>
      </c>
      <c r="EW515" s="58">
        <f>IFERROR($BL515/$BL516-1,"")</f>
        <v/>
      </c>
      <c r="EX515" s="58">
        <f>IFERROR($BM515/$BM516-1,"")</f>
        <v/>
      </c>
      <c r="EY515" s="58">
        <f>IFERROR($BN515/$BN516-1,"")</f>
        <v/>
      </c>
      <c r="EZ515" s="58">
        <f>IFERROR($BO515/$BO516-1,"")</f>
        <v/>
      </c>
      <c r="FA515" s="58">
        <f>IFERROR($BP515/$BP516-1,"")</f>
        <v/>
      </c>
      <c r="FB515" s="58">
        <f>IFERROR($BQ515/$BQ516-1,"")</f>
        <v/>
      </c>
      <c r="FC515" s="58">
        <f>IFERROR($BR515/$BR516-1,"")</f>
        <v/>
      </c>
      <c r="FD515" s="58">
        <f>IFERROR($BS515/$BS516-1,"")</f>
        <v/>
      </c>
      <c r="FE515" s="58">
        <f>IFERROR($BT515/$BT516-1,"")</f>
        <v/>
      </c>
      <c r="FF515" s="58">
        <f>IFERROR($BU515/$BU516-1,"")</f>
        <v/>
      </c>
      <c r="FG515" s="58">
        <f>IFERROR($BV515/$BV516-1,"")</f>
        <v/>
      </c>
      <c r="FH515" s="58">
        <f>IFERROR($BW515/$BW516-1,"")</f>
        <v/>
      </c>
      <c r="FI515" s="58">
        <f>IFERROR($BX515/$BX516-1,"")</f>
        <v/>
      </c>
      <c r="FJ515" s="59">
        <f>$BY515-$BY516</f>
        <v/>
      </c>
      <c r="FK515" s="59">
        <f>$BZ515-$BZ516</f>
        <v/>
      </c>
      <c r="FL515" s="59">
        <f>$CA515-$CA516</f>
        <v/>
      </c>
      <c r="FM515" s="59">
        <f>$CB515-$CB516</f>
        <v/>
      </c>
      <c r="FN515" s="59">
        <f>$CC515-$CC516</f>
        <v/>
      </c>
      <c r="FO515" s="59">
        <f>$CD515-$CD516</f>
        <v/>
      </c>
      <c r="FP515" s="59">
        <f>$CE515-$CE516</f>
        <v/>
      </c>
      <c r="FQ515" s="59">
        <f>$CF515-$CF516</f>
        <v/>
      </c>
      <c r="FR515" s="59">
        <f>$CG515-$CG516</f>
        <v/>
      </c>
      <c r="FS515" s="59">
        <f>$CH515-$CH516</f>
        <v/>
      </c>
      <c r="FT515" s="59">
        <f>$CI515-$CI516</f>
        <v/>
      </c>
      <c r="FU515" s="59">
        <f>$CJ515-$CJ516</f>
        <v/>
      </c>
      <c r="FV515" s="59">
        <f>$CK515-$CK516</f>
        <v/>
      </c>
      <c r="FW515" s="59">
        <f>$CL515-$CL516</f>
        <v/>
      </c>
      <c r="FX515" s="59">
        <f>$CM515-$CM516</f>
        <v/>
      </c>
      <c r="FY515" s="59">
        <f>$CN515-$CN516</f>
        <v/>
      </c>
      <c r="FZ515" s="59">
        <f>$CO515-$CO516</f>
        <v/>
      </c>
      <c r="GA515" s="59">
        <f>$CP515-$CP516</f>
        <v/>
      </c>
      <c r="GB515" s="59">
        <f>$CQ515-$CQ516</f>
        <v/>
      </c>
      <c r="GC515" s="59">
        <f>$CR515-$CR516</f>
        <v/>
      </c>
      <c r="GD515" s="59">
        <f>$CS515-$CS516</f>
        <v/>
      </c>
      <c r="GE515" s="59">
        <f>$CT515-$CT516</f>
        <v/>
      </c>
    </row>
    <row r="516">
      <c r="CU516" s="58">
        <f>IFERROR($B516/$B517-1,"")</f>
        <v/>
      </c>
      <c r="CV516" s="59">
        <f>($F516-$F517)*100</f>
        <v/>
      </c>
      <c r="CW516" s="59">
        <f>($E516-$E517)*100</f>
        <v/>
      </c>
      <c r="CX516" s="58">
        <f>IFERROR($K516/$K517-1,"")</f>
        <v/>
      </c>
      <c r="CY516" s="59">
        <f>($AH516-$AH517)*100</f>
        <v/>
      </c>
      <c r="CZ516" s="59">
        <f>($AI516-$AI517)*100</f>
        <v/>
      </c>
      <c r="DA516" s="59">
        <f>($AJ516-$AJ517)*100</f>
        <v/>
      </c>
      <c r="DB516" s="59">
        <f>($AK516-$AK517)*100</f>
        <v/>
      </c>
      <c r="DC516" s="59">
        <f>($AL516-$AL517)*100</f>
        <v/>
      </c>
      <c r="DD516" s="59">
        <f>($AM516-$AM517)*100</f>
        <v/>
      </c>
      <c r="DE516" s="59">
        <f>($AN516-$AN517)*100</f>
        <v/>
      </c>
      <c r="DF516" s="59">
        <f>($AO516-$AO517)*100</f>
        <v/>
      </c>
      <c r="DG516" s="59">
        <f>($AP516-$AP517)*100</f>
        <v/>
      </c>
      <c r="DH516" s="59">
        <f>($AQ516-$AQ517)*100</f>
        <v/>
      </c>
      <c r="DI516" s="59">
        <f>($AR516-$AR517)*100</f>
        <v/>
      </c>
      <c r="DJ516" s="59">
        <f>($AS516-$AS517)*100</f>
        <v/>
      </c>
      <c r="DK516" s="59">
        <f>($AT516-$AT517)*100</f>
        <v/>
      </c>
      <c r="DL516" s="59">
        <f>($AU516-$AU517)*100</f>
        <v/>
      </c>
      <c r="DM516" s="59">
        <f>($AV516-$AV517)*100</f>
        <v/>
      </c>
      <c r="DN516" s="59">
        <f>($AW516-$AW517)*100</f>
        <v/>
      </c>
      <c r="DO516" s="59">
        <f>($AX516-$AX517)*100</f>
        <v/>
      </c>
      <c r="DP516" s="59">
        <f>($AY516-$AY517)*100</f>
        <v/>
      </c>
      <c r="DQ516" s="59">
        <f>($AZ516-$AZ517)*100</f>
        <v/>
      </c>
      <c r="DR516" s="59">
        <f>($BA516-$BA517)*100</f>
        <v/>
      </c>
      <c r="DS516" s="58">
        <f>IFERROR($N517/$N516-1,"")</f>
        <v/>
      </c>
      <c r="DT516" s="58">
        <f>IFERROR($O517/$O516-1,"")</f>
        <v/>
      </c>
      <c r="DU516" s="58">
        <f>IFERROR($P517/$P516-1,"")</f>
        <v/>
      </c>
      <c r="DV516" s="58">
        <f>IFERROR($Q517/$Q516-1,"")</f>
        <v/>
      </c>
      <c r="DW516" s="58">
        <f>IFERROR($R517/$R516-1,"")</f>
        <v/>
      </c>
      <c r="DX516" s="58">
        <f>IFERROR($S517/$S516-1,"")</f>
        <v/>
      </c>
      <c r="DY516" s="58">
        <f>IFERROR($T517/$T516-1,"")</f>
        <v/>
      </c>
      <c r="DZ516" s="58">
        <f>IFERROR($U517/$U516-1,"")</f>
        <v/>
      </c>
      <c r="EA516" s="58">
        <f>IFERROR($V517/$V516-1,"")</f>
        <v/>
      </c>
      <c r="EB516" s="58">
        <f>IFERROR($W517/$W516-1,"")</f>
        <v/>
      </c>
      <c r="EC516" s="58">
        <f>IFERROR($X517/$X516-1,"")</f>
        <v/>
      </c>
      <c r="ED516" s="58">
        <f>IFERROR($Y517/$Y516-1,"")</f>
        <v/>
      </c>
      <c r="EE516" s="58">
        <f>IFERROR($Z517/$Z516-1,"")</f>
        <v/>
      </c>
      <c r="EF516" s="58">
        <f>IFERROR($AA517/$AA516-1,"")</f>
        <v/>
      </c>
      <c r="EG516" s="58">
        <f>IFERROR($AB517/$AB516-1,"")</f>
        <v/>
      </c>
      <c r="EH516" s="58">
        <f>IFERROR($AC517/$AC516-1,"")</f>
        <v/>
      </c>
      <c r="EI516" s="58">
        <f>IFERROR($AD517/$AD516-1,"")</f>
        <v/>
      </c>
      <c r="EJ516" s="58">
        <f>IFERROR($AE517/$AE516-1,"")</f>
        <v/>
      </c>
      <c r="EK516" s="58">
        <f>IFERROR($AF517/$AF516-1,"")</f>
        <v/>
      </c>
      <c r="EL516" s="58">
        <f>IFERROR($AG517/$AG516-1,"")</f>
        <v/>
      </c>
      <c r="EM516" s="58">
        <f>IFERROR($BB516/$BB517-1,"")</f>
        <v/>
      </c>
      <c r="EN516" s="58">
        <f>IFERROR($BC516/$BC517-1,"")</f>
        <v/>
      </c>
      <c r="EO516" s="58">
        <f>IFERROR($BD516/$BD517-1,"")</f>
        <v/>
      </c>
      <c r="EP516" s="58">
        <f>IFERROR($BE516/$BE517-1,"")</f>
        <v/>
      </c>
      <c r="EQ516" s="58">
        <f>IFERROR($BF516/$BF517-1,"")</f>
        <v/>
      </c>
      <c r="ER516" s="58">
        <f>IFERROR($BG516/$BG517-1,"")</f>
        <v/>
      </c>
      <c r="ES516" s="58">
        <f>IFERROR($BH516/$BH517-1,"")</f>
        <v/>
      </c>
      <c r="ET516" s="58">
        <f>IFERROR($BI516/$BI517-1,"")</f>
        <v/>
      </c>
      <c r="EU516" s="58">
        <f>IFERROR($BJ516/$BJ517-1,"")</f>
        <v/>
      </c>
      <c r="EV516" s="58">
        <f>IFERROR($BK516/$BK517-1,"")</f>
        <v/>
      </c>
      <c r="EW516" s="58">
        <f>IFERROR($BL516/$BL517-1,"")</f>
        <v/>
      </c>
      <c r="EX516" s="58">
        <f>IFERROR($BM516/$BM517-1,"")</f>
        <v/>
      </c>
      <c r="EY516" s="58">
        <f>IFERROR($BN516/$BN517-1,"")</f>
        <v/>
      </c>
      <c r="EZ516" s="58">
        <f>IFERROR($BO516/$BO517-1,"")</f>
        <v/>
      </c>
      <c r="FA516" s="58">
        <f>IFERROR($BP516/$BP517-1,"")</f>
        <v/>
      </c>
      <c r="FB516" s="58">
        <f>IFERROR($BQ516/$BQ517-1,"")</f>
        <v/>
      </c>
      <c r="FC516" s="58">
        <f>IFERROR($BR516/$BR517-1,"")</f>
        <v/>
      </c>
      <c r="FD516" s="58">
        <f>IFERROR($BS516/$BS517-1,"")</f>
        <v/>
      </c>
      <c r="FE516" s="58">
        <f>IFERROR($BT516/$BT517-1,"")</f>
        <v/>
      </c>
      <c r="FF516" s="58">
        <f>IFERROR($BU516/$BU517-1,"")</f>
        <v/>
      </c>
      <c r="FG516" s="58">
        <f>IFERROR($BV516/$BV517-1,"")</f>
        <v/>
      </c>
      <c r="FH516" s="58">
        <f>IFERROR($BW516/$BW517-1,"")</f>
        <v/>
      </c>
      <c r="FI516" s="58">
        <f>IFERROR($BX516/$BX517-1,"")</f>
        <v/>
      </c>
      <c r="FJ516" s="59">
        <f>$BY516-$BY517</f>
        <v/>
      </c>
      <c r="FK516" s="59">
        <f>$BZ516-$BZ517</f>
        <v/>
      </c>
      <c r="FL516" s="59">
        <f>$CA516-$CA517</f>
        <v/>
      </c>
      <c r="FM516" s="59">
        <f>$CB516-$CB517</f>
        <v/>
      </c>
      <c r="FN516" s="59">
        <f>$CC516-$CC517</f>
        <v/>
      </c>
      <c r="FO516" s="59">
        <f>$CD516-$CD517</f>
        <v/>
      </c>
      <c r="FP516" s="59">
        <f>$CE516-$CE517</f>
        <v/>
      </c>
      <c r="FQ516" s="59">
        <f>$CF516-$CF517</f>
        <v/>
      </c>
      <c r="FR516" s="59">
        <f>$CG516-$CG517</f>
        <v/>
      </c>
      <c r="FS516" s="59">
        <f>$CH516-$CH517</f>
        <v/>
      </c>
      <c r="FT516" s="59">
        <f>$CI516-$CI517</f>
        <v/>
      </c>
      <c r="FU516" s="59">
        <f>$CJ516-$CJ517</f>
        <v/>
      </c>
      <c r="FV516" s="59">
        <f>$CK516-$CK517</f>
        <v/>
      </c>
      <c r="FW516" s="59">
        <f>$CL516-$CL517</f>
        <v/>
      </c>
      <c r="FX516" s="59">
        <f>$CM516-$CM517</f>
        <v/>
      </c>
      <c r="FY516" s="59">
        <f>$CN516-$CN517</f>
        <v/>
      </c>
      <c r="FZ516" s="59">
        <f>$CO516-$CO517</f>
        <v/>
      </c>
      <c r="GA516" s="59">
        <f>$CP516-$CP517</f>
        <v/>
      </c>
      <c r="GB516" s="59">
        <f>$CQ516-$CQ517</f>
        <v/>
      </c>
      <c r="GC516" s="59">
        <f>$CR516-$CR517</f>
        <v/>
      </c>
      <c r="GD516" s="59">
        <f>$CS516-$CS517</f>
        <v/>
      </c>
      <c r="GE516" s="59">
        <f>$CT516-$CT517</f>
        <v/>
      </c>
    </row>
    <row r="517">
      <c r="CU517" s="58">
        <f>IFERROR($B517/$B518-1,"")</f>
        <v/>
      </c>
      <c r="CV517" s="59">
        <f>($F517-$F518)*100</f>
        <v/>
      </c>
      <c r="CW517" s="59">
        <f>($E517-$E518)*100</f>
        <v/>
      </c>
      <c r="CX517" s="58">
        <f>IFERROR($K517/$K518-1,"")</f>
        <v/>
      </c>
      <c r="CY517" s="59">
        <f>($AH517-$AH518)*100</f>
        <v/>
      </c>
      <c r="CZ517" s="59">
        <f>($AI517-$AI518)*100</f>
        <v/>
      </c>
      <c r="DA517" s="59">
        <f>($AJ517-$AJ518)*100</f>
        <v/>
      </c>
      <c r="DB517" s="59">
        <f>($AK517-$AK518)*100</f>
        <v/>
      </c>
      <c r="DC517" s="59">
        <f>($AL517-$AL518)*100</f>
        <v/>
      </c>
      <c r="DD517" s="59">
        <f>($AM517-$AM518)*100</f>
        <v/>
      </c>
      <c r="DE517" s="59">
        <f>($AN517-$AN518)*100</f>
        <v/>
      </c>
      <c r="DF517" s="59">
        <f>($AO517-$AO518)*100</f>
        <v/>
      </c>
      <c r="DG517" s="59">
        <f>($AP517-$AP518)*100</f>
        <v/>
      </c>
      <c r="DH517" s="59">
        <f>($AQ517-$AQ518)*100</f>
        <v/>
      </c>
      <c r="DI517" s="59">
        <f>($AR517-$AR518)*100</f>
        <v/>
      </c>
      <c r="DJ517" s="59">
        <f>($AS517-$AS518)*100</f>
        <v/>
      </c>
      <c r="DK517" s="59">
        <f>($AT517-$AT518)*100</f>
        <v/>
      </c>
      <c r="DL517" s="59">
        <f>($AU517-$AU518)*100</f>
        <v/>
      </c>
      <c r="DM517" s="59">
        <f>($AV517-$AV518)*100</f>
        <v/>
      </c>
      <c r="DN517" s="59">
        <f>($AW517-$AW518)*100</f>
        <v/>
      </c>
      <c r="DO517" s="59">
        <f>($AX517-$AX518)*100</f>
        <v/>
      </c>
      <c r="DP517" s="59">
        <f>($AY517-$AY518)*100</f>
        <v/>
      </c>
      <c r="DQ517" s="59">
        <f>($AZ517-$AZ518)*100</f>
        <v/>
      </c>
      <c r="DR517" s="59">
        <f>($BA517-$BA518)*100</f>
        <v/>
      </c>
      <c r="DS517" s="58">
        <f>IFERROR($N518/$N517-1,"")</f>
        <v/>
      </c>
      <c r="DT517" s="58">
        <f>IFERROR($O518/$O517-1,"")</f>
        <v/>
      </c>
      <c r="DU517" s="58">
        <f>IFERROR($P518/$P517-1,"")</f>
        <v/>
      </c>
      <c r="DV517" s="58">
        <f>IFERROR($Q518/$Q517-1,"")</f>
        <v/>
      </c>
      <c r="DW517" s="58">
        <f>IFERROR($R518/$R517-1,"")</f>
        <v/>
      </c>
      <c r="DX517" s="58">
        <f>IFERROR($S518/$S517-1,"")</f>
        <v/>
      </c>
      <c r="DY517" s="58">
        <f>IFERROR($T518/$T517-1,"")</f>
        <v/>
      </c>
      <c r="DZ517" s="58">
        <f>IFERROR($U518/$U517-1,"")</f>
        <v/>
      </c>
      <c r="EA517" s="58">
        <f>IFERROR($V518/$V517-1,"")</f>
        <v/>
      </c>
      <c r="EB517" s="58">
        <f>IFERROR($W518/$W517-1,"")</f>
        <v/>
      </c>
      <c r="EC517" s="58">
        <f>IFERROR($X518/$X517-1,"")</f>
        <v/>
      </c>
      <c r="ED517" s="58">
        <f>IFERROR($Y518/$Y517-1,"")</f>
        <v/>
      </c>
      <c r="EE517" s="58">
        <f>IFERROR($Z518/$Z517-1,"")</f>
        <v/>
      </c>
      <c r="EF517" s="58">
        <f>IFERROR($AA518/$AA517-1,"")</f>
        <v/>
      </c>
      <c r="EG517" s="58">
        <f>IFERROR($AB518/$AB517-1,"")</f>
        <v/>
      </c>
      <c r="EH517" s="58">
        <f>IFERROR($AC518/$AC517-1,"")</f>
        <v/>
      </c>
      <c r="EI517" s="58">
        <f>IFERROR($AD518/$AD517-1,"")</f>
        <v/>
      </c>
      <c r="EJ517" s="58">
        <f>IFERROR($AE518/$AE517-1,"")</f>
        <v/>
      </c>
      <c r="EK517" s="58">
        <f>IFERROR($AF518/$AF517-1,"")</f>
        <v/>
      </c>
      <c r="EL517" s="58">
        <f>IFERROR($AG518/$AG517-1,"")</f>
        <v/>
      </c>
      <c r="EM517" s="58">
        <f>IFERROR($BB517/$BB518-1,"")</f>
        <v/>
      </c>
      <c r="EN517" s="58">
        <f>IFERROR($BC517/$BC518-1,"")</f>
        <v/>
      </c>
      <c r="EO517" s="58">
        <f>IFERROR($BD517/$BD518-1,"")</f>
        <v/>
      </c>
      <c r="EP517" s="58">
        <f>IFERROR($BE517/$BE518-1,"")</f>
        <v/>
      </c>
      <c r="EQ517" s="58">
        <f>IFERROR($BF517/$BF518-1,"")</f>
        <v/>
      </c>
      <c r="ER517" s="58">
        <f>IFERROR($BG517/$BG518-1,"")</f>
        <v/>
      </c>
      <c r="ES517" s="58">
        <f>IFERROR($BH517/$BH518-1,"")</f>
        <v/>
      </c>
      <c r="ET517" s="58">
        <f>IFERROR($BI517/$BI518-1,"")</f>
        <v/>
      </c>
      <c r="EU517" s="58">
        <f>IFERROR($BJ517/$BJ518-1,"")</f>
        <v/>
      </c>
      <c r="EV517" s="58">
        <f>IFERROR($BK517/$BK518-1,"")</f>
        <v/>
      </c>
      <c r="EW517" s="58">
        <f>IFERROR($BL517/$BL518-1,"")</f>
        <v/>
      </c>
      <c r="EX517" s="58">
        <f>IFERROR($BM517/$BM518-1,"")</f>
        <v/>
      </c>
      <c r="EY517" s="58">
        <f>IFERROR($BN517/$BN518-1,"")</f>
        <v/>
      </c>
      <c r="EZ517" s="58">
        <f>IFERROR($BO517/$BO518-1,"")</f>
        <v/>
      </c>
      <c r="FA517" s="58">
        <f>IFERROR($BP517/$BP518-1,"")</f>
        <v/>
      </c>
      <c r="FB517" s="58">
        <f>IFERROR($BQ517/$BQ518-1,"")</f>
        <v/>
      </c>
      <c r="FC517" s="58">
        <f>IFERROR($BR517/$BR518-1,"")</f>
        <v/>
      </c>
      <c r="FD517" s="58">
        <f>IFERROR($BS517/$BS518-1,"")</f>
        <v/>
      </c>
      <c r="FE517" s="58">
        <f>IFERROR($BT517/$BT518-1,"")</f>
        <v/>
      </c>
      <c r="FF517" s="58">
        <f>IFERROR($BU517/$BU518-1,"")</f>
        <v/>
      </c>
      <c r="FG517" s="58">
        <f>IFERROR($BV517/$BV518-1,"")</f>
        <v/>
      </c>
      <c r="FH517" s="58">
        <f>IFERROR($BW517/$BW518-1,"")</f>
        <v/>
      </c>
      <c r="FI517" s="58">
        <f>IFERROR($BX517/$BX518-1,"")</f>
        <v/>
      </c>
      <c r="FJ517" s="59">
        <f>$BY517-$BY518</f>
        <v/>
      </c>
      <c r="FK517" s="59">
        <f>$BZ517-$BZ518</f>
        <v/>
      </c>
      <c r="FL517" s="59">
        <f>$CA517-$CA518</f>
        <v/>
      </c>
      <c r="FM517" s="59">
        <f>$CB517-$CB518</f>
        <v/>
      </c>
      <c r="FN517" s="59">
        <f>$CC517-$CC518</f>
        <v/>
      </c>
      <c r="FO517" s="59">
        <f>$CD517-$CD518</f>
        <v/>
      </c>
      <c r="FP517" s="59">
        <f>$CE517-$CE518</f>
        <v/>
      </c>
      <c r="FQ517" s="59">
        <f>$CF517-$CF518</f>
        <v/>
      </c>
      <c r="FR517" s="59">
        <f>$CG517-$CG518</f>
        <v/>
      </c>
      <c r="FS517" s="59">
        <f>$CH517-$CH518</f>
        <v/>
      </c>
      <c r="FT517" s="59">
        <f>$CI517-$CI518</f>
        <v/>
      </c>
      <c r="FU517" s="59">
        <f>$CJ517-$CJ518</f>
        <v/>
      </c>
      <c r="FV517" s="59">
        <f>$CK517-$CK518</f>
        <v/>
      </c>
      <c r="FW517" s="59">
        <f>$CL517-$CL518</f>
        <v/>
      </c>
      <c r="FX517" s="59">
        <f>$CM517-$CM518</f>
        <v/>
      </c>
      <c r="FY517" s="59">
        <f>$CN517-$CN518</f>
        <v/>
      </c>
      <c r="FZ517" s="59">
        <f>$CO517-$CO518</f>
        <v/>
      </c>
      <c r="GA517" s="59">
        <f>$CP517-$CP518</f>
        <v/>
      </c>
      <c r="GB517" s="59">
        <f>$CQ517-$CQ518</f>
        <v/>
      </c>
      <c r="GC517" s="59">
        <f>$CR517-$CR518</f>
        <v/>
      </c>
      <c r="GD517" s="59">
        <f>$CS517-$CS518</f>
        <v/>
      </c>
      <c r="GE517" s="59">
        <f>$CT517-$CT518</f>
        <v/>
      </c>
    </row>
    <row r="518">
      <c r="CU518" s="58">
        <f>IFERROR($B518/$B519-1,"")</f>
        <v/>
      </c>
      <c r="CV518" s="59">
        <f>($F518-$F519)*100</f>
        <v/>
      </c>
      <c r="CW518" s="59">
        <f>($E518-$E519)*100</f>
        <v/>
      </c>
      <c r="CX518" s="58">
        <f>IFERROR($K518/$K519-1,"")</f>
        <v/>
      </c>
      <c r="CY518" s="59">
        <f>($AH518-$AH519)*100</f>
        <v/>
      </c>
      <c r="CZ518" s="59">
        <f>($AI518-$AI519)*100</f>
        <v/>
      </c>
      <c r="DA518" s="59">
        <f>($AJ518-$AJ519)*100</f>
        <v/>
      </c>
      <c r="DB518" s="59">
        <f>($AK518-$AK519)*100</f>
        <v/>
      </c>
      <c r="DC518" s="59">
        <f>($AL518-$AL519)*100</f>
        <v/>
      </c>
      <c r="DD518" s="59">
        <f>($AM518-$AM519)*100</f>
        <v/>
      </c>
      <c r="DE518" s="59">
        <f>($AN518-$AN519)*100</f>
        <v/>
      </c>
      <c r="DF518" s="59">
        <f>($AO518-$AO519)*100</f>
        <v/>
      </c>
      <c r="DG518" s="59">
        <f>($AP518-$AP519)*100</f>
        <v/>
      </c>
      <c r="DH518" s="59">
        <f>($AQ518-$AQ519)*100</f>
        <v/>
      </c>
      <c r="DI518" s="59">
        <f>($AR518-$AR519)*100</f>
        <v/>
      </c>
      <c r="DJ518" s="59">
        <f>($AS518-$AS519)*100</f>
        <v/>
      </c>
      <c r="DK518" s="59">
        <f>($AT518-$AT519)*100</f>
        <v/>
      </c>
      <c r="DL518" s="59">
        <f>($AU518-$AU519)*100</f>
        <v/>
      </c>
      <c r="DM518" s="59">
        <f>($AV518-$AV519)*100</f>
        <v/>
      </c>
      <c r="DN518" s="59">
        <f>($AW518-$AW519)*100</f>
        <v/>
      </c>
      <c r="DO518" s="59">
        <f>($AX518-$AX519)*100</f>
        <v/>
      </c>
      <c r="DP518" s="59">
        <f>($AY518-$AY519)*100</f>
        <v/>
      </c>
      <c r="DQ518" s="59">
        <f>($AZ518-$AZ519)*100</f>
        <v/>
      </c>
      <c r="DR518" s="59">
        <f>($BA518-$BA519)*100</f>
        <v/>
      </c>
      <c r="DS518" s="58">
        <f>IFERROR($N519/$N518-1,"")</f>
        <v/>
      </c>
      <c r="DT518" s="58">
        <f>IFERROR($O519/$O518-1,"")</f>
        <v/>
      </c>
      <c r="DU518" s="58">
        <f>IFERROR($P519/$P518-1,"")</f>
        <v/>
      </c>
      <c r="DV518" s="58">
        <f>IFERROR($Q519/$Q518-1,"")</f>
        <v/>
      </c>
      <c r="DW518" s="58">
        <f>IFERROR($R519/$R518-1,"")</f>
        <v/>
      </c>
      <c r="DX518" s="58">
        <f>IFERROR($S519/$S518-1,"")</f>
        <v/>
      </c>
      <c r="DY518" s="58">
        <f>IFERROR($T519/$T518-1,"")</f>
        <v/>
      </c>
      <c r="DZ518" s="58">
        <f>IFERROR($U519/$U518-1,"")</f>
        <v/>
      </c>
      <c r="EA518" s="58">
        <f>IFERROR($V519/$V518-1,"")</f>
        <v/>
      </c>
      <c r="EB518" s="58">
        <f>IFERROR($W519/$W518-1,"")</f>
        <v/>
      </c>
      <c r="EC518" s="58">
        <f>IFERROR($X519/$X518-1,"")</f>
        <v/>
      </c>
      <c r="ED518" s="58">
        <f>IFERROR($Y519/$Y518-1,"")</f>
        <v/>
      </c>
      <c r="EE518" s="58">
        <f>IFERROR($Z519/$Z518-1,"")</f>
        <v/>
      </c>
      <c r="EF518" s="58">
        <f>IFERROR($AA519/$AA518-1,"")</f>
        <v/>
      </c>
      <c r="EG518" s="58">
        <f>IFERROR($AB519/$AB518-1,"")</f>
        <v/>
      </c>
      <c r="EH518" s="58">
        <f>IFERROR($AC519/$AC518-1,"")</f>
        <v/>
      </c>
      <c r="EI518" s="58">
        <f>IFERROR($AD519/$AD518-1,"")</f>
        <v/>
      </c>
      <c r="EJ518" s="58">
        <f>IFERROR($AE519/$AE518-1,"")</f>
        <v/>
      </c>
      <c r="EK518" s="58">
        <f>IFERROR($AF519/$AF518-1,"")</f>
        <v/>
      </c>
      <c r="EL518" s="58">
        <f>IFERROR($AG519/$AG518-1,"")</f>
        <v/>
      </c>
      <c r="EM518" s="58">
        <f>IFERROR($BB518/$BB519-1,"")</f>
        <v/>
      </c>
      <c r="EN518" s="58">
        <f>IFERROR($BC518/$BC519-1,"")</f>
        <v/>
      </c>
      <c r="EO518" s="58">
        <f>IFERROR($BD518/$BD519-1,"")</f>
        <v/>
      </c>
      <c r="EP518" s="58">
        <f>IFERROR($BE518/$BE519-1,"")</f>
        <v/>
      </c>
      <c r="EQ518" s="58">
        <f>IFERROR($BF518/$BF519-1,"")</f>
        <v/>
      </c>
      <c r="ER518" s="58">
        <f>IFERROR($BG518/$BG519-1,"")</f>
        <v/>
      </c>
      <c r="ES518" s="58">
        <f>IFERROR($BH518/$BH519-1,"")</f>
        <v/>
      </c>
      <c r="ET518" s="58">
        <f>IFERROR($BI518/$BI519-1,"")</f>
        <v/>
      </c>
      <c r="EU518" s="58">
        <f>IFERROR($BJ518/$BJ519-1,"")</f>
        <v/>
      </c>
      <c r="EV518" s="58">
        <f>IFERROR($BK518/$BK519-1,"")</f>
        <v/>
      </c>
      <c r="EW518" s="58">
        <f>IFERROR($BL518/$BL519-1,"")</f>
        <v/>
      </c>
      <c r="EX518" s="58">
        <f>IFERROR($BM518/$BM519-1,"")</f>
        <v/>
      </c>
      <c r="EY518" s="58">
        <f>IFERROR($BN518/$BN519-1,"")</f>
        <v/>
      </c>
      <c r="EZ518" s="58">
        <f>IFERROR($BO518/$BO519-1,"")</f>
        <v/>
      </c>
      <c r="FA518" s="58">
        <f>IFERROR($BP518/$BP519-1,"")</f>
        <v/>
      </c>
      <c r="FB518" s="58">
        <f>IFERROR($BQ518/$BQ519-1,"")</f>
        <v/>
      </c>
      <c r="FC518" s="58">
        <f>IFERROR($BR518/$BR519-1,"")</f>
        <v/>
      </c>
      <c r="FD518" s="58">
        <f>IFERROR($BS518/$BS519-1,"")</f>
        <v/>
      </c>
      <c r="FE518" s="58">
        <f>IFERROR($BT518/$BT519-1,"")</f>
        <v/>
      </c>
      <c r="FF518" s="58">
        <f>IFERROR($BU518/$BU519-1,"")</f>
        <v/>
      </c>
      <c r="FG518" s="58">
        <f>IFERROR($BV518/$BV519-1,"")</f>
        <v/>
      </c>
      <c r="FH518" s="58">
        <f>IFERROR($BW518/$BW519-1,"")</f>
        <v/>
      </c>
      <c r="FI518" s="58">
        <f>IFERROR($BX518/$BX519-1,"")</f>
        <v/>
      </c>
      <c r="FJ518" s="59">
        <f>$BY518-$BY519</f>
        <v/>
      </c>
      <c r="FK518" s="59">
        <f>$BZ518-$BZ519</f>
        <v/>
      </c>
      <c r="FL518" s="59">
        <f>$CA518-$CA519</f>
        <v/>
      </c>
      <c r="FM518" s="59">
        <f>$CB518-$CB519</f>
        <v/>
      </c>
      <c r="FN518" s="59">
        <f>$CC518-$CC519</f>
        <v/>
      </c>
      <c r="FO518" s="59">
        <f>$CD518-$CD519</f>
        <v/>
      </c>
      <c r="FP518" s="59">
        <f>$CE518-$CE519</f>
        <v/>
      </c>
      <c r="FQ518" s="59">
        <f>$CF518-$CF519</f>
        <v/>
      </c>
      <c r="FR518" s="59">
        <f>$CG518-$CG519</f>
        <v/>
      </c>
      <c r="FS518" s="59">
        <f>$CH518-$CH519</f>
        <v/>
      </c>
      <c r="FT518" s="59">
        <f>$CI518-$CI519</f>
        <v/>
      </c>
      <c r="FU518" s="59">
        <f>$CJ518-$CJ519</f>
        <v/>
      </c>
      <c r="FV518" s="59">
        <f>$CK518-$CK519</f>
        <v/>
      </c>
      <c r="FW518" s="59">
        <f>$CL518-$CL519</f>
        <v/>
      </c>
      <c r="FX518" s="59">
        <f>$CM518-$CM519</f>
        <v/>
      </c>
      <c r="FY518" s="59">
        <f>$CN518-$CN519</f>
        <v/>
      </c>
      <c r="FZ518" s="59">
        <f>$CO518-$CO519</f>
        <v/>
      </c>
      <c r="GA518" s="59">
        <f>$CP518-$CP519</f>
        <v/>
      </c>
      <c r="GB518" s="59">
        <f>$CQ518-$CQ519</f>
        <v/>
      </c>
      <c r="GC518" s="59">
        <f>$CR518-$CR519</f>
        <v/>
      </c>
      <c r="GD518" s="59">
        <f>$CS518-$CS519</f>
        <v/>
      </c>
      <c r="GE518" s="59">
        <f>$CT518-$CT519</f>
        <v/>
      </c>
    </row>
    <row r="519">
      <c r="CU519" s="58">
        <f>IFERROR($B519/$B520-1,"")</f>
        <v/>
      </c>
      <c r="CV519" s="59">
        <f>($F519-$F520)*100</f>
        <v/>
      </c>
      <c r="CW519" s="59">
        <f>($E519-$E520)*100</f>
        <v/>
      </c>
      <c r="CX519" s="58">
        <f>IFERROR($K519/$K520-1,"")</f>
        <v/>
      </c>
      <c r="CY519" s="59">
        <f>($AH519-$AH520)*100</f>
        <v/>
      </c>
      <c r="CZ519" s="59">
        <f>($AI519-$AI520)*100</f>
        <v/>
      </c>
      <c r="DA519" s="59">
        <f>($AJ519-$AJ520)*100</f>
        <v/>
      </c>
      <c r="DB519" s="59">
        <f>($AK519-$AK520)*100</f>
        <v/>
      </c>
      <c r="DC519" s="59">
        <f>($AL519-$AL520)*100</f>
        <v/>
      </c>
      <c r="DD519" s="59">
        <f>($AM519-$AM520)*100</f>
        <v/>
      </c>
      <c r="DE519" s="59">
        <f>($AN519-$AN520)*100</f>
        <v/>
      </c>
      <c r="DF519" s="59">
        <f>($AO519-$AO520)*100</f>
        <v/>
      </c>
      <c r="DG519" s="59">
        <f>($AP519-$AP520)*100</f>
        <v/>
      </c>
      <c r="DH519" s="59">
        <f>($AQ519-$AQ520)*100</f>
        <v/>
      </c>
      <c r="DI519" s="59">
        <f>($AR519-$AR520)*100</f>
        <v/>
      </c>
      <c r="DJ519" s="59">
        <f>($AS519-$AS520)*100</f>
        <v/>
      </c>
      <c r="DK519" s="59">
        <f>($AT519-$AT520)*100</f>
        <v/>
      </c>
      <c r="DL519" s="59">
        <f>($AU519-$AU520)*100</f>
        <v/>
      </c>
      <c r="DM519" s="59">
        <f>($AV519-$AV520)*100</f>
        <v/>
      </c>
      <c r="DN519" s="59">
        <f>($AW519-$AW520)*100</f>
        <v/>
      </c>
      <c r="DO519" s="59">
        <f>($AX519-$AX520)*100</f>
        <v/>
      </c>
      <c r="DP519" s="59">
        <f>($AY519-$AY520)*100</f>
        <v/>
      </c>
      <c r="DQ519" s="59">
        <f>($AZ519-$AZ520)*100</f>
        <v/>
      </c>
      <c r="DR519" s="59">
        <f>($BA519-$BA520)*100</f>
        <v/>
      </c>
      <c r="DS519" s="58">
        <f>IFERROR($N520/$N519-1,"")</f>
        <v/>
      </c>
      <c r="DT519" s="58">
        <f>IFERROR($O520/$O519-1,"")</f>
        <v/>
      </c>
      <c r="DU519" s="58">
        <f>IFERROR($P520/$P519-1,"")</f>
        <v/>
      </c>
      <c r="DV519" s="58">
        <f>IFERROR($Q520/$Q519-1,"")</f>
        <v/>
      </c>
      <c r="DW519" s="58">
        <f>IFERROR($R520/$R519-1,"")</f>
        <v/>
      </c>
      <c r="DX519" s="58">
        <f>IFERROR($S520/$S519-1,"")</f>
        <v/>
      </c>
      <c r="DY519" s="58">
        <f>IFERROR($T520/$T519-1,"")</f>
        <v/>
      </c>
      <c r="DZ519" s="58">
        <f>IFERROR($U520/$U519-1,"")</f>
        <v/>
      </c>
      <c r="EA519" s="58">
        <f>IFERROR($V520/$V519-1,"")</f>
        <v/>
      </c>
      <c r="EB519" s="58">
        <f>IFERROR($W520/$W519-1,"")</f>
        <v/>
      </c>
      <c r="EC519" s="58">
        <f>IFERROR($X520/$X519-1,"")</f>
        <v/>
      </c>
      <c r="ED519" s="58">
        <f>IFERROR($Y520/$Y519-1,"")</f>
        <v/>
      </c>
      <c r="EE519" s="58">
        <f>IFERROR($Z520/$Z519-1,"")</f>
        <v/>
      </c>
      <c r="EF519" s="58">
        <f>IFERROR($AA520/$AA519-1,"")</f>
        <v/>
      </c>
      <c r="EG519" s="58">
        <f>IFERROR($AB520/$AB519-1,"")</f>
        <v/>
      </c>
      <c r="EH519" s="58">
        <f>IFERROR($AC520/$AC519-1,"")</f>
        <v/>
      </c>
      <c r="EI519" s="58">
        <f>IFERROR($AD520/$AD519-1,"")</f>
        <v/>
      </c>
      <c r="EJ519" s="58">
        <f>IFERROR($AE520/$AE519-1,"")</f>
        <v/>
      </c>
      <c r="EK519" s="58">
        <f>IFERROR($AF520/$AF519-1,"")</f>
        <v/>
      </c>
      <c r="EL519" s="58">
        <f>IFERROR($AG520/$AG519-1,"")</f>
        <v/>
      </c>
      <c r="EM519" s="58">
        <f>IFERROR($BB519/$BB520-1,"")</f>
        <v/>
      </c>
      <c r="EN519" s="58">
        <f>IFERROR($BC519/$BC520-1,"")</f>
        <v/>
      </c>
      <c r="EO519" s="58">
        <f>IFERROR($BD519/$BD520-1,"")</f>
        <v/>
      </c>
      <c r="EP519" s="58">
        <f>IFERROR($BE519/$BE520-1,"")</f>
        <v/>
      </c>
      <c r="EQ519" s="58">
        <f>IFERROR($BF519/$BF520-1,"")</f>
        <v/>
      </c>
      <c r="ER519" s="58">
        <f>IFERROR($BG519/$BG520-1,"")</f>
        <v/>
      </c>
      <c r="ES519" s="58">
        <f>IFERROR($BH519/$BH520-1,"")</f>
        <v/>
      </c>
      <c r="ET519" s="58">
        <f>IFERROR($BI519/$BI520-1,"")</f>
        <v/>
      </c>
      <c r="EU519" s="58">
        <f>IFERROR($BJ519/$BJ520-1,"")</f>
        <v/>
      </c>
      <c r="EV519" s="58">
        <f>IFERROR($BK519/$BK520-1,"")</f>
        <v/>
      </c>
      <c r="EW519" s="58">
        <f>IFERROR($BL519/$BL520-1,"")</f>
        <v/>
      </c>
      <c r="EX519" s="58">
        <f>IFERROR($BM519/$BM520-1,"")</f>
        <v/>
      </c>
      <c r="EY519" s="58">
        <f>IFERROR($BN519/$BN520-1,"")</f>
        <v/>
      </c>
      <c r="EZ519" s="58">
        <f>IFERROR($BO519/$BO520-1,"")</f>
        <v/>
      </c>
      <c r="FA519" s="58">
        <f>IFERROR($BP519/$BP520-1,"")</f>
        <v/>
      </c>
      <c r="FB519" s="58">
        <f>IFERROR($BQ519/$BQ520-1,"")</f>
        <v/>
      </c>
      <c r="FC519" s="58">
        <f>IFERROR($BR519/$BR520-1,"")</f>
        <v/>
      </c>
      <c r="FD519" s="58">
        <f>IFERROR($BS519/$BS520-1,"")</f>
        <v/>
      </c>
      <c r="FE519" s="58">
        <f>IFERROR($BT519/$BT520-1,"")</f>
        <v/>
      </c>
      <c r="FF519" s="58">
        <f>IFERROR($BU519/$BU520-1,"")</f>
        <v/>
      </c>
      <c r="FG519" s="58">
        <f>IFERROR($BV519/$BV520-1,"")</f>
        <v/>
      </c>
      <c r="FH519" s="58">
        <f>IFERROR($BW519/$BW520-1,"")</f>
        <v/>
      </c>
      <c r="FI519" s="58">
        <f>IFERROR($BX519/$BX520-1,"")</f>
        <v/>
      </c>
      <c r="FJ519" s="59">
        <f>$BY519-$BY520</f>
        <v/>
      </c>
      <c r="FK519" s="59">
        <f>$BZ519-$BZ520</f>
        <v/>
      </c>
      <c r="FL519" s="59">
        <f>$CA519-$CA520</f>
        <v/>
      </c>
      <c r="FM519" s="59">
        <f>$CB519-$CB520</f>
        <v/>
      </c>
      <c r="FN519" s="59">
        <f>$CC519-$CC520</f>
        <v/>
      </c>
      <c r="FO519" s="59">
        <f>$CD519-$CD520</f>
        <v/>
      </c>
      <c r="FP519" s="59">
        <f>$CE519-$CE520</f>
        <v/>
      </c>
      <c r="FQ519" s="59">
        <f>$CF519-$CF520</f>
        <v/>
      </c>
      <c r="FR519" s="59">
        <f>$CG519-$CG520</f>
        <v/>
      </c>
      <c r="FS519" s="59">
        <f>$CH519-$CH520</f>
        <v/>
      </c>
      <c r="FT519" s="59">
        <f>$CI519-$CI520</f>
        <v/>
      </c>
      <c r="FU519" s="59">
        <f>$CJ519-$CJ520</f>
        <v/>
      </c>
      <c r="FV519" s="59">
        <f>$CK519-$CK520</f>
        <v/>
      </c>
      <c r="FW519" s="59">
        <f>$CL519-$CL520</f>
        <v/>
      </c>
      <c r="FX519" s="59">
        <f>$CM519-$CM520</f>
        <v/>
      </c>
      <c r="FY519" s="59">
        <f>$CN519-$CN520</f>
        <v/>
      </c>
      <c r="FZ519" s="59">
        <f>$CO519-$CO520</f>
        <v/>
      </c>
      <c r="GA519" s="59">
        <f>$CP519-$CP520</f>
        <v/>
      </c>
      <c r="GB519" s="59">
        <f>$CQ519-$CQ520</f>
        <v/>
      </c>
      <c r="GC519" s="59">
        <f>$CR519-$CR520</f>
        <v/>
      </c>
      <c r="GD519" s="59">
        <f>$CS519-$CS520</f>
        <v/>
      </c>
      <c r="GE519" s="59">
        <f>$CT519-$CT520</f>
        <v/>
      </c>
    </row>
    <row r="520">
      <c r="CU520" s="58">
        <f>IFERROR($B520/$B521-1,"")</f>
        <v/>
      </c>
      <c r="CV520" s="59">
        <f>($F520-$F521)*100</f>
        <v/>
      </c>
      <c r="CW520" s="59">
        <f>($E520-$E521)*100</f>
        <v/>
      </c>
      <c r="CX520" s="58">
        <f>IFERROR($K520/$K521-1,"")</f>
        <v/>
      </c>
      <c r="CY520" s="59">
        <f>($AH520-$AH521)*100</f>
        <v/>
      </c>
      <c r="CZ520" s="59">
        <f>($AI520-$AI521)*100</f>
        <v/>
      </c>
      <c r="DA520" s="59">
        <f>($AJ520-$AJ521)*100</f>
        <v/>
      </c>
      <c r="DB520" s="59">
        <f>($AK520-$AK521)*100</f>
        <v/>
      </c>
      <c r="DC520" s="59">
        <f>($AL520-$AL521)*100</f>
        <v/>
      </c>
      <c r="DD520" s="59">
        <f>($AM520-$AM521)*100</f>
        <v/>
      </c>
      <c r="DE520" s="59">
        <f>($AN520-$AN521)*100</f>
        <v/>
      </c>
      <c r="DF520" s="59">
        <f>($AO520-$AO521)*100</f>
        <v/>
      </c>
      <c r="DG520" s="59">
        <f>($AP520-$AP521)*100</f>
        <v/>
      </c>
      <c r="DH520" s="59">
        <f>($AQ520-$AQ521)*100</f>
        <v/>
      </c>
      <c r="DI520" s="59">
        <f>($AR520-$AR521)*100</f>
        <v/>
      </c>
      <c r="DJ520" s="59">
        <f>($AS520-$AS521)*100</f>
        <v/>
      </c>
      <c r="DK520" s="59">
        <f>($AT520-$AT521)*100</f>
        <v/>
      </c>
      <c r="DL520" s="59">
        <f>($AU520-$AU521)*100</f>
        <v/>
      </c>
      <c r="DM520" s="59">
        <f>($AV520-$AV521)*100</f>
        <v/>
      </c>
      <c r="DN520" s="59">
        <f>($AW520-$AW521)*100</f>
        <v/>
      </c>
      <c r="DO520" s="59">
        <f>($AX520-$AX521)*100</f>
        <v/>
      </c>
      <c r="DP520" s="59">
        <f>($AY520-$AY521)*100</f>
        <v/>
      </c>
      <c r="DQ520" s="59">
        <f>($AZ520-$AZ521)*100</f>
        <v/>
      </c>
      <c r="DR520" s="59">
        <f>($BA520-$BA521)*100</f>
        <v/>
      </c>
      <c r="DS520" s="58">
        <f>IFERROR($N521/$N520-1,"")</f>
        <v/>
      </c>
      <c r="DT520" s="58">
        <f>IFERROR($O521/$O520-1,"")</f>
        <v/>
      </c>
      <c r="DU520" s="58">
        <f>IFERROR($P521/$P520-1,"")</f>
        <v/>
      </c>
      <c r="DV520" s="58">
        <f>IFERROR($Q521/$Q520-1,"")</f>
        <v/>
      </c>
      <c r="DW520" s="58">
        <f>IFERROR($R521/$R520-1,"")</f>
        <v/>
      </c>
      <c r="DX520" s="58">
        <f>IFERROR($S521/$S520-1,"")</f>
        <v/>
      </c>
      <c r="DY520" s="58">
        <f>IFERROR($T521/$T520-1,"")</f>
        <v/>
      </c>
      <c r="DZ520" s="58">
        <f>IFERROR($U521/$U520-1,"")</f>
        <v/>
      </c>
      <c r="EA520" s="58">
        <f>IFERROR($V521/$V520-1,"")</f>
        <v/>
      </c>
      <c r="EB520" s="58">
        <f>IFERROR($W521/$W520-1,"")</f>
        <v/>
      </c>
      <c r="EC520" s="58">
        <f>IFERROR($X521/$X520-1,"")</f>
        <v/>
      </c>
      <c r="ED520" s="58">
        <f>IFERROR($Y521/$Y520-1,"")</f>
        <v/>
      </c>
      <c r="EE520" s="58">
        <f>IFERROR($Z521/$Z520-1,"")</f>
        <v/>
      </c>
      <c r="EF520" s="58">
        <f>IFERROR($AA521/$AA520-1,"")</f>
        <v/>
      </c>
      <c r="EG520" s="58">
        <f>IFERROR($AB521/$AB520-1,"")</f>
        <v/>
      </c>
      <c r="EH520" s="58">
        <f>IFERROR($AC521/$AC520-1,"")</f>
        <v/>
      </c>
      <c r="EI520" s="58">
        <f>IFERROR($AD521/$AD520-1,"")</f>
        <v/>
      </c>
      <c r="EJ520" s="58">
        <f>IFERROR($AE521/$AE520-1,"")</f>
        <v/>
      </c>
      <c r="EK520" s="58">
        <f>IFERROR($AF521/$AF520-1,"")</f>
        <v/>
      </c>
      <c r="EL520" s="58">
        <f>IFERROR($AG521/$AG520-1,"")</f>
        <v/>
      </c>
      <c r="EM520" s="58">
        <f>IFERROR($BB520/$BB521-1,"")</f>
        <v/>
      </c>
      <c r="EN520" s="58">
        <f>IFERROR($BC520/$BC521-1,"")</f>
        <v/>
      </c>
      <c r="EO520" s="58">
        <f>IFERROR($BD520/$BD521-1,"")</f>
        <v/>
      </c>
      <c r="EP520" s="58">
        <f>IFERROR($BE520/$BE521-1,"")</f>
        <v/>
      </c>
      <c r="EQ520" s="58">
        <f>IFERROR($BF520/$BF521-1,"")</f>
        <v/>
      </c>
      <c r="ER520" s="58">
        <f>IFERROR($BG520/$BG521-1,"")</f>
        <v/>
      </c>
      <c r="ES520" s="58">
        <f>IFERROR($BH520/$BH521-1,"")</f>
        <v/>
      </c>
      <c r="ET520" s="58">
        <f>IFERROR($BI520/$BI521-1,"")</f>
        <v/>
      </c>
      <c r="EU520" s="58">
        <f>IFERROR($BJ520/$BJ521-1,"")</f>
        <v/>
      </c>
      <c r="EV520" s="58">
        <f>IFERROR($BK520/$BK521-1,"")</f>
        <v/>
      </c>
      <c r="EW520" s="58">
        <f>IFERROR($BL520/$BL521-1,"")</f>
        <v/>
      </c>
      <c r="EX520" s="58">
        <f>IFERROR($BM520/$BM521-1,"")</f>
        <v/>
      </c>
      <c r="EY520" s="58">
        <f>IFERROR($BN520/$BN521-1,"")</f>
        <v/>
      </c>
      <c r="EZ520" s="58">
        <f>IFERROR($BO520/$BO521-1,"")</f>
        <v/>
      </c>
      <c r="FA520" s="58">
        <f>IFERROR($BP520/$BP521-1,"")</f>
        <v/>
      </c>
      <c r="FB520" s="58">
        <f>IFERROR($BQ520/$BQ521-1,"")</f>
        <v/>
      </c>
      <c r="FC520" s="58">
        <f>IFERROR($BR520/$BR521-1,"")</f>
        <v/>
      </c>
      <c r="FD520" s="58">
        <f>IFERROR($BS520/$BS521-1,"")</f>
        <v/>
      </c>
      <c r="FE520" s="58">
        <f>IFERROR($BT520/$BT521-1,"")</f>
        <v/>
      </c>
      <c r="FF520" s="58">
        <f>IFERROR($BU520/$BU521-1,"")</f>
        <v/>
      </c>
      <c r="FG520" s="58">
        <f>IFERROR($BV520/$BV521-1,"")</f>
        <v/>
      </c>
      <c r="FH520" s="58">
        <f>IFERROR($BW520/$BW521-1,"")</f>
        <v/>
      </c>
      <c r="FI520" s="58">
        <f>IFERROR($BX520/$BX521-1,"")</f>
        <v/>
      </c>
      <c r="FJ520" s="59">
        <f>$BY520-$BY521</f>
        <v/>
      </c>
      <c r="FK520" s="59">
        <f>$BZ520-$BZ521</f>
        <v/>
      </c>
      <c r="FL520" s="59">
        <f>$CA520-$CA521</f>
        <v/>
      </c>
      <c r="FM520" s="59">
        <f>$CB520-$CB521</f>
        <v/>
      </c>
      <c r="FN520" s="59">
        <f>$CC520-$CC521</f>
        <v/>
      </c>
      <c r="FO520" s="59">
        <f>$CD520-$CD521</f>
        <v/>
      </c>
      <c r="FP520" s="59">
        <f>$CE520-$CE521</f>
        <v/>
      </c>
      <c r="FQ520" s="59">
        <f>$CF520-$CF521</f>
        <v/>
      </c>
      <c r="FR520" s="59">
        <f>$CG520-$CG521</f>
        <v/>
      </c>
      <c r="FS520" s="59">
        <f>$CH520-$CH521</f>
        <v/>
      </c>
      <c r="FT520" s="59">
        <f>$CI520-$CI521</f>
        <v/>
      </c>
      <c r="FU520" s="59">
        <f>$CJ520-$CJ521</f>
        <v/>
      </c>
      <c r="FV520" s="59">
        <f>$CK520-$CK521</f>
        <v/>
      </c>
      <c r="FW520" s="59">
        <f>$CL520-$CL521</f>
        <v/>
      </c>
      <c r="FX520" s="59">
        <f>$CM520-$CM521</f>
        <v/>
      </c>
      <c r="FY520" s="59">
        <f>$CN520-$CN521</f>
        <v/>
      </c>
      <c r="FZ520" s="59">
        <f>$CO520-$CO521</f>
        <v/>
      </c>
      <c r="GA520" s="59">
        <f>$CP520-$CP521</f>
        <v/>
      </c>
      <c r="GB520" s="59">
        <f>$CQ520-$CQ521</f>
        <v/>
      </c>
      <c r="GC520" s="59">
        <f>$CR520-$CR521</f>
        <v/>
      </c>
      <c r="GD520" s="59">
        <f>$CS520-$CS521</f>
        <v/>
      </c>
      <c r="GE520" s="59">
        <f>$CT520-$CT521</f>
        <v/>
      </c>
    </row>
    <row r="521">
      <c r="CU521" s="58">
        <f>IFERROR($B521/$B522-1,"")</f>
        <v/>
      </c>
      <c r="CV521" s="59">
        <f>($F521-$F522)*100</f>
        <v/>
      </c>
      <c r="CW521" s="59">
        <f>($E521-$E522)*100</f>
        <v/>
      </c>
      <c r="CX521" s="58">
        <f>IFERROR($K521/$K522-1,"")</f>
        <v/>
      </c>
      <c r="CY521" s="59">
        <f>($AH521-$AH522)*100</f>
        <v/>
      </c>
      <c r="CZ521" s="59">
        <f>($AI521-$AI522)*100</f>
        <v/>
      </c>
      <c r="DA521" s="59">
        <f>($AJ521-$AJ522)*100</f>
        <v/>
      </c>
      <c r="DB521" s="59">
        <f>($AK521-$AK522)*100</f>
        <v/>
      </c>
      <c r="DC521" s="59">
        <f>($AL521-$AL522)*100</f>
        <v/>
      </c>
      <c r="DD521" s="59">
        <f>($AM521-$AM522)*100</f>
        <v/>
      </c>
      <c r="DE521" s="59">
        <f>($AN521-$AN522)*100</f>
        <v/>
      </c>
      <c r="DF521" s="59">
        <f>($AO521-$AO522)*100</f>
        <v/>
      </c>
      <c r="DG521" s="59">
        <f>($AP521-$AP522)*100</f>
        <v/>
      </c>
      <c r="DH521" s="59">
        <f>($AQ521-$AQ522)*100</f>
        <v/>
      </c>
      <c r="DI521" s="59">
        <f>($AR521-$AR522)*100</f>
        <v/>
      </c>
      <c r="DJ521" s="59">
        <f>($AS521-$AS522)*100</f>
        <v/>
      </c>
      <c r="DK521" s="59">
        <f>($AT521-$AT522)*100</f>
        <v/>
      </c>
      <c r="DL521" s="59">
        <f>($AU521-$AU522)*100</f>
        <v/>
      </c>
      <c r="DM521" s="59">
        <f>($AV521-$AV522)*100</f>
        <v/>
      </c>
      <c r="DN521" s="59">
        <f>($AW521-$AW522)*100</f>
        <v/>
      </c>
      <c r="DO521" s="59">
        <f>($AX521-$AX522)*100</f>
        <v/>
      </c>
      <c r="DP521" s="59">
        <f>($AY521-$AY522)*100</f>
        <v/>
      </c>
      <c r="DQ521" s="59">
        <f>($AZ521-$AZ522)*100</f>
        <v/>
      </c>
      <c r="DR521" s="59">
        <f>($BA521-$BA522)*100</f>
        <v/>
      </c>
      <c r="DS521" s="58">
        <f>IFERROR($N522/$N521-1,"")</f>
        <v/>
      </c>
      <c r="DT521" s="58">
        <f>IFERROR($O522/$O521-1,"")</f>
        <v/>
      </c>
      <c r="DU521" s="58">
        <f>IFERROR($P522/$P521-1,"")</f>
        <v/>
      </c>
      <c r="DV521" s="58">
        <f>IFERROR($Q522/$Q521-1,"")</f>
        <v/>
      </c>
      <c r="DW521" s="58">
        <f>IFERROR($R522/$R521-1,"")</f>
        <v/>
      </c>
      <c r="DX521" s="58">
        <f>IFERROR($S522/$S521-1,"")</f>
        <v/>
      </c>
      <c r="DY521" s="58">
        <f>IFERROR($T522/$T521-1,"")</f>
        <v/>
      </c>
      <c r="DZ521" s="58">
        <f>IFERROR($U522/$U521-1,"")</f>
        <v/>
      </c>
      <c r="EA521" s="58">
        <f>IFERROR($V522/$V521-1,"")</f>
        <v/>
      </c>
      <c r="EB521" s="58">
        <f>IFERROR($W522/$W521-1,"")</f>
        <v/>
      </c>
      <c r="EC521" s="58">
        <f>IFERROR($X522/$X521-1,"")</f>
        <v/>
      </c>
      <c r="ED521" s="58">
        <f>IFERROR($Y522/$Y521-1,"")</f>
        <v/>
      </c>
      <c r="EE521" s="58">
        <f>IFERROR($Z522/$Z521-1,"")</f>
        <v/>
      </c>
      <c r="EF521" s="58">
        <f>IFERROR($AA522/$AA521-1,"")</f>
        <v/>
      </c>
      <c r="EG521" s="58">
        <f>IFERROR($AB522/$AB521-1,"")</f>
        <v/>
      </c>
      <c r="EH521" s="58">
        <f>IFERROR($AC522/$AC521-1,"")</f>
        <v/>
      </c>
      <c r="EI521" s="58">
        <f>IFERROR($AD522/$AD521-1,"")</f>
        <v/>
      </c>
      <c r="EJ521" s="58">
        <f>IFERROR($AE522/$AE521-1,"")</f>
        <v/>
      </c>
      <c r="EK521" s="58">
        <f>IFERROR($AF522/$AF521-1,"")</f>
        <v/>
      </c>
      <c r="EL521" s="58">
        <f>IFERROR($AG522/$AG521-1,"")</f>
        <v/>
      </c>
      <c r="EM521" s="58">
        <f>IFERROR($BB521/$BB522-1,"")</f>
        <v/>
      </c>
      <c r="EN521" s="58">
        <f>IFERROR($BC521/$BC522-1,"")</f>
        <v/>
      </c>
      <c r="EO521" s="58">
        <f>IFERROR($BD521/$BD522-1,"")</f>
        <v/>
      </c>
      <c r="EP521" s="58">
        <f>IFERROR($BE521/$BE522-1,"")</f>
        <v/>
      </c>
      <c r="EQ521" s="58">
        <f>IFERROR($BF521/$BF522-1,"")</f>
        <v/>
      </c>
      <c r="ER521" s="58">
        <f>IFERROR($BG521/$BG522-1,"")</f>
        <v/>
      </c>
      <c r="ES521" s="58">
        <f>IFERROR($BH521/$BH522-1,"")</f>
        <v/>
      </c>
      <c r="ET521" s="58">
        <f>IFERROR($BI521/$BI522-1,"")</f>
        <v/>
      </c>
      <c r="EU521" s="58">
        <f>IFERROR($BJ521/$BJ522-1,"")</f>
        <v/>
      </c>
      <c r="EV521" s="58">
        <f>IFERROR($BK521/$BK522-1,"")</f>
        <v/>
      </c>
      <c r="EW521" s="58">
        <f>IFERROR($BL521/$BL522-1,"")</f>
        <v/>
      </c>
      <c r="EX521" s="58">
        <f>IFERROR($BM521/$BM522-1,"")</f>
        <v/>
      </c>
      <c r="EY521" s="58">
        <f>IFERROR($BN521/$BN522-1,"")</f>
        <v/>
      </c>
      <c r="EZ521" s="58">
        <f>IFERROR($BO521/$BO522-1,"")</f>
        <v/>
      </c>
      <c r="FA521" s="58">
        <f>IFERROR($BP521/$BP522-1,"")</f>
        <v/>
      </c>
      <c r="FB521" s="58">
        <f>IFERROR($BQ521/$BQ522-1,"")</f>
        <v/>
      </c>
      <c r="FC521" s="58">
        <f>IFERROR($BR521/$BR522-1,"")</f>
        <v/>
      </c>
      <c r="FD521" s="58">
        <f>IFERROR($BS521/$BS522-1,"")</f>
        <v/>
      </c>
      <c r="FE521" s="58">
        <f>IFERROR($BT521/$BT522-1,"")</f>
        <v/>
      </c>
      <c r="FF521" s="58">
        <f>IFERROR($BU521/$BU522-1,"")</f>
        <v/>
      </c>
      <c r="FG521" s="58">
        <f>IFERROR($BV521/$BV522-1,"")</f>
        <v/>
      </c>
      <c r="FH521" s="58">
        <f>IFERROR($BW521/$BW522-1,"")</f>
        <v/>
      </c>
      <c r="FI521" s="58">
        <f>IFERROR($BX521/$BX522-1,"")</f>
        <v/>
      </c>
      <c r="FJ521" s="59">
        <f>$BY521-$BY522</f>
        <v/>
      </c>
      <c r="FK521" s="59">
        <f>$BZ521-$BZ522</f>
        <v/>
      </c>
      <c r="FL521" s="59">
        <f>$CA521-$CA522</f>
        <v/>
      </c>
      <c r="FM521" s="59">
        <f>$CB521-$CB522</f>
        <v/>
      </c>
      <c r="FN521" s="59">
        <f>$CC521-$CC522</f>
        <v/>
      </c>
      <c r="FO521" s="59">
        <f>$CD521-$CD522</f>
        <v/>
      </c>
      <c r="FP521" s="59">
        <f>$CE521-$CE522</f>
        <v/>
      </c>
      <c r="FQ521" s="59">
        <f>$CF521-$CF522</f>
        <v/>
      </c>
      <c r="FR521" s="59">
        <f>$CG521-$CG522</f>
        <v/>
      </c>
      <c r="FS521" s="59">
        <f>$CH521-$CH522</f>
        <v/>
      </c>
      <c r="FT521" s="59">
        <f>$CI521-$CI522</f>
        <v/>
      </c>
      <c r="FU521" s="59">
        <f>$CJ521-$CJ522</f>
        <v/>
      </c>
      <c r="FV521" s="59">
        <f>$CK521-$CK522</f>
        <v/>
      </c>
      <c r="FW521" s="59">
        <f>$CL521-$CL522</f>
        <v/>
      </c>
      <c r="FX521" s="59">
        <f>$CM521-$CM522</f>
        <v/>
      </c>
      <c r="FY521" s="59">
        <f>$CN521-$CN522</f>
        <v/>
      </c>
      <c r="FZ521" s="59">
        <f>$CO521-$CO522</f>
        <v/>
      </c>
      <c r="GA521" s="59">
        <f>$CP521-$CP522</f>
        <v/>
      </c>
      <c r="GB521" s="59">
        <f>$CQ521-$CQ522</f>
        <v/>
      </c>
      <c r="GC521" s="59">
        <f>$CR521-$CR522</f>
        <v/>
      </c>
      <c r="GD521" s="59">
        <f>$CS521-$CS522</f>
        <v/>
      </c>
      <c r="GE521" s="59">
        <f>$CT521-$CT522</f>
        <v/>
      </c>
    </row>
    <row r="522">
      <c r="CU522" s="58">
        <f>IFERROR($B522/$B523-1,"")</f>
        <v/>
      </c>
      <c r="CV522" s="59">
        <f>($F522-$F523)*100</f>
        <v/>
      </c>
      <c r="CW522" s="59">
        <f>($E522-$E523)*100</f>
        <v/>
      </c>
      <c r="CX522" s="58">
        <f>IFERROR($K522/$K523-1,"")</f>
        <v/>
      </c>
      <c r="CY522" s="59">
        <f>($AH522-$AH523)*100</f>
        <v/>
      </c>
      <c r="CZ522" s="59">
        <f>($AI522-$AI523)*100</f>
        <v/>
      </c>
      <c r="DA522" s="59">
        <f>($AJ522-$AJ523)*100</f>
        <v/>
      </c>
      <c r="DB522" s="59">
        <f>($AK522-$AK523)*100</f>
        <v/>
      </c>
      <c r="DC522" s="59">
        <f>($AL522-$AL523)*100</f>
        <v/>
      </c>
      <c r="DD522" s="59">
        <f>($AM522-$AM523)*100</f>
        <v/>
      </c>
      <c r="DE522" s="59">
        <f>($AN522-$AN523)*100</f>
        <v/>
      </c>
      <c r="DF522" s="59">
        <f>($AO522-$AO523)*100</f>
        <v/>
      </c>
      <c r="DG522" s="59">
        <f>($AP522-$AP523)*100</f>
        <v/>
      </c>
      <c r="DH522" s="59">
        <f>($AQ522-$AQ523)*100</f>
        <v/>
      </c>
      <c r="DI522" s="59">
        <f>($AR522-$AR523)*100</f>
        <v/>
      </c>
      <c r="DJ522" s="59">
        <f>($AS522-$AS523)*100</f>
        <v/>
      </c>
      <c r="DK522" s="59">
        <f>($AT522-$AT523)*100</f>
        <v/>
      </c>
      <c r="DL522" s="59">
        <f>($AU522-$AU523)*100</f>
        <v/>
      </c>
      <c r="DM522" s="59">
        <f>($AV522-$AV523)*100</f>
        <v/>
      </c>
      <c r="DN522" s="59">
        <f>($AW522-$AW523)*100</f>
        <v/>
      </c>
      <c r="DO522" s="59">
        <f>($AX522-$AX523)*100</f>
        <v/>
      </c>
      <c r="DP522" s="59">
        <f>($AY522-$AY523)*100</f>
        <v/>
      </c>
      <c r="DQ522" s="59">
        <f>($AZ522-$AZ523)*100</f>
        <v/>
      </c>
      <c r="DR522" s="59">
        <f>($BA522-$BA523)*100</f>
        <v/>
      </c>
      <c r="DS522" s="58">
        <f>IFERROR($N523/$N522-1,"")</f>
        <v/>
      </c>
      <c r="DT522" s="58">
        <f>IFERROR($O523/$O522-1,"")</f>
        <v/>
      </c>
      <c r="DU522" s="58">
        <f>IFERROR($P523/$P522-1,"")</f>
        <v/>
      </c>
      <c r="DV522" s="58">
        <f>IFERROR($Q523/$Q522-1,"")</f>
        <v/>
      </c>
      <c r="DW522" s="58">
        <f>IFERROR($R523/$R522-1,"")</f>
        <v/>
      </c>
      <c r="DX522" s="58">
        <f>IFERROR($S523/$S522-1,"")</f>
        <v/>
      </c>
      <c r="DY522" s="58">
        <f>IFERROR($T523/$T522-1,"")</f>
        <v/>
      </c>
      <c r="DZ522" s="58">
        <f>IFERROR($U523/$U522-1,"")</f>
        <v/>
      </c>
      <c r="EA522" s="58">
        <f>IFERROR($V523/$V522-1,"")</f>
        <v/>
      </c>
      <c r="EB522" s="58">
        <f>IFERROR($W523/$W522-1,"")</f>
        <v/>
      </c>
      <c r="EC522" s="58">
        <f>IFERROR($X523/$X522-1,"")</f>
        <v/>
      </c>
      <c r="ED522" s="58">
        <f>IFERROR($Y523/$Y522-1,"")</f>
        <v/>
      </c>
      <c r="EE522" s="58">
        <f>IFERROR($Z523/$Z522-1,"")</f>
        <v/>
      </c>
      <c r="EF522" s="58">
        <f>IFERROR($AA523/$AA522-1,"")</f>
        <v/>
      </c>
      <c r="EG522" s="58">
        <f>IFERROR($AB523/$AB522-1,"")</f>
        <v/>
      </c>
      <c r="EH522" s="58">
        <f>IFERROR($AC523/$AC522-1,"")</f>
        <v/>
      </c>
      <c r="EI522" s="58">
        <f>IFERROR($AD523/$AD522-1,"")</f>
        <v/>
      </c>
      <c r="EJ522" s="58">
        <f>IFERROR($AE523/$AE522-1,"")</f>
        <v/>
      </c>
      <c r="EK522" s="58">
        <f>IFERROR($AF523/$AF522-1,"")</f>
        <v/>
      </c>
      <c r="EL522" s="58">
        <f>IFERROR($AG523/$AG522-1,"")</f>
        <v/>
      </c>
      <c r="EM522" s="58">
        <f>IFERROR($BB522/$BB523-1,"")</f>
        <v/>
      </c>
      <c r="EN522" s="58">
        <f>IFERROR($BC522/$BC523-1,"")</f>
        <v/>
      </c>
      <c r="EO522" s="58">
        <f>IFERROR($BD522/$BD523-1,"")</f>
        <v/>
      </c>
      <c r="EP522" s="58">
        <f>IFERROR($BE522/$BE523-1,"")</f>
        <v/>
      </c>
      <c r="EQ522" s="58">
        <f>IFERROR($BF522/$BF523-1,"")</f>
        <v/>
      </c>
      <c r="ER522" s="58">
        <f>IFERROR($BG522/$BG523-1,"")</f>
        <v/>
      </c>
      <c r="ES522" s="58">
        <f>IFERROR($BH522/$BH523-1,"")</f>
        <v/>
      </c>
      <c r="ET522" s="58">
        <f>IFERROR($BI522/$BI523-1,"")</f>
        <v/>
      </c>
      <c r="EU522" s="58">
        <f>IFERROR($BJ522/$BJ523-1,"")</f>
        <v/>
      </c>
      <c r="EV522" s="58">
        <f>IFERROR($BK522/$BK523-1,"")</f>
        <v/>
      </c>
      <c r="EW522" s="58">
        <f>IFERROR($BL522/$BL523-1,"")</f>
        <v/>
      </c>
      <c r="EX522" s="58">
        <f>IFERROR($BM522/$BM523-1,"")</f>
        <v/>
      </c>
      <c r="EY522" s="58">
        <f>IFERROR($BN522/$BN523-1,"")</f>
        <v/>
      </c>
      <c r="EZ522" s="58">
        <f>IFERROR($BO522/$BO523-1,"")</f>
        <v/>
      </c>
      <c r="FA522" s="58">
        <f>IFERROR($BP522/$BP523-1,"")</f>
        <v/>
      </c>
      <c r="FB522" s="58">
        <f>IFERROR($BQ522/$BQ523-1,"")</f>
        <v/>
      </c>
      <c r="FC522" s="58">
        <f>IFERROR($BR522/$BR523-1,"")</f>
        <v/>
      </c>
      <c r="FD522" s="58">
        <f>IFERROR($BS522/$BS523-1,"")</f>
        <v/>
      </c>
      <c r="FE522" s="58">
        <f>IFERROR($BT522/$BT523-1,"")</f>
        <v/>
      </c>
      <c r="FF522" s="58">
        <f>IFERROR($BU522/$BU523-1,"")</f>
        <v/>
      </c>
      <c r="FG522" s="58">
        <f>IFERROR($BV522/$BV523-1,"")</f>
        <v/>
      </c>
      <c r="FH522" s="58">
        <f>IFERROR($BW522/$BW523-1,"")</f>
        <v/>
      </c>
      <c r="FI522" s="58">
        <f>IFERROR($BX522/$BX523-1,"")</f>
        <v/>
      </c>
      <c r="FJ522" s="59">
        <f>$BY522-$BY523</f>
        <v/>
      </c>
      <c r="FK522" s="59">
        <f>$BZ522-$BZ523</f>
        <v/>
      </c>
      <c r="FL522" s="59">
        <f>$CA522-$CA523</f>
        <v/>
      </c>
      <c r="FM522" s="59">
        <f>$CB522-$CB523</f>
        <v/>
      </c>
      <c r="FN522" s="59">
        <f>$CC522-$CC523</f>
        <v/>
      </c>
      <c r="FO522" s="59">
        <f>$CD522-$CD523</f>
        <v/>
      </c>
      <c r="FP522" s="59">
        <f>$CE522-$CE523</f>
        <v/>
      </c>
      <c r="FQ522" s="59">
        <f>$CF522-$CF523</f>
        <v/>
      </c>
      <c r="FR522" s="59">
        <f>$CG522-$CG523</f>
        <v/>
      </c>
      <c r="FS522" s="59">
        <f>$CH522-$CH523</f>
        <v/>
      </c>
      <c r="FT522" s="59">
        <f>$CI522-$CI523</f>
        <v/>
      </c>
      <c r="FU522" s="59">
        <f>$CJ522-$CJ523</f>
        <v/>
      </c>
      <c r="FV522" s="59">
        <f>$CK522-$CK523</f>
        <v/>
      </c>
      <c r="FW522" s="59">
        <f>$CL522-$CL523</f>
        <v/>
      </c>
      <c r="FX522" s="59">
        <f>$CM522-$CM523</f>
        <v/>
      </c>
      <c r="FY522" s="59">
        <f>$CN522-$CN523</f>
        <v/>
      </c>
      <c r="FZ522" s="59">
        <f>$CO522-$CO523</f>
        <v/>
      </c>
      <c r="GA522" s="59">
        <f>$CP522-$CP523</f>
        <v/>
      </c>
      <c r="GB522" s="59">
        <f>$CQ522-$CQ523</f>
        <v/>
      </c>
      <c r="GC522" s="59">
        <f>$CR522-$CR523</f>
        <v/>
      </c>
      <c r="GD522" s="59">
        <f>$CS522-$CS523</f>
        <v/>
      </c>
      <c r="GE522" s="59">
        <f>$CT522-$CT523</f>
        <v/>
      </c>
    </row>
    <row r="523">
      <c r="CU523" s="58">
        <f>IFERROR($B523/$B524-1,"")</f>
        <v/>
      </c>
      <c r="CV523" s="59">
        <f>($F523-$F524)*100</f>
        <v/>
      </c>
      <c r="CW523" s="59">
        <f>($E523-$E524)*100</f>
        <v/>
      </c>
      <c r="CX523" s="58">
        <f>IFERROR($K523/$K524-1,"")</f>
        <v/>
      </c>
      <c r="CY523" s="59">
        <f>($AH523-$AH524)*100</f>
        <v/>
      </c>
      <c r="CZ523" s="59">
        <f>($AI523-$AI524)*100</f>
        <v/>
      </c>
      <c r="DA523" s="59">
        <f>($AJ523-$AJ524)*100</f>
        <v/>
      </c>
      <c r="DB523" s="59">
        <f>($AK523-$AK524)*100</f>
        <v/>
      </c>
      <c r="DC523" s="59">
        <f>($AL523-$AL524)*100</f>
        <v/>
      </c>
      <c r="DD523" s="59">
        <f>($AM523-$AM524)*100</f>
        <v/>
      </c>
      <c r="DE523" s="59">
        <f>($AN523-$AN524)*100</f>
        <v/>
      </c>
      <c r="DF523" s="59">
        <f>($AO523-$AO524)*100</f>
        <v/>
      </c>
      <c r="DG523" s="59">
        <f>($AP523-$AP524)*100</f>
        <v/>
      </c>
      <c r="DH523" s="59">
        <f>($AQ523-$AQ524)*100</f>
        <v/>
      </c>
      <c r="DI523" s="59">
        <f>($AR523-$AR524)*100</f>
        <v/>
      </c>
      <c r="DJ523" s="59">
        <f>($AS523-$AS524)*100</f>
        <v/>
      </c>
      <c r="DK523" s="59">
        <f>($AT523-$AT524)*100</f>
        <v/>
      </c>
      <c r="DL523" s="59">
        <f>($AU523-$AU524)*100</f>
        <v/>
      </c>
      <c r="DM523" s="59">
        <f>($AV523-$AV524)*100</f>
        <v/>
      </c>
      <c r="DN523" s="59">
        <f>($AW523-$AW524)*100</f>
        <v/>
      </c>
      <c r="DO523" s="59">
        <f>($AX523-$AX524)*100</f>
        <v/>
      </c>
      <c r="DP523" s="59">
        <f>($AY523-$AY524)*100</f>
        <v/>
      </c>
      <c r="DQ523" s="59">
        <f>($AZ523-$AZ524)*100</f>
        <v/>
      </c>
      <c r="DR523" s="59">
        <f>($BA523-$BA524)*100</f>
        <v/>
      </c>
      <c r="DS523" s="58">
        <f>IFERROR($N524/$N523-1,"")</f>
        <v/>
      </c>
      <c r="DT523" s="58">
        <f>IFERROR($O524/$O523-1,"")</f>
        <v/>
      </c>
      <c r="DU523" s="58">
        <f>IFERROR($P524/$P523-1,"")</f>
        <v/>
      </c>
      <c r="DV523" s="58">
        <f>IFERROR($Q524/$Q523-1,"")</f>
        <v/>
      </c>
      <c r="DW523" s="58">
        <f>IFERROR($R524/$R523-1,"")</f>
        <v/>
      </c>
      <c r="DX523" s="58">
        <f>IFERROR($S524/$S523-1,"")</f>
        <v/>
      </c>
      <c r="DY523" s="58">
        <f>IFERROR($T524/$T523-1,"")</f>
        <v/>
      </c>
      <c r="DZ523" s="58">
        <f>IFERROR($U524/$U523-1,"")</f>
        <v/>
      </c>
      <c r="EA523" s="58">
        <f>IFERROR($V524/$V523-1,"")</f>
        <v/>
      </c>
      <c r="EB523" s="58">
        <f>IFERROR($W524/$W523-1,"")</f>
        <v/>
      </c>
      <c r="EC523" s="58">
        <f>IFERROR($X524/$X523-1,"")</f>
        <v/>
      </c>
      <c r="ED523" s="58">
        <f>IFERROR($Y524/$Y523-1,"")</f>
        <v/>
      </c>
      <c r="EE523" s="58">
        <f>IFERROR($Z524/$Z523-1,"")</f>
        <v/>
      </c>
      <c r="EF523" s="58">
        <f>IFERROR($AA524/$AA523-1,"")</f>
        <v/>
      </c>
      <c r="EG523" s="58">
        <f>IFERROR($AB524/$AB523-1,"")</f>
        <v/>
      </c>
      <c r="EH523" s="58">
        <f>IFERROR($AC524/$AC523-1,"")</f>
        <v/>
      </c>
      <c r="EI523" s="58">
        <f>IFERROR($AD524/$AD523-1,"")</f>
        <v/>
      </c>
      <c r="EJ523" s="58">
        <f>IFERROR($AE524/$AE523-1,"")</f>
        <v/>
      </c>
      <c r="EK523" s="58">
        <f>IFERROR($AF524/$AF523-1,"")</f>
        <v/>
      </c>
      <c r="EL523" s="58">
        <f>IFERROR($AG524/$AG523-1,"")</f>
        <v/>
      </c>
      <c r="EM523" s="58">
        <f>IFERROR($BB523/$BB524-1,"")</f>
        <v/>
      </c>
      <c r="EN523" s="58">
        <f>IFERROR($BC523/$BC524-1,"")</f>
        <v/>
      </c>
      <c r="EO523" s="58">
        <f>IFERROR($BD523/$BD524-1,"")</f>
        <v/>
      </c>
      <c r="EP523" s="58">
        <f>IFERROR($BE523/$BE524-1,"")</f>
        <v/>
      </c>
      <c r="EQ523" s="58">
        <f>IFERROR($BF523/$BF524-1,"")</f>
        <v/>
      </c>
      <c r="ER523" s="58">
        <f>IFERROR($BG523/$BG524-1,"")</f>
        <v/>
      </c>
      <c r="ES523" s="58">
        <f>IFERROR($BH523/$BH524-1,"")</f>
        <v/>
      </c>
      <c r="ET523" s="58">
        <f>IFERROR($BI523/$BI524-1,"")</f>
        <v/>
      </c>
      <c r="EU523" s="58">
        <f>IFERROR($BJ523/$BJ524-1,"")</f>
        <v/>
      </c>
      <c r="EV523" s="58">
        <f>IFERROR($BK523/$BK524-1,"")</f>
        <v/>
      </c>
      <c r="EW523" s="58">
        <f>IFERROR($BL523/$BL524-1,"")</f>
        <v/>
      </c>
      <c r="EX523" s="58">
        <f>IFERROR($BM523/$BM524-1,"")</f>
        <v/>
      </c>
      <c r="EY523" s="58">
        <f>IFERROR($BN523/$BN524-1,"")</f>
        <v/>
      </c>
      <c r="EZ523" s="58">
        <f>IFERROR($BO523/$BO524-1,"")</f>
        <v/>
      </c>
      <c r="FA523" s="58">
        <f>IFERROR($BP523/$BP524-1,"")</f>
        <v/>
      </c>
      <c r="FB523" s="58">
        <f>IFERROR($BQ523/$BQ524-1,"")</f>
        <v/>
      </c>
      <c r="FC523" s="58">
        <f>IFERROR($BR523/$BR524-1,"")</f>
        <v/>
      </c>
      <c r="FD523" s="58">
        <f>IFERROR($BS523/$BS524-1,"")</f>
        <v/>
      </c>
      <c r="FE523" s="58">
        <f>IFERROR($BT523/$BT524-1,"")</f>
        <v/>
      </c>
      <c r="FF523" s="58">
        <f>IFERROR($BU523/$BU524-1,"")</f>
        <v/>
      </c>
      <c r="FG523" s="58">
        <f>IFERROR($BV523/$BV524-1,"")</f>
        <v/>
      </c>
      <c r="FH523" s="58">
        <f>IFERROR($BW523/$BW524-1,"")</f>
        <v/>
      </c>
      <c r="FI523" s="58">
        <f>IFERROR($BX523/$BX524-1,"")</f>
        <v/>
      </c>
      <c r="FJ523" s="59">
        <f>$BY523-$BY524</f>
        <v/>
      </c>
      <c r="FK523" s="59">
        <f>$BZ523-$BZ524</f>
        <v/>
      </c>
      <c r="FL523" s="59">
        <f>$CA523-$CA524</f>
        <v/>
      </c>
      <c r="FM523" s="59">
        <f>$CB523-$CB524</f>
        <v/>
      </c>
      <c r="FN523" s="59">
        <f>$CC523-$CC524</f>
        <v/>
      </c>
      <c r="FO523" s="59">
        <f>$CD523-$CD524</f>
        <v/>
      </c>
      <c r="FP523" s="59">
        <f>$CE523-$CE524</f>
        <v/>
      </c>
      <c r="FQ523" s="59">
        <f>$CF523-$CF524</f>
        <v/>
      </c>
      <c r="FR523" s="59">
        <f>$CG523-$CG524</f>
        <v/>
      </c>
      <c r="FS523" s="59">
        <f>$CH523-$CH524</f>
        <v/>
      </c>
      <c r="FT523" s="59">
        <f>$CI523-$CI524</f>
        <v/>
      </c>
      <c r="FU523" s="59">
        <f>$CJ523-$CJ524</f>
        <v/>
      </c>
      <c r="FV523" s="59">
        <f>$CK523-$CK524</f>
        <v/>
      </c>
      <c r="FW523" s="59">
        <f>$CL523-$CL524</f>
        <v/>
      </c>
      <c r="FX523" s="59">
        <f>$CM523-$CM524</f>
        <v/>
      </c>
      <c r="FY523" s="59">
        <f>$CN523-$CN524</f>
        <v/>
      </c>
      <c r="FZ523" s="59">
        <f>$CO523-$CO524</f>
        <v/>
      </c>
      <c r="GA523" s="59">
        <f>$CP523-$CP524</f>
        <v/>
      </c>
      <c r="GB523" s="59">
        <f>$CQ523-$CQ524</f>
        <v/>
      </c>
      <c r="GC523" s="59">
        <f>$CR523-$CR524</f>
        <v/>
      </c>
      <c r="GD523" s="59">
        <f>$CS523-$CS524</f>
        <v/>
      </c>
      <c r="GE523" s="59">
        <f>$CT523-$CT524</f>
        <v/>
      </c>
    </row>
    <row r="524">
      <c r="CU524" s="58">
        <f>IFERROR($B524/$B525-1,"")</f>
        <v/>
      </c>
      <c r="CV524" s="59">
        <f>($F524-$F525)*100</f>
        <v/>
      </c>
      <c r="CW524" s="59">
        <f>($E524-$E525)*100</f>
        <v/>
      </c>
      <c r="CX524" s="58">
        <f>IFERROR($K524/$K525-1,"")</f>
        <v/>
      </c>
      <c r="CY524" s="59">
        <f>($AH524-$AH525)*100</f>
        <v/>
      </c>
      <c r="CZ524" s="59">
        <f>($AI524-$AI525)*100</f>
        <v/>
      </c>
      <c r="DA524" s="59">
        <f>($AJ524-$AJ525)*100</f>
        <v/>
      </c>
      <c r="DB524" s="59">
        <f>($AK524-$AK525)*100</f>
        <v/>
      </c>
      <c r="DC524" s="59">
        <f>($AL524-$AL525)*100</f>
        <v/>
      </c>
      <c r="DD524" s="59">
        <f>($AM524-$AM525)*100</f>
        <v/>
      </c>
      <c r="DE524" s="59">
        <f>($AN524-$AN525)*100</f>
        <v/>
      </c>
      <c r="DF524" s="59">
        <f>($AO524-$AO525)*100</f>
        <v/>
      </c>
      <c r="DG524" s="59">
        <f>($AP524-$AP525)*100</f>
        <v/>
      </c>
      <c r="DH524" s="59">
        <f>($AQ524-$AQ525)*100</f>
        <v/>
      </c>
      <c r="DI524" s="59">
        <f>($AR524-$AR525)*100</f>
        <v/>
      </c>
      <c r="DJ524" s="59">
        <f>($AS524-$AS525)*100</f>
        <v/>
      </c>
      <c r="DK524" s="59">
        <f>($AT524-$AT525)*100</f>
        <v/>
      </c>
      <c r="DL524" s="59">
        <f>($AU524-$AU525)*100</f>
        <v/>
      </c>
      <c r="DM524" s="59">
        <f>($AV524-$AV525)*100</f>
        <v/>
      </c>
      <c r="DN524" s="59">
        <f>($AW524-$AW525)*100</f>
        <v/>
      </c>
      <c r="DO524" s="59">
        <f>($AX524-$AX525)*100</f>
        <v/>
      </c>
      <c r="DP524" s="59">
        <f>($AY524-$AY525)*100</f>
        <v/>
      </c>
      <c r="DQ524" s="59">
        <f>($AZ524-$AZ525)*100</f>
        <v/>
      </c>
      <c r="DR524" s="59">
        <f>($BA524-$BA525)*100</f>
        <v/>
      </c>
      <c r="DS524" s="58">
        <f>IFERROR($N525/$N524-1,"")</f>
        <v/>
      </c>
      <c r="DT524" s="58">
        <f>IFERROR($O525/$O524-1,"")</f>
        <v/>
      </c>
      <c r="DU524" s="58">
        <f>IFERROR($P525/$P524-1,"")</f>
        <v/>
      </c>
      <c r="DV524" s="58">
        <f>IFERROR($Q525/$Q524-1,"")</f>
        <v/>
      </c>
      <c r="DW524" s="58">
        <f>IFERROR($R525/$R524-1,"")</f>
        <v/>
      </c>
      <c r="DX524" s="58">
        <f>IFERROR($S525/$S524-1,"")</f>
        <v/>
      </c>
      <c r="DY524" s="58">
        <f>IFERROR($T525/$T524-1,"")</f>
        <v/>
      </c>
      <c r="DZ524" s="58">
        <f>IFERROR($U525/$U524-1,"")</f>
        <v/>
      </c>
      <c r="EA524" s="58">
        <f>IFERROR($V525/$V524-1,"")</f>
        <v/>
      </c>
      <c r="EB524" s="58">
        <f>IFERROR($W525/$W524-1,"")</f>
        <v/>
      </c>
      <c r="EC524" s="58">
        <f>IFERROR($X525/$X524-1,"")</f>
        <v/>
      </c>
      <c r="ED524" s="58">
        <f>IFERROR($Y525/$Y524-1,"")</f>
        <v/>
      </c>
      <c r="EE524" s="58">
        <f>IFERROR($Z525/$Z524-1,"")</f>
        <v/>
      </c>
      <c r="EF524" s="58">
        <f>IFERROR($AA525/$AA524-1,"")</f>
        <v/>
      </c>
      <c r="EG524" s="58">
        <f>IFERROR($AB525/$AB524-1,"")</f>
        <v/>
      </c>
      <c r="EH524" s="58">
        <f>IFERROR($AC525/$AC524-1,"")</f>
        <v/>
      </c>
      <c r="EI524" s="58">
        <f>IFERROR($AD525/$AD524-1,"")</f>
        <v/>
      </c>
      <c r="EJ524" s="58">
        <f>IFERROR($AE525/$AE524-1,"")</f>
        <v/>
      </c>
      <c r="EK524" s="58">
        <f>IFERROR($AF525/$AF524-1,"")</f>
        <v/>
      </c>
      <c r="EL524" s="58">
        <f>IFERROR($AG525/$AG524-1,"")</f>
        <v/>
      </c>
      <c r="EM524" s="58">
        <f>IFERROR($BB524/$BB525-1,"")</f>
        <v/>
      </c>
      <c r="EN524" s="58">
        <f>IFERROR($BC524/$BC525-1,"")</f>
        <v/>
      </c>
      <c r="EO524" s="58">
        <f>IFERROR($BD524/$BD525-1,"")</f>
        <v/>
      </c>
      <c r="EP524" s="58">
        <f>IFERROR($BE524/$BE525-1,"")</f>
        <v/>
      </c>
      <c r="EQ524" s="58">
        <f>IFERROR($BF524/$BF525-1,"")</f>
        <v/>
      </c>
      <c r="ER524" s="58">
        <f>IFERROR($BG524/$BG525-1,"")</f>
        <v/>
      </c>
      <c r="ES524" s="58">
        <f>IFERROR($BH524/$BH525-1,"")</f>
        <v/>
      </c>
      <c r="ET524" s="58">
        <f>IFERROR($BI524/$BI525-1,"")</f>
        <v/>
      </c>
      <c r="EU524" s="58">
        <f>IFERROR($BJ524/$BJ525-1,"")</f>
        <v/>
      </c>
      <c r="EV524" s="58">
        <f>IFERROR($BK524/$BK525-1,"")</f>
        <v/>
      </c>
      <c r="EW524" s="58">
        <f>IFERROR($BL524/$BL525-1,"")</f>
        <v/>
      </c>
      <c r="EX524" s="58">
        <f>IFERROR($BM524/$BM525-1,"")</f>
        <v/>
      </c>
      <c r="EY524" s="58">
        <f>IFERROR($BN524/$BN525-1,"")</f>
        <v/>
      </c>
      <c r="EZ524" s="58">
        <f>IFERROR($BO524/$BO525-1,"")</f>
        <v/>
      </c>
      <c r="FA524" s="58">
        <f>IFERROR($BP524/$BP525-1,"")</f>
        <v/>
      </c>
      <c r="FB524" s="58">
        <f>IFERROR($BQ524/$BQ525-1,"")</f>
        <v/>
      </c>
      <c r="FC524" s="58">
        <f>IFERROR($BR524/$BR525-1,"")</f>
        <v/>
      </c>
      <c r="FD524" s="58">
        <f>IFERROR($BS524/$BS525-1,"")</f>
        <v/>
      </c>
      <c r="FE524" s="58">
        <f>IFERROR($BT524/$BT525-1,"")</f>
        <v/>
      </c>
      <c r="FF524" s="58">
        <f>IFERROR($BU524/$BU525-1,"")</f>
        <v/>
      </c>
      <c r="FG524" s="58">
        <f>IFERROR($BV524/$BV525-1,"")</f>
        <v/>
      </c>
      <c r="FH524" s="58">
        <f>IFERROR($BW524/$BW525-1,"")</f>
        <v/>
      </c>
      <c r="FI524" s="58">
        <f>IFERROR($BX524/$BX525-1,"")</f>
        <v/>
      </c>
      <c r="FJ524" s="59">
        <f>$BY524-$BY525</f>
        <v/>
      </c>
      <c r="FK524" s="59">
        <f>$BZ524-$BZ525</f>
        <v/>
      </c>
      <c r="FL524" s="59">
        <f>$CA524-$CA525</f>
        <v/>
      </c>
      <c r="FM524" s="59">
        <f>$CB524-$CB525</f>
        <v/>
      </c>
      <c r="FN524" s="59">
        <f>$CC524-$CC525</f>
        <v/>
      </c>
      <c r="FO524" s="59">
        <f>$CD524-$CD525</f>
        <v/>
      </c>
      <c r="FP524" s="59">
        <f>$CE524-$CE525</f>
        <v/>
      </c>
      <c r="FQ524" s="59">
        <f>$CF524-$CF525</f>
        <v/>
      </c>
      <c r="FR524" s="59">
        <f>$CG524-$CG525</f>
        <v/>
      </c>
      <c r="FS524" s="59">
        <f>$CH524-$CH525</f>
        <v/>
      </c>
      <c r="FT524" s="59">
        <f>$CI524-$CI525</f>
        <v/>
      </c>
      <c r="FU524" s="59">
        <f>$CJ524-$CJ525</f>
        <v/>
      </c>
      <c r="FV524" s="59">
        <f>$CK524-$CK525</f>
        <v/>
      </c>
      <c r="FW524" s="59">
        <f>$CL524-$CL525</f>
        <v/>
      </c>
      <c r="FX524" s="59">
        <f>$CM524-$CM525</f>
        <v/>
      </c>
      <c r="FY524" s="59">
        <f>$CN524-$CN525</f>
        <v/>
      </c>
      <c r="FZ524" s="59">
        <f>$CO524-$CO525</f>
        <v/>
      </c>
      <c r="GA524" s="59">
        <f>$CP524-$CP525</f>
        <v/>
      </c>
      <c r="GB524" s="59">
        <f>$CQ524-$CQ525</f>
        <v/>
      </c>
      <c r="GC524" s="59">
        <f>$CR524-$CR525</f>
        <v/>
      </c>
      <c r="GD524" s="59">
        <f>$CS524-$CS525</f>
        <v/>
      </c>
      <c r="GE524" s="59">
        <f>$CT524-$CT525</f>
        <v/>
      </c>
    </row>
    <row r="525">
      <c r="CU525" s="58">
        <f>IFERROR($B525/$B526-1,"")</f>
        <v/>
      </c>
      <c r="CV525" s="59">
        <f>($F525-$F526)*100</f>
        <v/>
      </c>
      <c r="CW525" s="59">
        <f>($E525-$E526)*100</f>
        <v/>
      </c>
      <c r="CX525" s="58">
        <f>IFERROR($K525/$K526-1,"")</f>
        <v/>
      </c>
      <c r="CY525" s="59">
        <f>($AH525-$AH526)*100</f>
        <v/>
      </c>
      <c r="CZ525" s="59">
        <f>($AI525-$AI526)*100</f>
        <v/>
      </c>
      <c r="DA525" s="59">
        <f>($AJ525-$AJ526)*100</f>
        <v/>
      </c>
      <c r="DB525" s="59">
        <f>($AK525-$AK526)*100</f>
        <v/>
      </c>
      <c r="DC525" s="59">
        <f>($AL525-$AL526)*100</f>
        <v/>
      </c>
      <c r="DD525" s="59">
        <f>($AM525-$AM526)*100</f>
        <v/>
      </c>
      <c r="DE525" s="59">
        <f>($AN525-$AN526)*100</f>
        <v/>
      </c>
      <c r="DF525" s="59">
        <f>($AO525-$AO526)*100</f>
        <v/>
      </c>
      <c r="DG525" s="59">
        <f>($AP525-$AP526)*100</f>
        <v/>
      </c>
      <c r="DH525" s="59">
        <f>($AQ525-$AQ526)*100</f>
        <v/>
      </c>
      <c r="DI525" s="59">
        <f>($AR525-$AR526)*100</f>
        <v/>
      </c>
      <c r="DJ525" s="59">
        <f>($AS525-$AS526)*100</f>
        <v/>
      </c>
      <c r="DK525" s="59">
        <f>($AT525-$AT526)*100</f>
        <v/>
      </c>
      <c r="DL525" s="59">
        <f>($AU525-$AU526)*100</f>
        <v/>
      </c>
      <c r="DM525" s="59">
        <f>($AV525-$AV526)*100</f>
        <v/>
      </c>
      <c r="DN525" s="59">
        <f>($AW525-$AW526)*100</f>
        <v/>
      </c>
      <c r="DO525" s="59">
        <f>($AX525-$AX526)*100</f>
        <v/>
      </c>
      <c r="DP525" s="59">
        <f>($AY525-$AY526)*100</f>
        <v/>
      </c>
      <c r="DQ525" s="59">
        <f>($AZ525-$AZ526)*100</f>
        <v/>
      </c>
      <c r="DR525" s="59">
        <f>($BA525-$BA526)*100</f>
        <v/>
      </c>
      <c r="DS525" s="58">
        <f>IFERROR($N526/$N525-1,"")</f>
        <v/>
      </c>
      <c r="DT525" s="58">
        <f>IFERROR($O526/$O525-1,"")</f>
        <v/>
      </c>
      <c r="DU525" s="58">
        <f>IFERROR($P526/$P525-1,"")</f>
        <v/>
      </c>
      <c r="DV525" s="58">
        <f>IFERROR($Q526/$Q525-1,"")</f>
        <v/>
      </c>
      <c r="DW525" s="58">
        <f>IFERROR($R526/$R525-1,"")</f>
        <v/>
      </c>
      <c r="DX525" s="58">
        <f>IFERROR($S526/$S525-1,"")</f>
        <v/>
      </c>
      <c r="DY525" s="58">
        <f>IFERROR($T526/$T525-1,"")</f>
        <v/>
      </c>
      <c r="DZ525" s="58">
        <f>IFERROR($U526/$U525-1,"")</f>
        <v/>
      </c>
      <c r="EA525" s="58">
        <f>IFERROR($V526/$V525-1,"")</f>
        <v/>
      </c>
      <c r="EB525" s="58">
        <f>IFERROR($W526/$W525-1,"")</f>
        <v/>
      </c>
      <c r="EC525" s="58">
        <f>IFERROR($X526/$X525-1,"")</f>
        <v/>
      </c>
      <c r="ED525" s="58">
        <f>IFERROR($Y526/$Y525-1,"")</f>
        <v/>
      </c>
      <c r="EE525" s="58">
        <f>IFERROR($Z526/$Z525-1,"")</f>
        <v/>
      </c>
      <c r="EF525" s="58">
        <f>IFERROR($AA526/$AA525-1,"")</f>
        <v/>
      </c>
      <c r="EG525" s="58">
        <f>IFERROR($AB526/$AB525-1,"")</f>
        <v/>
      </c>
      <c r="EH525" s="58">
        <f>IFERROR($AC526/$AC525-1,"")</f>
        <v/>
      </c>
      <c r="EI525" s="58">
        <f>IFERROR($AD526/$AD525-1,"")</f>
        <v/>
      </c>
      <c r="EJ525" s="58">
        <f>IFERROR($AE526/$AE525-1,"")</f>
        <v/>
      </c>
      <c r="EK525" s="58">
        <f>IFERROR($AF526/$AF525-1,"")</f>
        <v/>
      </c>
      <c r="EL525" s="58">
        <f>IFERROR($AG526/$AG525-1,"")</f>
        <v/>
      </c>
      <c r="EM525" s="58">
        <f>IFERROR($BB525/$BB526-1,"")</f>
        <v/>
      </c>
      <c r="EN525" s="58">
        <f>IFERROR($BC525/$BC526-1,"")</f>
        <v/>
      </c>
      <c r="EO525" s="58">
        <f>IFERROR($BD525/$BD526-1,"")</f>
        <v/>
      </c>
      <c r="EP525" s="58">
        <f>IFERROR($BE525/$BE526-1,"")</f>
        <v/>
      </c>
      <c r="EQ525" s="58">
        <f>IFERROR($BF525/$BF526-1,"")</f>
        <v/>
      </c>
      <c r="ER525" s="58">
        <f>IFERROR($BG525/$BG526-1,"")</f>
        <v/>
      </c>
      <c r="ES525" s="58">
        <f>IFERROR($BH525/$BH526-1,"")</f>
        <v/>
      </c>
      <c r="ET525" s="58">
        <f>IFERROR($BI525/$BI526-1,"")</f>
        <v/>
      </c>
      <c r="EU525" s="58">
        <f>IFERROR($BJ525/$BJ526-1,"")</f>
        <v/>
      </c>
      <c r="EV525" s="58">
        <f>IFERROR($BK525/$BK526-1,"")</f>
        <v/>
      </c>
      <c r="EW525" s="58">
        <f>IFERROR($BL525/$BL526-1,"")</f>
        <v/>
      </c>
      <c r="EX525" s="58">
        <f>IFERROR($BM525/$BM526-1,"")</f>
        <v/>
      </c>
      <c r="EY525" s="58">
        <f>IFERROR($BN525/$BN526-1,"")</f>
        <v/>
      </c>
      <c r="EZ525" s="58">
        <f>IFERROR($BO525/$BO526-1,"")</f>
        <v/>
      </c>
      <c r="FA525" s="58">
        <f>IFERROR($BP525/$BP526-1,"")</f>
        <v/>
      </c>
      <c r="FB525" s="58">
        <f>IFERROR($BQ525/$BQ526-1,"")</f>
        <v/>
      </c>
      <c r="FC525" s="58">
        <f>IFERROR($BR525/$BR526-1,"")</f>
        <v/>
      </c>
      <c r="FD525" s="58">
        <f>IFERROR($BS525/$BS526-1,"")</f>
        <v/>
      </c>
      <c r="FE525" s="58">
        <f>IFERROR($BT525/$BT526-1,"")</f>
        <v/>
      </c>
      <c r="FF525" s="58">
        <f>IFERROR($BU525/$BU526-1,"")</f>
        <v/>
      </c>
      <c r="FG525" s="58">
        <f>IFERROR($BV525/$BV526-1,"")</f>
        <v/>
      </c>
      <c r="FH525" s="58">
        <f>IFERROR($BW525/$BW526-1,"")</f>
        <v/>
      </c>
      <c r="FI525" s="58">
        <f>IFERROR($BX525/$BX526-1,"")</f>
        <v/>
      </c>
      <c r="FJ525" s="59">
        <f>$BY525-$BY526</f>
        <v/>
      </c>
      <c r="FK525" s="59">
        <f>$BZ525-$BZ526</f>
        <v/>
      </c>
      <c r="FL525" s="59">
        <f>$CA525-$CA526</f>
        <v/>
      </c>
      <c r="FM525" s="59">
        <f>$CB525-$CB526</f>
        <v/>
      </c>
      <c r="FN525" s="59">
        <f>$CC525-$CC526</f>
        <v/>
      </c>
      <c r="FO525" s="59">
        <f>$CD525-$CD526</f>
        <v/>
      </c>
      <c r="FP525" s="59">
        <f>$CE525-$CE526</f>
        <v/>
      </c>
      <c r="FQ525" s="59">
        <f>$CF525-$CF526</f>
        <v/>
      </c>
      <c r="FR525" s="59">
        <f>$CG525-$CG526</f>
        <v/>
      </c>
      <c r="FS525" s="59">
        <f>$CH525-$CH526</f>
        <v/>
      </c>
      <c r="FT525" s="59">
        <f>$CI525-$CI526</f>
        <v/>
      </c>
      <c r="FU525" s="59">
        <f>$CJ525-$CJ526</f>
        <v/>
      </c>
      <c r="FV525" s="59">
        <f>$CK525-$CK526</f>
        <v/>
      </c>
      <c r="FW525" s="59">
        <f>$CL525-$CL526</f>
        <v/>
      </c>
      <c r="FX525" s="59">
        <f>$CM525-$CM526</f>
        <v/>
      </c>
      <c r="FY525" s="59">
        <f>$CN525-$CN526</f>
        <v/>
      </c>
      <c r="FZ525" s="59">
        <f>$CO525-$CO526</f>
        <v/>
      </c>
      <c r="GA525" s="59">
        <f>$CP525-$CP526</f>
        <v/>
      </c>
      <c r="GB525" s="59">
        <f>$CQ525-$CQ526</f>
        <v/>
      </c>
      <c r="GC525" s="59">
        <f>$CR525-$CR526</f>
        <v/>
      </c>
      <c r="GD525" s="59">
        <f>$CS525-$CS526</f>
        <v/>
      </c>
      <c r="GE525" s="59">
        <f>$CT525-$CT526</f>
        <v/>
      </c>
    </row>
    <row r="526">
      <c r="CU526" s="58">
        <f>IFERROR($B526/$B527-1,"")</f>
        <v/>
      </c>
      <c r="CV526" s="59">
        <f>($F526-$F527)*100</f>
        <v/>
      </c>
      <c r="CW526" s="59">
        <f>($E526-$E527)*100</f>
        <v/>
      </c>
      <c r="CX526" s="58">
        <f>IFERROR($K526/$K527-1,"")</f>
        <v/>
      </c>
      <c r="CY526" s="59">
        <f>($AH526-$AH527)*100</f>
        <v/>
      </c>
      <c r="CZ526" s="59">
        <f>($AI526-$AI527)*100</f>
        <v/>
      </c>
      <c r="DA526" s="59">
        <f>($AJ526-$AJ527)*100</f>
        <v/>
      </c>
      <c r="DB526" s="59">
        <f>($AK526-$AK527)*100</f>
        <v/>
      </c>
      <c r="DC526" s="59">
        <f>($AL526-$AL527)*100</f>
        <v/>
      </c>
      <c r="DD526" s="59">
        <f>($AM526-$AM527)*100</f>
        <v/>
      </c>
      <c r="DE526" s="59">
        <f>($AN526-$AN527)*100</f>
        <v/>
      </c>
      <c r="DF526" s="59">
        <f>($AO526-$AO527)*100</f>
        <v/>
      </c>
      <c r="DG526" s="59">
        <f>($AP526-$AP527)*100</f>
        <v/>
      </c>
      <c r="DH526" s="59">
        <f>($AQ526-$AQ527)*100</f>
        <v/>
      </c>
      <c r="DI526" s="59">
        <f>($AR526-$AR527)*100</f>
        <v/>
      </c>
      <c r="DJ526" s="59">
        <f>($AS526-$AS527)*100</f>
        <v/>
      </c>
      <c r="DK526" s="59">
        <f>($AT526-$AT527)*100</f>
        <v/>
      </c>
      <c r="DL526" s="59">
        <f>($AU526-$AU527)*100</f>
        <v/>
      </c>
      <c r="DM526" s="59">
        <f>($AV526-$AV527)*100</f>
        <v/>
      </c>
      <c r="DN526" s="59">
        <f>($AW526-$AW527)*100</f>
        <v/>
      </c>
      <c r="DO526" s="59">
        <f>($AX526-$AX527)*100</f>
        <v/>
      </c>
      <c r="DP526" s="59">
        <f>($AY526-$AY527)*100</f>
        <v/>
      </c>
      <c r="DQ526" s="59">
        <f>($AZ526-$AZ527)*100</f>
        <v/>
      </c>
      <c r="DR526" s="59">
        <f>($BA526-$BA527)*100</f>
        <v/>
      </c>
      <c r="DS526" s="58">
        <f>IFERROR($N527/$N526-1,"")</f>
        <v/>
      </c>
      <c r="DT526" s="58">
        <f>IFERROR($O527/$O526-1,"")</f>
        <v/>
      </c>
      <c r="DU526" s="58">
        <f>IFERROR($P527/$P526-1,"")</f>
        <v/>
      </c>
      <c r="DV526" s="58">
        <f>IFERROR($Q527/$Q526-1,"")</f>
        <v/>
      </c>
      <c r="DW526" s="58">
        <f>IFERROR($R527/$R526-1,"")</f>
        <v/>
      </c>
      <c r="DX526" s="58">
        <f>IFERROR($S527/$S526-1,"")</f>
        <v/>
      </c>
      <c r="DY526" s="58">
        <f>IFERROR($T527/$T526-1,"")</f>
        <v/>
      </c>
      <c r="DZ526" s="58">
        <f>IFERROR($U527/$U526-1,"")</f>
        <v/>
      </c>
      <c r="EA526" s="58">
        <f>IFERROR($V527/$V526-1,"")</f>
        <v/>
      </c>
      <c r="EB526" s="58">
        <f>IFERROR($W527/$W526-1,"")</f>
        <v/>
      </c>
      <c r="EC526" s="58">
        <f>IFERROR($X527/$X526-1,"")</f>
        <v/>
      </c>
      <c r="ED526" s="58">
        <f>IFERROR($Y527/$Y526-1,"")</f>
        <v/>
      </c>
      <c r="EE526" s="58">
        <f>IFERROR($Z527/$Z526-1,"")</f>
        <v/>
      </c>
      <c r="EF526" s="58">
        <f>IFERROR($AA527/$AA526-1,"")</f>
        <v/>
      </c>
      <c r="EG526" s="58">
        <f>IFERROR($AB527/$AB526-1,"")</f>
        <v/>
      </c>
      <c r="EH526" s="58">
        <f>IFERROR($AC527/$AC526-1,"")</f>
        <v/>
      </c>
      <c r="EI526" s="58">
        <f>IFERROR($AD527/$AD526-1,"")</f>
        <v/>
      </c>
      <c r="EJ526" s="58">
        <f>IFERROR($AE527/$AE526-1,"")</f>
        <v/>
      </c>
      <c r="EK526" s="58">
        <f>IFERROR($AF527/$AF526-1,"")</f>
        <v/>
      </c>
      <c r="EL526" s="58">
        <f>IFERROR($AG527/$AG526-1,"")</f>
        <v/>
      </c>
      <c r="EM526" s="58">
        <f>IFERROR($BB526/$BB527-1,"")</f>
        <v/>
      </c>
      <c r="EN526" s="58">
        <f>IFERROR($BC526/$BC527-1,"")</f>
        <v/>
      </c>
      <c r="EO526" s="58">
        <f>IFERROR($BD526/$BD527-1,"")</f>
        <v/>
      </c>
      <c r="EP526" s="58">
        <f>IFERROR($BE526/$BE527-1,"")</f>
        <v/>
      </c>
      <c r="EQ526" s="58">
        <f>IFERROR($BF526/$BF527-1,"")</f>
        <v/>
      </c>
      <c r="ER526" s="58">
        <f>IFERROR($BG526/$BG527-1,"")</f>
        <v/>
      </c>
      <c r="ES526" s="58">
        <f>IFERROR($BH526/$BH527-1,"")</f>
        <v/>
      </c>
      <c r="ET526" s="58">
        <f>IFERROR($BI526/$BI527-1,"")</f>
        <v/>
      </c>
      <c r="EU526" s="58">
        <f>IFERROR($BJ526/$BJ527-1,"")</f>
        <v/>
      </c>
      <c r="EV526" s="58">
        <f>IFERROR($BK526/$BK527-1,"")</f>
        <v/>
      </c>
      <c r="EW526" s="58">
        <f>IFERROR($BL526/$BL527-1,"")</f>
        <v/>
      </c>
      <c r="EX526" s="58">
        <f>IFERROR($BM526/$BM527-1,"")</f>
        <v/>
      </c>
      <c r="EY526" s="58">
        <f>IFERROR($BN526/$BN527-1,"")</f>
        <v/>
      </c>
      <c r="EZ526" s="58">
        <f>IFERROR($BO526/$BO527-1,"")</f>
        <v/>
      </c>
      <c r="FA526" s="58">
        <f>IFERROR($BP526/$BP527-1,"")</f>
        <v/>
      </c>
      <c r="FB526" s="58">
        <f>IFERROR($BQ526/$BQ527-1,"")</f>
        <v/>
      </c>
      <c r="FC526" s="58">
        <f>IFERROR($BR526/$BR527-1,"")</f>
        <v/>
      </c>
      <c r="FD526" s="58">
        <f>IFERROR($BS526/$BS527-1,"")</f>
        <v/>
      </c>
      <c r="FE526" s="58">
        <f>IFERROR($BT526/$BT527-1,"")</f>
        <v/>
      </c>
      <c r="FF526" s="58">
        <f>IFERROR($BU526/$BU527-1,"")</f>
        <v/>
      </c>
      <c r="FG526" s="58">
        <f>IFERROR($BV526/$BV527-1,"")</f>
        <v/>
      </c>
      <c r="FH526" s="58">
        <f>IFERROR($BW526/$BW527-1,"")</f>
        <v/>
      </c>
      <c r="FI526" s="58">
        <f>IFERROR($BX526/$BX527-1,"")</f>
        <v/>
      </c>
      <c r="FJ526" s="59">
        <f>$BY526-$BY527</f>
        <v/>
      </c>
      <c r="FK526" s="59">
        <f>$BZ526-$BZ527</f>
        <v/>
      </c>
      <c r="FL526" s="59">
        <f>$CA526-$CA527</f>
        <v/>
      </c>
      <c r="FM526" s="59">
        <f>$CB526-$CB527</f>
        <v/>
      </c>
      <c r="FN526" s="59">
        <f>$CC526-$CC527</f>
        <v/>
      </c>
      <c r="FO526" s="59">
        <f>$CD526-$CD527</f>
        <v/>
      </c>
      <c r="FP526" s="59">
        <f>$CE526-$CE527</f>
        <v/>
      </c>
      <c r="FQ526" s="59">
        <f>$CF526-$CF527</f>
        <v/>
      </c>
      <c r="FR526" s="59">
        <f>$CG526-$CG527</f>
        <v/>
      </c>
      <c r="FS526" s="59">
        <f>$CH526-$CH527</f>
        <v/>
      </c>
      <c r="FT526" s="59">
        <f>$CI526-$CI527</f>
        <v/>
      </c>
      <c r="FU526" s="59">
        <f>$CJ526-$CJ527</f>
        <v/>
      </c>
      <c r="FV526" s="59">
        <f>$CK526-$CK527</f>
        <v/>
      </c>
      <c r="FW526" s="59">
        <f>$CL526-$CL527</f>
        <v/>
      </c>
      <c r="FX526" s="59">
        <f>$CM526-$CM527</f>
        <v/>
      </c>
      <c r="FY526" s="59">
        <f>$CN526-$CN527</f>
        <v/>
      </c>
      <c r="FZ526" s="59">
        <f>$CO526-$CO527</f>
        <v/>
      </c>
      <c r="GA526" s="59">
        <f>$CP526-$CP527</f>
        <v/>
      </c>
      <c r="GB526" s="59">
        <f>$CQ526-$CQ527</f>
        <v/>
      </c>
      <c r="GC526" s="59">
        <f>$CR526-$CR527</f>
        <v/>
      </c>
      <c r="GD526" s="59">
        <f>$CS526-$CS527</f>
        <v/>
      </c>
      <c r="GE526" s="59">
        <f>$CT526-$CT527</f>
        <v/>
      </c>
    </row>
    <row r="527">
      <c r="CU527" s="58">
        <f>IFERROR($B527/$B528-1,"")</f>
        <v/>
      </c>
      <c r="CV527" s="59">
        <f>($F527-$F528)*100</f>
        <v/>
      </c>
      <c r="CW527" s="59">
        <f>($E527-$E528)*100</f>
        <v/>
      </c>
      <c r="CX527" s="58">
        <f>IFERROR($K527/$K528-1,"")</f>
        <v/>
      </c>
      <c r="CY527" s="59">
        <f>($AH527-$AH528)*100</f>
        <v/>
      </c>
      <c r="CZ527" s="59">
        <f>($AI527-$AI528)*100</f>
        <v/>
      </c>
      <c r="DA527" s="59">
        <f>($AJ527-$AJ528)*100</f>
        <v/>
      </c>
      <c r="DB527" s="59">
        <f>($AK527-$AK528)*100</f>
        <v/>
      </c>
      <c r="DC527" s="59">
        <f>($AL527-$AL528)*100</f>
        <v/>
      </c>
      <c r="DD527" s="59">
        <f>($AM527-$AM528)*100</f>
        <v/>
      </c>
      <c r="DE527" s="59">
        <f>($AN527-$AN528)*100</f>
        <v/>
      </c>
      <c r="DF527" s="59">
        <f>($AO527-$AO528)*100</f>
        <v/>
      </c>
      <c r="DG527" s="59">
        <f>($AP527-$AP528)*100</f>
        <v/>
      </c>
      <c r="DH527" s="59">
        <f>($AQ527-$AQ528)*100</f>
        <v/>
      </c>
      <c r="DI527" s="59">
        <f>($AR527-$AR528)*100</f>
        <v/>
      </c>
      <c r="DJ527" s="59">
        <f>($AS527-$AS528)*100</f>
        <v/>
      </c>
      <c r="DK527" s="59">
        <f>($AT527-$AT528)*100</f>
        <v/>
      </c>
      <c r="DL527" s="59">
        <f>($AU527-$AU528)*100</f>
        <v/>
      </c>
      <c r="DM527" s="59">
        <f>($AV527-$AV528)*100</f>
        <v/>
      </c>
      <c r="DN527" s="59">
        <f>($AW527-$AW528)*100</f>
        <v/>
      </c>
      <c r="DO527" s="59">
        <f>($AX527-$AX528)*100</f>
        <v/>
      </c>
      <c r="DP527" s="59">
        <f>($AY527-$AY528)*100</f>
        <v/>
      </c>
      <c r="DQ527" s="59">
        <f>($AZ527-$AZ528)*100</f>
        <v/>
      </c>
      <c r="DR527" s="59">
        <f>($BA527-$BA528)*100</f>
        <v/>
      </c>
      <c r="DS527" s="58">
        <f>IFERROR($N528/$N527-1,"")</f>
        <v/>
      </c>
      <c r="DT527" s="58">
        <f>IFERROR($O528/$O527-1,"")</f>
        <v/>
      </c>
      <c r="DU527" s="58">
        <f>IFERROR($P528/$P527-1,"")</f>
        <v/>
      </c>
      <c r="DV527" s="58">
        <f>IFERROR($Q528/$Q527-1,"")</f>
        <v/>
      </c>
      <c r="DW527" s="58">
        <f>IFERROR($R528/$R527-1,"")</f>
        <v/>
      </c>
      <c r="DX527" s="58">
        <f>IFERROR($S528/$S527-1,"")</f>
        <v/>
      </c>
      <c r="DY527" s="58">
        <f>IFERROR($T528/$T527-1,"")</f>
        <v/>
      </c>
      <c r="DZ527" s="58">
        <f>IFERROR($U528/$U527-1,"")</f>
        <v/>
      </c>
      <c r="EA527" s="58">
        <f>IFERROR($V528/$V527-1,"")</f>
        <v/>
      </c>
      <c r="EB527" s="58">
        <f>IFERROR($W528/$W527-1,"")</f>
        <v/>
      </c>
      <c r="EC527" s="58">
        <f>IFERROR($X528/$X527-1,"")</f>
        <v/>
      </c>
      <c r="ED527" s="58">
        <f>IFERROR($Y528/$Y527-1,"")</f>
        <v/>
      </c>
      <c r="EE527" s="58">
        <f>IFERROR($Z528/$Z527-1,"")</f>
        <v/>
      </c>
      <c r="EF527" s="58">
        <f>IFERROR($AA528/$AA527-1,"")</f>
        <v/>
      </c>
      <c r="EG527" s="58">
        <f>IFERROR($AB528/$AB527-1,"")</f>
        <v/>
      </c>
      <c r="EH527" s="58">
        <f>IFERROR($AC528/$AC527-1,"")</f>
        <v/>
      </c>
      <c r="EI527" s="58">
        <f>IFERROR($AD528/$AD527-1,"")</f>
        <v/>
      </c>
      <c r="EJ527" s="58">
        <f>IFERROR($AE528/$AE527-1,"")</f>
        <v/>
      </c>
      <c r="EK527" s="58">
        <f>IFERROR($AF528/$AF527-1,"")</f>
        <v/>
      </c>
      <c r="EL527" s="58">
        <f>IFERROR($AG528/$AG527-1,"")</f>
        <v/>
      </c>
      <c r="EM527" s="58">
        <f>IFERROR($BB527/$BB528-1,"")</f>
        <v/>
      </c>
      <c r="EN527" s="58">
        <f>IFERROR($BC527/$BC528-1,"")</f>
        <v/>
      </c>
      <c r="EO527" s="58">
        <f>IFERROR($BD527/$BD528-1,"")</f>
        <v/>
      </c>
      <c r="EP527" s="58">
        <f>IFERROR($BE527/$BE528-1,"")</f>
        <v/>
      </c>
      <c r="EQ527" s="58">
        <f>IFERROR($BF527/$BF528-1,"")</f>
        <v/>
      </c>
      <c r="ER527" s="58">
        <f>IFERROR($BG527/$BG528-1,"")</f>
        <v/>
      </c>
      <c r="ES527" s="58">
        <f>IFERROR($BH527/$BH528-1,"")</f>
        <v/>
      </c>
      <c r="ET527" s="58">
        <f>IFERROR($BI527/$BI528-1,"")</f>
        <v/>
      </c>
      <c r="EU527" s="58">
        <f>IFERROR($BJ527/$BJ528-1,"")</f>
        <v/>
      </c>
      <c r="EV527" s="58">
        <f>IFERROR($BK527/$BK528-1,"")</f>
        <v/>
      </c>
      <c r="EW527" s="58">
        <f>IFERROR($BL527/$BL528-1,"")</f>
        <v/>
      </c>
      <c r="EX527" s="58">
        <f>IFERROR($BM527/$BM528-1,"")</f>
        <v/>
      </c>
      <c r="EY527" s="58">
        <f>IFERROR($BN527/$BN528-1,"")</f>
        <v/>
      </c>
      <c r="EZ527" s="58">
        <f>IFERROR($BO527/$BO528-1,"")</f>
        <v/>
      </c>
      <c r="FA527" s="58">
        <f>IFERROR($BP527/$BP528-1,"")</f>
        <v/>
      </c>
      <c r="FB527" s="58">
        <f>IFERROR($BQ527/$BQ528-1,"")</f>
        <v/>
      </c>
      <c r="FC527" s="58">
        <f>IFERROR($BR527/$BR528-1,"")</f>
        <v/>
      </c>
      <c r="FD527" s="58">
        <f>IFERROR($BS527/$BS528-1,"")</f>
        <v/>
      </c>
      <c r="FE527" s="58">
        <f>IFERROR($BT527/$BT528-1,"")</f>
        <v/>
      </c>
      <c r="FF527" s="58">
        <f>IFERROR($BU527/$BU528-1,"")</f>
        <v/>
      </c>
      <c r="FG527" s="58">
        <f>IFERROR($BV527/$BV528-1,"")</f>
        <v/>
      </c>
      <c r="FH527" s="58">
        <f>IFERROR($BW527/$BW528-1,"")</f>
        <v/>
      </c>
      <c r="FI527" s="58">
        <f>IFERROR($BX527/$BX528-1,"")</f>
        <v/>
      </c>
      <c r="FJ527" s="59">
        <f>$BY527-$BY528</f>
        <v/>
      </c>
      <c r="FK527" s="59">
        <f>$BZ527-$BZ528</f>
        <v/>
      </c>
      <c r="FL527" s="59">
        <f>$CA527-$CA528</f>
        <v/>
      </c>
      <c r="FM527" s="59">
        <f>$CB527-$CB528</f>
        <v/>
      </c>
      <c r="FN527" s="59">
        <f>$CC527-$CC528</f>
        <v/>
      </c>
      <c r="FO527" s="59">
        <f>$CD527-$CD528</f>
        <v/>
      </c>
      <c r="FP527" s="59">
        <f>$CE527-$CE528</f>
        <v/>
      </c>
      <c r="FQ527" s="59">
        <f>$CF527-$CF528</f>
        <v/>
      </c>
      <c r="FR527" s="59">
        <f>$CG527-$CG528</f>
        <v/>
      </c>
      <c r="FS527" s="59">
        <f>$CH527-$CH528</f>
        <v/>
      </c>
      <c r="FT527" s="59">
        <f>$CI527-$CI528</f>
        <v/>
      </c>
      <c r="FU527" s="59">
        <f>$CJ527-$CJ528</f>
        <v/>
      </c>
      <c r="FV527" s="59">
        <f>$CK527-$CK528</f>
        <v/>
      </c>
      <c r="FW527" s="59">
        <f>$CL527-$CL528</f>
        <v/>
      </c>
      <c r="FX527" s="59">
        <f>$CM527-$CM528</f>
        <v/>
      </c>
      <c r="FY527" s="59">
        <f>$CN527-$CN528</f>
        <v/>
      </c>
      <c r="FZ527" s="59">
        <f>$CO527-$CO528</f>
        <v/>
      </c>
      <c r="GA527" s="59">
        <f>$CP527-$CP528</f>
        <v/>
      </c>
      <c r="GB527" s="59">
        <f>$CQ527-$CQ528</f>
        <v/>
      </c>
      <c r="GC527" s="59">
        <f>$CR527-$CR528</f>
        <v/>
      </c>
      <c r="GD527" s="59">
        <f>$CS527-$CS528</f>
        <v/>
      </c>
      <c r="GE527" s="59">
        <f>$CT527-$CT528</f>
        <v/>
      </c>
    </row>
    <row r="528">
      <c r="CU528" s="58">
        <f>IFERROR($B528/$B529-1,"")</f>
        <v/>
      </c>
      <c r="CV528" s="59">
        <f>($F528-$F529)*100</f>
        <v/>
      </c>
      <c r="CW528" s="59">
        <f>($E528-$E529)*100</f>
        <v/>
      </c>
      <c r="CX528" s="58">
        <f>IFERROR($K528/$K529-1,"")</f>
        <v/>
      </c>
      <c r="CY528" s="59">
        <f>($AH528-$AH529)*100</f>
        <v/>
      </c>
      <c r="CZ528" s="59">
        <f>($AI528-$AI529)*100</f>
        <v/>
      </c>
      <c r="DA528" s="59">
        <f>($AJ528-$AJ529)*100</f>
        <v/>
      </c>
      <c r="DB528" s="59">
        <f>($AK528-$AK529)*100</f>
        <v/>
      </c>
      <c r="DC528" s="59">
        <f>($AL528-$AL529)*100</f>
        <v/>
      </c>
      <c r="DD528" s="59">
        <f>($AM528-$AM529)*100</f>
        <v/>
      </c>
      <c r="DE528" s="59">
        <f>($AN528-$AN529)*100</f>
        <v/>
      </c>
      <c r="DF528" s="59">
        <f>($AO528-$AO529)*100</f>
        <v/>
      </c>
      <c r="DG528" s="59">
        <f>($AP528-$AP529)*100</f>
        <v/>
      </c>
      <c r="DH528" s="59">
        <f>($AQ528-$AQ529)*100</f>
        <v/>
      </c>
      <c r="DI528" s="59">
        <f>($AR528-$AR529)*100</f>
        <v/>
      </c>
      <c r="DJ528" s="59">
        <f>($AS528-$AS529)*100</f>
        <v/>
      </c>
      <c r="DK528" s="59">
        <f>($AT528-$AT529)*100</f>
        <v/>
      </c>
      <c r="DL528" s="59">
        <f>($AU528-$AU529)*100</f>
        <v/>
      </c>
      <c r="DM528" s="59">
        <f>($AV528-$AV529)*100</f>
        <v/>
      </c>
      <c r="DN528" s="59">
        <f>($AW528-$AW529)*100</f>
        <v/>
      </c>
      <c r="DO528" s="59">
        <f>($AX528-$AX529)*100</f>
        <v/>
      </c>
      <c r="DP528" s="59">
        <f>($AY528-$AY529)*100</f>
        <v/>
      </c>
      <c r="DQ528" s="59">
        <f>($AZ528-$AZ529)*100</f>
        <v/>
      </c>
      <c r="DR528" s="59">
        <f>($BA528-$BA529)*100</f>
        <v/>
      </c>
      <c r="DS528" s="58">
        <f>IFERROR($N529/$N528-1,"")</f>
        <v/>
      </c>
      <c r="DT528" s="58">
        <f>IFERROR($O529/$O528-1,"")</f>
        <v/>
      </c>
      <c r="DU528" s="58">
        <f>IFERROR($P529/$P528-1,"")</f>
        <v/>
      </c>
      <c r="DV528" s="58">
        <f>IFERROR($Q529/$Q528-1,"")</f>
        <v/>
      </c>
      <c r="DW528" s="58">
        <f>IFERROR($R529/$R528-1,"")</f>
        <v/>
      </c>
      <c r="DX528" s="58">
        <f>IFERROR($S529/$S528-1,"")</f>
        <v/>
      </c>
      <c r="DY528" s="58">
        <f>IFERROR($T529/$T528-1,"")</f>
        <v/>
      </c>
      <c r="DZ528" s="58">
        <f>IFERROR($U529/$U528-1,"")</f>
        <v/>
      </c>
      <c r="EA528" s="58">
        <f>IFERROR($V529/$V528-1,"")</f>
        <v/>
      </c>
      <c r="EB528" s="58">
        <f>IFERROR($W529/$W528-1,"")</f>
        <v/>
      </c>
      <c r="EC528" s="58">
        <f>IFERROR($X529/$X528-1,"")</f>
        <v/>
      </c>
      <c r="ED528" s="58">
        <f>IFERROR($Y529/$Y528-1,"")</f>
        <v/>
      </c>
      <c r="EE528" s="58">
        <f>IFERROR($Z529/$Z528-1,"")</f>
        <v/>
      </c>
      <c r="EF528" s="58">
        <f>IFERROR($AA529/$AA528-1,"")</f>
        <v/>
      </c>
      <c r="EG528" s="58">
        <f>IFERROR($AB529/$AB528-1,"")</f>
        <v/>
      </c>
      <c r="EH528" s="58">
        <f>IFERROR($AC529/$AC528-1,"")</f>
        <v/>
      </c>
      <c r="EI528" s="58">
        <f>IFERROR($AD529/$AD528-1,"")</f>
        <v/>
      </c>
      <c r="EJ528" s="58">
        <f>IFERROR($AE529/$AE528-1,"")</f>
        <v/>
      </c>
      <c r="EK528" s="58">
        <f>IFERROR($AF529/$AF528-1,"")</f>
        <v/>
      </c>
      <c r="EL528" s="58">
        <f>IFERROR($AG529/$AG528-1,"")</f>
        <v/>
      </c>
      <c r="EM528" s="58">
        <f>IFERROR($BB528/$BB529-1,"")</f>
        <v/>
      </c>
      <c r="EN528" s="58">
        <f>IFERROR($BC528/$BC529-1,"")</f>
        <v/>
      </c>
      <c r="EO528" s="58">
        <f>IFERROR($BD528/$BD529-1,"")</f>
        <v/>
      </c>
      <c r="EP528" s="58">
        <f>IFERROR($BE528/$BE529-1,"")</f>
        <v/>
      </c>
      <c r="EQ528" s="58">
        <f>IFERROR($BF528/$BF529-1,"")</f>
        <v/>
      </c>
      <c r="ER528" s="58">
        <f>IFERROR($BG528/$BG529-1,"")</f>
        <v/>
      </c>
      <c r="ES528" s="58">
        <f>IFERROR($BH528/$BH529-1,"")</f>
        <v/>
      </c>
      <c r="ET528" s="58">
        <f>IFERROR($BI528/$BI529-1,"")</f>
        <v/>
      </c>
      <c r="EU528" s="58">
        <f>IFERROR($BJ528/$BJ529-1,"")</f>
        <v/>
      </c>
      <c r="EV528" s="58">
        <f>IFERROR($BK528/$BK529-1,"")</f>
        <v/>
      </c>
      <c r="EW528" s="58">
        <f>IFERROR($BL528/$BL529-1,"")</f>
        <v/>
      </c>
      <c r="EX528" s="58">
        <f>IFERROR($BM528/$BM529-1,"")</f>
        <v/>
      </c>
      <c r="EY528" s="58">
        <f>IFERROR($BN528/$BN529-1,"")</f>
        <v/>
      </c>
      <c r="EZ528" s="58">
        <f>IFERROR($BO528/$BO529-1,"")</f>
        <v/>
      </c>
      <c r="FA528" s="58">
        <f>IFERROR($BP528/$BP529-1,"")</f>
        <v/>
      </c>
      <c r="FB528" s="58">
        <f>IFERROR($BQ528/$BQ529-1,"")</f>
        <v/>
      </c>
      <c r="FC528" s="58">
        <f>IFERROR($BR528/$BR529-1,"")</f>
        <v/>
      </c>
      <c r="FD528" s="58">
        <f>IFERROR($BS528/$BS529-1,"")</f>
        <v/>
      </c>
      <c r="FE528" s="58">
        <f>IFERROR($BT528/$BT529-1,"")</f>
        <v/>
      </c>
      <c r="FF528" s="58">
        <f>IFERROR($BU528/$BU529-1,"")</f>
        <v/>
      </c>
      <c r="FG528" s="58">
        <f>IFERROR($BV528/$BV529-1,"")</f>
        <v/>
      </c>
      <c r="FH528" s="58">
        <f>IFERROR($BW528/$BW529-1,"")</f>
        <v/>
      </c>
      <c r="FI528" s="58">
        <f>IFERROR($BX528/$BX529-1,"")</f>
        <v/>
      </c>
      <c r="FJ528" s="59">
        <f>$BY528-$BY529</f>
        <v/>
      </c>
      <c r="FK528" s="59">
        <f>$BZ528-$BZ529</f>
        <v/>
      </c>
      <c r="FL528" s="59">
        <f>$CA528-$CA529</f>
        <v/>
      </c>
      <c r="FM528" s="59">
        <f>$CB528-$CB529</f>
        <v/>
      </c>
      <c r="FN528" s="59">
        <f>$CC528-$CC529</f>
        <v/>
      </c>
      <c r="FO528" s="59">
        <f>$CD528-$CD529</f>
        <v/>
      </c>
      <c r="FP528" s="59">
        <f>$CE528-$CE529</f>
        <v/>
      </c>
      <c r="FQ528" s="59">
        <f>$CF528-$CF529</f>
        <v/>
      </c>
      <c r="FR528" s="59">
        <f>$CG528-$CG529</f>
        <v/>
      </c>
      <c r="FS528" s="59">
        <f>$CH528-$CH529</f>
        <v/>
      </c>
      <c r="FT528" s="59">
        <f>$CI528-$CI529</f>
        <v/>
      </c>
      <c r="FU528" s="59">
        <f>$CJ528-$CJ529</f>
        <v/>
      </c>
      <c r="FV528" s="59">
        <f>$CK528-$CK529</f>
        <v/>
      </c>
      <c r="FW528" s="59">
        <f>$CL528-$CL529</f>
        <v/>
      </c>
      <c r="FX528" s="59">
        <f>$CM528-$CM529</f>
        <v/>
      </c>
      <c r="FY528" s="59">
        <f>$CN528-$CN529</f>
        <v/>
      </c>
      <c r="FZ528" s="59">
        <f>$CO528-$CO529</f>
        <v/>
      </c>
      <c r="GA528" s="59">
        <f>$CP528-$CP529</f>
        <v/>
      </c>
      <c r="GB528" s="59">
        <f>$CQ528-$CQ529</f>
        <v/>
      </c>
      <c r="GC528" s="59">
        <f>$CR528-$CR529</f>
        <v/>
      </c>
      <c r="GD528" s="59">
        <f>$CS528-$CS529</f>
        <v/>
      </c>
      <c r="GE528" s="59">
        <f>$CT528-$CT529</f>
        <v/>
      </c>
    </row>
    <row r="529">
      <c r="CU529" s="58">
        <f>IFERROR($B529/$B530-1,"")</f>
        <v/>
      </c>
      <c r="CV529" s="59">
        <f>($F529-$F530)*100</f>
        <v/>
      </c>
      <c r="CW529" s="59">
        <f>($E529-$E530)*100</f>
        <v/>
      </c>
      <c r="CX529" s="58">
        <f>IFERROR($K529/$K530-1,"")</f>
        <v/>
      </c>
      <c r="CY529" s="59">
        <f>($AH529-$AH530)*100</f>
        <v/>
      </c>
      <c r="CZ529" s="59">
        <f>($AI529-$AI530)*100</f>
        <v/>
      </c>
      <c r="DA529" s="59">
        <f>($AJ529-$AJ530)*100</f>
        <v/>
      </c>
      <c r="DB529" s="59">
        <f>($AK529-$AK530)*100</f>
        <v/>
      </c>
      <c r="DC529" s="59">
        <f>($AL529-$AL530)*100</f>
        <v/>
      </c>
      <c r="DD529" s="59">
        <f>($AM529-$AM530)*100</f>
        <v/>
      </c>
      <c r="DE529" s="59">
        <f>($AN529-$AN530)*100</f>
        <v/>
      </c>
      <c r="DF529" s="59">
        <f>($AO529-$AO530)*100</f>
        <v/>
      </c>
      <c r="DG529" s="59">
        <f>($AP529-$AP530)*100</f>
        <v/>
      </c>
      <c r="DH529" s="59">
        <f>($AQ529-$AQ530)*100</f>
        <v/>
      </c>
      <c r="DI529" s="59">
        <f>($AR529-$AR530)*100</f>
        <v/>
      </c>
      <c r="DJ529" s="59">
        <f>($AS529-$AS530)*100</f>
        <v/>
      </c>
      <c r="DK529" s="59">
        <f>($AT529-$AT530)*100</f>
        <v/>
      </c>
      <c r="DL529" s="59">
        <f>($AU529-$AU530)*100</f>
        <v/>
      </c>
      <c r="DM529" s="59">
        <f>($AV529-$AV530)*100</f>
        <v/>
      </c>
      <c r="DN529" s="59">
        <f>($AW529-$AW530)*100</f>
        <v/>
      </c>
      <c r="DO529" s="59">
        <f>($AX529-$AX530)*100</f>
        <v/>
      </c>
      <c r="DP529" s="59">
        <f>($AY529-$AY530)*100</f>
        <v/>
      </c>
      <c r="DQ529" s="59">
        <f>($AZ529-$AZ530)*100</f>
        <v/>
      </c>
      <c r="DR529" s="59">
        <f>($BA529-$BA530)*100</f>
        <v/>
      </c>
      <c r="DS529" s="58">
        <f>IFERROR($N530/$N529-1,"")</f>
        <v/>
      </c>
      <c r="DT529" s="58">
        <f>IFERROR($O530/$O529-1,"")</f>
        <v/>
      </c>
      <c r="DU529" s="58">
        <f>IFERROR($P530/$P529-1,"")</f>
        <v/>
      </c>
      <c r="DV529" s="58">
        <f>IFERROR($Q530/$Q529-1,"")</f>
        <v/>
      </c>
      <c r="DW529" s="58">
        <f>IFERROR($R530/$R529-1,"")</f>
        <v/>
      </c>
      <c r="DX529" s="58">
        <f>IFERROR($S530/$S529-1,"")</f>
        <v/>
      </c>
      <c r="DY529" s="58">
        <f>IFERROR($T530/$T529-1,"")</f>
        <v/>
      </c>
      <c r="DZ529" s="58">
        <f>IFERROR($U530/$U529-1,"")</f>
        <v/>
      </c>
      <c r="EA529" s="58">
        <f>IFERROR($V530/$V529-1,"")</f>
        <v/>
      </c>
      <c r="EB529" s="58">
        <f>IFERROR($W530/$W529-1,"")</f>
        <v/>
      </c>
      <c r="EC529" s="58">
        <f>IFERROR($X530/$X529-1,"")</f>
        <v/>
      </c>
      <c r="ED529" s="58">
        <f>IFERROR($Y530/$Y529-1,"")</f>
        <v/>
      </c>
      <c r="EE529" s="58">
        <f>IFERROR($Z530/$Z529-1,"")</f>
        <v/>
      </c>
      <c r="EF529" s="58">
        <f>IFERROR($AA530/$AA529-1,"")</f>
        <v/>
      </c>
      <c r="EG529" s="58">
        <f>IFERROR($AB530/$AB529-1,"")</f>
        <v/>
      </c>
      <c r="EH529" s="58">
        <f>IFERROR($AC530/$AC529-1,"")</f>
        <v/>
      </c>
      <c r="EI529" s="58">
        <f>IFERROR($AD530/$AD529-1,"")</f>
        <v/>
      </c>
      <c r="EJ529" s="58">
        <f>IFERROR($AE530/$AE529-1,"")</f>
        <v/>
      </c>
      <c r="EK529" s="58">
        <f>IFERROR($AF530/$AF529-1,"")</f>
        <v/>
      </c>
      <c r="EL529" s="58">
        <f>IFERROR($AG530/$AG529-1,"")</f>
        <v/>
      </c>
      <c r="EM529" s="58">
        <f>IFERROR($BB529/$BB530-1,"")</f>
        <v/>
      </c>
      <c r="EN529" s="58">
        <f>IFERROR($BC529/$BC530-1,"")</f>
        <v/>
      </c>
      <c r="EO529" s="58">
        <f>IFERROR($BD529/$BD530-1,"")</f>
        <v/>
      </c>
      <c r="EP529" s="58">
        <f>IFERROR($BE529/$BE530-1,"")</f>
        <v/>
      </c>
      <c r="EQ529" s="58">
        <f>IFERROR($BF529/$BF530-1,"")</f>
        <v/>
      </c>
      <c r="ER529" s="58">
        <f>IFERROR($BG529/$BG530-1,"")</f>
        <v/>
      </c>
      <c r="ES529" s="58">
        <f>IFERROR($BH529/$BH530-1,"")</f>
        <v/>
      </c>
      <c r="ET529" s="58">
        <f>IFERROR($BI529/$BI530-1,"")</f>
        <v/>
      </c>
      <c r="EU529" s="58">
        <f>IFERROR($BJ529/$BJ530-1,"")</f>
        <v/>
      </c>
      <c r="EV529" s="58">
        <f>IFERROR($BK529/$BK530-1,"")</f>
        <v/>
      </c>
      <c r="EW529" s="58">
        <f>IFERROR($BL529/$BL530-1,"")</f>
        <v/>
      </c>
      <c r="EX529" s="58">
        <f>IFERROR($BM529/$BM530-1,"")</f>
        <v/>
      </c>
      <c r="EY529" s="58">
        <f>IFERROR($BN529/$BN530-1,"")</f>
        <v/>
      </c>
      <c r="EZ529" s="58">
        <f>IFERROR($BO529/$BO530-1,"")</f>
        <v/>
      </c>
      <c r="FA529" s="58">
        <f>IFERROR($BP529/$BP530-1,"")</f>
        <v/>
      </c>
      <c r="FB529" s="58">
        <f>IFERROR($BQ529/$BQ530-1,"")</f>
        <v/>
      </c>
      <c r="FC529" s="58">
        <f>IFERROR($BR529/$BR530-1,"")</f>
        <v/>
      </c>
      <c r="FD529" s="58">
        <f>IFERROR($BS529/$BS530-1,"")</f>
        <v/>
      </c>
      <c r="FE529" s="58">
        <f>IFERROR($BT529/$BT530-1,"")</f>
        <v/>
      </c>
      <c r="FF529" s="58">
        <f>IFERROR($BU529/$BU530-1,"")</f>
        <v/>
      </c>
      <c r="FG529" s="58">
        <f>IFERROR($BV529/$BV530-1,"")</f>
        <v/>
      </c>
      <c r="FH529" s="58">
        <f>IFERROR($BW529/$BW530-1,"")</f>
        <v/>
      </c>
      <c r="FI529" s="58">
        <f>IFERROR($BX529/$BX530-1,"")</f>
        <v/>
      </c>
      <c r="FJ529" s="59">
        <f>$BY529-$BY530</f>
        <v/>
      </c>
      <c r="FK529" s="59">
        <f>$BZ529-$BZ530</f>
        <v/>
      </c>
      <c r="FL529" s="59">
        <f>$CA529-$CA530</f>
        <v/>
      </c>
      <c r="FM529" s="59">
        <f>$CB529-$CB530</f>
        <v/>
      </c>
      <c r="FN529" s="59">
        <f>$CC529-$CC530</f>
        <v/>
      </c>
      <c r="FO529" s="59">
        <f>$CD529-$CD530</f>
        <v/>
      </c>
      <c r="FP529" s="59">
        <f>$CE529-$CE530</f>
        <v/>
      </c>
      <c r="FQ529" s="59">
        <f>$CF529-$CF530</f>
        <v/>
      </c>
      <c r="FR529" s="59">
        <f>$CG529-$CG530</f>
        <v/>
      </c>
      <c r="FS529" s="59">
        <f>$CH529-$CH530</f>
        <v/>
      </c>
      <c r="FT529" s="59">
        <f>$CI529-$CI530</f>
        <v/>
      </c>
      <c r="FU529" s="59">
        <f>$CJ529-$CJ530</f>
        <v/>
      </c>
      <c r="FV529" s="59">
        <f>$CK529-$CK530</f>
        <v/>
      </c>
      <c r="FW529" s="59">
        <f>$CL529-$CL530</f>
        <v/>
      </c>
      <c r="FX529" s="59">
        <f>$CM529-$CM530</f>
        <v/>
      </c>
      <c r="FY529" s="59">
        <f>$CN529-$CN530</f>
        <v/>
      </c>
      <c r="FZ529" s="59">
        <f>$CO529-$CO530</f>
        <v/>
      </c>
      <c r="GA529" s="59">
        <f>$CP529-$CP530</f>
        <v/>
      </c>
      <c r="GB529" s="59">
        <f>$CQ529-$CQ530</f>
        <v/>
      </c>
      <c r="GC529" s="59">
        <f>$CR529-$CR530</f>
        <v/>
      </c>
      <c r="GD529" s="59">
        <f>$CS529-$CS530</f>
        <v/>
      </c>
      <c r="GE529" s="59">
        <f>$CT529-$CT530</f>
        <v/>
      </c>
    </row>
    <row r="530">
      <c r="CU530" s="58">
        <f>IFERROR($B530/$B531-1,"")</f>
        <v/>
      </c>
      <c r="CV530" s="59">
        <f>($F530-$F531)*100</f>
        <v/>
      </c>
      <c r="CW530" s="59">
        <f>($E530-$E531)*100</f>
        <v/>
      </c>
      <c r="CX530" s="58">
        <f>IFERROR($K530/$K531-1,"")</f>
        <v/>
      </c>
      <c r="CY530" s="59">
        <f>($AH530-$AH531)*100</f>
        <v/>
      </c>
      <c r="CZ530" s="59">
        <f>($AI530-$AI531)*100</f>
        <v/>
      </c>
      <c r="DA530" s="59">
        <f>($AJ530-$AJ531)*100</f>
        <v/>
      </c>
      <c r="DB530" s="59">
        <f>($AK530-$AK531)*100</f>
        <v/>
      </c>
      <c r="DC530" s="59">
        <f>($AL530-$AL531)*100</f>
        <v/>
      </c>
      <c r="DD530" s="59">
        <f>($AM530-$AM531)*100</f>
        <v/>
      </c>
      <c r="DE530" s="59">
        <f>($AN530-$AN531)*100</f>
        <v/>
      </c>
      <c r="DF530" s="59">
        <f>($AO530-$AO531)*100</f>
        <v/>
      </c>
      <c r="DG530" s="59">
        <f>($AP530-$AP531)*100</f>
        <v/>
      </c>
      <c r="DH530" s="59">
        <f>($AQ530-$AQ531)*100</f>
        <v/>
      </c>
      <c r="DI530" s="59">
        <f>($AR530-$AR531)*100</f>
        <v/>
      </c>
      <c r="DJ530" s="59">
        <f>($AS530-$AS531)*100</f>
        <v/>
      </c>
      <c r="DK530" s="59">
        <f>($AT530-$AT531)*100</f>
        <v/>
      </c>
      <c r="DL530" s="59">
        <f>($AU530-$AU531)*100</f>
        <v/>
      </c>
      <c r="DM530" s="59">
        <f>($AV530-$AV531)*100</f>
        <v/>
      </c>
      <c r="DN530" s="59">
        <f>($AW530-$AW531)*100</f>
        <v/>
      </c>
      <c r="DO530" s="59">
        <f>($AX530-$AX531)*100</f>
        <v/>
      </c>
      <c r="DP530" s="59">
        <f>($AY530-$AY531)*100</f>
        <v/>
      </c>
      <c r="DQ530" s="59">
        <f>($AZ530-$AZ531)*100</f>
        <v/>
      </c>
      <c r="DR530" s="59">
        <f>($BA530-$BA531)*100</f>
        <v/>
      </c>
      <c r="DS530" s="58">
        <f>IFERROR($N531/$N530-1,"")</f>
        <v/>
      </c>
      <c r="DT530" s="58">
        <f>IFERROR($O531/$O530-1,"")</f>
        <v/>
      </c>
      <c r="DU530" s="58">
        <f>IFERROR($P531/$P530-1,"")</f>
        <v/>
      </c>
      <c r="DV530" s="58">
        <f>IFERROR($Q531/$Q530-1,"")</f>
        <v/>
      </c>
      <c r="DW530" s="58">
        <f>IFERROR($R531/$R530-1,"")</f>
        <v/>
      </c>
      <c r="DX530" s="58">
        <f>IFERROR($S531/$S530-1,"")</f>
        <v/>
      </c>
      <c r="DY530" s="58">
        <f>IFERROR($T531/$T530-1,"")</f>
        <v/>
      </c>
      <c r="DZ530" s="58">
        <f>IFERROR($U531/$U530-1,"")</f>
        <v/>
      </c>
      <c r="EA530" s="58">
        <f>IFERROR($V531/$V530-1,"")</f>
        <v/>
      </c>
      <c r="EB530" s="58">
        <f>IFERROR($W531/$W530-1,"")</f>
        <v/>
      </c>
      <c r="EC530" s="58">
        <f>IFERROR($X531/$X530-1,"")</f>
        <v/>
      </c>
      <c r="ED530" s="58">
        <f>IFERROR($Y531/$Y530-1,"")</f>
        <v/>
      </c>
      <c r="EE530" s="58">
        <f>IFERROR($Z531/$Z530-1,"")</f>
        <v/>
      </c>
      <c r="EF530" s="58">
        <f>IFERROR($AA531/$AA530-1,"")</f>
        <v/>
      </c>
      <c r="EG530" s="58">
        <f>IFERROR($AB531/$AB530-1,"")</f>
        <v/>
      </c>
      <c r="EH530" s="58">
        <f>IFERROR($AC531/$AC530-1,"")</f>
        <v/>
      </c>
      <c r="EI530" s="58">
        <f>IFERROR($AD531/$AD530-1,"")</f>
        <v/>
      </c>
      <c r="EJ530" s="58">
        <f>IFERROR($AE531/$AE530-1,"")</f>
        <v/>
      </c>
      <c r="EK530" s="58">
        <f>IFERROR($AF531/$AF530-1,"")</f>
        <v/>
      </c>
      <c r="EL530" s="58">
        <f>IFERROR($AG531/$AG530-1,"")</f>
        <v/>
      </c>
      <c r="EM530" s="58">
        <f>IFERROR($BB530/$BB531-1,"")</f>
        <v/>
      </c>
      <c r="EN530" s="58">
        <f>IFERROR($BC530/$BC531-1,"")</f>
        <v/>
      </c>
      <c r="EO530" s="58">
        <f>IFERROR($BD530/$BD531-1,"")</f>
        <v/>
      </c>
      <c r="EP530" s="58">
        <f>IFERROR($BE530/$BE531-1,"")</f>
        <v/>
      </c>
      <c r="EQ530" s="58">
        <f>IFERROR($BF530/$BF531-1,"")</f>
        <v/>
      </c>
      <c r="ER530" s="58">
        <f>IFERROR($BG530/$BG531-1,"")</f>
        <v/>
      </c>
      <c r="ES530" s="58">
        <f>IFERROR($BH530/$BH531-1,"")</f>
        <v/>
      </c>
      <c r="ET530" s="58">
        <f>IFERROR($BI530/$BI531-1,"")</f>
        <v/>
      </c>
      <c r="EU530" s="58">
        <f>IFERROR($BJ530/$BJ531-1,"")</f>
        <v/>
      </c>
      <c r="EV530" s="58">
        <f>IFERROR($BK530/$BK531-1,"")</f>
        <v/>
      </c>
      <c r="EW530" s="58">
        <f>IFERROR($BL530/$BL531-1,"")</f>
        <v/>
      </c>
      <c r="EX530" s="58">
        <f>IFERROR($BM530/$BM531-1,"")</f>
        <v/>
      </c>
      <c r="EY530" s="58">
        <f>IFERROR($BN530/$BN531-1,"")</f>
        <v/>
      </c>
      <c r="EZ530" s="58">
        <f>IFERROR($BO530/$BO531-1,"")</f>
        <v/>
      </c>
      <c r="FA530" s="58">
        <f>IFERROR($BP530/$BP531-1,"")</f>
        <v/>
      </c>
      <c r="FB530" s="58">
        <f>IFERROR($BQ530/$BQ531-1,"")</f>
        <v/>
      </c>
      <c r="FC530" s="58">
        <f>IFERROR($BR530/$BR531-1,"")</f>
        <v/>
      </c>
      <c r="FD530" s="58">
        <f>IFERROR($BS530/$BS531-1,"")</f>
        <v/>
      </c>
      <c r="FE530" s="58">
        <f>IFERROR($BT530/$BT531-1,"")</f>
        <v/>
      </c>
      <c r="FF530" s="58">
        <f>IFERROR($BU530/$BU531-1,"")</f>
        <v/>
      </c>
      <c r="FG530" s="58">
        <f>IFERROR($BV530/$BV531-1,"")</f>
        <v/>
      </c>
      <c r="FH530" s="58">
        <f>IFERROR($BW530/$BW531-1,"")</f>
        <v/>
      </c>
      <c r="FI530" s="58">
        <f>IFERROR($BX530/$BX531-1,"")</f>
        <v/>
      </c>
      <c r="FJ530" s="59">
        <f>$BY530-$BY531</f>
        <v/>
      </c>
      <c r="FK530" s="59">
        <f>$BZ530-$BZ531</f>
        <v/>
      </c>
      <c r="FL530" s="59">
        <f>$CA530-$CA531</f>
        <v/>
      </c>
      <c r="FM530" s="59">
        <f>$CB530-$CB531</f>
        <v/>
      </c>
      <c r="FN530" s="59">
        <f>$CC530-$CC531</f>
        <v/>
      </c>
      <c r="FO530" s="59">
        <f>$CD530-$CD531</f>
        <v/>
      </c>
      <c r="FP530" s="59">
        <f>$CE530-$CE531</f>
        <v/>
      </c>
      <c r="FQ530" s="59">
        <f>$CF530-$CF531</f>
        <v/>
      </c>
      <c r="FR530" s="59">
        <f>$CG530-$CG531</f>
        <v/>
      </c>
      <c r="FS530" s="59">
        <f>$CH530-$CH531</f>
        <v/>
      </c>
      <c r="FT530" s="59">
        <f>$CI530-$CI531</f>
        <v/>
      </c>
      <c r="FU530" s="59">
        <f>$CJ530-$CJ531</f>
        <v/>
      </c>
      <c r="FV530" s="59">
        <f>$CK530-$CK531</f>
        <v/>
      </c>
      <c r="FW530" s="59">
        <f>$CL530-$CL531</f>
        <v/>
      </c>
      <c r="FX530" s="59">
        <f>$CM530-$CM531</f>
        <v/>
      </c>
      <c r="FY530" s="59">
        <f>$CN530-$CN531</f>
        <v/>
      </c>
      <c r="FZ530" s="59">
        <f>$CO530-$CO531</f>
        <v/>
      </c>
      <c r="GA530" s="59">
        <f>$CP530-$CP531</f>
        <v/>
      </c>
      <c r="GB530" s="59">
        <f>$CQ530-$CQ531</f>
        <v/>
      </c>
      <c r="GC530" s="59">
        <f>$CR530-$CR531</f>
        <v/>
      </c>
      <c r="GD530" s="59">
        <f>$CS530-$CS531</f>
        <v/>
      </c>
      <c r="GE530" s="59">
        <f>$CT530-$CT531</f>
        <v/>
      </c>
    </row>
    <row r="531">
      <c r="CU531" s="58">
        <f>IFERROR($B531/$B532-1,"")</f>
        <v/>
      </c>
      <c r="CV531" s="59">
        <f>($F531-$F532)*100</f>
        <v/>
      </c>
      <c r="CW531" s="59">
        <f>($E531-$E532)*100</f>
        <v/>
      </c>
      <c r="CX531" s="58">
        <f>IFERROR($K531/$K532-1,"")</f>
        <v/>
      </c>
      <c r="CY531" s="59">
        <f>($AH531-$AH532)*100</f>
        <v/>
      </c>
      <c r="CZ531" s="59">
        <f>($AI531-$AI532)*100</f>
        <v/>
      </c>
      <c r="DA531" s="59">
        <f>($AJ531-$AJ532)*100</f>
        <v/>
      </c>
      <c r="DB531" s="59">
        <f>($AK531-$AK532)*100</f>
        <v/>
      </c>
      <c r="DC531" s="59">
        <f>($AL531-$AL532)*100</f>
        <v/>
      </c>
      <c r="DD531" s="59">
        <f>($AM531-$AM532)*100</f>
        <v/>
      </c>
      <c r="DE531" s="59">
        <f>($AN531-$AN532)*100</f>
        <v/>
      </c>
      <c r="DF531" s="59">
        <f>($AO531-$AO532)*100</f>
        <v/>
      </c>
      <c r="DG531" s="59">
        <f>($AP531-$AP532)*100</f>
        <v/>
      </c>
      <c r="DH531" s="59">
        <f>($AQ531-$AQ532)*100</f>
        <v/>
      </c>
      <c r="DI531" s="59">
        <f>($AR531-$AR532)*100</f>
        <v/>
      </c>
      <c r="DJ531" s="59">
        <f>($AS531-$AS532)*100</f>
        <v/>
      </c>
      <c r="DK531" s="59">
        <f>($AT531-$AT532)*100</f>
        <v/>
      </c>
      <c r="DL531" s="59">
        <f>($AU531-$AU532)*100</f>
        <v/>
      </c>
      <c r="DM531" s="59">
        <f>($AV531-$AV532)*100</f>
        <v/>
      </c>
      <c r="DN531" s="59">
        <f>($AW531-$AW532)*100</f>
        <v/>
      </c>
      <c r="DO531" s="59">
        <f>($AX531-$AX532)*100</f>
        <v/>
      </c>
      <c r="DP531" s="59">
        <f>($AY531-$AY532)*100</f>
        <v/>
      </c>
      <c r="DQ531" s="59">
        <f>($AZ531-$AZ532)*100</f>
        <v/>
      </c>
      <c r="DR531" s="59">
        <f>($BA531-$BA532)*100</f>
        <v/>
      </c>
      <c r="DS531" s="58">
        <f>IFERROR($N532/$N531-1,"")</f>
        <v/>
      </c>
      <c r="DT531" s="58">
        <f>IFERROR($O532/$O531-1,"")</f>
        <v/>
      </c>
      <c r="DU531" s="58">
        <f>IFERROR($P532/$P531-1,"")</f>
        <v/>
      </c>
      <c r="DV531" s="58">
        <f>IFERROR($Q532/$Q531-1,"")</f>
        <v/>
      </c>
      <c r="DW531" s="58">
        <f>IFERROR($R532/$R531-1,"")</f>
        <v/>
      </c>
      <c r="DX531" s="58">
        <f>IFERROR($S532/$S531-1,"")</f>
        <v/>
      </c>
      <c r="DY531" s="58">
        <f>IFERROR($T532/$T531-1,"")</f>
        <v/>
      </c>
      <c r="DZ531" s="58">
        <f>IFERROR($U532/$U531-1,"")</f>
        <v/>
      </c>
      <c r="EA531" s="58">
        <f>IFERROR($V532/$V531-1,"")</f>
        <v/>
      </c>
      <c r="EB531" s="58">
        <f>IFERROR($W532/$W531-1,"")</f>
        <v/>
      </c>
      <c r="EC531" s="58">
        <f>IFERROR($X532/$X531-1,"")</f>
        <v/>
      </c>
      <c r="ED531" s="58">
        <f>IFERROR($Y532/$Y531-1,"")</f>
        <v/>
      </c>
      <c r="EE531" s="58">
        <f>IFERROR($Z532/$Z531-1,"")</f>
        <v/>
      </c>
      <c r="EF531" s="58">
        <f>IFERROR($AA532/$AA531-1,"")</f>
        <v/>
      </c>
      <c r="EG531" s="58">
        <f>IFERROR($AB532/$AB531-1,"")</f>
        <v/>
      </c>
      <c r="EH531" s="58">
        <f>IFERROR($AC532/$AC531-1,"")</f>
        <v/>
      </c>
      <c r="EI531" s="58">
        <f>IFERROR($AD532/$AD531-1,"")</f>
        <v/>
      </c>
      <c r="EJ531" s="58">
        <f>IFERROR($AE532/$AE531-1,"")</f>
        <v/>
      </c>
      <c r="EK531" s="58">
        <f>IFERROR($AF532/$AF531-1,"")</f>
        <v/>
      </c>
      <c r="EL531" s="58">
        <f>IFERROR($AG532/$AG531-1,"")</f>
        <v/>
      </c>
      <c r="EM531" s="58">
        <f>IFERROR($BB531/$BB532-1,"")</f>
        <v/>
      </c>
      <c r="EN531" s="58">
        <f>IFERROR($BC531/$BC532-1,"")</f>
        <v/>
      </c>
      <c r="EO531" s="58">
        <f>IFERROR($BD531/$BD532-1,"")</f>
        <v/>
      </c>
      <c r="EP531" s="58">
        <f>IFERROR($BE531/$BE532-1,"")</f>
        <v/>
      </c>
      <c r="EQ531" s="58">
        <f>IFERROR($BF531/$BF532-1,"")</f>
        <v/>
      </c>
      <c r="ER531" s="58">
        <f>IFERROR($BG531/$BG532-1,"")</f>
        <v/>
      </c>
      <c r="ES531" s="58">
        <f>IFERROR($BH531/$BH532-1,"")</f>
        <v/>
      </c>
      <c r="ET531" s="58">
        <f>IFERROR($BI531/$BI532-1,"")</f>
        <v/>
      </c>
      <c r="EU531" s="58">
        <f>IFERROR($BJ531/$BJ532-1,"")</f>
        <v/>
      </c>
      <c r="EV531" s="58">
        <f>IFERROR($BK531/$BK532-1,"")</f>
        <v/>
      </c>
      <c r="EW531" s="58">
        <f>IFERROR($BL531/$BL532-1,"")</f>
        <v/>
      </c>
      <c r="EX531" s="58">
        <f>IFERROR($BM531/$BM532-1,"")</f>
        <v/>
      </c>
      <c r="EY531" s="58">
        <f>IFERROR($BN531/$BN532-1,"")</f>
        <v/>
      </c>
      <c r="EZ531" s="58">
        <f>IFERROR($BO531/$BO532-1,"")</f>
        <v/>
      </c>
      <c r="FA531" s="58">
        <f>IFERROR($BP531/$BP532-1,"")</f>
        <v/>
      </c>
      <c r="FB531" s="58">
        <f>IFERROR($BQ531/$BQ532-1,"")</f>
        <v/>
      </c>
      <c r="FC531" s="58">
        <f>IFERROR($BR531/$BR532-1,"")</f>
        <v/>
      </c>
      <c r="FD531" s="58">
        <f>IFERROR($BS531/$BS532-1,"")</f>
        <v/>
      </c>
      <c r="FE531" s="58">
        <f>IFERROR($BT531/$BT532-1,"")</f>
        <v/>
      </c>
      <c r="FF531" s="58">
        <f>IFERROR($BU531/$BU532-1,"")</f>
        <v/>
      </c>
      <c r="FG531" s="58">
        <f>IFERROR($BV531/$BV532-1,"")</f>
        <v/>
      </c>
      <c r="FH531" s="58">
        <f>IFERROR($BW531/$BW532-1,"")</f>
        <v/>
      </c>
      <c r="FI531" s="58">
        <f>IFERROR($BX531/$BX532-1,"")</f>
        <v/>
      </c>
      <c r="FJ531" s="59">
        <f>$BY531-$BY532</f>
        <v/>
      </c>
      <c r="FK531" s="59">
        <f>$BZ531-$BZ532</f>
        <v/>
      </c>
      <c r="FL531" s="59">
        <f>$CA531-$CA532</f>
        <v/>
      </c>
      <c r="FM531" s="59">
        <f>$CB531-$CB532</f>
        <v/>
      </c>
      <c r="FN531" s="59">
        <f>$CC531-$CC532</f>
        <v/>
      </c>
      <c r="FO531" s="59">
        <f>$CD531-$CD532</f>
        <v/>
      </c>
      <c r="FP531" s="59">
        <f>$CE531-$CE532</f>
        <v/>
      </c>
      <c r="FQ531" s="59">
        <f>$CF531-$CF532</f>
        <v/>
      </c>
      <c r="FR531" s="59">
        <f>$CG531-$CG532</f>
        <v/>
      </c>
      <c r="FS531" s="59">
        <f>$CH531-$CH532</f>
        <v/>
      </c>
      <c r="FT531" s="59">
        <f>$CI531-$CI532</f>
        <v/>
      </c>
      <c r="FU531" s="59">
        <f>$CJ531-$CJ532</f>
        <v/>
      </c>
      <c r="FV531" s="59">
        <f>$CK531-$CK532</f>
        <v/>
      </c>
      <c r="FW531" s="59">
        <f>$CL531-$CL532</f>
        <v/>
      </c>
      <c r="FX531" s="59">
        <f>$CM531-$CM532</f>
        <v/>
      </c>
      <c r="FY531" s="59">
        <f>$CN531-$CN532</f>
        <v/>
      </c>
      <c r="FZ531" s="59">
        <f>$CO531-$CO532</f>
        <v/>
      </c>
      <c r="GA531" s="59">
        <f>$CP531-$CP532</f>
        <v/>
      </c>
      <c r="GB531" s="59">
        <f>$CQ531-$CQ532</f>
        <v/>
      </c>
      <c r="GC531" s="59">
        <f>$CR531-$CR532</f>
        <v/>
      </c>
      <c r="GD531" s="59">
        <f>$CS531-$CS532</f>
        <v/>
      </c>
      <c r="GE531" s="59">
        <f>$CT531-$CT532</f>
        <v/>
      </c>
    </row>
    <row r="532">
      <c r="CU532" s="58">
        <f>IFERROR($B532/$B533-1,"")</f>
        <v/>
      </c>
      <c r="CV532" s="59">
        <f>($F532-$F533)*100</f>
        <v/>
      </c>
      <c r="CW532" s="59">
        <f>($E532-$E533)*100</f>
        <v/>
      </c>
      <c r="CX532" s="58">
        <f>IFERROR($K532/$K533-1,"")</f>
        <v/>
      </c>
      <c r="CY532" s="59">
        <f>($AH532-$AH533)*100</f>
        <v/>
      </c>
      <c r="CZ532" s="59">
        <f>($AI532-$AI533)*100</f>
        <v/>
      </c>
      <c r="DA532" s="59">
        <f>($AJ532-$AJ533)*100</f>
        <v/>
      </c>
      <c r="DB532" s="59">
        <f>($AK532-$AK533)*100</f>
        <v/>
      </c>
      <c r="DC532" s="59">
        <f>($AL532-$AL533)*100</f>
        <v/>
      </c>
      <c r="DD532" s="59">
        <f>($AM532-$AM533)*100</f>
        <v/>
      </c>
      <c r="DE532" s="59">
        <f>($AN532-$AN533)*100</f>
        <v/>
      </c>
      <c r="DF532" s="59">
        <f>($AO532-$AO533)*100</f>
        <v/>
      </c>
      <c r="DG532" s="59">
        <f>($AP532-$AP533)*100</f>
        <v/>
      </c>
      <c r="DH532" s="59">
        <f>($AQ532-$AQ533)*100</f>
        <v/>
      </c>
      <c r="DI532" s="59">
        <f>($AR532-$AR533)*100</f>
        <v/>
      </c>
      <c r="DJ532" s="59">
        <f>($AS532-$AS533)*100</f>
        <v/>
      </c>
      <c r="DK532" s="59">
        <f>($AT532-$AT533)*100</f>
        <v/>
      </c>
      <c r="DL532" s="59">
        <f>($AU532-$AU533)*100</f>
        <v/>
      </c>
      <c r="DM532" s="59">
        <f>($AV532-$AV533)*100</f>
        <v/>
      </c>
      <c r="DN532" s="59">
        <f>($AW532-$AW533)*100</f>
        <v/>
      </c>
      <c r="DO532" s="59">
        <f>($AX532-$AX533)*100</f>
        <v/>
      </c>
      <c r="DP532" s="59">
        <f>($AY532-$AY533)*100</f>
        <v/>
      </c>
      <c r="DQ532" s="59">
        <f>($AZ532-$AZ533)*100</f>
        <v/>
      </c>
      <c r="DR532" s="59">
        <f>($BA532-$BA533)*100</f>
        <v/>
      </c>
      <c r="DS532" s="58">
        <f>IFERROR($N533/$N532-1,"")</f>
        <v/>
      </c>
      <c r="DT532" s="58">
        <f>IFERROR($O533/$O532-1,"")</f>
        <v/>
      </c>
      <c r="DU532" s="58">
        <f>IFERROR($P533/$P532-1,"")</f>
        <v/>
      </c>
      <c r="DV532" s="58">
        <f>IFERROR($Q533/$Q532-1,"")</f>
        <v/>
      </c>
      <c r="DW532" s="58">
        <f>IFERROR($R533/$R532-1,"")</f>
        <v/>
      </c>
      <c r="DX532" s="58">
        <f>IFERROR($S533/$S532-1,"")</f>
        <v/>
      </c>
      <c r="DY532" s="58">
        <f>IFERROR($T533/$T532-1,"")</f>
        <v/>
      </c>
      <c r="DZ532" s="58">
        <f>IFERROR($U533/$U532-1,"")</f>
        <v/>
      </c>
      <c r="EA532" s="58">
        <f>IFERROR($V533/$V532-1,"")</f>
        <v/>
      </c>
      <c r="EB532" s="58">
        <f>IFERROR($W533/$W532-1,"")</f>
        <v/>
      </c>
      <c r="EC532" s="58">
        <f>IFERROR($X533/$X532-1,"")</f>
        <v/>
      </c>
      <c r="ED532" s="58">
        <f>IFERROR($Y533/$Y532-1,"")</f>
        <v/>
      </c>
      <c r="EE532" s="58">
        <f>IFERROR($Z533/$Z532-1,"")</f>
        <v/>
      </c>
      <c r="EF532" s="58">
        <f>IFERROR($AA533/$AA532-1,"")</f>
        <v/>
      </c>
      <c r="EG532" s="58">
        <f>IFERROR($AB533/$AB532-1,"")</f>
        <v/>
      </c>
      <c r="EH532" s="58">
        <f>IFERROR($AC533/$AC532-1,"")</f>
        <v/>
      </c>
      <c r="EI532" s="58">
        <f>IFERROR($AD533/$AD532-1,"")</f>
        <v/>
      </c>
      <c r="EJ532" s="58">
        <f>IFERROR($AE533/$AE532-1,"")</f>
        <v/>
      </c>
      <c r="EK532" s="58">
        <f>IFERROR($AF533/$AF532-1,"")</f>
        <v/>
      </c>
      <c r="EL532" s="58">
        <f>IFERROR($AG533/$AG532-1,"")</f>
        <v/>
      </c>
      <c r="EM532" s="58">
        <f>IFERROR($BB532/$BB533-1,"")</f>
        <v/>
      </c>
      <c r="EN532" s="58">
        <f>IFERROR($BC532/$BC533-1,"")</f>
        <v/>
      </c>
      <c r="EO532" s="58">
        <f>IFERROR($BD532/$BD533-1,"")</f>
        <v/>
      </c>
      <c r="EP532" s="58">
        <f>IFERROR($BE532/$BE533-1,"")</f>
        <v/>
      </c>
      <c r="EQ532" s="58">
        <f>IFERROR($BF532/$BF533-1,"")</f>
        <v/>
      </c>
      <c r="ER532" s="58">
        <f>IFERROR($BG532/$BG533-1,"")</f>
        <v/>
      </c>
      <c r="ES532" s="58">
        <f>IFERROR($BH532/$BH533-1,"")</f>
        <v/>
      </c>
      <c r="ET532" s="58">
        <f>IFERROR($BI532/$BI533-1,"")</f>
        <v/>
      </c>
      <c r="EU532" s="58">
        <f>IFERROR($BJ532/$BJ533-1,"")</f>
        <v/>
      </c>
      <c r="EV532" s="58">
        <f>IFERROR($BK532/$BK533-1,"")</f>
        <v/>
      </c>
      <c r="EW532" s="58">
        <f>IFERROR($BL532/$BL533-1,"")</f>
        <v/>
      </c>
      <c r="EX532" s="58">
        <f>IFERROR($BM532/$BM533-1,"")</f>
        <v/>
      </c>
      <c r="EY532" s="58">
        <f>IFERROR($BN532/$BN533-1,"")</f>
        <v/>
      </c>
      <c r="EZ532" s="58">
        <f>IFERROR($BO532/$BO533-1,"")</f>
        <v/>
      </c>
      <c r="FA532" s="58">
        <f>IFERROR($BP532/$BP533-1,"")</f>
        <v/>
      </c>
      <c r="FB532" s="58">
        <f>IFERROR($BQ532/$BQ533-1,"")</f>
        <v/>
      </c>
      <c r="FC532" s="58">
        <f>IFERROR($BR532/$BR533-1,"")</f>
        <v/>
      </c>
      <c r="FD532" s="58">
        <f>IFERROR($BS532/$BS533-1,"")</f>
        <v/>
      </c>
      <c r="FE532" s="58">
        <f>IFERROR($BT532/$BT533-1,"")</f>
        <v/>
      </c>
      <c r="FF532" s="58">
        <f>IFERROR($BU532/$BU533-1,"")</f>
        <v/>
      </c>
      <c r="FG532" s="58">
        <f>IFERROR($BV532/$BV533-1,"")</f>
        <v/>
      </c>
      <c r="FH532" s="58">
        <f>IFERROR($BW532/$BW533-1,"")</f>
        <v/>
      </c>
      <c r="FI532" s="58">
        <f>IFERROR($BX532/$BX533-1,"")</f>
        <v/>
      </c>
      <c r="FJ532" s="59">
        <f>$BY532-$BY533</f>
        <v/>
      </c>
      <c r="FK532" s="59">
        <f>$BZ532-$BZ533</f>
        <v/>
      </c>
      <c r="FL532" s="59">
        <f>$CA532-$CA533</f>
        <v/>
      </c>
      <c r="FM532" s="59">
        <f>$CB532-$CB533</f>
        <v/>
      </c>
      <c r="FN532" s="59">
        <f>$CC532-$CC533</f>
        <v/>
      </c>
      <c r="FO532" s="59">
        <f>$CD532-$CD533</f>
        <v/>
      </c>
      <c r="FP532" s="59">
        <f>$CE532-$CE533</f>
        <v/>
      </c>
      <c r="FQ532" s="59">
        <f>$CF532-$CF533</f>
        <v/>
      </c>
      <c r="FR532" s="59">
        <f>$CG532-$CG533</f>
        <v/>
      </c>
      <c r="FS532" s="59">
        <f>$CH532-$CH533</f>
        <v/>
      </c>
      <c r="FT532" s="59">
        <f>$CI532-$CI533</f>
        <v/>
      </c>
      <c r="FU532" s="59">
        <f>$CJ532-$CJ533</f>
        <v/>
      </c>
      <c r="FV532" s="59">
        <f>$CK532-$CK533</f>
        <v/>
      </c>
      <c r="FW532" s="59">
        <f>$CL532-$CL533</f>
        <v/>
      </c>
      <c r="FX532" s="59">
        <f>$CM532-$CM533</f>
        <v/>
      </c>
      <c r="FY532" s="59">
        <f>$CN532-$CN533</f>
        <v/>
      </c>
      <c r="FZ532" s="59">
        <f>$CO532-$CO533</f>
        <v/>
      </c>
      <c r="GA532" s="59">
        <f>$CP532-$CP533</f>
        <v/>
      </c>
      <c r="GB532" s="59">
        <f>$CQ532-$CQ533</f>
        <v/>
      </c>
      <c r="GC532" s="59">
        <f>$CR532-$CR533</f>
        <v/>
      </c>
      <c r="GD532" s="59">
        <f>$CS532-$CS533</f>
        <v/>
      </c>
      <c r="GE532" s="59">
        <f>$CT532-$CT533</f>
        <v/>
      </c>
    </row>
    <row r="533">
      <c r="CU533" s="58">
        <f>IFERROR($B533/$B534-1,"")</f>
        <v/>
      </c>
      <c r="CV533" s="59">
        <f>($F533-$F534)*100</f>
        <v/>
      </c>
      <c r="CW533" s="59">
        <f>($E533-$E534)*100</f>
        <v/>
      </c>
      <c r="CX533" s="58">
        <f>IFERROR($K533/$K534-1,"")</f>
        <v/>
      </c>
      <c r="CY533" s="59">
        <f>($AH533-$AH534)*100</f>
        <v/>
      </c>
      <c r="CZ533" s="59">
        <f>($AI533-$AI534)*100</f>
        <v/>
      </c>
      <c r="DA533" s="59">
        <f>($AJ533-$AJ534)*100</f>
        <v/>
      </c>
      <c r="DB533" s="59">
        <f>($AK533-$AK534)*100</f>
        <v/>
      </c>
      <c r="DC533" s="59">
        <f>($AL533-$AL534)*100</f>
        <v/>
      </c>
      <c r="DD533" s="59">
        <f>($AM533-$AM534)*100</f>
        <v/>
      </c>
      <c r="DE533" s="59">
        <f>($AN533-$AN534)*100</f>
        <v/>
      </c>
      <c r="DF533" s="59">
        <f>($AO533-$AO534)*100</f>
        <v/>
      </c>
      <c r="DG533" s="59">
        <f>($AP533-$AP534)*100</f>
        <v/>
      </c>
      <c r="DH533" s="59">
        <f>($AQ533-$AQ534)*100</f>
        <v/>
      </c>
      <c r="DI533" s="59">
        <f>($AR533-$AR534)*100</f>
        <v/>
      </c>
      <c r="DJ533" s="59">
        <f>($AS533-$AS534)*100</f>
        <v/>
      </c>
      <c r="DK533" s="59">
        <f>($AT533-$AT534)*100</f>
        <v/>
      </c>
      <c r="DL533" s="59">
        <f>($AU533-$AU534)*100</f>
        <v/>
      </c>
      <c r="DM533" s="59">
        <f>($AV533-$AV534)*100</f>
        <v/>
      </c>
      <c r="DN533" s="59">
        <f>($AW533-$AW534)*100</f>
        <v/>
      </c>
      <c r="DO533" s="59">
        <f>($AX533-$AX534)*100</f>
        <v/>
      </c>
      <c r="DP533" s="59">
        <f>($AY533-$AY534)*100</f>
        <v/>
      </c>
      <c r="DQ533" s="59">
        <f>($AZ533-$AZ534)*100</f>
        <v/>
      </c>
      <c r="DR533" s="59">
        <f>($BA533-$BA534)*100</f>
        <v/>
      </c>
      <c r="DS533" s="58">
        <f>IFERROR($N534/$N533-1,"")</f>
        <v/>
      </c>
      <c r="DT533" s="58">
        <f>IFERROR($O534/$O533-1,"")</f>
        <v/>
      </c>
      <c r="DU533" s="58">
        <f>IFERROR($P534/$P533-1,"")</f>
        <v/>
      </c>
      <c r="DV533" s="58">
        <f>IFERROR($Q534/$Q533-1,"")</f>
        <v/>
      </c>
      <c r="DW533" s="58">
        <f>IFERROR($R534/$R533-1,"")</f>
        <v/>
      </c>
      <c r="DX533" s="58">
        <f>IFERROR($S534/$S533-1,"")</f>
        <v/>
      </c>
      <c r="DY533" s="58">
        <f>IFERROR($T534/$T533-1,"")</f>
        <v/>
      </c>
      <c r="DZ533" s="58">
        <f>IFERROR($U534/$U533-1,"")</f>
        <v/>
      </c>
      <c r="EA533" s="58">
        <f>IFERROR($V534/$V533-1,"")</f>
        <v/>
      </c>
      <c r="EB533" s="58">
        <f>IFERROR($W534/$W533-1,"")</f>
        <v/>
      </c>
      <c r="EC533" s="58">
        <f>IFERROR($X534/$X533-1,"")</f>
        <v/>
      </c>
      <c r="ED533" s="58">
        <f>IFERROR($Y534/$Y533-1,"")</f>
        <v/>
      </c>
      <c r="EE533" s="58">
        <f>IFERROR($Z534/$Z533-1,"")</f>
        <v/>
      </c>
      <c r="EF533" s="58">
        <f>IFERROR($AA534/$AA533-1,"")</f>
        <v/>
      </c>
      <c r="EG533" s="58">
        <f>IFERROR($AB534/$AB533-1,"")</f>
        <v/>
      </c>
      <c r="EH533" s="58">
        <f>IFERROR($AC534/$AC533-1,"")</f>
        <v/>
      </c>
      <c r="EI533" s="58">
        <f>IFERROR($AD534/$AD533-1,"")</f>
        <v/>
      </c>
      <c r="EJ533" s="58">
        <f>IFERROR($AE534/$AE533-1,"")</f>
        <v/>
      </c>
      <c r="EK533" s="58">
        <f>IFERROR($AF534/$AF533-1,"")</f>
        <v/>
      </c>
      <c r="EL533" s="58">
        <f>IFERROR($AG534/$AG533-1,"")</f>
        <v/>
      </c>
      <c r="EM533" s="58">
        <f>IFERROR($BB533/$BB534-1,"")</f>
        <v/>
      </c>
      <c r="EN533" s="58">
        <f>IFERROR($BC533/$BC534-1,"")</f>
        <v/>
      </c>
      <c r="EO533" s="58">
        <f>IFERROR($BD533/$BD534-1,"")</f>
        <v/>
      </c>
      <c r="EP533" s="58">
        <f>IFERROR($BE533/$BE534-1,"")</f>
        <v/>
      </c>
      <c r="EQ533" s="58">
        <f>IFERROR($BF533/$BF534-1,"")</f>
        <v/>
      </c>
      <c r="ER533" s="58">
        <f>IFERROR($BG533/$BG534-1,"")</f>
        <v/>
      </c>
      <c r="ES533" s="58">
        <f>IFERROR($BH533/$BH534-1,"")</f>
        <v/>
      </c>
      <c r="ET533" s="58">
        <f>IFERROR($BI533/$BI534-1,"")</f>
        <v/>
      </c>
      <c r="EU533" s="58">
        <f>IFERROR($BJ533/$BJ534-1,"")</f>
        <v/>
      </c>
      <c r="EV533" s="58">
        <f>IFERROR($BK533/$BK534-1,"")</f>
        <v/>
      </c>
      <c r="EW533" s="58">
        <f>IFERROR($BL533/$BL534-1,"")</f>
        <v/>
      </c>
      <c r="EX533" s="58">
        <f>IFERROR($BM533/$BM534-1,"")</f>
        <v/>
      </c>
      <c r="EY533" s="58">
        <f>IFERROR($BN533/$BN534-1,"")</f>
        <v/>
      </c>
      <c r="EZ533" s="58">
        <f>IFERROR($BO533/$BO534-1,"")</f>
        <v/>
      </c>
      <c r="FA533" s="58">
        <f>IFERROR($BP533/$BP534-1,"")</f>
        <v/>
      </c>
      <c r="FB533" s="58">
        <f>IFERROR($BQ533/$BQ534-1,"")</f>
        <v/>
      </c>
      <c r="FC533" s="58">
        <f>IFERROR($BR533/$BR534-1,"")</f>
        <v/>
      </c>
      <c r="FD533" s="58">
        <f>IFERROR($BS533/$BS534-1,"")</f>
        <v/>
      </c>
      <c r="FE533" s="58">
        <f>IFERROR($BT533/$BT534-1,"")</f>
        <v/>
      </c>
      <c r="FF533" s="58">
        <f>IFERROR($BU533/$BU534-1,"")</f>
        <v/>
      </c>
      <c r="FG533" s="58">
        <f>IFERROR($BV533/$BV534-1,"")</f>
        <v/>
      </c>
      <c r="FH533" s="58">
        <f>IFERROR($BW533/$BW534-1,"")</f>
        <v/>
      </c>
      <c r="FI533" s="58">
        <f>IFERROR($BX533/$BX534-1,"")</f>
        <v/>
      </c>
      <c r="FJ533" s="59">
        <f>$BY533-$BY534</f>
        <v/>
      </c>
      <c r="FK533" s="59">
        <f>$BZ533-$BZ534</f>
        <v/>
      </c>
      <c r="FL533" s="59">
        <f>$CA533-$CA534</f>
        <v/>
      </c>
      <c r="FM533" s="59">
        <f>$CB533-$CB534</f>
        <v/>
      </c>
      <c r="FN533" s="59">
        <f>$CC533-$CC534</f>
        <v/>
      </c>
      <c r="FO533" s="59">
        <f>$CD533-$CD534</f>
        <v/>
      </c>
      <c r="FP533" s="59">
        <f>$CE533-$CE534</f>
        <v/>
      </c>
      <c r="FQ533" s="59">
        <f>$CF533-$CF534</f>
        <v/>
      </c>
      <c r="FR533" s="59">
        <f>$CG533-$CG534</f>
        <v/>
      </c>
      <c r="FS533" s="59">
        <f>$CH533-$CH534</f>
        <v/>
      </c>
      <c r="FT533" s="59">
        <f>$CI533-$CI534</f>
        <v/>
      </c>
      <c r="FU533" s="59">
        <f>$CJ533-$CJ534</f>
        <v/>
      </c>
      <c r="FV533" s="59">
        <f>$CK533-$CK534</f>
        <v/>
      </c>
      <c r="FW533" s="59">
        <f>$CL533-$CL534</f>
        <v/>
      </c>
      <c r="FX533" s="59">
        <f>$CM533-$CM534</f>
        <v/>
      </c>
      <c r="FY533" s="59">
        <f>$CN533-$CN534</f>
        <v/>
      </c>
      <c r="FZ533" s="59">
        <f>$CO533-$CO534</f>
        <v/>
      </c>
      <c r="GA533" s="59">
        <f>$CP533-$CP534</f>
        <v/>
      </c>
      <c r="GB533" s="59">
        <f>$CQ533-$CQ534</f>
        <v/>
      </c>
      <c r="GC533" s="59">
        <f>$CR533-$CR534</f>
        <v/>
      </c>
      <c r="GD533" s="59">
        <f>$CS533-$CS534</f>
        <v/>
      </c>
      <c r="GE533" s="59">
        <f>$CT533-$CT534</f>
        <v/>
      </c>
    </row>
    <row r="534">
      <c r="CU534" s="58">
        <f>IFERROR($B534/$B535-1,"")</f>
        <v/>
      </c>
      <c r="CV534" s="59">
        <f>($F534-$F535)*100</f>
        <v/>
      </c>
      <c r="CW534" s="59">
        <f>($E534-$E535)*100</f>
        <v/>
      </c>
      <c r="CX534" s="58">
        <f>IFERROR($K534/$K535-1,"")</f>
        <v/>
      </c>
      <c r="CY534" s="59">
        <f>($AH534-$AH535)*100</f>
        <v/>
      </c>
      <c r="CZ534" s="59">
        <f>($AI534-$AI535)*100</f>
        <v/>
      </c>
      <c r="DA534" s="59">
        <f>($AJ534-$AJ535)*100</f>
        <v/>
      </c>
      <c r="DB534" s="59">
        <f>($AK534-$AK535)*100</f>
        <v/>
      </c>
      <c r="DC534" s="59">
        <f>($AL534-$AL535)*100</f>
        <v/>
      </c>
      <c r="DD534" s="59">
        <f>($AM534-$AM535)*100</f>
        <v/>
      </c>
      <c r="DE534" s="59">
        <f>($AN534-$AN535)*100</f>
        <v/>
      </c>
      <c r="DF534" s="59">
        <f>($AO534-$AO535)*100</f>
        <v/>
      </c>
      <c r="DG534" s="59">
        <f>($AP534-$AP535)*100</f>
        <v/>
      </c>
      <c r="DH534" s="59">
        <f>($AQ534-$AQ535)*100</f>
        <v/>
      </c>
      <c r="DI534" s="59">
        <f>($AR534-$AR535)*100</f>
        <v/>
      </c>
      <c r="DJ534" s="59">
        <f>($AS534-$AS535)*100</f>
        <v/>
      </c>
      <c r="DK534" s="59">
        <f>($AT534-$AT535)*100</f>
        <v/>
      </c>
      <c r="DL534" s="59">
        <f>($AU534-$AU535)*100</f>
        <v/>
      </c>
      <c r="DM534" s="59">
        <f>($AV534-$AV535)*100</f>
        <v/>
      </c>
      <c r="DN534" s="59">
        <f>($AW534-$AW535)*100</f>
        <v/>
      </c>
      <c r="DO534" s="59">
        <f>($AX534-$AX535)*100</f>
        <v/>
      </c>
      <c r="DP534" s="59">
        <f>($AY534-$AY535)*100</f>
        <v/>
      </c>
      <c r="DQ534" s="59">
        <f>($AZ534-$AZ535)*100</f>
        <v/>
      </c>
      <c r="DR534" s="59">
        <f>($BA534-$BA535)*100</f>
        <v/>
      </c>
      <c r="DS534" s="58">
        <f>IFERROR($N535/$N534-1,"")</f>
        <v/>
      </c>
      <c r="DT534" s="58">
        <f>IFERROR($O535/$O534-1,"")</f>
        <v/>
      </c>
      <c r="DU534" s="58">
        <f>IFERROR($P535/$P534-1,"")</f>
        <v/>
      </c>
      <c r="DV534" s="58">
        <f>IFERROR($Q535/$Q534-1,"")</f>
        <v/>
      </c>
      <c r="DW534" s="58">
        <f>IFERROR($R535/$R534-1,"")</f>
        <v/>
      </c>
      <c r="DX534" s="58">
        <f>IFERROR($S535/$S534-1,"")</f>
        <v/>
      </c>
      <c r="DY534" s="58">
        <f>IFERROR($T535/$T534-1,"")</f>
        <v/>
      </c>
      <c r="DZ534" s="58">
        <f>IFERROR($U535/$U534-1,"")</f>
        <v/>
      </c>
      <c r="EA534" s="58">
        <f>IFERROR($V535/$V534-1,"")</f>
        <v/>
      </c>
      <c r="EB534" s="58">
        <f>IFERROR($W535/$W534-1,"")</f>
        <v/>
      </c>
      <c r="EC534" s="58">
        <f>IFERROR($X535/$X534-1,"")</f>
        <v/>
      </c>
      <c r="ED534" s="58">
        <f>IFERROR($Y535/$Y534-1,"")</f>
        <v/>
      </c>
      <c r="EE534" s="58">
        <f>IFERROR($Z535/$Z534-1,"")</f>
        <v/>
      </c>
      <c r="EF534" s="58">
        <f>IFERROR($AA535/$AA534-1,"")</f>
        <v/>
      </c>
      <c r="EG534" s="58">
        <f>IFERROR($AB535/$AB534-1,"")</f>
        <v/>
      </c>
      <c r="EH534" s="58">
        <f>IFERROR($AC535/$AC534-1,"")</f>
        <v/>
      </c>
      <c r="EI534" s="58">
        <f>IFERROR($AD535/$AD534-1,"")</f>
        <v/>
      </c>
      <c r="EJ534" s="58">
        <f>IFERROR($AE535/$AE534-1,"")</f>
        <v/>
      </c>
      <c r="EK534" s="58">
        <f>IFERROR($AF535/$AF534-1,"")</f>
        <v/>
      </c>
      <c r="EL534" s="58">
        <f>IFERROR($AG535/$AG534-1,"")</f>
        <v/>
      </c>
      <c r="EM534" s="58">
        <f>IFERROR($BB534/$BB535-1,"")</f>
        <v/>
      </c>
      <c r="EN534" s="58">
        <f>IFERROR($BC534/$BC535-1,"")</f>
        <v/>
      </c>
      <c r="EO534" s="58">
        <f>IFERROR($BD534/$BD535-1,"")</f>
        <v/>
      </c>
      <c r="EP534" s="58">
        <f>IFERROR($BE534/$BE535-1,"")</f>
        <v/>
      </c>
      <c r="EQ534" s="58">
        <f>IFERROR($BF534/$BF535-1,"")</f>
        <v/>
      </c>
      <c r="ER534" s="58">
        <f>IFERROR($BG534/$BG535-1,"")</f>
        <v/>
      </c>
      <c r="ES534" s="58">
        <f>IFERROR($BH534/$BH535-1,"")</f>
        <v/>
      </c>
      <c r="ET534" s="58">
        <f>IFERROR($BI534/$BI535-1,"")</f>
        <v/>
      </c>
      <c r="EU534" s="58">
        <f>IFERROR($BJ534/$BJ535-1,"")</f>
        <v/>
      </c>
      <c r="EV534" s="58">
        <f>IFERROR($BK534/$BK535-1,"")</f>
        <v/>
      </c>
      <c r="EW534" s="58">
        <f>IFERROR($BL534/$BL535-1,"")</f>
        <v/>
      </c>
      <c r="EX534" s="58">
        <f>IFERROR($BM534/$BM535-1,"")</f>
        <v/>
      </c>
      <c r="EY534" s="58">
        <f>IFERROR($BN534/$BN535-1,"")</f>
        <v/>
      </c>
      <c r="EZ534" s="58">
        <f>IFERROR($BO534/$BO535-1,"")</f>
        <v/>
      </c>
      <c r="FA534" s="58">
        <f>IFERROR($BP534/$BP535-1,"")</f>
        <v/>
      </c>
      <c r="FB534" s="58">
        <f>IFERROR($BQ534/$BQ535-1,"")</f>
        <v/>
      </c>
      <c r="FC534" s="58">
        <f>IFERROR($BR534/$BR535-1,"")</f>
        <v/>
      </c>
      <c r="FD534" s="58">
        <f>IFERROR($BS534/$BS535-1,"")</f>
        <v/>
      </c>
      <c r="FE534" s="58">
        <f>IFERROR($BT534/$BT535-1,"")</f>
        <v/>
      </c>
      <c r="FF534" s="58">
        <f>IFERROR($BU534/$BU535-1,"")</f>
        <v/>
      </c>
      <c r="FG534" s="58">
        <f>IFERROR($BV534/$BV535-1,"")</f>
        <v/>
      </c>
      <c r="FH534" s="58">
        <f>IFERROR($BW534/$BW535-1,"")</f>
        <v/>
      </c>
      <c r="FI534" s="58">
        <f>IFERROR($BX534/$BX535-1,"")</f>
        <v/>
      </c>
      <c r="FJ534" s="59">
        <f>$BY534-$BY535</f>
        <v/>
      </c>
      <c r="FK534" s="59">
        <f>$BZ534-$BZ535</f>
        <v/>
      </c>
      <c r="FL534" s="59">
        <f>$CA534-$CA535</f>
        <v/>
      </c>
      <c r="FM534" s="59">
        <f>$CB534-$CB535</f>
        <v/>
      </c>
      <c r="FN534" s="59">
        <f>$CC534-$CC535</f>
        <v/>
      </c>
      <c r="FO534" s="59">
        <f>$CD534-$CD535</f>
        <v/>
      </c>
      <c r="FP534" s="59">
        <f>$CE534-$CE535</f>
        <v/>
      </c>
      <c r="FQ534" s="59">
        <f>$CF534-$CF535</f>
        <v/>
      </c>
      <c r="FR534" s="59">
        <f>$CG534-$CG535</f>
        <v/>
      </c>
      <c r="FS534" s="59">
        <f>$CH534-$CH535</f>
        <v/>
      </c>
      <c r="FT534" s="59">
        <f>$CI534-$CI535</f>
        <v/>
      </c>
      <c r="FU534" s="59">
        <f>$CJ534-$CJ535</f>
        <v/>
      </c>
      <c r="FV534" s="59">
        <f>$CK534-$CK535</f>
        <v/>
      </c>
      <c r="FW534" s="59">
        <f>$CL534-$CL535</f>
        <v/>
      </c>
      <c r="FX534" s="59">
        <f>$CM534-$CM535</f>
        <v/>
      </c>
      <c r="FY534" s="59">
        <f>$CN534-$CN535</f>
        <v/>
      </c>
      <c r="FZ534" s="59">
        <f>$CO534-$CO535</f>
        <v/>
      </c>
      <c r="GA534" s="59">
        <f>$CP534-$CP535</f>
        <v/>
      </c>
      <c r="GB534" s="59">
        <f>$CQ534-$CQ535</f>
        <v/>
      </c>
      <c r="GC534" s="59">
        <f>$CR534-$CR535</f>
        <v/>
      </c>
      <c r="GD534" s="59">
        <f>$CS534-$CS535</f>
        <v/>
      </c>
      <c r="GE534" s="59">
        <f>$CT534-$CT535</f>
        <v/>
      </c>
    </row>
    <row r="535">
      <c r="CU535" s="58">
        <f>IFERROR($B535/$B536-1,"")</f>
        <v/>
      </c>
      <c r="CV535" s="59">
        <f>($F535-$F536)*100</f>
        <v/>
      </c>
      <c r="CW535" s="59">
        <f>($E535-$E536)*100</f>
        <v/>
      </c>
      <c r="CX535" s="58">
        <f>IFERROR($K535/$K536-1,"")</f>
        <v/>
      </c>
      <c r="CY535" s="59">
        <f>($AH535-$AH536)*100</f>
        <v/>
      </c>
      <c r="CZ535" s="59">
        <f>($AI535-$AI536)*100</f>
        <v/>
      </c>
      <c r="DA535" s="59">
        <f>($AJ535-$AJ536)*100</f>
        <v/>
      </c>
      <c r="DB535" s="59">
        <f>($AK535-$AK536)*100</f>
        <v/>
      </c>
      <c r="DC535" s="59">
        <f>($AL535-$AL536)*100</f>
        <v/>
      </c>
      <c r="DD535" s="59">
        <f>($AM535-$AM536)*100</f>
        <v/>
      </c>
      <c r="DE535" s="59">
        <f>($AN535-$AN536)*100</f>
        <v/>
      </c>
      <c r="DF535" s="59">
        <f>($AO535-$AO536)*100</f>
        <v/>
      </c>
      <c r="DG535" s="59">
        <f>($AP535-$AP536)*100</f>
        <v/>
      </c>
      <c r="DH535" s="59">
        <f>($AQ535-$AQ536)*100</f>
        <v/>
      </c>
      <c r="DI535" s="59">
        <f>($AR535-$AR536)*100</f>
        <v/>
      </c>
      <c r="DJ535" s="59">
        <f>($AS535-$AS536)*100</f>
        <v/>
      </c>
      <c r="DK535" s="59">
        <f>($AT535-$AT536)*100</f>
        <v/>
      </c>
      <c r="DL535" s="59">
        <f>($AU535-$AU536)*100</f>
        <v/>
      </c>
      <c r="DM535" s="59">
        <f>($AV535-$AV536)*100</f>
        <v/>
      </c>
      <c r="DN535" s="59">
        <f>($AW535-$AW536)*100</f>
        <v/>
      </c>
      <c r="DO535" s="59">
        <f>($AX535-$AX536)*100</f>
        <v/>
      </c>
      <c r="DP535" s="59">
        <f>($AY535-$AY536)*100</f>
        <v/>
      </c>
      <c r="DQ535" s="59">
        <f>($AZ535-$AZ536)*100</f>
        <v/>
      </c>
      <c r="DR535" s="59">
        <f>($BA535-$BA536)*100</f>
        <v/>
      </c>
      <c r="DS535" s="58">
        <f>IFERROR($N536/$N535-1,"")</f>
        <v/>
      </c>
      <c r="DT535" s="58">
        <f>IFERROR($O536/$O535-1,"")</f>
        <v/>
      </c>
      <c r="DU535" s="58">
        <f>IFERROR($P536/$P535-1,"")</f>
        <v/>
      </c>
      <c r="DV535" s="58">
        <f>IFERROR($Q536/$Q535-1,"")</f>
        <v/>
      </c>
      <c r="DW535" s="58">
        <f>IFERROR($R536/$R535-1,"")</f>
        <v/>
      </c>
      <c r="DX535" s="58">
        <f>IFERROR($S536/$S535-1,"")</f>
        <v/>
      </c>
      <c r="DY535" s="58">
        <f>IFERROR($T536/$T535-1,"")</f>
        <v/>
      </c>
      <c r="DZ535" s="58">
        <f>IFERROR($U536/$U535-1,"")</f>
        <v/>
      </c>
      <c r="EA535" s="58">
        <f>IFERROR($V536/$V535-1,"")</f>
        <v/>
      </c>
      <c r="EB535" s="58">
        <f>IFERROR($W536/$W535-1,"")</f>
        <v/>
      </c>
      <c r="EC535" s="58">
        <f>IFERROR($X536/$X535-1,"")</f>
        <v/>
      </c>
      <c r="ED535" s="58">
        <f>IFERROR($Y536/$Y535-1,"")</f>
        <v/>
      </c>
      <c r="EE535" s="58">
        <f>IFERROR($Z536/$Z535-1,"")</f>
        <v/>
      </c>
      <c r="EF535" s="58">
        <f>IFERROR($AA536/$AA535-1,"")</f>
        <v/>
      </c>
      <c r="EG535" s="58">
        <f>IFERROR($AB536/$AB535-1,"")</f>
        <v/>
      </c>
      <c r="EH535" s="58">
        <f>IFERROR($AC536/$AC535-1,"")</f>
        <v/>
      </c>
      <c r="EI535" s="58">
        <f>IFERROR($AD536/$AD535-1,"")</f>
        <v/>
      </c>
      <c r="EJ535" s="58">
        <f>IFERROR($AE536/$AE535-1,"")</f>
        <v/>
      </c>
      <c r="EK535" s="58">
        <f>IFERROR($AF536/$AF535-1,"")</f>
        <v/>
      </c>
      <c r="EL535" s="58">
        <f>IFERROR($AG536/$AG535-1,"")</f>
        <v/>
      </c>
      <c r="EM535" s="58">
        <f>IFERROR($BB535/$BB536-1,"")</f>
        <v/>
      </c>
      <c r="EN535" s="58">
        <f>IFERROR($BC535/$BC536-1,"")</f>
        <v/>
      </c>
      <c r="EO535" s="58">
        <f>IFERROR($BD535/$BD536-1,"")</f>
        <v/>
      </c>
      <c r="EP535" s="58">
        <f>IFERROR($BE535/$BE536-1,"")</f>
        <v/>
      </c>
      <c r="EQ535" s="58">
        <f>IFERROR($BF535/$BF536-1,"")</f>
        <v/>
      </c>
      <c r="ER535" s="58">
        <f>IFERROR($BG535/$BG536-1,"")</f>
        <v/>
      </c>
      <c r="ES535" s="58">
        <f>IFERROR($BH535/$BH536-1,"")</f>
        <v/>
      </c>
      <c r="ET535" s="58">
        <f>IFERROR($BI535/$BI536-1,"")</f>
        <v/>
      </c>
      <c r="EU535" s="58">
        <f>IFERROR($BJ535/$BJ536-1,"")</f>
        <v/>
      </c>
      <c r="EV535" s="58">
        <f>IFERROR($BK535/$BK536-1,"")</f>
        <v/>
      </c>
      <c r="EW535" s="58">
        <f>IFERROR($BL535/$BL536-1,"")</f>
        <v/>
      </c>
      <c r="EX535" s="58">
        <f>IFERROR($BM535/$BM536-1,"")</f>
        <v/>
      </c>
      <c r="EY535" s="58">
        <f>IFERROR($BN535/$BN536-1,"")</f>
        <v/>
      </c>
      <c r="EZ535" s="58">
        <f>IFERROR($BO535/$BO536-1,"")</f>
        <v/>
      </c>
      <c r="FA535" s="58">
        <f>IFERROR($BP535/$BP536-1,"")</f>
        <v/>
      </c>
      <c r="FB535" s="58">
        <f>IFERROR($BQ535/$BQ536-1,"")</f>
        <v/>
      </c>
      <c r="FC535" s="58">
        <f>IFERROR($BR535/$BR536-1,"")</f>
        <v/>
      </c>
      <c r="FD535" s="58">
        <f>IFERROR($BS535/$BS536-1,"")</f>
        <v/>
      </c>
      <c r="FE535" s="58">
        <f>IFERROR($BT535/$BT536-1,"")</f>
        <v/>
      </c>
      <c r="FF535" s="58">
        <f>IFERROR($BU535/$BU536-1,"")</f>
        <v/>
      </c>
      <c r="FG535" s="58">
        <f>IFERROR($BV535/$BV536-1,"")</f>
        <v/>
      </c>
      <c r="FH535" s="58">
        <f>IFERROR($BW535/$BW536-1,"")</f>
        <v/>
      </c>
      <c r="FI535" s="58">
        <f>IFERROR($BX535/$BX536-1,"")</f>
        <v/>
      </c>
      <c r="FJ535" s="59">
        <f>$BY535-$BY536</f>
        <v/>
      </c>
      <c r="FK535" s="59">
        <f>$BZ535-$BZ536</f>
        <v/>
      </c>
      <c r="FL535" s="59">
        <f>$CA535-$CA536</f>
        <v/>
      </c>
      <c r="FM535" s="59">
        <f>$CB535-$CB536</f>
        <v/>
      </c>
      <c r="FN535" s="59">
        <f>$CC535-$CC536</f>
        <v/>
      </c>
      <c r="FO535" s="59">
        <f>$CD535-$CD536</f>
        <v/>
      </c>
      <c r="FP535" s="59">
        <f>$CE535-$CE536</f>
        <v/>
      </c>
      <c r="FQ535" s="59">
        <f>$CF535-$CF536</f>
        <v/>
      </c>
      <c r="FR535" s="59">
        <f>$CG535-$CG536</f>
        <v/>
      </c>
      <c r="FS535" s="59">
        <f>$CH535-$CH536</f>
        <v/>
      </c>
      <c r="FT535" s="59">
        <f>$CI535-$CI536</f>
        <v/>
      </c>
      <c r="FU535" s="59">
        <f>$CJ535-$CJ536</f>
        <v/>
      </c>
      <c r="FV535" s="59">
        <f>$CK535-$CK536</f>
        <v/>
      </c>
      <c r="FW535" s="59">
        <f>$CL535-$CL536</f>
        <v/>
      </c>
      <c r="FX535" s="59">
        <f>$CM535-$CM536</f>
        <v/>
      </c>
      <c r="FY535" s="59">
        <f>$CN535-$CN536</f>
        <v/>
      </c>
      <c r="FZ535" s="59">
        <f>$CO535-$CO536</f>
        <v/>
      </c>
      <c r="GA535" s="59">
        <f>$CP535-$CP536</f>
        <v/>
      </c>
      <c r="GB535" s="59">
        <f>$CQ535-$CQ536</f>
        <v/>
      </c>
      <c r="GC535" s="59">
        <f>$CR535-$CR536</f>
        <v/>
      </c>
      <c r="GD535" s="59">
        <f>$CS535-$CS536</f>
        <v/>
      </c>
      <c r="GE535" s="59">
        <f>$CT535-$CT536</f>
        <v/>
      </c>
    </row>
    <row r="536">
      <c r="CU536" s="58">
        <f>IFERROR($B536/$B537-1,"")</f>
        <v/>
      </c>
      <c r="CV536" s="59">
        <f>($F536-$F537)*100</f>
        <v/>
      </c>
      <c r="CW536" s="59">
        <f>($E536-$E537)*100</f>
        <v/>
      </c>
      <c r="CX536" s="58">
        <f>IFERROR($K536/$K537-1,"")</f>
        <v/>
      </c>
      <c r="CY536" s="59">
        <f>($AH536-$AH537)*100</f>
        <v/>
      </c>
      <c r="CZ536" s="59">
        <f>($AI536-$AI537)*100</f>
        <v/>
      </c>
      <c r="DA536" s="59">
        <f>($AJ536-$AJ537)*100</f>
        <v/>
      </c>
      <c r="DB536" s="59">
        <f>($AK536-$AK537)*100</f>
        <v/>
      </c>
      <c r="DC536" s="59">
        <f>($AL536-$AL537)*100</f>
        <v/>
      </c>
      <c r="DD536" s="59">
        <f>($AM536-$AM537)*100</f>
        <v/>
      </c>
      <c r="DE536" s="59">
        <f>($AN536-$AN537)*100</f>
        <v/>
      </c>
      <c r="DF536" s="59">
        <f>($AO536-$AO537)*100</f>
        <v/>
      </c>
      <c r="DG536" s="59">
        <f>($AP536-$AP537)*100</f>
        <v/>
      </c>
      <c r="DH536" s="59">
        <f>($AQ536-$AQ537)*100</f>
        <v/>
      </c>
      <c r="DI536" s="59">
        <f>($AR536-$AR537)*100</f>
        <v/>
      </c>
      <c r="DJ536" s="59">
        <f>($AS536-$AS537)*100</f>
        <v/>
      </c>
      <c r="DK536" s="59">
        <f>($AT536-$AT537)*100</f>
        <v/>
      </c>
      <c r="DL536" s="59">
        <f>($AU536-$AU537)*100</f>
        <v/>
      </c>
      <c r="DM536" s="59">
        <f>($AV536-$AV537)*100</f>
        <v/>
      </c>
      <c r="DN536" s="59">
        <f>($AW536-$AW537)*100</f>
        <v/>
      </c>
      <c r="DO536" s="59">
        <f>($AX536-$AX537)*100</f>
        <v/>
      </c>
      <c r="DP536" s="59">
        <f>($AY536-$AY537)*100</f>
        <v/>
      </c>
      <c r="DQ536" s="59">
        <f>($AZ536-$AZ537)*100</f>
        <v/>
      </c>
      <c r="DR536" s="59">
        <f>($BA536-$BA537)*100</f>
        <v/>
      </c>
      <c r="DS536" s="58">
        <f>IFERROR($N537/$N536-1,"")</f>
        <v/>
      </c>
      <c r="DT536" s="58">
        <f>IFERROR($O537/$O536-1,"")</f>
        <v/>
      </c>
      <c r="DU536" s="58">
        <f>IFERROR($P537/$P536-1,"")</f>
        <v/>
      </c>
      <c r="DV536" s="58">
        <f>IFERROR($Q537/$Q536-1,"")</f>
        <v/>
      </c>
      <c r="DW536" s="58">
        <f>IFERROR($R537/$R536-1,"")</f>
        <v/>
      </c>
      <c r="DX536" s="58">
        <f>IFERROR($S537/$S536-1,"")</f>
        <v/>
      </c>
      <c r="DY536" s="58">
        <f>IFERROR($T537/$T536-1,"")</f>
        <v/>
      </c>
      <c r="DZ536" s="58">
        <f>IFERROR($U537/$U536-1,"")</f>
        <v/>
      </c>
      <c r="EA536" s="58">
        <f>IFERROR($V537/$V536-1,"")</f>
        <v/>
      </c>
      <c r="EB536" s="58">
        <f>IFERROR($W537/$W536-1,"")</f>
        <v/>
      </c>
      <c r="EC536" s="58">
        <f>IFERROR($X537/$X536-1,"")</f>
        <v/>
      </c>
      <c r="ED536" s="58">
        <f>IFERROR($Y537/$Y536-1,"")</f>
        <v/>
      </c>
      <c r="EE536" s="58">
        <f>IFERROR($Z537/$Z536-1,"")</f>
        <v/>
      </c>
      <c r="EF536" s="58">
        <f>IFERROR($AA537/$AA536-1,"")</f>
        <v/>
      </c>
      <c r="EG536" s="58">
        <f>IFERROR($AB537/$AB536-1,"")</f>
        <v/>
      </c>
      <c r="EH536" s="58">
        <f>IFERROR($AC537/$AC536-1,"")</f>
        <v/>
      </c>
      <c r="EI536" s="58">
        <f>IFERROR($AD537/$AD536-1,"")</f>
        <v/>
      </c>
      <c r="EJ536" s="58">
        <f>IFERROR($AE537/$AE536-1,"")</f>
        <v/>
      </c>
      <c r="EK536" s="58">
        <f>IFERROR($AF537/$AF536-1,"")</f>
        <v/>
      </c>
      <c r="EL536" s="58">
        <f>IFERROR($AG537/$AG536-1,"")</f>
        <v/>
      </c>
      <c r="EM536" s="58">
        <f>IFERROR($BB536/$BB537-1,"")</f>
        <v/>
      </c>
      <c r="EN536" s="58">
        <f>IFERROR($BC536/$BC537-1,"")</f>
        <v/>
      </c>
      <c r="EO536" s="58">
        <f>IFERROR($BD536/$BD537-1,"")</f>
        <v/>
      </c>
      <c r="EP536" s="58">
        <f>IFERROR($BE536/$BE537-1,"")</f>
        <v/>
      </c>
      <c r="EQ536" s="58">
        <f>IFERROR($BF536/$BF537-1,"")</f>
        <v/>
      </c>
      <c r="ER536" s="58">
        <f>IFERROR($BG536/$BG537-1,"")</f>
        <v/>
      </c>
      <c r="ES536" s="58">
        <f>IFERROR($BH536/$BH537-1,"")</f>
        <v/>
      </c>
      <c r="ET536" s="58">
        <f>IFERROR($BI536/$BI537-1,"")</f>
        <v/>
      </c>
      <c r="EU536" s="58">
        <f>IFERROR($BJ536/$BJ537-1,"")</f>
        <v/>
      </c>
      <c r="EV536" s="58">
        <f>IFERROR($BK536/$BK537-1,"")</f>
        <v/>
      </c>
      <c r="EW536" s="58">
        <f>IFERROR($BL536/$BL537-1,"")</f>
        <v/>
      </c>
      <c r="EX536" s="58">
        <f>IFERROR($BM536/$BM537-1,"")</f>
        <v/>
      </c>
      <c r="EY536" s="58">
        <f>IFERROR($BN536/$BN537-1,"")</f>
        <v/>
      </c>
      <c r="EZ536" s="58">
        <f>IFERROR($BO536/$BO537-1,"")</f>
        <v/>
      </c>
      <c r="FA536" s="58">
        <f>IFERROR($BP536/$BP537-1,"")</f>
        <v/>
      </c>
      <c r="FB536" s="58">
        <f>IFERROR($BQ536/$BQ537-1,"")</f>
        <v/>
      </c>
      <c r="FC536" s="58">
        <f>IFERROR($BR536/$BR537-1,"")</f>
        <v/>
      </c>
      <c r="FD536" s="58">
        <f>IFERROR($BS536/$BS537-1,"")</f>
        <v/>
      </c>
      <c r="FE536" s="58">
        <f>IFERROR($BT536/$BT537-1,"")</f>
        <v/>
      </c>
      <c r="FF536" s="58">
        <f>IFERROR($BU536/$BU537-1,"")</f>
        <v/>
      </c>
      <c r="FG536" s="58">
        <f>IFERROR($BV536/$BV537-1,"")</f>
        <v/>
      </c>
      <c r="FH536" s="58">
        <f>IFERROR($BW536/$BW537-1,"")</f>
        <v/>
      </c>
      <c r="FI536" s="58">
        <f>IFERROR($BX536/$BX537-1,"")</f>
        <v/>
      </c>
      <c r="FJ536" s="59">
        <f>$BY536-$BY537</f>
        <v/>
      </c>
      <c r="FK536" s="59">
        <f>$BZ536-$BZ537</f>
        <v/>
      </c>
      <c r="FL536" s="59">
        <f>$CA536-$CA537</f>
        <v/>
      </c>
      <c r="FM536" s="59">
        <f>$CB536-$CB537</f>
        <v/>
      </c>
      <c r="FN536" s="59">
        <f>$CC536-$CC537</f>
        <v/>
      </c>
      <c r="FO536" s="59">
        <f>$CD536-$CD537</f>
        <v/>
      </c>
      <c r="FP536" s="59">
        <f>$CE536-$CE537</f>
        <v/>
      </c>
      <c r="FQ536" s="59">
        <f>$CF536-$CF537</f>
        <v/>
      </c>
      <c r="FR536" s="59">
        <f>$CG536-$CG537</f>
        <v/>
      </c>
      <c r="FS536" s="59">
        <f>$CH536-$CH537</f>
        <v/>
      </c>
      <c r="FT536" s="59">
        <f>$CI536-$CI537</f>
        <v/>
      </c>
      <c r="FU536" s="59">
        <f>$CJ536-$CJ537</f>
        <v/>
      </c>
      <c r="FV536" s="59">
        <f>$CK536-$CK537</f>
        <v/>
      </c>
      <c r="FW536" s="59">
        <f>$CL536-$CL537</f>
        <v/>
      </c>
      <c r="FX536" s="59">
        <f>$CM536-$CM537</f>
        <v/>
      </c>
      <c r="FY536" s="59">
        <f>$CN536-$CN537</f>
        <v/>
      </c>
      <c r="FZ536" s="59">
        <f>$CO536-$CO537</f>
        <v/>
      </c>
      <c r="GA536" s="59">
        <f>$CP536-$CP537</f>
        <v/>
      </c>
      <c r="GB536" s="59">
        <f>$CQ536-$CQ537</f>
        <v/>
      </c>
      <c r="GC536" s="59">
        <f>$CR536-$CR537</f>
        <v/>
      </c>
      <c r="GD536" s="59">
        <f>$CS536-$CS537</f>
        <v/>
      </c>
      <c r="GE536" s="59">
        <f>$CT536-$CT537</f>
        <v/>
      </c>
    </row>
    <row r="537">
      <c r="CU537" s="58">
        <f>IFERROR($B537/$B538-1,"")</f>
        <v/>
      </c>
      <c r="CV537" s="59">
        <f>($F537-$F538)*100</f>
        <v/>
      </c>
      <c r="CW537" s="59">
        <f>($E537-$E538)*100</f>
        <v/>
      </c>
      <c r="CX537" s="58">
        <f>IFERROR($K537/$K538-1,"")</f>
        <v/>
      </c>
      <c r="CY537" s="59">
        <f>($AH537-$AH538)*100</f>
        <v/>
      </c>
      <c r="CZ537" s="59">
        <f>($AI537-$AI538)*100</f>
        <v/>
      </c>
      <c r="DA537" s="59">
        <f>($AJ537-$AJ538)*100</f>
        <v/>
      </c>
      <c r="DB537" s="59">
        <f>($AK537-$AK538)*100</f>
        <v/>
      </c>
      <c r="DC537" s="59">
        <f>($AL537-$AL538)*100</f>
        <v/>
      </c>
      <c r="DD537" s="59">
        <f>($AM537-$AM538)*100</f>
        <v/>
      </c>
      <c r="DE537" s="59">
        <f>($AN537-$AN538)*100</f>
        <v/>
      </c>
      <c r="DF537" s="59">
        <f>($AO537-$AO538)*100</f>
        <v/>
      </c>
      <c r="DG537" s="59">
        <f>($AP537-$AP538)*100</f>
        <v/>
      </c>
      <c r="DH537" s="59">
        <f>($AQ537-$AQ538)*100</f>
        <v/>
      </c>
      <c r="DI537" s="59">
        <f>($AR537-$AR538)*100</f>
        <v/>
      </c>
      <c r="DJ537" s="59">
        <f>($AS537-$AS538)*100</f>
        <v/>
      </c>
      <c r="DK537" s="59">
        <f>($AT537-$AT538)*100</f>
        <v/>
      </c>
      <c r="DL537" s="59">
        <f>($AU537-$AU538)*100</f>
        <v/>
      </c>
      <c r="DM537" s="59">
        <f>($AV537-$AV538)*100</f>
        <v/>
      </c>
      <c r="DN537" s="59">
        <f>($AW537-$AW538)*100</f>
        <v/>
      </c>
      <c r="DO537" s="59">
        <f>($AX537-$AX538)*100</f>
        <v/>
      </c>
      <c r="DP537" s="59">
        <f>($AY537-$AY538)*100</f>
        <v/>
      </c>
      <c r="DQ537" s="59">
        <f>($AZ537-$AZ538)*100</f>
        <v/>
      </c>
      <c r="DR537" s="59">
        <f>($BA537-$BA538)*100</f>
        <v/>
      </c>
      <c r="DS537" s="58">
        <f>IFERROR($N538/$N537-1,"")</f>
        <v/>
      </c>
      <c r="DT537" s="58">
        <f>IFERROR($O538/$O537-1,"")</f>
        <v/>
      </c>
      <c r="DU537" s="58">
        <f>IFERROR($P538/$P537-1,"")</f>
        <v/>
      </c>
      <c r="DV537" s="58">
        <f>IFERROR($Q538/$Q537-1,"")</f>
        <v/>
      </c>
      <c r="DW537" s="58">
        <f>IFERROR($R538/$R537-1,"")</f>
        <v/>
      </c>
      <c r="DX537" s="58">
        <f>IFERROR($S538/$S537-1,"")</f>
        <v/>
      </c>
      <c r="DY537" s="58">
        <f>IFERROR($T538/$T537-1,"")</f>
        <v/>
      </c>
      <c r="DZ537" s="58">
        <f>IFERROR($U538/$U537-1,"")</f>
        <v/>
      </c>
      <c r="EA537" s="58">
        <f>IFERROR($V538/$V537-1,"")</f>
        <v/>
      </c>
      <c r="EB537" s="58">
        <f>IFERROR($W538/$W537-1,"")</f>
        <v/>
      </c>
      <c r="EC537" s="58">
        <f>IFERROR($X538/$X537-1,"")</f>
        <v/>
      </c>
      <c r="ED537" s="58">
        <f>IFERROR($Y538/$Y537-1,"")</f>
        <v/>
      </c>
      <c r="EE537" s="58">
        <f>IFERROR($Z538/$Z537-1,"")</f>
        <v/>
      </c>
      <c r="EF537" s="58">
        <f>IFERROR($AA538/$AA537-1,"")</f>
        <v/>
      </c>
      <c r="EG537" s="58">
        <f>IFERROR($AB538/$AB537-1,"")</f>
        <v/>
      </c>
      <c r="EH537" s="58">
        <f>IFERROR($AC538/$AC537-1,"")</f>
        <v/>
      </c>
      <c r="EI537" s="58">
        <f>IFERROR($AD538/$AD537-1,"")</f>
        <v/>
      </c>
      <c r="EJ537" s="58">
        <f>IFERROR($AE538/$AE537-1,"")</f>
        <v/>
      </c>
      <c r="EK537" s="58">
        <f>IFERROR($AF538/$AF537-1,"")</f>
        <v/>
      </c>
      <c r="EL537" s="58">
        <f>IFERROR($AG538/$AG537-1,"")</f>
        <v/>
      </c>
      <c r="EM537" s="58">
        <f>IFERROR($BB537/$BB538-1,"")</f>
        <v/>
      </c>
      <c r="EN537" s="58">
        <f>IFERROR($BC537/$BC538-1,"")</f>
        <v/>
      </c>
      <c r="EO537" s="58">
        <f>IFERROR($BD537/$BD538-1,"")</f>
        <v/>
      </c>
      <c r="EP537" s="58">
        <f>IFERROR($BE537/$BE538-1,"")</f>
        <v/>
      </c>
      <c r="EQ537" s="58">
        <f>IFERROR($BF537/$BF538-1,"")</f>
        <v/>
      </c>
      <c r="ER537" s="58">
        <f>IFERROR($BG537/$BG538-1,"")</f>
        <v/>
      </c>
      <c r="ES537" s="58">
        <f>IFERROR($BH537/$BH538-1,"")</f>
        <v/>
      </c>
      <c r="ET537" s="58">
        <f>IFERROR($BI537/$BI538-1,"")</f>
        <v/>
      </c>
      <c r="EU537" s="58">
        <f>IFERROR($BJ537/$BJ538-1,"")</f>
        <v/>
      </c>
      <c r="EV537" s="58">
        <f>IFERROR($BK537/$BK538-1,"")</f>
        <v/>
      </c>
      <c r="EW537" s="58">
        <f>IFERROR($BL537/$BL538-1,"")</f>
        <v/>
      </c>
      <c r="EX537" s="58">
        <f>IFERROR($BM537/$BM538-1,"")</f>
        <v/>
      </c>
      <c r="EY537" s="58">
        <f>IFERROR($BN537/$BN538-1,"")</f>
        <v/>
      </c>
      <c r="EZ537" s="58">
        <f>IFERROR($BO537/$BO538-1,"")</f>
        <v/>
      </c>
      <c r="FA537" s="58">
        <f>IFERROR($BP537/$BP538-1,"")</f>
        <v/>
      </c>
      <c r="FB537" s="58">
        <f>IFERROR($BQ537/$BQ538-1,"")</f>
        <v/>
      </c>
      <c r="FC537" s="58">
        <f>IFERROR($BR537/$BR538-1,"")</f>
        <v/>
      </c>
      <c r="FD537" s="58">
        <f>IFERROR($BS537/$BS538-1,"")</f>
        <v/>
      </c>
      <c r="FE537" s="58">
        <f>IFERROR($BT537/$BT538-1,"")</f>
        <v/>
      </c>
      <c r="FF537" s="58">
        <f>IFERROR($BU537/$BU538-1,"")</f>
        <v/>
      </c>
      <c r="FG537" s="58">
        <f>IFERROR($BV537/$BV538-1,"")</f>
        <v/>
      </c>
      <c r="FH537" s="58">
        <f>IFERROR($BW537/$BW538-1,"")</f>
        <v/>
      </c>
      <c r="FI537" s="58">
        <f>IFERROR($BX537/$BX538-1,"")</f>
        <v/>
      </c>
      <c r="FJ537" s="59">
        <f>$BY537-$BY538</f>
        <v/>
      </c>
      <c r="FK537" s="59">
        <f>$BZ537-$BZ538</f>
        <v/>
      </c>
      <c r="FL537" s="59">
        <f>$CA537-$CA538</f>
        <v/>
      </c>
      <c r="FM537" s="59">
        <f>$CB537-$CB538</f>
        <v/>
      </c>
      <c r="FN537" s="59">
        <f>$CC537-$CC538</f>
        <v/>
      </c>
      <c r="FO537" s="59">
        <f>$CD537-$CD538</f>
        <v/>
      </c>
      <c r="FP537" s="59">
        <f>$CE537-$CE538</f>
        <v/>
      </c>
      <c r="FQ537" s="59">
        <f>$CF537-$CF538</f>
        <v/>
      </c>
      <c r="FR537" s="59">
        <f>$CG537-$CG538</f>
        <v/>
      </c>
      <c r="FS537" s="59">
        <f>$CH537-$CH538</f>
        <v/>
      </c>
      <c r="FT537" s="59">
        <f>$CI537-$CI538</f>
        <v/>
      </c>
      <c r="FU537" s="59">
        <f>$CJ537-$CJ538</f>
        <v/>
      </c>
      <c r="FV537" s="59">
        <f>$CK537-$CK538</f>
        <v/>
      </c>
      <c r="FW537" s="59">
        <f>$CL537-$CL538</f>
        <v/>
      </c>
      <c r="FX537" s="59">
        <f>$CM537-$CM538</f>
        <v/>
      </c>
      <c r="FY537" s="59">
        <f>$CN537-$CN538</f>
        <v/>
      </c>
      <c r="FZ537" s="59">
        <f>$CO537-$CO538</f>
        <v/>
      </c>
      <c r="GA537" s="59">
        <f>$CP537-$CP538</f>
        <v/>
      </c>
      <c r="GB537" s="59">
        <f>$CQ537-$CQ538</f>
        <v/>
      </c>
      <c r="GC537" s="59">
        <f>$CR537-$CR538</f>
        <v/>
      </c>
      <c r="GD537" s="59">
        <f>$CS537-$CS538</f>
        <v/>
      </c>
      <c r="GE537" s="59">
        <f>$CT537-$CT538</f>
        <v/>
      </c>
    </row>
    <row r="538">
      <c r="CU538" s="58">
        <f>IFERROR($B538/$B539-1,"")</f>
        <v/>
      </c>
      <c r="CV538" s="59">
        <f>($F538-$F539)*100</f>
        <v/>
      </c>
      <c r="CW538" s="59">
        <f>($E538-$E539)*100</f>
        <v/>
      </c>
      <c r="CX538" s="58">
        <f>IFERROR($K538/$K539-1,"")</f>
        <v/>
      </c>
      <c r="CY538" s="59">
        <f>($AH538-$AH539)*100</f>
        <v/>
      </c>
      <c r="CZ538" s="59">
        <f>($AI538-$AI539)*100</f>
        <v/>
      </c>
      <c r="DA538" s="59">
        <f>($AJ538-$AJ539)*100</f>
        <v/>
      </c>
      <c r="DB538" s="59">
        <f>($AK538-$AK539)*100</f>
        <v/>
      </c>
      <c r="DC538" s="59">
        <f>($AL538-$AL539)*100</f>
        <v/>
      </c>
      <c r="DD538" s="59">
        <f>($AM538-$AM539)*100</f>
        <v/>
      </c>
      <c r="DE538" s="59">
        <f>($AN538-$AN539)*100</f>
        <v/>
      </c>
      <c r="DF538" s="59">
        <f>($AO538-$AO539)*100</f>
        <v/>
      </c>
      <c r="DG538" s="59">
        <f>($AP538-$AP539)*100</f>
        <v/>
      </c>
      <c r="DH538" s="59">
        <f>($AQ538-$AQ539)*100</f>
        <v/>
      </c>
      <c r="DI538" s="59">
        <f>($AR538-$AR539)*100</f>
        <v/>
      </c>
      <c r="DJ538" s="59">
        <f>($AS538-$AS539)*100</f>
        <v/>
      </c>
      <c r="DK538" s="59">
        <f>($AT538-$AT539)*100</f>
        <v/>
      </c>
      <c r="DL538" s="59">
        <f>($AU538-$AU539)*100</f>
        <v/>
      </c>
      <c r="DM538" s="59">
        <f>($AV538-$AV539)*100</f>
        <v/>
      </c>
      <c r="DN538" s="59">
        <f>($AW538-$AW539)*100</f>
        <v/>
      </c>
      <c r="DO538" s="59">
        <f>($AX538-$AX539)*100</f>
        <v/>
      </c>
      <c r="DP538" s="59">
        <f>($AY538-$AY539)*100</f>
        <v/>
      </c>
      <c r="DQ538" s="59">
        <f>($AZ538-$AZ539)*100</f>
        <v/>
      </c>
      <c r="DR538" s="59">
        <f>($BA538-$BA539)*100</f>
        <v/>
      </c>
      <c r="DS538" s="58">
        <f>IFERROR($N539/$N538-1,"")</f>
        <v/>
      </c>
      <c r="DT538" s="58">
        <f>IFERROR($O539/$O538-1,"")</f>
        <v/>
      </c>
      <c r="DU538" s="58">
        <f>IFERROR($P539/$P538-1,"")</f>
        <v/>
      </c>
      <c r="DV538" s="58">
        <f>IFERROR($Q539/$Q538-1,"")</f>
        <v/>
      </c>
      <c r="DW538" s="58">
        <f>IFERROR($R539/$R538-1,"")</f>
        <v/>
      </c>
      <c r="DX538" s="58">
        <f>IFERROR($S539/$S538-1,"")</f>
        <v/>
      </c>
      <c r="DY538" s="58">
        <f>IFERROR($T539/$T538-1,"")</f>
        <v/>
      </c>
      <c r="DZ538" s="58">
        <f>IFERROR($U539/$U538-1,"")</f>
        <v/>
      </c>
      <c r="EA538" s="58">
        <f>IFERROR($V539/$V538-1,"")</f>
        <v/>
      </c>
      <c r="EB538" s="58">
        <f>IFERROR($W539/$W538-1,"")</f>
        <v/>
      </c>
      <c r="EC538" s="58">
        <f>IFERROR($X539/$X538-1,"")</f>
        <v/>
      </c>
      <c r="ED538" s="58">
        <f>IFERROR($Y539/$Y538-1,"")</f>
        <v/>
      </c>
      <c r="EE538" s="58">
        <f>IFERROR($Z539/$Z538-1,"")</f>
        <v/>
      </c>
      <c r="EF538" s="58">
        <f>IFERROR($AA539/$AA538-1,"")</f>
        <v/>
      </c>
      <c r="EG538" s="58">
        <f>IFERROR($AB539/$AB538-1,"")</f>
        <v/>
      </c>
      <c r="EH538" s="58">
        <f>IFERROR($AC539/$AC538-1,"")</f>
        <v/>
      </c>
      <c r="EI538" s="58">
        <f>IFERROR($AD539/$AD538-1,"")</f>
        <v/>
      </c>
      <c r="EJ538" s="58">
        <f>IFERROR($AE539/$AE538-1,"")</f>
        <v/>
      </c>
      <c r="EK538" s="58">
        <f>IFERROR($AF539/$AF538-1,"")</f>
        <v/>
      </c>
      <c r="EL538" s="58">
        <f>IFERROR($AG539/$AG538-1,"")</f>
        <v/>
      </c>
      <c r="EM538" s="58">
        <f>IFERROR($BB538/$BB539-1,"")</f>
        <v/>
      </c>
      <c r="EN538" s="58">
        <f>IFERROR($BC538/$BC539-1,"")</f>
        <v/>
      </c>
      <c r="EO538" s="58">
        <f>IFERROR($BD538/$BD539-1,"")</f>
        <v/>
      </c>
      <c r="EP538" s="58">
        <f>IFERROR($BE538/$BE539-1,"")</f>
        <v/>
      </c>
      <c r="EQ538" s="58">
        <f>IFERROR($BF538/$BF539-1,"")</f>
        <v/>
      </c>
      <c r="ER538" s="58">
        <f>IFERROR($BG538/$BG539-1,"")</f>
        <v/>
      </c>
      <c r="ES538" s="58">
        <f>IFERROR($BH538/$BH539-1,"")</f>
        <v/>
      </c>
      <c r="ET538" s="58">
        <f>IFERROR($BI538/$BI539-1,"")</f>
        <v/>
      </c>
      <c r="EU538" s="58">
        <f>IFERROR($BJ538/$BJ539-1,"")</f>
        <v/>
      </c>
      <c r="EV538" s="58">
        <f>IFERROR($BK538/$BK539-1,"")</f>
        <v/>
      </c>
      <c r="EW538" s="58">
        <f>IFERROR($BL538/$BL539-1,"")</f>
        <v/>
      </c>
      <c r="EX538" s="58">
        <f>IFERROR($BM538/$BM539-1,"")</f>
        <v/>
      </c>
      <c r="EY538" s="58">
        <f>IFERROR($BN538/$BN539-1,"")</f>
        <v/>
      </c>
      <c r="EZ538" s="58">
        <f>IFERROR($BO538/$BO539-1,"")</f>
        <v/>
      </c>
      <c r="FA538" s="58">
        <f>IFERROR($BP538/$BP539-1,"")</f>
        <v/>
      </c>
      <c r="FB538" s="58">
        <f>IFERROR($BQ538/$BQ539-1,"")</f>
        <v/>
      </c>
      <c r="FC538" s="58">
        <f>IFERROR($BR538/$BR539-1,"")</f>
        <v/>
      </c>
      <c r="FD538" s="58">
        <f>IFERROR($BS538/$BS539-1,"")</f>
        <v/>
      </c>
      <c r="FE538" s="58">
        <f>IFERROR($BT538/$BT539-1,"")</f>
        <v/>
      </c>
      <c r="FF538" s="58">
        <f>IFERROR($BU538/$BU539-1,"")</f>
        <v/>
      </c>
      <c r="FG538" s="58">
        <f>IFERROR($BV538/$BV539-1,"")</f>
        <v/>
      </c>
      <c r="FH538" s="58">
        <f>IFERROR($BW538/$BW539-1,"")</f>
        <v/>
      </c>
      <c r="FI538" s="58">
        <f>IFERROR($BX538/$BX539-1,"")</f>
        <v/>
      </c>
      <c r="FJ538" s="59">
        <f>$BY538-$BY539</f>
        <v/>
      </c>
      <c r="FK538" s="59">
        <f>$BZ538-$BZ539</f>
        <v/>
      </c>
      <c r="FL538" s="59">
        <f>$CA538-$CA539</f>
        <v/>
      </c>
      <c r="FM538" s="59">
        <f>$CB538-$CB539</f>
        <v/>
      </c>
      <c r="FN538" s="59">
        <f>$CC538-$CC539</f>
        <v/>
      </c>
      <c r="FO538" s="59">
        <f>$CD538-$CD539</f>
        <v/>
      </c>
      <c r="FP538" s="59">
        <f>$CE538-$CE539</f>
        <v/>
      </c>
      <c r="FQ538" s="59">
        <f>$CF538-$CF539</f>
        <v/>
      </c>
      <c r="FR538" s="59">
        <f>$CG538-$CG539</f>
        <v/>
      </c>
      <c r="FS538" s="59">
        <f>$CH538-$CH539</f>
        <v/>
      </c>
      <c r="FT538" s="59">
        <f>$CI538-$CI539</f>
        <v/>
      </c>
      <c r="FU538" s="59">
        <f>$CJ538-$CJ539</f>
        <v/>
      </c>
      <c r="FV538" s="59">
        <f>$CK538-$CK539</f>
        <v/>
      </c>
      <c r="FW538" s="59">
        <f>$CL538-$CL539</f>
        <v/>
      </c>
      <c r="FX538" s="59">
        <f>$CM538-$CM539</f>
        <v/>
      </c>
      <c r="FY538" s="59">
        <f>$CN538-$CN539</f>
        <v/>
      </c>
      <c r="FZ538" s="59">
        <f>$CO538-$CO539</f>
        <v/>
      </c>
      <c r="GA538" s="59">
        <f>$CP538-$CP539</f>
        <v/>
      </c>
      <c r="GB538" s="59">
        <f>$CQ538-$CQ539</f>
        <v/>
      </c>
      <c r="GC538" s="59">
        <f>$CR538-$CR539</f>
        <v/>
      </c>
      <c r="GD538" s="59">
        <f>$CS538-$CS539</f>
        <v/>
      </c>
      <c r="GE538" s="59">
        <f>$CT538-$CT539</f>
        <v/>
      </c>
    </row>
    <row r="539">
      <c r="CU539" s="58">
        <f>IFERROR($B539/$B540-1,"")</f>
        <v/>
      </c>
      <c r="CV539" s="59">
        <f>($F539-$F540)*100</f>
        <v/>
      </c>
      <c r="CW539" s="59">
        <f>($E539-$E540)*100</f>
        <v/>
      </c>
      <c r="CX539" s="58">
        <f>IFERROR($K539/$K540-1,"")</f>
        <v/>
      </c>
      <c r="CY539" s="59">
        <f>($AH539-$AH540)*100</f>
        <v/>
      </c>
      <c r="CZ539" s="59">
        <f>($AI539-$AI540)*100</f>
        <v/>
      </c>
      <c r="DA539" s="59">
        <f>($AJ539-$AJ540)*100</f>
        <v/>
      </c>
      <c r="DB539" s="59">
        <f>($AK539-$AK540)*100</f>
        <v/>
      </c>
      <c r="DC539" s="59">
        <f>($AL539-$AL540)*100</f>
        <v/>
      </c>
      <c r="DD539" s="59">
        <f>($AM539-$AM540)*100</f>
        <v/>
      </c>
      <c r="DE539" s="59">
        <f>($AN539-$AN540)*100</f>
        <v/>
      </c>
      <c r="DF539" s="59">
        <f>($AO539-$AO540)*100</f>
        <v/>
      </c>
      <c r="DG539" s="59">
        <f>($AP539-$AP540)*100</f>
        <v/>
      </c>
      <c r="DH539" s="59">
        <f>($AQ539-$AQ540)*100</f>
        <v/>
      </c>
      <c r="DI539" s="59">
        <f>($AR539-$AR540)*100</f>
        <v/>
      </c>
      <c r="DJ539" s="59">
        <f>($AS539-$AS540)*100</f>
        <v/>
      </c>
      <c r="DK539" s="59">
        <f>($AT539-$AT540)*100</f>
        <v/>
      </c>
      <c r="DL539" s="59">
        <f>($AU539-$AU540)*100</f>
        <v/>
      </c>
      <c r="DM539" s="59">
        <f>($AV539-$AV540)*100</f>
        <v/>
      </c>
      <c r="DN539" s="59">
        <f>($AW539-$AW540)*100</f>
        <v/>
      </c>
      <c r="DO539" s="59">
        <f>($AX539-$AX540)*100</f>
        <v/>
      </c>
      <c r="DP539" s="59">
        <f>($AY539-$AY540)*100</f>
        <v/>
      </c>
      <c r="DQ539" s="59">
        <f>($AZ539-$AZ540)*100</f>
        <v/>
      </c>
      <c r="DR539" s="59">
        <f>($BA539-$BA540)*100</f>
        <v/>
      </c>
      <c r="DS539" s="58">
        <f>IFERROR($N540/$N539-1,"")</f>
        <v/>
      </c>
      <c r="DT539" s="58">
        <f>IFERROR($O540/$O539-1,"")</f>
        <v/>
      </c>
      <c r="DU539" s="58">
        <f>IFERROR($P540/$P539-1,"")</f>
        <v/>
      </c>
      <c r="DV539" s="58">
        <f>IFERROR($Q540/$Q539-1,"")</f>
        <v/>
      </c>
      <c r="DW539" s="58">
        <f>IFERROR($R540/$R539-1,"")</f>
        <v/>
      </c>
      <c r="DX539" s="58">
        <f>IFERROR($S540/$S539-1,"")</f>
        <v/>
      </c>
      <c r="DY539" s="58">
        <f>IFERROR($T540/$T539-1,"")</f>
        <v/>
      </c>
      <c r="DZ539" s="58">
        <f>IFERROR($U540/$U539-1,"")</f>
        <v/>
      </c>
      <c r="EA539" s="58">
        <f>IFERROR($V540/$V539-1,"")</f>
        <v/>
      </c>
      <c r="EB539" s="58">
        <f>IFERROR($W540/$W539-1,"")</f>
        <v/>
      </c>
      <c r="EC539" s="58">
        <f>IFERROR($X540/$X539-1,"")</f>
        <v/>
      </c>
      <c r="ED539" s="58">
        <f>IFERROR($Y540/$Y539-1,"")</f>
        <v/>
      </c>
      <c r="EE539" s="58">
        <f>IFERROR($Z540/$Z539-1,"")</f>
        <v/>
      </c>
      <c r="EF539" s="58">
        <f>IFERROR($AA540/$AA539-1,"")</f>
        <v/>
      </c>
      <c r="EG539" s="58">
        <f>IFERROR($AB540/$AB539-1,"")</f>
        <v/>
      </c>
      <c r="EH539" s="58">
        <f>IFERROR($AC540/$AC539-1,"")</f>
        <v/>
      </c>
      <c r="EI539" s="58">
        <f>IFERROR($AD540/$AD539-1,"")</f>
        <v/>
      </c>
      <c r="EJ539" s="58">
        <f>IFERROR($AE540/$AE539-1,"")</f>
        <v/>
      </c>
      <c r="EK539" s="58">
        <f>IFERROR($AF540/$AF539-1,"")</f>
        <v/>
      </c>
      <c r="EL539" s="58">
        <f>IFERROR($AG540/$AG539-1,"")</f>
        <v/>
      </c>
      <c r="EM539" s="58">
        <f>IFERROR($BB539/$BB540-1,"")</f>
        <v/>
      </c>
      <c r="EN539" s="58">
        <f>IFERROR($BC539/$BC540-1,"")</f>
        <v/>
      </c>
      <c r="EO539" s="58">
        <f>IFERROR($BD539/$BD540-1,"")</f>
        <v/>
      </c>
      <c r="EP539" s="58">
        <f>IFERROR($BE539/$BE540-1,"")</f>
        <v/>
      </c>
      <c r="EQ539" s="58">
        <f>IFERROR($BF539/$BF540-1,"")</f>
        <v/>
      </c>
      <c r="ER539" s="58">
        <f>IFERROR($BG539/$BG540-1,"")</f>
        <v/>
      </c>
      <c r="ES539" s="58">
        <f>IFERROR($BH539/$BH540-1,"")</f>
        <v/>
      </c>
      <c r="ET539" s="58">
        <f>IFERROR($BI539/$BI540-1,"")</f>
        <v/>
      </c>
      <c r="EU539" s="58">
        <f>IFERROR($BJ539/$BJ540-1,"")</f>
        <v/>
      </c>
      <c r="EV539" s="58">
        <f>IFERROR($BK539/$BK540-1,"")</f>
        <v/>
      </c>
      <c r="EW539" s="58">
        <f>IFERROR($BL539/$BL540-1,"")</f>
        <v/>
      </c>
      <c r="EX539" s="58">
        <f>IFERROR($BM539/$BM540-1,"")</f>
        <v/>
      </c>
      <c r="EY539" s="58">
        <f>IFERROR($BN539/$BN540-1,"")</f>
        <v/>
      </c>
      <c r="EZ539" s="58">
        <f>IFERROR($BO539/$BO540-1,"")</f>
        <v/>
      </c>
      <c r="FA539" s="58">
        <f>IFERROR($BP539/$BP540-1,"")</f>
        <v/>
      </c>
      <c r="FB539" s="58">
        <f>IFERROR($BQ539/$BQ540-1,"")</f>
        <v/>
      </c>
      <c r="FC539" s="58">
        <f>IFERROR($BR539/$BR540-1,"")</f>
        <v/>
      </c>
      <c r="FD539" s="58">
        <f>IFERROR($BS539/$BS540-1,"")</f>
        <v/>
      </c>
      <c r="FE539" s="58">
        <f>IFERROR($BT539/$BT540-1,"")</f>
        <v/>
      </c>
      <c r="FF539" s="58">
        <f>IFERROR($BU539/$BU540-1,"")</f>
        <v/>
      </c>
      <c r="FG539" s="58">
        <f>IFERROR($BV539/$BV540-1,"")</f>
        <v/>
      </c>
      <c r="FH539" s="58">
        <f>IFERROR($BW539/$BW540-1,"")</f>
        <v/>
      </c>
      <c r="FI539" s="58">
        <f>IFERROR($BX539/$BX540-1,"")</f>
        <v/>
      </c>
      <c r="FJ539" s="59">
        <f>$BY539-$BY540</f>
        <v/>
      </c>
      <c r="FK539" s="59">
        <f>$BZ539-$BZ540</f>
        <v/>
      </c>
      <c r="FL539" s="59">
        <f>$CA539-$CA540</f>
        <v/>
      </c>
      <c r="FM539" s="59">
        <f>$CB539-$CB540</f>
        <v/>
      </c>
      <c r="FN539" s="59">
        <f>$CC539-$CC540</f>
        <v/>
      </c>
      <c r="FO539" s="59">
        <f>$CD539-$CD540</f>
        <v/>
      </c>
      <c r="FP539" s="59">
        <f>$CE539-$CE540</f>
        <v/>
      </c>
      <c r="FQ539" s="59">
        <f>$CF539-$CF540</f>
        <v/>
      </c>
      <c r="FR539" s="59">
        <f>$CG539-$CG540</f>
        <v/>
      </c>
      <c r="FS539" s="59">
        <f>$CH539-$CH540</f>
        <v/>
      </c>
      <c r="FT539" s="59">
        <f>$CI539-$CI540</f>
        <v/>
      </c>
      <c r="FU539" s="59">
        <f>$CJ539-$CJ540</f>
        <v/>
      </c>
      <c r="FV539" s="59">
        <f>$CK539-$CK540</f>
        <v/>
      </c>
      <c r="FW539" s="59">
        <f>$CL539-$CL540</f>
        <v/>
      </c>
      <c r="FX539" s="59">
        <f>$CM539-$CM540</f>
        <v/>
      </c>
      <c r="FY539" s="59">
        <f>$CN539-$CN540</f>
        <v/>
      </c>
      <c r="FZ539" s="59">
        <f>$CO539-$CO540</f>
        <v/>
      </c>
      <c r="GA539" s="59">
        <f>$CP539-$CP540</f>
        <v/>
      </c>
      <c r="GB539" s="59">
        <f>$CQ539-$CQ540</f>
        <v/>
      </c>
      <c r="GC539" s="59">
        <f>$CR539-$CR540</f>
        <v/>
      </c>
      <c r="GD539" s="59">
        <f>$CS539-$CS540</f>
        <v/>
      </c>
      <c r="GE539" s="59">
        <f>$CT539-$CT540</f>
        <v/>
      </c>
    </row>
    <row r="540">
      <c r="CU540" s="58">
        <f>IFERROR($B540/$B541-1,"")</f>
        <v/>
      </c>
      <c r="CV540" s="59">
        <f>($F540-$F541)*100</f>
        <v/>
      </c>
      <c r="CW540" s="59">
        <f>($E540-$E541)*100</f>
        <v/>
      </c>
      <c r="CX540" s="58">
        <f>IFERROR($K540/$K541-1,"")</f>
        <v/>
      </c>
      <c r="CY540" s="59">
        <f>($AH540-$AH541)*100</f>
        <v/>
      </c>
      <c r="CZ540" s="59">
        <f>($AI540-$AI541)*100</f>
        <v/>
      </c>
      <c r="DA540" s="59">
        <f>($AJ540-$AJ541)*100</f>
        <v/>
      </c>
      <c r="DB540" s="59">
        <f>($AK540-$AK541)*100</f>
        <v/>
      </c>
      <c r="DC540" s="59">
        <f>($AL540-$AL541)*100</f>
        <v/>
      </c>
      <c r="DD540" s="59">
        <f>($AM540-$AM541)*100</f>
        <v/>
      </c>
      <c r="DE540" s="59">
        <f>($AN540-$AN541)*100</f>
        <v/>
      </c>
      <c r="DF540" s="59">
        <f>($AO540-$AO541)*100</f>
        <v/>
      </c>
      <c r="DG540" s="59">
        <f>($AP540-$AP541)*100</f>
        <v/>
      </c>
      <c r="DH540" s="59">
        <f>($AQ540-$AQ541)*100</f>
        <v/>
      </c>
      <c r="DI540" s="59">
        <f>($AR540-$AR541)*100</f>
        <v/>
      </c>
      <c r="DJ540" s="59">
        <f>($AS540-$AS541)*100</f>
        <v/>
      </c>
      <c r="DK540" s="59">
        <f>($AT540-$AT541)*100</f>
        <v/>
      </c>
      <c r="DL540" s="59">
        <f>($AU540-$AU541)*100</f>
        <v/>
      </c>
      <c r="DM540" s="59">
        <f>($AV540-$AV541)*100</f>
        <v/>
      </c>
      <c r="DN540" s="59">
        <f>($AW540-$AW541)*100</f>
        <v/>
      </c>
      <c r="DO540" s="59">
        <f>($AX540-$AX541)*100</f>
        <v/>
      </c>
      <c r="DP540" s="59">
        <f>($AY540-$AY541)*100</f>
        <v/>
      </c>
      <c r="DQ540" s="59">
        <f>($AZ540-$AZ541)*100</f>
        <v/>
      </c>
      <c r="DR540" s="59">
        <f>($BA540-$BA541)*100</f>
        <v/>
      </c>
      <c r="DS540" s="58">
        <f>IFERROR($N541/$N540-1,"")</f>
        <v/>
      </c>
      <c r="DT540" s="58">
        <f>IFERROR($O541/$O540-1,"")</f>
        <v/>
      </c>
      <c r="DU540" s="58">
        <f>IFERROR($P541/$P540-1,"")</f>
        <v/>
      </c>
      <c r="DV540" s="58">
        <f>IFERROR($Q541/$Q540-1,"")</f>
        <v/>
      </c>
      <c r="DW540" s="58">
        <f>IFERROR($R541/$R540-1,"")</f>
        <v/>
      </c>
      <c r="DX540" s="58">
        <f>IFERROR($S541/$S540-1,"")</f>
        <v/>
      </c>
      <c r="DY540" s="58">
        <f>IFERROR($T541/$T540-1,"")</f>
        <v/>
      </c>
      <c r="DZ540" s="58">
        <f>IFERROR($U541/$U540-1,"")</f>
        <v/>
      </c>
      <c r="EA540" s="58">
        <f>IFERROR($V541/$V540-1,"")</f>
        <v/>
      </c>
      <c r="EB540" s="58">
        <f>IFERROR($W541/$W540-1,"")</f>
        <v/>
      </c>
      <c r="EC540" s="58">
        <f>IFERROR($X541/$X540-1,"")</f>
        <v/>
      </c>
      <c r="ED540" s="58">
        <f>IFERROR($Y541/$Y540-1,"")</f>
        <v/>
      </c>
      <c r="EE540" s="58">
        <f>IFERROR($Z541/$Z540-1,"")</f>
        <v/>
      </c>
      <c r="EF540" s="58">
        <f>IFERROR($AA541/$AA540-1,"")</f>
        <v/>
      </c>
      <c r="EG540" s="58">
        <f>IFERROR($AB541/$AB540-1,"")</f>
        <v/>
      </c>
      <c r="EH540" s="58">
        <f>IFERROR($AC541/$AC540-1,"")</f>
        <v/>
      </c>
      <c r="EI540" s="58">
        <f>IFERROR($AD541/$AD540-1,"")</f>
        <v/>
      </c>
      <c r="EJ540" s="58">
        <f>IFERROR($AE541/$AE540-1,"")</f>
        <v/>
      </c>
      <c r="EK540" s="58">
        <f>IFERROR($AF541/$AF540-1,"")</f>
        <v/>
      </c>
      <c r="EL540" s="58">
        <f>IFERROR($AG541/$AG540-1,"")</f>
        <v/>
      </c>
      <c r="EM540" s="58">
        <f>IFERROR($BB540/$BB541-1,"")</f>
        <v/>
      </c>
      <c r="EN540" s="58">
        <f>IFERROR($BC540/$BC541-1,"")</f>
        <v/>
      </c>
      <c r="EO540" s="58">
        <f>IFERROR($BD540/$BD541-1,"")</f>
        <v/>
      </c>
      <c r="EP540" s="58">
        <f>IFERROR($BE540/$BE541-1,"")</f>
        <v/>
      </c>
      <c r="EQ540" s="58">
        <f>IFERROR($BF540/$BF541-1,"")</f>
        <v/>
      </c>
      <c r="ER540" s="58">
        <f>IFERROR($BG540/$BG541-1,"")</f>
        <v/>
      </c>
      <c r="ES540" s="58">
        <f>IFERROR($BH540/$BH541-1,"")</f>
        <v/>
      </c>
      <c r="ET540" s="58">
        <f>IFERROR($BI540/$BI541-1,"")</f>
        <v/>
      </c>
      <c r="EU540" s="58">
        <f>IFERROR($BJ540/$BJ541-1,"")</f>
        <v/>
      </c>
      <c r="EV540" s="58">
        <f>IFERROR($BK540/$BK541-1,"")</f>
        <v/>
      </c>
      <c r="EW540" s="58">
        <f>IFERROR($BL540/$BL541-1,"")</f>
        <v/>
      </c>
      <c r="EX540" s="58">
        <f>IFERROR($BM540/$BM541-1,"")</f>
        <v/>
      </c>
      <c r="EY540" s="58">
        <f>IFERROR($BN540/$BN541-1,"")</f>
        <v/>
      </c>
      <c r="EZ540" s="58">
        <f>IFERROR($BO540/$BO541-1,"")</f>
        <v/>
      </c>
      <c r="FA540" s="58">
        <f>IFERROR($BP540/$BP541-1,"")</f>
        <v/>
      </c>
      <c r="FB540" s="58">
        <f>IFERROR($BQ540/$BQ541-1,"")</f>
        <v/>
      </c>
      <c r="FC540" s="58">
        <f>IFERROR($BR540/$BR541-1,"")</f>
        <v/>
      </c>
      <c r="FD540" s="58">
        <f>IFERROR($BS540/$BS541-1,"")</f>
        <v/>
      </c>
      <c r="FE540" s="58">
        <f>IFERROR($BT540/$BT541-1,"")</f>
        <v/>
      </c>
      <c r="FF540" s="58">
        <f>IFERROR($BU540/$BU541-1,"")</f>
        <v/>
      </c>
      <c r="FG540" s="58">
        <f>IFERROR($BV540/$BV541-1,"")</f>
        <v/>
      </c>
      <c r="FH540" s="58">
        <f>IFERROR($BW540/$BW541-1,"")</f>
        <v/>
      </c>
      <c r="FI540" s="58">
        <f>IFERROR($BX540/$BX541-1,"")</f>
        <v/>
      </c>
      <c r="FJ540" s="59">
        <f>$BY540-$BY541</f>
        <v/>
      </c>
      <c r="FK540" s="59">
        <f>$BZ540-$BZ541</f>
        <v/>
      </c>
      <c r="FL540" s="59">
        <f>$CA540-$CA541</f>
        <v/>
      </c>
      <c r="FM540" s="59">
        <f>$CB540-$CB541</f>
        <v/>
      </c>
      <c r="FN540" s="59">
        <f>$CC540-$CC541</f>
        <v/>
      </c>
      <c r="FO540" s="59">
        <f>$CD540-$CD541</f>
        <v/>
      </c>
      <c r="FP540" s="59">
        <f>$CE540-$CE541</f>
        <v/>
      </c>
      <c r="FQ540" s="59">
        <f>$CF540-$CF541</f>
        <v/>
      </c>
      <c r="FR540" s="59">
        <f>$CG540-$CG541</f>
        <v/>
      </c>
      <c r="FS540" s="59">
        <f>$CH540-$CH541</f>
        <v/>
      </c>
      <c r="FT540" s="59">
        <f>$CI540-$CI541</f>
        <v/>
      </c>
      <c r="FU540" s="59">
        <f>$CJ540-$CJ541</f>
        <v/>
      </c>
      <c r="FV540" s="59">
        <f>$CK540-$CK541</f>
        <v/>
      </c>
      <c r="FW540" s="59">
        <f>$CL540-$CL541</f>
        <v/>
      </c>
      <c r="FX540" s="59">
        <f>$CM540-$CM541</f>
        <v/>
      </c>
      <c r="FY540" s="59">
        <f>$CN540-$CN541</f>
        <v/>
      </c>
      <c r="FZ540" s="59">
        <f>$CO540-$CO541</f>
        <v/>
      </c>
      <c r="GA540" s="59">
        <f>$CP540-$CP541</f>
        <v/>
      </c>
      <c r="GB540" s="59">
        <f>$CQ540-$CQ541</f>
        <v/>
      </c>
      <c r="GC540" s="59">
        <f>$CR540-$CR541</f>
        <v/>
      </c>
      <c r="GD540" s="59">
        <f>$CS540-$CS541</f>
        <v/>
      </c>
      <c r="GE540" s="59">
        <f>$CT540-$CT541</f>
        <v/>
      </c>
    </row>
    <row r="541">
      <c r="CU541" s="58">
        <f>IFERROR($B541/$B542-1,"")</f>
        <v/>
      </c>
      <c r="CV541" s="59">
        <f>($F541-$F542)*100</f>
        <v/>
      </c>
      <c r="CW541" s="59">
        <f>($E541-$E542)*100</f>
        <v/>
      </c>
      <c r="CX541" s="58">
        <f>IFERROR($K541/$K542-1,"")</f>
        <v/>
      </c>
      <c r="CY541" s="59">
        <f>($AH541-$AH542)*100</f>
        <v/>
      </c>
      <c r="CZ541" s="59">
        <f>($AI541-$AI542)*100</f>
        <v/>
      </c>
      <c r="DA541" s="59">
        <f>($AJ541-$AJ542)*100</f>
        <v/>
      </c>
      <c r="DB541" s="59">
        <f>($AK541-$AK542)*100</f>
        <v/>
      </c>
      <c r="DC541" s="59">
        <f>($AL541-$AL542)*100</f>
        <v/>
      </c>
      <c r="DD541" s="59">
        <f>($AM541-$AM542)*100</f>
        <v/>
      </c>
      <c r="DE541" s="59">
        <f>($AN541-$AN542)*100</f>
        <v/>
      </c>
      <c r="DF541" s="59">
        <f>($AO541-$AO542)*100</f>
        <v/>
      </c>
      <c r="DG541" s="59">
        <f>($AP541-$AP542)*100</f>
        <v/>
      </c>
      <c r="DH541" s="59">
        <f>($AQ541-$AQ542)*100</f>
        <v/>
      </c>
      <c r="DI541" s="59">
        <f>($AR541-$AR542)*100</f>
        <v/>
      </c>
      <c r="DJ541" s="59">
        <f>($AS541-$AS542)*100</f>
        <v/>
      </c>
      <c r="DK541" s="59">
        <f>($AT541-$AT542)*100</f>
        <v/>
      </c>
      <c r="DL541" s="59">
        <f>($AU541-$AU542)*100</f>
        <v/>
      </c>
      <c r="DM541" s="59">
        <f>($AV541-$AV542)*100</f>
        <v/>
      </c>
      <c r="DN541" s="59">
        <f>($AW541-$AW542)*100</f>
        <v/>
      </c>
      <c r="DO541" s="59">
        <f>($AX541-$AX542)*100</f>
        <v/>
      </c>
      <c r="DP541" s="59">
        <f>($AY541-$AY542)*100</f>
        <v/>
      </c>
      <c r="DQ541" s="59">
        <f>($AZ541-$AZ542)*100</f>
        <v/>
      </c>
      <c r="DR541" s="59">
        <f>($BA541-$BA542)*100</f>
        <v/>
      </c>
      <c r="DS541" s="58">
        <f>IFERROR($N542/$N541-1,"")</f>
        <v/>
      </c>
      <c r="DT541" s="58">
        <f>IFERROR($O542/$O541-1,"")</f>
        <v/>
      </c>
      <c r="DU541" s="58">
        <f>IFERROR($P542/$P541-1,"")</f>
        <v/>
      </c>
      <c r="DV541" s="58">
        <f>IFERROR($Q542/$Q541-1,"")</f>
        <v/>
      </c>
      <c r="DW541" s="58">
        <f>IFERROR($R542/$R541-1,"")</f>
        <v/>
      </c>
      <c r="DX541" s="58">
        <f>IFERROR($S542/$S541-1,"")</f>
        <v/>
      </c>
      <c r="DY541" s="58">
        <f>IFERROR($T542/$T541-1,"")</f>
        <v/>
      </c>
      <c r="DZ541" s="58">
        <f>IFERROR($U542/$U541-1,"")</f>
        <v/>
      </c>
      <c r="EA541" s="58">
        <f>IFERROR($V542/$V541-1,"")</f>
        <v/>
      </c>
      <c r="EB541" s="58">
        <f>IFERROR($W542/$W541-1,"")</f>
        <v/>
      </c>
      <c r="EC541" s="58">
        <f>IFERROR($X542/$X541-1,"")</f>
        <v/>
      </c>
      <c r="ED541" s="58">
        <f>IFERROR($Y542/$Y541-1,"")</f>
        <v/>
      </c>
      <c r="EE541" s="58">
        <f>IFERROR($Z542/$Z541-1,"")</f>
        <v/>
      </c>
      <c r="EF541" s="58">
        <f>IFERROR($AA542/$AA541-1,"")</f>
        <v/>
      </c>
      <c r="EG541" s="58">
        <f>IFERROR($AB542/$AB541-1,"")</f>
        <v/>
      </c>
      <c r="EH541" s="58">
        <f>IFERROR($AC542/$AC541-1,"")</f>
        <v/>
      </c>
      <c r="EI541" s="58">
        <f>IFERROR($AD542/$AD541-1,"")</f>
        <v/>
      </c>
      <c r="EJ541" s="58">
        <f>IFERROR($AE542/$AE541-1,"")</f>
        <v/>
      </c>
      <c r="EK541" s="58">
        <f>IFERROR($AF542/$AF541-1,"")</f>
        <v/>
      </c>
      <c r="EL541" s="58">
        <f>IFERROR($AG542/$AG541-1,"")</f>
        <v/>
      </c>
      <c r="EM541" s="58">
        <f>IFERROR($BB541/$BB542-1,"")</f>
        <v/>
      </c>
      <c r="EN541" s="58">
        <f>IFERROR($BC541/$BC542-1,"")</f>
        <v/>
      </c>
      <c r="EO541" s="58">
        <f>IFERROR($BD541/$BD542-1,"")</f>
        <v/>
      </c>
      <c r="EP541" s="58">
        <f>IFERROR($BE541/$BE542-1,"")</f>
        <v/>
      </c>
      <c r="EQ541" s="58">
        <f>IFERROR($BF541/$BF542-1,"")</f>
        <v/>
      </c>
      <c r="ER541" s="58">
        <f>IFERROR($BG541/$BG542-1,"")</f>
        <v/>
      </c>
      <c r="ES541" s="58">
        <f>IFERROR($BH541/$BH542-1,"")</f>
        <v/>
      </c>
      <c r="ET541" s="58">
        <f>IFERROR($BI541/$BI542-1,"")</f>
        <v/>
      </c>
      <c r="EU541" s="58">
        <f>IFERROR($BJ541/$BJ542-1,"")</f>
        <v/>
      </c>
      <c r="EV541" s="58">
        <f>IFERROR($BK541/$BK542-1,"")</f>
        <v/>
      </c>
      <c r="EW541" s="58">
        <f>IFERROR($BL541/$BL542-1,"")</f>
        <v/>
      </c>
      <c r="EX541" s="58">
        <f>IFERROR($BM541/$BM542-1,"")</f>
        <v/>
      </c>
      <c r="EY541" s="58">
        <f>IFERROR($BN541/$BN542-1,"")</f>
        <v/>
      </c>
      <c r="EZ541" s="58">
        <f>IFERROR($BO541/$BO542-1,"")</f>
        <v/>
      </c>
      <c r="FA541" s="58">
        <f>IFERROR($BP541/$BP542-1,"")</f>
        <v/>
      </c>
      <c r="FB541" s="58">
        <f>IFERROR($BQ541/$BQ542-1,"")</f>
        <v/>
      </c>
      <c r="FC541" s="58">
        <f>IFERROR($BR541/$BR542-1,"")</f>
        <v/>
      </c>
      <c r="FD541" s="58">
        <f>IFERROR($BS541/$BS542-1,"")</f>
        <v/>
      </c>
      <c r="FE541" s="58">
        <f>IFERROR($BT541/$BT542-1,"")</f>
        <v/>
      </c>
      <c r="FF541" s="58">
        <f>IFERROR($BU541/$BU542-1,"")</f>
        <v/>
      </c>
      <c r="FG541" s="58">
        <f>IFERROR($BV541/$BV542-1,"")</f>
        <v/>
      </c>
      <c r="FH541" s="58">
        <f>IFERROR($BW541/$BW542-1,"")</f>
        <v/>
      </c>
      <c r="FI541" s="58">
        <f>IFERROR($BX541/$BX542-1,"")</f>
        <v/>
      </c>
      <c r="FJ541" s="59">
        <f>$BY541-$BY542</f>
        <v/>
      </c>
      <c r="FK541" s="59">
        <f>$BZ541-$BZ542</f>
        <v/>
      </c>
      <c r="FL541" s="59">
        <f>$CA541-$CA542</f>
        <v/>
      </c>
      <c r="FM541" s="59">
        <f>$CB541-$CB542</f>
        <v/>
      </c>
      <c r="FN541" s="59">
        <f>$CC541-$CC542</f>
        <v/>
      </c>
      <c r="FO541" s="59">
        <f>$CD541-$CD542</f>
        <v/>
      </c>
      <c r="FP541" s="59">
        <f>$CE541-$CE542</f>
        <v/>
      </c>
      <c r="FQ541" s="59">
        <f>$CF541-$CF542</f>
        <v/>
      </c>
      <c r="FR541" s="59">
        <f>$CG541-$CG542</f>
        <v/>
      </c>
      <c r="FS541" s="59">
        <f>$CH541-$CH542</f>
        <v/>
      </c>
      <c r="FT541" s="59">
        <f>$CI541-$CI542</f>
        <v/>
      </c>
      <c r="FU541" s="59">
        <f>$CJ541-$CJ542</f>
        <v/>
      </c>
      <c r="FV541" s="59">
        <f>$CK541-$CK542</f>
        <v/>
      </c>
      <c r="FW541" s="59">
        <f>$CL541-$CL542</f>
        <v/>
      </c>
      <c r="FX541" s="59">
        <f>$CM541-$CM542</f>
        <v/>
      </c>
      <c r="FY541" s="59">
        <f>$CN541-$CN542</f>
        <v/>
      </c>
      <c r="FZ541" s="59">
        <f>$CO541-$CO542</f>
        <v/>
      </c>
      <c r="GA541" s="59">
        <f>$CP541-$CP542</f>
        <v/>
      </c>
      <c r="GB541" s="59">
        <f>$CQ541-$CQ542</f>
        <v/>
      </c>
      <c r="GC541" s="59">
        <f>$CR541-$CR542</f>
        <v/>
      </c>
      <c r="GD541" s="59">
        <f>$CS541-$CS542</f>
        <v/>
      </c>
      <c r="GE541" s="59">
        <f>$CT541-$CT542</f>
        <v/>
      </c>
    </row>
    <row r="542">
      <c r="CU542" s="58">
        <f>IFERROR($B542/$B543-1,"")</f>
        <v/>
      </c>
      <c r="CV542" s="59">
        <f>($F542-$F543)*100</f>
        <v/>
      </c>
      <c r="CW542" s="59">
        <f>($E542-$E543)*100</f>
        <v/>
      </c>
      <c r="CX542" s="58">
        <f>IFERROR($K542/$K543-1,"")</f>
        <v/>
      </c>
      <c r="CY542" s="59">
        <f>($AH542-$AH543)*100</f>
        <v/>
      </c>
      <c r="CZ542" s="59">
        <f>($AI542-$AI543)*100</f>
        <v/>
      </c>
      <c r="DA542" s="59">
        <f>($AJ542-$AJ543)*100</f>
        <v/>
      </c>
      <c r="DB542" s="59">
        <f>($AK542-$AK543)*100</f>
        <v/>
      </c>
      <c r="DC542" s="59">
        <f>($AL542-$AL543)*100</f>
        <v/>
      </c>
      <c r="DD542" s="59">
        <f>($AM542-$AM543)*100</f>
        <v/>
      </c>
      <c r="DE542" s="59">
        <f>($AN542-$AN543)*100</f>
        <v/>
      </c>
      <c r="DF542" s="59">
        <f>($AO542-$AO543)*100</f>
        <v/>
      </c>
      <c r="DG542" s="59">
        <f>($AP542-$AP543)*100</f>
        <v/>
      </c>
      <c r="DH542" s="59">
        <f>($AQ542-$AQ543)*100</f>
        <v/>
      </c>
      <c r="DI542" s="59">
        <f>($AR542-$AR543)*100</f>
        <v/>
      </c>
      <c r="DJ542" s="59">
        <f>($AS542-$AS543)*100</f>
        <v/>
      </c>
      <c r="DK542" s="59">
        <f>($AT542-$AT543)*100</f>
        <v/>
      </c>
      <c r="DL542" s="59">
        <f>($AU542-$AU543)*100</f>
        <v/>
      </c>
      <c r="DM542" s="59">
        <f>($AV542-$AV543)*100</f>
        <v/>
      </c>
      <c r="DN542" s="59">
        <f>($AW542-$AW543)*100</f>
        <v/>
      </c>
      <c r="DO542" s="59">
        <f>($AX542-$AX543)*100</f>
        <v/>
      </c>
      <c r="DP542" s="59">
        <f>($AY542-$AY543)*100</f>
        <v/>
      </c>
      <c r="DQ542" s="59">
        <f>($AZ542-$AZ543)*100</f>
        <v/>
      </c>
      <c r="DR542" s="59">
        <f>($BA542-$BA543)*100</f>
        <v/>
      </c>
      <c r="DS542" s="58">
        <f>IFERROR($N543/$N542-1,"")</f>
        <v/>
      </c>
      <c r="DT542" s="58">
        <f>IFERROR($O543/$O542-1,"")</f>
        <v/>
      </c>
      <c r="DU542" s="58">
        <f>IFERROR($P543/$P542-1,"")</f>
        <v/>
      </c>
      <c r="DV542" s="58">
        <f>IFERROR($Q543/$Q542-1,"")</f>
        <v/>
      </c>
      <c r="DW542" s="58">
        <f>IFERROR($R543/$R542-1,"")</f>
        <v/>
      </c>
      <c r="DX542" s="58">
        <f>IFERROR($S543/$S542-1,"")</f>
        <v/>
      </c>
      <c r="DY542" s="58">
        <f>IFERROR($T543/$T542-1,"")</f>
        <v/>
      </c>
      <c r="DZ542" s="58">
        <f>IFERROR($U543/$U542-1,"")</f>
        <v/>
      </c>
      <c r="EA542" s="58">
        <f>IFERROR($V543/$V542-1,"")</f>
        <v/>
      </c>
      <c r="EB542" s="58">
        <f>IFERROR($W543/$W542-1,"")</f>
        <v/>
      </c>
      <c r="EC542" s="58">
        <f>IFERROR($X543/$X542-1,"")</f>
        <v/>
      </c>
      <c r="ED542" s="58">
        <f>IFERROR($Y543/$Y542-1,"")</f>
        <v/>
      </c>
      <c r="EE542" s="58">
        <f>IFERROR($Z543/$Z542-1,"")</f>
        <v/>
      </c>
      <c r="EF542" s="58">
        <f>IFERROR($AA543/$AA542-1,"")</f>
        <v/>
      </c>
      <c r="EG542" s="58">
        <f>IFERROR($AB543/$AB542-1,"")</f>
        <v/>
      </c>
      <c r="EH542" s="58">
        <f>IFERROR($AC543/$AC542-1,"")</f>
        <v/>
      </c>
      <c r="EI542" s="58">
        <f>IFERROR($AD543/$AD542-1,"")</f>
        <v/>
      </c>
      <c r="EJ542" s="58">
        <f>IFERROR($AE543/$AE542-1,"")</f>
        <v/>
      </c>
      <c r="EK542" s="58">
        <f>IFERROR($AF543/$AF542-1,"")</f>
        <v/>
      </c>
      <c r="EL542" s="58">
        <f>IFERROR($AG543/$AG542-1,"")</f>
        <v/>
      </c>
      <c r="EM542" s="58">
        <f>IFERROR($BB542/$BB543-1,"")</f>
        <v/>
      </c>
      <c r="EN542" s="58">
        <f>IFERROR($BC542/$BC543-1,"")</f>
        <v/>
      </c>
      <c r="EO542" s="58">
        <f>IFERROR($BD542/$BD543-1,"")</f>
        <v/>
      </c>
      <c r="EP542" s="58">
        <f>IFERROR($BE542/$BE543-1,"")</f>
        <v/>
      </c>
      <c r="EQ542" s="58">
        <f>IFERROR($BF542/$BF543-1,"")</f>
        <v/>
      </c>
      <c r="ER542" s="58">
        <f>IFERROR($BG542/$BG543-1,"")</f>
        <v/>
      </c>
      <c r="ES542" s="58">
        <f>IFERROR($BH542/$BH543-1,"")</f>
        <v/>
      </c>
      <c r="ET542" s="58">
        <f>IFERROR($BI542/$BI543-1,"")</f>
        <v/>
      </c>
      <c r="EU542" s="58">
        <f>IFERROR($BJ542/$BJ543-1,"")</f>
        <v/>
      </c>
      <c r="EV542" s="58">
        <f>IFERROR($BK542/$BK543-1,"")</f>
        <v/>
      </c>
      <c r="EW542" s="58">
        <f>IFERROR($BL542/$BL543-1,"")</f>
        <v/>
      </c>
      <c r="EX542" s="58">
        <f>IFERROR($BM542/$BM543-1,"")</f>
        <v/>
      </c>
      <c r="EY542" s="58">
        <f>IFERROR($BN542/$BN543-1,"")</f>
        <v/>
      </c>
      <c r="EZ542" s="58">
        <f>IFERROR($BO542/$BO543-1,"")</f>
        <v/>
      </c>
      <c r="FA542" s="58">
        <f>IFERROR($BP542/$BP543-1,"")</f>
        <v/>
      </c>
      <c r="FB542" s="58">
        <f>IFERROR($BQ542/$BQ543-1,"")</f>
        <v/>
      </c>
      <c r="FC542" s="58">
        <f>IFERROR($BR542/$BR543-1,"")</f>
        <v/>
      </c>
      <c r="FD542" s="58">
        <f>IFERROR($BS542/$BS543-1,"")</f>
        <v/>
      </c>
      <c r="FE542" s="58">
        <f>IFERROR($BT542/$BT543-1,"")</f>
        <v/>
      </c>
      <c r="FF542" s="58">
        <f>IFERROR($BU542/$BU543-1,"")</f>
        <v/>
      </c>
      <c r="FG542" s="58">
        <f>IFERROR($BV542/$BV543-1,"")</f>
        <v/>
      </c>
      <c r="FH542" s="58">
        <f>IFERROR($BW542/$BW543-1,"")</f>
        <v/>
      </c>
      <c r="FI542" s="58">
        <f>IFERROR($BX542/$BX543-1,"")</f>
        <v/>
      </c>
      <c r="FJ542" s="59">
        <f>$BY542-$BY543</f>
        <v/>
      </c>
      <c r="FK542" s="59">
        <f>$BZ542-$BZ543</f>
        <v/>
      </c>
      <c r="FL542" s="59">
        <f>$CA542-$CA543</f>
        <v/>
      </c>
      <c r="FM542" s="59">
        <f>$CB542-$CB543</f>
        <v/>
      </c>
      <c r="FN542" s="59">
        <f>$CC542-$CC543</f>
        <v/>
      </c>
      <c r="FO542" s="59">
        <f>$CD542-$CD543</f>
        <v/>
      </c>
      <c r="FP542" s="59">
        <f>$CE542-$CE543</f>
        <v/>
      </c>
      <c r="FQ542" s="59">
        <f>$CF542-$CF543</f>
        <v/>
      </c>
      <c r="FR542" s="59">
        <f>$CG542-$CG543</f>
        <v/>
      </c>
      <c r="FS542" s="59">
        <f>$CH542-$CH543</f>
        <v/>
      </c>
      <c r="FT542" s="59">
        <f>$CI542-$CI543</f>
        <v/>
      </c>
      <c r="FU542" s="59">
        <f>$CJ542-$CJ543</f>
        <v/>
      </c>
      <c r="FV542" s="59">
        <f>$CK542-$CK543</f>
        <v/>
      </c>
      <c r="FW542" s="59">
        <f>$CL542-$CL543</f>
        <v/>
      </c>
      <c r="FX542" s="59">
        <f>$CM542-$CM543</f>
        <v/>
      </c>
      <c r="FY542" s="59">
        <f>$CN542-$CN543</f>
        <v/>
      </c>
      <c r="FZ542" s="59">
        <f>$CO542-$CO543</f>
        <v/>
      </c>
      <c r="GA542" s="59">
        <f>$CP542-$CP543</f>
        <v/>
      </c>
      <c r="GB542" s="59">
        <f>$CQ542-$CQ543</f>
        <v/>
      </c>
      <c r="GC542" s="59">
        <f>$CR542-$CR543</f>
        <v/>
      </c>
      <c r="GD542" s="59">
        <f>$CS542-$CS543</f>
        <v/>
      </c>
      <c r="GE542" s="59">
        <f>$CT542-$CT543</f>
        <v/>
      </c>
    </row>
    <row r="543">
      <c r="CU543" s="58">
        <f>IFERROR($B543/$B544-1,"")</f>
        <v/>
      </c>
      <c r="CV543" s="59">
        <f>($F543-$F544)*100</f>
        <v/>
      </c>
      <c r="CW543" s="59">
        <f>($E543-$E544)*100</f>
        <v/>
      </c>
      <c r="CX543" s="58">
        <f>IFERROR($K543/$K544-1,"")</f>
        <v/>
      </c>
      <c r="CY543" s="59">
        <f>($AH543-$AH544)*100</f>
        <v/>
      </c>
      <c r="CZ543" s="59">
        <f>($AI543-$AI544)*100</f>
        <v/>
      </c>
      <c r="DA543" s="59">
        <f>($AJ543-$AJ544)*100</f>
        <v/>
      </c>
      <c r="DB543" s="59">
        <f>($AK543-$AK544)*100</f>
        <v/>
      </c>
      <c r="DC543" s="59">
        <f>($AL543-$AL544)*100</f>
        <v/>
      </c>
      <c r="DD543" s="59">
        <f>($AM543-$AM544)*100</f>
        <v/>
      </c>
      <c r="DE543" s="59">
        <f>($AN543-$AN544)*100</f>
        <v/>
      </c>
      <c r="DF543" s="59">
        <f>($AO543-$AO544)*100</f>
        <v/>
      </c>
      <c r="DG543" s="59">
        <f>($AP543-$AP544)*100</f>
        <v/>
      </c>
      <c r="DH543" s="59">
        <f>($AQ543-$AQ544)*100</f>
        <v/>
      </c>
      <c r="DI543" s="59">
        <f>($AR543-$AR544)*100</f>
        <v/>
      </c>
      <c r="DJ543" s="59">
        <f>($AS543-$AS544)*100</f>
        <v/>
      </c>
      <c r="DK543" s="59">
        <f>($AT543-$AT544)*100</f>
        <v/>
      </c>
      <c r="DL543" s="59">
        <f>($AU543-$AU544)*100</f>
        <v/>
      </c>
      <c r="DM543" s="59">
        <f>($AV543-$AV544)*100</f>
        <v/>
      </c>
      <c r="DN543" s="59">
        <f>($AW543-$AW544)*100</f>
        <v/>
      </c>
      <c r="DO543" s="59">
        <f>($AX543-$AX544)*100</f>
        <v/>
      </c>
      <c r="DP543" s="59">
        <f>($AY543-$AY544)*100</f>
        <v/>
      </c>
      <c r="DQ543" s="59">
        <f>($AZ543-$AZ544)*100</f>
        <v/>
      </c>
      <c r="DR543" s="59">
        <f>($BA543-$BA544)*100</f>
        <v/>
      </c>
      <c r="DS543" s="58">
        <f>IFERROR($N544/$N543-1,"")</f>
        <v/>
      </c>
      <c r="DT543" s="58">
        <f>IFERROR($O544/$O543-1,"")</f>
        <v/>
      </c>
      <c r="DU543" s="58">
        <f>IFERROR($P544/$P543-1,"")</f>
        <v/>
      </c>
      <c r="DV543" s="58">
        <f>IFERROR($Q544/$Q543-1,"")</f>
        <v/>
      </c>
      <c r="DW543" s="58">
        <f>IFERROR($R544/$R543-1,"")</f>
        <v/>
      </c>
      <c r="DX543" s="58">
        <f>IFERROR($S544/$S543-1,"")</f>
        <v/>
      </c>
      <c r="DY543" s="58">
        <f>IFERROR($T544/$T543-1,"")</f>
        <v/>
      </c>
      <c r="DZ543" s="58">
        <f>IFERROR($U544/$U543-1,"")</f>
        <v/>
      </c>
      <c r="EA543" s="58">
        <f>IFERROR($V544/$V543-1,"")</f>
        <v/>
      </c>
      <c r="EB543" s="58">
        <f>IFERROR($W544/$W543-1,"")</f>
        <v/>
      </c>
      <c r="EC543" s="58">
        <f>IFERROR($X544/$X543-1,"")</f>
        <v/>
      </c>
      <c r="ED543" s="58">
        <f>IFERROR($Y544/$Y543-1,"")</f>
        <v/>
      </c>
      <c r="EE543" s="58">
        <f>IFERROR($Z544/$Z543-1,"")</f>
        <v/>
      </c>
      <c r="EF543" s="58">
        <f>IFERROR($AA544/$AA543-1,"")</f>
        <v/>
      </c>
      <c r="EG543" s="58">
        <f>IFERROR($AB544/$AB543-1,"")</f>
        <v/>
      </c>
      <c r="EH543" s="58">
        <f>IFERROR($AC544/$AC543-1,"")</f>
        <v/>
      </c>
      <c r="EI543" s="58">
        <f>IFERROR($AD544/$AD543-1,"")</f>
        <v/>
      </c>
      <c r="EJ543" s="58">
        <f>IFERROR($AE544/$AE543-1,"")</f>
        <v/>
      </c>
      <c r="EK543" s="58">
        <f>IFERROR($AF544/$AF543-1,"")</f>
        <v/>
      </c>
      <c r="EL543" s="58">
        <f>IFERROR($AG544/$AG543-1,"")</f>
        <v/>
      </c>
      <c r="EM543" s="58">
        <f>IFERROR($BB543/$BB544-1,"")</f>
        <v/>
      </c>
      <c r="EN543" s="58">
        <f>IFERROR($BC543/$BC544-1,"")</f>
        <v/>
      </c>
      <c r="EO543" s="58">
        <f>IFERROR($BD543/$BD544-1,"")</f>
        <v/>
      </c>
      <c r="EP543" s="58">
        <f>IFERROR($BE543/$BE544-1,"")</f>
        <v/>
      </c>
      <c r="EQ543" s="58">
        <f>IFERROR($BF543/$BF544-1,"")</f>
        <v/>
      </c>
      <c r="ER543" s="58">
        <f>IFERROR($BG543/$BG544-1,"")</f>
        <v/>
      </c>
      <c r="ES543" s="58">
        <f>IFERROR($BH543/$BH544-1,"")</f>
        <v/>
      </c>
      <c r="ET543" s="58">
        <f>IFERROR($BI543/$BI544-1,"")</f>
        <v/>
      </c>
      <c r="EU543" s="58">
        <f>IFERROR($BJ543/$BJ544-1,"")</f>
        <v/>
      </c>
      <c r="EV543" s="58">
        <f>IFERROR($BK543/$BK544-1,"")</f>
        <v/>
      </c>
      <c r="EW543" s="58">
        <f>IFERROR($BL543/$BL544-1,"")</f>
        <v/>
      </c>
      <c r="EX543" s="58">
        <f>IFERROR($BM543/$BM544-1,"")</f>
        <v/>
      </c>
      <c r="EY543" s="58">
        <f>IFERROR($BN543/$BN544-1,"")</f>
        <v/>
      </c>
      <c r="EZ543" s="58">
        <f>IFERROR($BO543/$BO544-1,"")</f>
        <v/>
      </c>
      <c r="FA543" s="58">
        <f>IFERROR($BP543/$BP544-1,"")</f>
        <v/>
      </c>
      <c r="FB543" s="58">
        <f>IFERROR($BQ543/$BQ544-1,"")</f>
        <v/>
      </c>
      <c r="FC543" s="58">
        <f>IFERROR($BR543/$BR544-1,"")</f>
        <v/>
      </c>
      <c r="FD543" s="58">
        <f>IFERROR($BS543/$BS544-1,"")</f>
        <v/>
      </c>
      <c r="FE543" s="58">
        <f>IFERROR($BT543/$BT544-1,"")</f>
        <v/>
      </c>
      <c r="FF543" s="58">
        <f>IFERROR($BU543/$BU544-1,"")</f>
        <v/>
      </c>
      <c r="FG543" s="58">
        <f>IFERROR($BV543/$BV544-1,"")</f>
        <v/>
      </c>
      <c r="FH543" s="58">
        <f>IFERROR($BW543/$BW544-1,"")</f>
        <v/>
      </c>
      <c r="FI543" s="58">
        <f>IFERROR($BX543/$BX544-1,"")</f>
        <v/>
      </c>
      <c r="FJ543" s="59">
        <f>$BY543-$BY544</f>
        <v/>
      </c>
      <c r="FK543" s="59">
        <f>$BZ543-$BZ544</f>
        <v/>
      </c>
      <c r="FL543" s="59">
        <f>$CA543-$CA544</f>
        <v/>
      </c>
      <c r="FM543" s="59">
        <f>$CB543-$CB544</f>
        <v/>
      </c>
      <c r="FN543" s="59">
        <f>$CC543-$CC544</f>
        <v/>
      </c>
      <c r="FO543" s="59">
        <f>$CD543-$CD544</f>
        <v/>
      </c>
      <c r="FP543" s="59">
        <f>$CE543-$CE544</f>
        <v/>
      </c>
      <c r="FQ543" s="59">
        <f>$CF543-$CF544</f>
        <v/>
      </c>
      <c r="FR543" s="59">
        <f>$CG543-$CG544</f>
        <v/>
      </c>
      <c r="FS543" s="59">
        <f>$CH543-$CH544</f>
        <v/>
      </c>
      <c r="FT543" s="59">
        <f>$CI543-$CI544</f>
        <v/>
      </c>
      <c r="FU543" s="59">
        <f>$CJ543-$CJ544</f>
        <v/>
      </c>
      <c r="FV543" s="59">
        <f>$CK543-$CK544</f>
        <v/>
      </c>
      <c r="FW543" s="59">
        <f>$CL543-$CL544</f>
        <v/>
      </c>
      <c r="FX543" s="59">
        <f>$CM543-$CM544</f>
        <v/>
      </c>
      <c r="FY543" s="59">
        <f>$CN543-$CN544</f>
        <v/>
      </c>
      <c r="FZ543" s="59">
        <f>$CO543-$CO544</f>
        <v/>
      </c>
      <c r="GA543" s="59">
        <f>$CP543-$CP544</f>
        <v/>
      </c>
      <c r="GB543" s="59">
        <f>$CQ543-$CQ544</f>
        <v/>
      </c>
      <c r="GC543" s="59">
        <f>$CR543-$CR544</f>
        <v/>
      </c>
      <c r="GD543" s="59">
        <f>$CS543-$CS544</f>
        <v/>
      </c>
      <c r="GE543" s="59">
        <f>$CT543-$CT544</f>
        <v/>
      </c>
    </row>
    <row r="544">
      <c r="CU544" s="58">
        <f>IFERROR($B544/$B545-1,"")</f>
        <v/>
      </c>
      <c r="CV544" s="59">
        <f>($F544-$F545)*100</f>
        <v/>
      </c>
      <c r="CW544" s="59">
        <f>($E544-$E545)*100</f>
        <v/>
      </c>
      <c r="CX544" s="58">
        <f>IFERROR($K544/$K545-1,"")</f>
        <v/>
      </c>
      <c r="CY544" s="59">
        <f>($AH544-$AH545)*100</f>
        <v/>
      </c>
      <c r="CZ544" s="59">
        <f>($AI544-$AI545)*100</f>
        <v/>
      </c>
      <c r="DA544" s="59">
        <f>($AJ544-$AJ545)*100</f>
        <v/>
      </c>
      <c r="DB544" s="59">
        <f>($AK544-$AK545)*100</f>
        <v/>
      </c>
      <c r="DC544" s="59">
        <f>($AL544-$AL545)*100</f>
        <v/>
      </c>
      <c r="DD544" s="59">
        <f>($AM544-$AM545)*100</f>
        <v/>
      </c>
      <c r="DE544" s="59">
        <f>($AN544-$AN545)*100</f>
        <v/>
      </c>
      <c r="DF544" s="59">
        <f>($AO544-$AO545)*100</f>
        <v/>
      </c>
      <c r="DG544" s="59">
        <f>($AP544-$AP545)*100</f>
        <v/>
      </c>
      <c r="DH544" s="59">
        <f>($AQ544-$AQ545)*100</f>
        <v/>
      </c>
      <c r="DI544" s="59">
        <f>($AR544-$AR545)*100</f>
        <v/>
      </c>
      <c r="DJ544" s="59">
        <f>($AS544-$AS545)*100</f>
        <v/>
      </c>
      <c r="DK544" s="59">
        <f>($AT544-$AT545)*100</f>
        <v/>
      </c>
      <c r="DL544" s="59">
        <f>($AU544-$AU545)*100</f>
        <v/>
      </c>
      <c r="DM544" s="59">
        <f>($AV544-$AV545)*100</f>
        <v/>
      </c>
      <c r="DN544" s="59">
        <f>($AW544-$AW545)*100</f>
        <v/>
      </c>
      <c r="DO544" s="59">
        <f>($AX544-$AX545)*100</f>
        <v/>
      </c>
      <c r="DP544" s="59">
        <f>($AY544-$AY545)*100</f>
        <v/>
      </c>
      <c r="DQ544" s="59">
        <f>($AZ544-$AZ545)*100</f>
        <v/>
      </c>
      <c r="DR544" s="59">
        <f>($BA544-$BA545)*100</f>
        <v/>
      </c>
      <c r="DS544" s="58">
        <f>IFERROR($N545/$N544-1,"")</f>
        <v/>
      </c>
      <c r="DT544" s="58">
        <f>IFERROR($O545/$O544-1,"")</f>
        <v/>
      </c>
      <c r="DU544" s="58">
        <f>IFERROR($P545/$P544-1,"")</f>
        <v/>
      </c>
      <c r="DV544" s="58">
        <f>IFERROR($Q545/$Q544-1,"")</f>
        <v/>
      </c>
      <c r="DW544" s="58">
        <f>IFERROR($R545/$R544-1,"")</f>
        <v/>
      </c>
      <c r="DX544" s="58">
        <f>IFERROR($S545/$S544-1,"")</f>
        <v/>
      </c>
      <c r="DY544" s="58">
        <f>IFERROR($T545/$T544-1,"")</f>
        <v/>
      </c>
      <c r="DZ544" s="58">
        <f>IFERROR($U545/$U544-1,"")</f>
        <v/>
      </c>
      <c r="EA544" s="58">
        <f>IFERROR($V545/$V544-1,"")</f>
        <v/>
      </c>
      <c r="EB544" s="58">
        <f>IFERROR($W545/$W544-1,"")</f>
        <v/>
      </c>
      <c r="EC544" s="58">
        <f>IFERROR($X545/$X544-1,"")</f>
        <v/>
      </c>
      <c r="ED544" s="58">
        <f>IFERROR($Y545/$Y544-1,"")</f>
        <v/>
      </c>
      <c r="EE544" s="58">
        <f>IFERROR($Z545/$Z544-1,"")</f>
        <v/>
      </c>
      <c r="EF544" s="58">
        <f>IFERROR($AA545/$AA544-1,"")</f>
        <v/>
      </c>
      <c r="EG544" s="58">
        <f>IFERROR($AB545/$AB544-1,"")</f>
        <v/>
      </c>
      <c r="EH544" s="58">
        <f>IFERROR($AC545/$AC544-1,"")</f>
        <v/>
      </c>
      <c r="EI544" s="58">
        <f>IFERROR($AD545/$AD544-1,"")</f>
        <v/>
      </c>
      <c r="EJ544" s="58">
        <f>IFERROR($AE545/$AE544-1,"")</f>
        <v/>
      </c>
      <c r="EK544" s="58">
        <f>IFERROR($AF545/$AF544-1,"")</f>
        <v/>
      </c>
      <c r="EL544" s="58">
        <f>IFERROR($AG545/$AG544-1,"")</f>
        <v/>
      </c>
      <c r="EM544" s="58">
        <f>IFERROR($BB544/$BB545-1,"")</f>
        <v/>
      </c>
      <c r="EN544" s="58">
        <f>IFERROR($BC544/$BC545-1,"")</f>
        <v/>
      </c>
      <c r="EO544" s="58">
        <f>IFERROR($BD544/$BD545-1,"")</f>
        <v/>
      </c>
      <c r="EP544" s="58">
        <f>IFERROR($BE544/$BE545-1,"")</f>
        <v/>
      </c>
      <c r="EQ544" s="58">
        <f>IFERROR($BF544/$BF545-1,"")</f>
        <v/>
      </c>
      <c r="ER544" s="58">
        <f>IFERROR($BG544/$BG545-1,"")</f>
        <v/>
      </c>
      <c r="ES544" s="58">
        <f>IFERROR($BH544/$BH545-1,"")</f>
        <v/>
      </c>
      <c r="ET544" s="58">
        <f>IFERROR($BI544/$BI545-1,"")</f>
        <v/>
      </c>
      <c r="EU544" s="58">
        <f>IFERROR($BJ544/$BJ545-1,"")</f>
        <v/>
      </c>
      <c r="EV544" s="58">
        <f>IFERROR($BK544/$BK545-1,"")</f>
        <v/>
      </c>
      <c r="EW544" s="58">
        <f>IFERROR($BL544/$BL545-1,"")</f>
        <v/>
      </c>
      <c r="EX544" s="58">
        <f>IFERROR($BM544/$BM545-1,"")</f>
        <v/>
      </c>
      <c r="EY544" s="58">
        <f>IFERROR($BN544/$BN545-1,"")</f>
        <v/>
      </c>
      <c r="EZ544" s="58">
        <f>IFERROR($BO544/$BO545-1,"")</f>
        <v/>
      </c>
      <c r="FA544" s="58">
        <f>IFERROR($BP544/$BP545-1,"")</f>
        <v/>
      </c>
      <c r="FB544" s="58">
        <f>IFERROR($BQ544/$BQ545-1,"")</f>
        <v/>
      </c>
      <c r="FC544" s="58">
        <f>IFERROR($BR544/$BR545-1,"")</f>
        <v/>
      </c>
      <c r="FD544" s="58">
        <f>IFERROR($BS544/$BS545-1,"")</f>
        <v/>
      </c>
      <c r="FE544" s="58">
        <f>IFERROR($BT544/$BT545-1,"")</f>
        <v/>
      </c>
      <c r="FF544" s="58">
        <f>IFERROR($BU544/$BU545-1,"")</f>
        <v/>
      </c>
      <c r="FG544" s="58">
        <f>IFERROR($BV544/$BV545-1,"")</f>
        <v/>
      </c>
      <c r="FH544" s="58">
        <f>IFERROR($BW544/$BW545-1,"")</f>
        <v/>
      </c>
      <c r="FI544" s="58">
        <f>IFERROR($BX544/$BX545-1,"")</f>
        <v/>
      </c>
      <c r="FJ544" s="59">
        <f>$BY544-$BY545</f>
        <v/>
      </c>
      <c r="FK544" s="59">
        <f>$BZ544-$BZ545</f>
        <v/>
      </c>
      <c r="FL544" s="59">
        <f>$CA544-$CA545</f>
        <v/>
      </c>
      <c r="FM544" s="59">
        <f>$CB544-$CB545</f>
        <v/>
      </c>
      <c r="FN544" s="59">
        <f>$CC544-$CC545</f>
        <v/>
      </c>
      <c r="FO544" s="59">
        <f>$CD544-$CD545</f>
        <v/>
      </c>
      <c r="FP544" s="59">
        <f>$CE544-$CE545</f>
        <v/>
      </c>
      <c r="FQ544" s="59">
        <f>$CF544-$CF545</f>
        <v/>
      </c>
      <c r="FR544" s="59">
        <f>$CG544-$CG545</f>
        <v/>
      </c>
      <c r="FS544" s="59">
        <f>$CH544-$CH545</f>
        <v/>
      </c>
      <c r="FT544" s="59">
        <f>$CI544-$CI545</f>
        <v/>
      </c>
      <c r="FU544" s="59">
        <f>$CJ544-$CJ545</f>
        <v/>
      </c>
      <c r="FV544" s="59">
        <f>$CK544-$CK545</f>
        <v/>
      </c>
      <c r="FW544" s="59">
        <f>$CL544-$CL545</f>
        <v/>
      </c>
      <c r="FX544" s="59">
        <f>$CM544-$CM545</f>
        <v/>
      </c>
      <c r="FY544" s="59">
        <f>$CN544-$CN545</f>
        <v/>
      </c>
      <c r="FZ544" s="59">
        <f>$CO544-$CO545</f>
        <v/>
      </c>
      <c r="GA544" s="59">
        <f>$CP544-$CP545</f>
        <v/>
      </c>
      <c r="GB544" s="59">
        <f>$CQ544-$CQ545</f>
        <v/>
      </c>
      <c r="GC544" s="59">
        <f>$CR544-$CR545</f>
        <v/>
      </c>
      <c r="GD544" s="59">
        <f>$CS544-$CS545</f>
        <v/>
      </c>
      <c r="GE544" s="59">
        <f>$CT544-$CT545</f>
        <v/>
      </c>
    </row>
    <row r="545">
      <c r="CU545" s="58">
        <f>IFERROR($B545/$B546-1,"")</f>
        <v/>
      </c>
      <c r="CV545" s="59">
        <f>($F545-$F546)*100</f>
        <v/>
      </c>
      <c r="CW545" s="59">
        <f>($E545-$E546)*100</f>
        <v/>
      </c>
      <c r="CX545" s="58">
        <f>IFERROR($K545/$K546-1,"")</f>
        <v/>
      </c>
      <c r="CY545" s="59">
        <f>($AH545-$AH546)*100</f>
        <v/>
      </c>
      <c r="CZ545" s="59">
        <f>($AI545-$AI546)*100</f>
        <v/>
      </c>
      <c r="DA545" s="59">
        <f>($AJ545-$AJ546)*100</f>
        <v/>
      </c>
      <c r="DB545" s="59">
        <f>($AK545-$AK546)*100</f>
        <v/>
      </c>
      <c r="DC545" s="59">
        <f>($AL545-$AL546)*100</f>
        <v/>
      </c>
      <c r="DD545" s="59">
        <f>($AM545-$AM546)*100</f>
        <v/>
      </c>
      <c r="DE545" s="59">
        <f>($AN545-$AN546)*100</f>
        <v/>
      </c>
      <c r="DF545" s="59">
        <f>($AO545-$AO546)*100</f>
        <v/>
      </c>
      <c r="DG545" s="59">
        <f>($AP545-$AP546)*100</f>
        <v/>
      </c>
      <c r="DH545" s="59">
        <f>($AQ545-$AQ546)*100</f>
        <v/>
      </c>
      <c r="DI545" s="59">
        <f>($AR545-$AR546)*100</f>
        <v/>
      </c>
      <c r="DJ545" s="59">
        <f>($AS545-$AS546)*100</f>
        <v/>
      </c>
      <c r="DK545" s="59">
        <f>($AT545-$AT546)*100</f>
        <v/>
      </c>
      <c r="DL545" s="59">
        <f>($AU545-$AU546)*100</f>
        <v/>
      </c>
      <c r="DM545" s="59">
        <f>($AV545-$AV546)*100</f>
        <v/>
      </c>
      <c r="DN545" s="59">
        <f>($AW545-$AW546)*100</f>
        <v/>
      </c>
      <c r="DO545" s="59">
        <f>($AX545-$AX546)*100</f>
        <v/>
      </c>
      <c r="DP545" s="59">
        <f>($AY545-$AY546)*100</f>
        <v/>
      </c>
      <c r="DQ545" s="59">
        <f>($AZ545-$AZ546)*100</f>
        <v/>
      </c>
      <c r="DR545" s="59">
        <f>($BA545-$BA546)*100</f>
        <v/>
      </c>
      <c r="DS545" s="58">
        <f>IFERROR($N546/$N545-1,"")</f>
        <v/>
      </c>
      <c r="DT545" s="58">
        <f>IFERROR($O546/$O545-1,"")</f>
        <v/>
      </c>
      <c r="DU545" s="58">
        <f>IFERROR($P546/$P545-1,"")</f>
        <v/>
      </c>
      <c r="DV545" s="58">
        <f>IFERROR($Q546/$Q545-1,"")</f>
        <v/>
      </c>
      <c r="DW545" s="58">
        <f>IFERROR($R546/$R545-1,"")</f>
        <v/>
      </c>
      <c r="DX545" s="58">
        <f>IFERROR($S546/$S545-1,"")</f>
        <v/>
      </c>
      <c r="DY545" s="58">
        <f>IFERROR($T546/$T545-1,"")</f>
        <v/>
      </c>
      <c r="DZ545" s="58">
        <f>IFERROR($U546/$U545-1,"")</f>
        <v/>
      </c>
      <c r="EA545" s="58">
        <f>IFERROR($V546/$V545-1,"")</f>
        <v/>
      </c>
      <c r="EB545" s="58">
        <f>IFERROR($W546/$W545-1,"")</f>
        <v/>
      </c>
      <c r="EC545" s="58">
        <f>IFERROR($X546/$X545-1,"")</f>
        <v/>
      </c>
      <c r="ED545" s="58">
        <f>IFERROR($Y546/$Y545-1,"")</f>
        <v/>
      </c>
      <c r="EE545" s="58">
        <f>IFERROR($Z546/$Z545-1,"")</f>
        <v/>
      </c>
      <c r="EF545" s="58">
        <f>IFERROR($AA546/$AA545-1,"")</f>
        <v/>
      </c>
      <c r="EG545" s="58">
        <f>IFERROR($AB546/$AB545-1,"")</f>
        <v/>
      </c>
      <c r="EH545" s="58">
        <f>IFERROR($AC546/$AC545-1,"")</f>
        <v/>
      </c>
      <c r="EI545" s="58">
        <f>IFERROR($AD546/$AD545-1,"")</f>
        <v/>
      </c>
      <c r="EJ545" s="58">
        <f>IFERROR($AE546/$AE545-1,"")</f>
        <v/>
      </c>
      <c r="EK545" s="58">
        <f>IFERROR($AF546/$AF545-1,"")</f>
        <v/>
      </c>
      <c r="EL545" s="58">
        <f>IFERROR($AG546/$AG545-1,"")</f>
        <v/>
      </c>
      <c r="EM545" s="58">
        <f>IFERROR($BB545/$BB546-1,"")</f>
        <v/>
      </c>
      <c r="EN545" s="58">
        <f>IFERROR($BC545/$BC546-1,"")</f>
        <v/>
      </c>
      <c r="EO545" s="58">
        <f>IFERROR($BD545/$BD546-1,"")</f>
        <v/>
      </c>
      <c r="EP545" s="58">
        <f>IFERROR($BE545/$BE546-1,"")</f>
        <v/>
      </c>
      <c r="EQ545" s="58">
        <f>IFERROR($BF545/$BF546-1,"")</f>
        <v/>
      </c>
      <c r="ER545" s="58">
        <f>IFERROR($BG545/$BG546-1,"")</f>
        <v/>
      </c>
      <c r="ES545" s="58">
        <f>IFERROR($BH545/$BH546-1,"")</f>
        <v/>
      </c>
      <c r="ET545" s="58">
        <f>IFERROR($BI545/$BI546-1,"")</f>
        <v/>
      </c>
      <c r="EU545" s="58">
        <f>IFERROR($BJ545/$BJ546-1,"")</f>
        <v/>
      </c>
      <c r="EV545" s="58">
        <f>IFERROR($BK545/$BK546-1,"")</f>
        <v/>
      </c>
      <c r="EW545" s="58">
        <f>IFERROR($BL545/$BL546-1,"")</f>
        <v/>
      </c>
      <c r="EX545" s="58">
        <f>IFERROR($BM545/$BM546-1,"")</f>
        <v/>
      </c>
      <c r="EY545" s="58">
        <f>IFERROR($BN545/$BN546-1,"")</f>
        <v/>
      </c>
      <c r="EZ545" s="58">
        <f>IFERROR($BO545/$BO546-1,"")</f>
        <v/>
      </c>
      <c r="FA545" s="58">
        <f>IFERROR($BP545/$BP546-1,"")</f>
        <v/>
      </c>
      <c r="FB545" s="58">
        <f>IFERROR($BQ545/$BQ546-1,"")</f>
        <v/>
      </c>
      <c r="FC545" s="58">
        <f>IFERROR($BR545/$BR546-1,"")</f>
        <v/>
      </c>
      <c r="FD545" s="58">
        <f>IFERROR($BS545/$BS546-1,"")</f>
        <v/>
      </c>
      <c r="FE545" s="58">
        <f>IFERROR($BT545/$BT546-1,"")</f>
        <v/>
      </c>
      <c r="FF545" s="58">
        <f>IFERROR($BU545/$BU546-1,"")</f>
        <v/>
      </c>
      <c r="FG545" s="58">
        <f>IFERROR($BV545/$BV546-1,"")</f>
        <v/>
      </c>
      <c r="FH545" s="58">
        <f>IFERROR($BW545/$BW546-1,"")</f>
        <v/>
      </c>
      <c r="FI545" s="58">
        <f>IFERROR($BX545/$BX546-1,"")</f>
        <v/>
      </c>
      <c r="FJ545" s="59">
        <f>$BY545-$BY546</f>
        <v/>
      </c>
      <c r="FK545" s="59">
        <f>$BZ545-$BZ546</f>
        <v/>
      </c>
      <c r="FL545" s="59">
        <f>$CA545-$CA546</f>
        <v/>
      </c>
      <c r="FM545" s="59">
        <f>$CB545-$CB546</f>
        <v/>
      </c>
      <c r="FN545" s="59">
        <f>$CC545-$CC546</f>
        <v/>
      </c>
      <c r="FO545" s="59">
        <f>$CD545-$CD546</f>
        <v/>
      </c>
      <c r="FP545" s="59">
        <f>$CE545-$CE546</f>
        <v/>
      </c>
      <c r="FQ545" s="59">
        <f>$CF545-$CF546</f>
        <v/>
      </c>
      <c r="FR545" s="59">
        <f>$CG545-$CG546</f>
        <v/>
      </c>
      <c r="FS545" s="59">
        <f>$CH545-$CH546</f>
        <v/>
      </c>
      <c r="FT545" s="59">
        <f>$CI545-$CI546</f>
        <v/>
      </c>
      <c r="FU545" s="59">
        <f>$CJ545-$CJ546</f>
        <v/>
      </c>
      <c r="FV545" s="59">
        <f>$CK545-$CK546</f>
        <v/>
      </c>
      <c r="FW545" s="59">
        <f>$CL545-$CL546</f>
        <v/>
      </c>
      <c r="FX545" s="59">
        <f>$CM545-$CM546</f>
        <v/>
      </c>
      <c r="FY545" s="59">
        <f>$CN545-$CN546</f>
        <v/>
      </c>
      <c r="FZ545" s="59">
        <f>$CO545-$CO546</f>
        <v/>
      </c>
      <c r="GA545" s="59">
        <f>$CP545-$CP546</f>
        <v/>
      </c>
      <c r="GB545" s="59">
        <f>$CQ545-$CQ546</f>
        <v/>
      </c>
      <c r="GC545" s="59">
        <f>$CR545-$CR546</f>
        <v/>
      </c>
      <c r="GD545" s="59">
        <f>$CS545-$CS546</f>
        <v/>
      </c>
      <c r="GE545" s="59">
        <f>$CT545-$CT546</f>
        <v/>
      </c>
    </row>
    <row r="546">
      <c r="CU546" s="58">
        <f>IFERROR($B546/$B547-1,"")</f>
        <v/>
      </c>
      <c r="CV546" s="59">
        <f>($F546-$F547)*100</f>
        <v/>
      </c>
      <c r="CW546" s="59">
        <f>($E546-$E547)*100</f>
        <v/>
      </c>
      <c r="CX546" s="58">
        <f>IFERROR($K546/$K547-1,"")</f>
        <v/>
      </c>
      <c r="CY546" s="59">
        <f>($AH546-$AH547)*100</f>
        <v/>
      </c>
      <c r="CZ546" s="59">
        <f>($AI546-$AI547)*100</f>
        <v/>
      </c>
      <c r="DA546" s="59">
        <f>($AJ546-$AJ547)*100</f>
        <v/>
      </c>
      <c r="DB546" s="59">
        <f>($AK546-$AK547)*100</f>
        <v/>
      </c>
      <c r="DC546" s="59">
        <f>($AL546-$AL547)*100</f>
        <v/>
      </c>
      <c r="DD546" s="59">
        <f>($AM546-$AM547)*100</f>
        <v/>
      </c>
      <c r="DE546" s="59">
        <f>($AN546-$AN547)*100</f>
        <v/>
      </c>
      <c r="DF546" s="59">
        <f>($AO546-$AO547)*100</f>
        <v/>
      </c>
      <c r="DG546" s="59">
        <f>($AP546-$AP547)*100</f>
        <v/>
      </c>
      <c r="DH546" s="59">
        <f>($AQ546-$AQ547)*100</f>
        <v/>
      </c>
      <c r="DI546" s="59">
        <f>($AR546-$AR547)*100</f>
        <v/>
      </c>
      <c r="DJ546" s="59">
        <f>($AS546-$AS547)*100</f>
        <v/>
      </c>
      <c r="DK546" s="59">
        <f>($AT546-$AT547)*100</f>
        <v/>
      </c>
      <c r="DL546" s="59">
        <f>($AU546-$AU547)*100</f>
        <v/>
      </c>
      <c r="DM546" s="59">
        <f>($AV546-$AV547)*100</f>
        <v/>
      </c>
      <c r="DN546" s="59">
        <f>($AW546-$AW547)*100</f>
        <v/>
      </c>
      <c r="DO546" s="59">
        <f>($AX546-$AX547)*100</f>
        <v/>
      </c>
      <c r="DP546" s="59">
        <f>($AY546-$AY547)*100</f>
        <v/>
      </c>
      <c r="DQ546" s="59">
        <f>($AZ546-$AZ547)*100</f>
        <v/>
      </c>
      <c r="DR546" s="59">
        <f>($BA546-$BA547)*100</f>
        <v/>
      </c>
      <c r="DS546" s="58">
        <f>IFERROR($N547/$N546-1,"")</f>
        <v/>
      </c>
      <c r="DT546" s="58">
        <f>IFERROR($O547/$O546-1,"")</f>
        <v/>
      </c>
      <c r="DU546" s="58">
        <f>IFERROR($P547/$P546-1,"")</f>
        <v/>
      </c>
      <c r="DV546" s="58">
        <f>IFERROR($Q547/$Q546-1,"")</f>
        <v/>
      </c>
      <c r="DW546" s="58">
        <f>IFERROR($R547/$R546-1,"")</f>
        <v/>
      </c>
      <c r="DX546" s="58">
        <f>IFERROR($S547/$S546-1,"")</f>
        <v/>
      </c>
      <c r="DY546" s="58">
        <f>IFERROR($T547/$T546-1,"")</f>
        <v/>
      </c>
      <c r="DZ546" s="58">
        <f>IFERROR($U547/$U546-1,"")</f>
        <v/>
      </c>
      <c r="EA546" s="58">
        <f>IFERROR($V547/$V546-1,"")</f>
        <v/>
      </c>
      <c r="EB546" s="58">
        <f>IFERROR($W547/$W546-1,"")</f>
        <v/>
      </c>
      <c r="EC546" s="58">
        <f>IFERROR($X547/$X546-1,"")</f>
        <v/>
      </c>
      <c r="ED546" s="58">
        <f>IFERROR($Y547/$Y546-1,"")</f>
        <v/>
      </c>
      <c r="EE546" s="58">
        <f>IFERROR($Z547/$Z546-1,"")</f>
        <v/>
      </c>
      <c r="EF546" s="58">
        <f>IFERROR($AA547/$AA546-1,"")</f>
        <v/>
      </c>
      <c r="EG546" s="58">
        <f>IFERROR($AB547/$AB546-1,"")</f>
        <v/>
      </c>
      <c r="EH546" s="58">
        <f>IFERROR($AC547/$AC546-1,"")</f>
        <v/>
      </c>
      <c r="EI546" s="58">
        <f>IFERROR($AD547/$AD546-1,"")</f>
        <v/>
      </c>
      <c r="EJ546" s="58">
        <f>IFERROR($AE547/$AE546-1,"")</f>
        <v/>
      </c>
      <c r="EK546" s="58">
        <f>IFERROR($AF547/$AF546-1,"")</f>
        <v/>
      </c>
      <c r="EL546" s="58">
        <f>IFERROR($AG547/$AG546-1,"")</f>
        <v/>
      </c>
      <c r="EM546" s="58">
        <f>IFERROR($BB546/$BB547-1,"")</f>
        <v/>
      </c>
      <c r="EN546" s="58">
        <f>IFERROR($BC546/$BC547-1,"")</f>
        <v/>
      </c>
      <c r="EO546" s="58">
        <f>IFERROR($BD546/$BD547-1,"")</f>
        <v/>
      </c>
      <c r="EP546" s="58">
        <f>IFERROR($BE546/$BE547-1,"")</f>
        <v/>
      </c>
      <c r="EQ546" s="58">
        <f>IFERROR($BF546/$BF547-1,"")</f>
        <v/>
      </c>
      <c r="ER546" s="58">
        <f>IFERROR($BG546/$BG547-1,"")</f>
        <v/>
      </c>
      <c r="ES546" s="58">
        <f>IFERROR($BH546/$BH547-1,"")</f>
        <v/>
      </c>
      <c r="ET546" s="58">
        <f>IFERROR($BI546/$BI547-1,"")</f>
        <v/>
      </c>
      <c r="EU546" s="58">
        <f>IFERROR($BJ546/$BJ547-1,"")</f>
        <v/>
      </c>
      <c r="EV546" s="58">
        <f>IFERROR($BK546/$BK547-1,"")</f>
        <v/>
      </c>
      <c r="EW546" s="58">
        <f>IFERROR($BL546/$BL547-1,"")</f>
        <v/>
      </c>
      <c r="EX546" s="58">
        <f>IFERROR($BM546/$BM547-1,"")</f>
        <v/>
      </c>
      <c r="EY546" s="58">
        <f>IFERROR($BN546/$BN547-1,"")</f>
        <v/>
      </c>
      <c r="EZ546" s="58">
        <f>IFERROR($BO546/$BO547-1,"")</f>
        <v/>
      </c>
      <c r="FA546" s="58">
        <f>IFERROR($BP546/$BP547-1,"")</f>
        <v/>
      </c>
      <c r="FB546" s="58">
        <f>IFERROR($BQ546/$BQ547-1,"")</f>
        <v/>
      </c>
      <c r="FC546" s="58">
        <f>IFERROR($BR546/$BR547-1,"")</f>
        <v/>
      </c>
      <c r="FD546" s="58">
        <f>IFERROR($BS546/$BS547-1,"")</f>
        <v/>
      </c>
      <c r="FE546" s="58">
        <f>IFERROR($BT546/$BT547-1,"")</f>
        <v/>
      </c>
      <c r="FF546" s="58">
        <f>IFERROR($BU546/$BU547-1,"")</f>
        <v/>
      </c>
      <c r="FG546" s="58">
        <f>IFERROR($BV546/$BV547-1,"")</f>
        <v/>
      </c>
      <c r="FH546" s="58">
        <f>IFERROR($BW546/$BW547-1,"")</f>
        <v/>
      </c>
      <c r="FI546" s="58">
        <f>IFERROR($BX546/$BX547-1,"")</f>
        <v/>
      </c>
      <c r="FJ546" s="59">
        <f>$BY546-$BY547</f>
        <v/>
      </c>
      <c r="FK546" s="59">
        <f>$BZ546-$BZ547</f>
        <v/>
      </c>
      <c r="FL546" s="59">
        <f>$CA546-$CA547</f>
        <v/>
      </c>
      <c r="FM546" s="59">
        <f>$CB546-$CB547</f>
        <v/>
      </c>
      <c r="FN546" s="59">
        <f>$CC546-$CC547</f>
        <v/>
      </c>
      <c r="FO546" s="59">
        <f>$CD546-$CD547</f>
        <v/>
      </c>
      <c r="FP546" s="59">
        <f>$CE546-$CE547</f>
        <v/>
      </c>
      <c r="FQ546" s="59">
        <f>$CF546-$CF547</f>
        <v/>
      </c>
      <c r="FR546" s="59">
        <f>$CG546-$CG547</f>
        <v/>
      </c>
      <c r="FS546" s="59">
        <f>$CH546-$CH547</f>
        <v/>
      </c>
      <c r="FT546" s="59">
        <f>$CI546-$CI547</f>
        <v/>
      </c>
      <c r="FU546" s="59">
        <f>$CJ546-$CJ547</f>
        <v/>
      </c>
      <c r="FV546" s="59">
        <f>$CK546-$CK547</f>
        <v/>
      </c>
      <c r="FW546" s="59">
        <f>$CL546-$CL547</f>
        <v/>
      </c>
      <c r="FX546" s="59">
        <f>$CM546-$CM547</f>
        <v/>
      </c>
      <c r="FY546" s="59">
        <f>$CN546-$CN547</f>
        <v/>
      </c>
      <c r="FZ546" s="59">
        <f>$CO546-$CO547</f>
        <v/>
      </c>
      <c r="GA546" s="59">
        <f>$CP546-$CP547</f>
        <v/>
      </c>
      <c r="GB546" s="59">
        <f>$CQ546-$CQ547</f>
        <v/>
      </c>
      <c r="GC546" s="59">
        <f>$CR546-$CR547</f>
        <v/>
      </c>
      <c r="GD546" s="59">
        <f>$CS546-$CS547</f>
        <v/>
      </c>
      <c r="GE546" s="59">
        <f>$CT546-$CT547</f>
        <v/>
      </c>
    </row>
    <row r="547">
      <c r="CU547" s="58">
        <f>IFERROR($B547/$B548-1,"")</f>
        <v/>
      </c>
      <c r="CV547" s="59">
        <f>($F547-$F548)*100</f>
        <v/>
      </c>
      <c r="CW547" s="59">
        <f>($E547-$E548)*100</f>
        <v/>
      </c>
      <c r="CX547" s="58">
        <f>IFERROR($K547/$K548-1,"")</f>
        <v/>
      </c>
      <c r="CY547" s="59">
        <f>($AH547-$AH548)*100</f>
        <v/>
      </c>
      <c r="CZ547" s="59">
        <f>($AI547-$AI548)*100</f>
        <v/>
      </c>
      <c r="DA547" s="59">
        <f>($AJ547-$AJ548)*100</f>
        <v/>
      </c>
      <c r="DB547" s="59">
        <f>($AK547-$AK548)*100</f>
        <v/>
      </c>
      <c r="DC547" s="59">
        <f>($AL547-$AL548)*100</f>
        <v/>
      </c>
      <c r="DD547" s="59">
        <f>($AM547-$AM548)*100</f>
        <v/>
      </c>
      <c r="DE547" s="59">
        <f>($AN547-$AN548)*100</f>
        <v/>
      </c>
      <c r="DF547" s="59">
        <f>($AO547-$AO548)*100</f>
        <v/>
      </c>
      <c r="DG547" s="59">
        <f>($AP547-$AP548)*100</f>
        <v/>
      </c>
      <c r="DH547" s="59">
        <f>($AQ547-$AQ548)*100</f>
        <v/>
      </c>
      <c r="DI547" s="59">
        <f>($AR547-$AR548)*100</f>
        <v/>
      </c>
      <c r="DJ547" s="59">
        <f>($AS547-$AS548)*100</f>
        <v/>
      </c>
      <c r="DK547" s="59">
        <f>($AT547-$AT548)*100</f>
        <v/>
      </c>
      <c r="DL547" s="59">
        <f>($AU547-$AU548)*100</f>
        <v/>
      </c>
      <c r="DM547" s="59">
        <f>($AV547-$AV548)*100</f>
        <v/>
      </c>
      <c r="DN547" s="59">
        <f>($AW547-$AW548)*100</f>
        <v/>
      </c>
      <c r="DO547" s="59">
        <f>($AX547-$AX548)*100</f>
        <v/>
      </c>
      <c r="DP547" s="59">
        <f>($AY547-$AY548)*100</f>
        <v/>
      </c>
      <c r="DQ547" s="59">
        <f>($AZ547-$AZ548)*100</f>
        <v/>
      </c>
      <c r="DR547" s="59">
        <f>($BA547-$BA548)*100</f>
        <v/>
      </c>
      <c r="DS547" s="58">
        <f>IFERROR($N548/$N547-1,"")</f>
        <v/>
      </c>
      <c r="DT547" s="58">
        <f>IFERROR($O548/$O547-1,"")</f>
        <v/>
      </c>
      <c r="DU547" s="58">
        <f>IFERROR($P548/$P547-1,"")</f>
        <v/>
      </c>
      <c r="DV547" s="58">
        <f>IFERROR($Q548/$Q547-1,"")</f>
        <v/>
      </c>
      <c r="DW547" s="58">
        <f>IFERROR($R548/$R547-1,"")</f>
        <v/>
      </c>
      <c r="DX547" s="58">
        <f>IFERROR($S548/$S547-1,"")</f>
        <v/>
      </c>
      <c r="DY547" s="58">
        <f>IFERROR($T548/$T547-1,"")</f>
        <v/>
      </c>
      <c r="DZ547" s="58">
        <f>IFERROR($U548/$U547-1,"")</f>
        <v/>
      </c>
      <c r="EA547" s="58">
        <f>IFERROR($V548/$V547-1,"")</f>
        <v/>
      </c>
      <c r="EB547" s="58">
        <f>IFERROR($W548/$W547-1,"")</f>
        <v/>
      </c>
      <c r="EC547" s="58">
        <f>IFERROR($X548/$X547-1,"")</f>
        <v/>
      </c>
      <c r="ED547" s="58">
        <f>IFERROR($Y548/$Y547-1,"")</f>
        <v/>
      </c>
      <c r="EE547" s="58">
        <f>IFERROR($Z548/$Z547-1,"")</f>
        <v/>
      </c>
      <c r="EF547" s="58">
        <f>IFERROR($AA548/$AA547-1,"")</f>
        <v/>
      </c>
      <c r="EG547" s="58">
        <f>IFERROR($AB548/$AB547-1,"")</f>
        <v/>
      </c>
      <c r="EH547" s="58">
        <f>IFERROR($AC548/$AC547-1,"")</f>
        <v/>
      </c>
      <c r="EI547" s="58">
        <f>IFERROR($AD548/$AD547-1,"")</f>
        <v/>
      </c>
      <c r="EJ547" s="58">
        <f>IFERROR($AE548/$AE547-1,"")</f>
        <v/>
      </c>
      <c r="EK547" s="58">
        <f>IFERROR($AF548/$AF547-1,"")</f>
        <v/>
      </c>
      <c r="EL547" s="58">
        <f>IFERROR($AG548/$AG547-1,"")</f>
        <v/>
      </c>
      <c r="EM547" s="58">
        <f>IFERROR($BB547/$BB548-1,"")</f>
        <v/>
      </c>
      <c r="EN547" s="58">
        <f>IFERROR($BC547/$BC548-1,"")</f>
        <v/>
      </c>
      <c r="EO547" s="58">
        <f>IFERROR($BD547/$BD548-1,"")</f>
        <v/>
      </c>
      <c r="EP547" s="58">
        <f>IFERROR($BE547/$BE548-1,"")</f>
        <v/>
      </c>
      <c r="EQ547" s="58">
        <f>IFERROR($BF547/$BF548-1,"")</f>
        <v/>
      </c>
      <c r="ER547" s="58">
        <f>IFERROR($BG547/$BG548-1,"")</f>
        <v/>
      </c>
      <c r="ES547" s="58">
        <f>IFERROR($BH547/$BH548-1,"")</f>
        <v/>
      </c>
      <c r="ET547" s="58">
        <f>IFERROR($BI547/$BI548-1,"")</f>
        <v/>
      </c>
      <c r="EU547" s="58">
        <f>IFERROR($BJ547/$BJ548-1,"")</f>
        <v/>
      </c>
      <c r="EV547" s="58">
        <f>IFERROR($BK547/$BK548-1,"")</f>
        <v/>
      </c>
      <c r="EW547" s="58">
        <f>IFERROR($BL547/$BL548-1,"")</f>
        <v/>
      </c>
      <c r="EX547" s="58">
        <f>IFERROR($BM547/$BM548-1,"")</f>
        <v/>
      </c>
      <c r="EY547" s="58">
        <f>IFERROR($BN547/$BN548-1,"")</f>
        <v/>
      </c>
      <c r="EZ547" s="58">
        <f>IFERROR($BO547/$BO548-1,"")</f>
        <v/>
      </c>
      <c r="FA547" s="58">
        <f>IFERROR($BP547/$BP548-1,"")</f>
        <v/>
      </c>
      <c r="FB547" s="58">
        <f>IFERROR($BQ547/$BQ548-1,"")</f>
        <v/>
      </c>
      <c r="FC547" s="58">
        <f>IFERROR($BR547/$BR548-1,"")</f>
        <v/>
      </c>
      <c r="FD547" s="58">
        <f>IFERROR($BS547/$BS548-1,"")</f>
        <v/>
      </c>
      <c r="FE547" s="58">
        <f>IFERROR($BT547/$BT548-1,"")</f>
        <v/>
      </c>
      <c r="FF547" s="58">
        <f>IFERROR($BU547/$BU548-1,"")</f>
        <v/>
      </c>
      <c r="FG547" s="58">
        <f>IFERROR($BV547/$BV548-1,"")</f>
        <v/>
      </c>
      <c r="FH547" s="58">
        <f>IFERROR($BW547/$BW548-1,"")</f>
        <v/>
      </c>
      <c r="FI547" s="58">
        <f>IFERROR($BX547/$BX548-1,"")</f>
        <v/>
      </c>
      <c r="FJ547" s="59">
        <f>$BY547-$BY548</f>
        <v/>
      </c>
      <c r="FK547" s="59">
        <f>$BZ547-$BZ548</f>
        <v/>
      </c>
      <c r="FL547" s="59">
        <f>$CA547-$CA548</f>
        <v/>
      </c>
      <c r="FM547" s="59">
        <f>$CB547-$CB548</f>
        <v/>
      </c>
      <c r="FN547" s="59">
        <f>$CC547-$CC548</f>
        <v/>
      </c>
      <c r="FO547" s="59">
        <f>$CD547-$CD548</f>
        <v/>
      </c>
      <c r="FP547" s="59">
        <f>$CE547-$CE548</f>
        <v/>
      </c>
      <c r="FQ547" s="59">
        <f>$CF547-$CF548</f>
        <v/>
      </c>
      <c r="FR547" s="59">
        <f>$CG547-$CG548</f>
        <v/>
      </c>
      <c r="FS547" s="59">
        <f>$CH547-$CH548</f>
        <v/>
      </c>
      <c r="FT547" s="59">
        <f>$CI547-$CI548</f>
        <v/>
      </c>
      <c r="FU547" s="59">
        <f>$CJ547-$CJ548</f>
        <v/>
      </c>
      <c r="FV547" s="59">
        <f>$CK547-$CK548</f>
        <v/>
      </c>
      <c r="FW547" s="59">
        <f>$CL547-$CL548</f>
        <v/>
      </c>
      <c r="FX547" s="59">
        <f>$CM547-$CM548</f>
        <v/>
      </c>
      <c r="FY547" s="59">
        <f>$CN547-$CN548</f>
        <v/>
      </c>
      <c r="FZ547" s="59">
        <f>$CO547-$CO548</f>
        <v/>
      </c>
      <c r="GA547" s="59">
        <f>$CP547-$CP548</f>
        <v/>
      </c>
      <c r="GB547" s="59">
        <f>$CQ547-$CQ548</f>
        <v/>
      </c>
      <c r="GC547" s="59">
        <f>$CR547-$CR548</f>
        <v/>
      </c>
      <c r="GD547" s="59">
        <f>$CS547-$CS548</f>
        <v/>
      </c>
      <c r="GE547" s="59">
        <f>$CT547-$CT548</f>
        <v/>
      </c>
    </row>
    <row r="548">
      <c r="CU548" s="58">
        <f>IFERROR($B548/$B549-1,"")</f>
        <v/>
      </c>
      <c r="CV548" s="59">
        <f>($F548-$F549)*100</f>
        <v/>
      </c>
      <c r="CW548" s="59">
        <f>($E548-$E549)*100</f>
        <v/>
      </c>
      <c r="CX548" s="58">
        <f>IFERROR($K548/$K549-1,"")</f>
        <v/>
      </c>
      <c r="CY548" s="59">
        <f>($AH548-$AH549)*100</f>
        <v/>
      </c>
      <c r="CZ548" s="59">
        <f>($AI548-$AI549)*100</f>
        <v/>
      </c>
      <c r="DA548" s="59">
        <f>($AJ548-$AJ549)*100</f>
        <v/>
      </c>
      <c r="DB548" s="59">
        <f>($AK548-$AK549)*100</f>
        <v/>
      </c>
      <c r="DC548" s="59">
        <f>($AL548-$AL549)*100</f>
        <v/>
      </c>
      <c r="DD548" s="59">
        <f>($AM548-$AM549)*100</f>
        <v/>
      </c>
      <c r="DE548" s="59">
        <f>($AN548-$AN549)*100</f>
        <v/>
      </c>
      <c r="DF548" s="59">
        <f>($AO548-$AO549)*100</f>
        <v/>
      </c>
      <c r="DG548" s="59">
        <f>($AP548-$AP549)*100</f>
        <v/>
      </c>
      <c r="DH548" s="59">
        <f>($AQ548-$AQ549)*100</f>
        <v/>
      </c>
      <c r="DI548" s="59">
        <f>($AR548-$AR549)*100</f>
        <v/>
      </c>
      <c r="DJ548" s="59">
        <f>($AS548-$AS549)*100</f>
        <v/>
      </c>
      <c r="DK548" s="59">
        <f>($AT548-$AT549)*100</f>
        <v/>
      </c>
      <c r="DL548" s="59">
        <f>($AU548-$AU549)*100</f>
        <v/>
      </c>
      <c r="DM548" s="59">
        <f>($AV548-$AV549)*100</f>
        <v/>
      </c>
      <c r="DN548" s="59">
        <f>($AW548-$AW549)*100</f>
        <v/>
      </c>
      <c r="DO548" s="59">
        <f>($AX548-$AX549)*100</f>
        <v/>
      </c>
      <c r="DP548" s="59">
        <f>($AY548-$AY549)*100</f>
        <v/>
      </c>
      <c r="DQ548" s="59">
        <f>($AZ548-$AZ549)*100</f>
        <v/>
      </c>
      <c r="DR548" s="59">
        <f>($BA548-$BA549)*100</f>
        <v/>
      </c>
      <c r="DS548" s="58">
        <f>IFERROR($N549/$N548-1,"")</f>
        <v/>
      </c>
      <c r="DT548" s="58">
        <f>IFERROR($O549/$O548-1,"")</f>
        <v/>
      </c>
      <c r="DU548" s="58">
        <f>IFERROR($P549/$P548-1,"")</f>
        <v/>
      </c>
      <c r="DV548" s="58">
        <f>IFERROR($Q549/$Q548-1,"")</f>
        <v/>
      </c>
      <c r="DW548" s="58">
        <f>IFERROR($R549/$R548-1,"")</f>
        <v/>
      </c>
      <c r="DX548" s="58">
        <f>IFERROR($S549/$S548-1,"")</f>
        <v/>
      </c>
      <c r="DY548" s="58">
        <f>IFERROR($T549/$T548-1,"")</f>
        <v/>
      </c>
      <c r="DZ548" s="58">
        <f>IFERROR($U549/$U548-1,"")</f>
        <v/>
      </c>
      <c r="EA548" s="58">
        <f>IFERROR($V549/$V548-1,"")</f>
        <v/>
      </c>
      <c r="EB548" s="58">
        <f>IFERROR($W549/$W548-1,"")</f>
        <v/>
      </c>
      <c r="EC548" s="58">
        <f>IFERROR($X549/$X548-1,"")</f>
        <v/>
      </c>
      <c r="ED548" s="58">
        <f>IFERROR($Y549/$Y548-1,"")</f>
        <v/>
      </c>
      <c r="EE548" s="58">
        <f>IFERROR($Z549/$Z548-1,"")</f>
        <v/>
      </c>
      <c r="EF548" s="58">
        <f>IFERROR($AA549/$AA548-1,"")</f>
        <v/>
      </c>
      <c r="EG548" s="58">
        <f>IFERROR($AB549/$AB548-1,"")</f>
        <v/>
      </c>
      <c r="EH548" s="58">
        <f>IFERROR($AC549/$AC548-1,"")</f>
        <v/>
      </c>
      <c r="EI548" s="58">
        <f>IFERROR($AD549/$AD548-1,"")</f>
        <v/>
      </c>
      <c r="EJ548" s="58">
        <f>IFERROR($AE549/$AE548-1,"")</f>
        <v/>
      </c>
      <c r="EK548" s="58">
        <f>IFERROR($AF549/$AF548-1,"")</f>
        <v/>
      </c>
      <c r="EL548" s="58">
        <f>IFERROR($AG549/$AG548-1,"")</f>
        <v/>
      </c>
      <c r="EM548" s="58">
        <f>IFERROR($BB548/$BB549-1,"")</f>
        <v/>
      </c>
      <c r="EN548" s="58">
        <f>IFERROR($BC548/$BC549-1,"")</f>
        <v/>
      </c>
      <c r="EO548" s="58">
        <f>IFERROR($BD548/$BD549-1,"")</f>
        <v/>
      </c>
      <c r="EP548" s="58">
        <f>IFERROR($BE548/$BE549-1,"")</f>
        <v/>
      </c>
      <c r="EQ548" s="58">
        <f>IFERROR($BF548/$BF549-1,"")</f>
        <v/>
      </c>
      <c r="ER548" s="58">
        <f>IFERROR($BG548/$BG549-1,"")</f>
        <v/>
      </c>
      <c r="ES548" s="58">
        <f>IFERROR($BH548/$BH549-1,"")</f>
        <v/>
      </c>
      <c r="ET548" s="58">
        <f>IFERROR($BI548/$BI549-1,"")</f>
        <v/>
      </c>
      <c r="EU548" s="58">
        <f>IFERROR($BJ548/$BJ549-1,"")</f>
        <v/>
      </c>
      <c r="EV548" s="58">
        <f>IFERROR($BK548/$BK549-1,"")</f>
        <v/>
      </c>
      <c r="EW548" s="58">
        <f>IFERROR($BL548/$BL549-1,"")</f>
        <v/>
      </c>
      <c r="EX548" s="58">
        <f>IFERROR($BM548/$BM549-1,"")</f>
        <v/>
      </c>
      <c r="EY548" s="58">
        <f>IFERROR($BN548/$BN549-1,"")</f>
        <v/>
      </c>
      <c r="EZ548" s="58">
        <f>IFERROR($BO548/$BO549-1,"")</f>
        <v/>
      </c>
      <c r="FA548" s="58">
        <f>IFERROR($BP548/$BP549-1,"")</f>
        <v/>
      </c>
      <c r="FB548" s="58">
        <f>IFERROR($BQ548/$BQ549-1,"")</f>
        <v/>
      </c>
      <c r="FC548" s="58">
        <f>IFERROR($BR548/$BR549-1,"")</f>
        <v/>
      </c>
      <c r="FD548" s="58">
        <f>IFERROR($BS548/$BS549-1,"")</f>
        <v/>
      </c>
      <c r="FE548" s="58">
        <f>IFERROR($BT548/$BT549-1,"")</f>
        <v/>
      </c>
      <c r="FF548" s="58">
        <f>IFERROR($BU548/$BU549-1,"")</f>
        <v/>
      </c>
      <c r="FG548" s="58">
        <f>IFERROR($BV548/$BV549-1,"")</f>
        <v/>
      </c>
      <c r="FH548" s="58">
        <f>IFERROR($BW548/$BW549-1,"")</f>
        <v/>
      </c>
      <c r="FI548" s="58">
        <f>IFERROR($BX548/$BX549-1,"")</f>
        <v/>
      </c>
      <c r="FJ548" s="59">
        <f>$BY548-$BY549</f>
        <v/>
      </c>
      <c r="FK548" s="59">
        <f>$BZ548-$BZ549</f>
        <v/>
      </c>
      <c r="FL548" s="59">
        <f>$CA548-$CA549</f>
        <v/>
      </c>
      <c r="FM548" s="59">
        <f>$CB548-$CB549</f>
        <v/>
      </c>
      <c r="FN548" s="59">
        <f>$CC548-$CC549</f>
        <v/>
      </c>
      <c r="FO548" s="59">
        <f>$CD548-$CD549</f>
        <v/>
      </c>
      <c r="FP548" s="59">
        <f>$CE548-$CE549</f>
        <v/>
      </c>
      <c r="FQ548" s="59">
        <f>$CF548-$CF549</f>
        <v/>
      </c>
      <c r="FR548" s="59">
        <f>$CG548-$CG549</f>
        <v/>
      </c>
      <c r="FS548" s="59">
        <f>$CH548-$CH549</f>
        <v/>
      </c>
      <c r="FT548" s="59">
        <f>$CI548-$CI549</f>
        <v/>
      </c>
      <c r="FU548" s="59">
        <f>$CJ548-$CJ549</f>
        <v/>
      </c>
      <c r="FV548" s="59">
        <f>$CK548-$CK549</f>
        <v/>
      </c>
      <c r="FW548" s="59">
        <f>$CL548-$CL549</f>
        <v/>
      </c>
      <c r="FX548" s="59">
        <f>$CM548-$CM549</f>
        <v/>
      </c>
      <c r="FY548" s="59">
        <f>$CN548-$CN549</f>
        <v/>
      </c>
      <c r="FZ548" s="59">
        <f>$CO548-$CO549</f>
        <v/>
      </c>
      <c r="GA548" s="59">
        <f>$CP548-$CP549</f>
        <v/>
      </c>
      <c r="GB548" s="59">
        <f>$CQ548-$CQ549</f>
        <v/>
      </c>
      <c r="GC548" s="59">
        <f>$CR548-$CR549</f>
        <v/>
      </c>
      <c r="GD548" s="59">
        <f>$CS548-$CS549</f>
        <v/>
      </c>
      <c r="GE548" s="59">
        <f>$CT548-$CT549</f>
        <v/>
      </c>
    </row>
    <row r="549">
      <c r="CU549" s="58">
        <f>IFERROR($B549/$B550-1,"")</f>
        <v/>
      </c>
      <c r="CV549" s="59">
        <f>($F549-$F550)*100</f>
        <v/>
      </c>
      <c r="CW549" s="59">
        <f>($E549-$E550)*100</f>
        <v/>
      </c>
      <c r="CX549" s="58">
        <f>IFERROR($K549/$K550-1,"")</f>
        <v/>
      </c>
      <c r="CY549" s="59">
        <f>($AH549-$AH550)*100</f>
        <v/>
      </c>
      <c r="CZ549" s="59">
        <f>($AI549-$AI550)*100</f>
        <v/>
      </c>
      <c r="DA549" s="59">
        <f>($AJ549-$AJ550)*100</f>
        <v/>
      </c>
      <c r="DB549" s="59">
        <f>($AK549-$AK550)*100</f>
        <v/>
      </c>
      <c r="DC549" s="59">
        <f>($AL549-$AL550)*100</f>
        <v/>
      </c>
      <c r="DD549" s="59">
        <f>($AM549-$AM550)*100</f>
        <v/>
      </c>
      <c r="DE549" s="59">
        <f>($AN549-$AN550)*100</f>
        <v/>
      </c>
      <c r="DF549" s="59">
        <f>($AO549-$AO550)*100</f>
        <v/>
      </c>
      <c r="DG549" s="59">
        <f>($AP549-$AP550)*100</f>
        <v/>
      </c>
      <c r="DH549" s="59">
        <f>($AQ549-$AQ550)*100</f>
        <v/>
      </c>
      <c r="DI549" s="59">
        <f>($AR549-$AR550)*100</f>
        <v/>
      </c>
      <c r="DJ549" s="59">
        <f>($AS549-$AS550)*100</f>
        <v/>
      </c>
      <c r="DK549" s="59">
        <f>($AT549-$AT550)*100</f>
        <v/>
      </c>
      <c r="DL549" s="59">
        <f>($AU549-$AU550)*100</f>
        <v/>
      </c>
      <c r="DM549" s="59">
        <f>($AV549-$AV550)*100</f>
        <v/>
      </c>
      <c r="DN549" s="59">
        <f>($AW549-$AW550)*100</f>
        <v/>
      </c>
      <c r="DO549" s="59">
        <f>($AX549-$AX550)*100</f>
        <v/>
      </c>
      <c r="DP549" s="59">
        <f>($AY549-$AY550)*100</f>
        <v/>
      </c>
      <c r="DQ549" s="59">
        <f>($AZ549-$AZ550)*100</f>
        <v/>
      </c>
      <c r="DR549" s="59">
        <f>($BA549-$BA550)*100</f>
        <v/>
      </c>
      <c r="DS549" s="58">
        <f>IFERROR($N550/$N549-1,"")</f>
        <v/>
      </c>
      <c r="DT549" s="58">
        <f>IFERROR($O550/$O549-1,"")</f>
        <v/>
      </c>
      <c r="DU549" s="58">
        <f>IFERROR($P550/$P549-1,"")</f>
        <v/>
      </c>
      <c r="DV549" s="58">
        <f>IFERROR($Q550/$Q549-1,"")</f>
        <v/>
      </c>
      <c r="DW549" s="58">
        <f>IFERROR($R550/$R549-1,"")</f>
        <v/>
      </c>
      <c r="DX549" s="58">
        <f>IFERROR($S550/$S549-1,"")</f>
        <v/>
      </c>
      <c r="DY549" s="58">
        <f>IFERROR($T550/$T549-1,"")</f>
        <v/>
      </c>
      <c r="DZ549" s="58">
        <f>IFERROR($U550/$U549-1,"")</f>
        <v/>
      </c>
      <c r="EA549" s="58">
        <f>IFERROR($V550/$V549-1,"")</f>
        <v/>
      </c>
      <c r="EB549" s="58">
        <f>IFERROR($W550/$W549-1,"")</f>
        <v/>
      </c>
      <c r="EC549" s="58">
        <f>IFERROR($X550/$X549-1,"")</f>
        <v/>
      </c>
      <c r="ED549" s="58">
        <f>IFERROR($Y550/$Y549-1,"")</f>
        <v/>
      </c>
      <c r="EE549" s="58">
        <f>IFERROR($Z550/$Z549-1,"")</f>
        <v/>
      </c>
      <c r="EF549" s="58">
        <f>IFERROR($AA550/$AA549-1,"")</f>
        <v/>
      </c>
      <c r="EG549" s="58">
        <f>IFERROR($AB550/$AB549-1,"")</f>
        <v/>
      </c>
      <c r="EH549" s="58">
        <f>IFERROR($AC550/$AC549-1,"")</f>
        <v/>
      </c>
      <c r="EI549" s="58">
        <f>IFERROR($AD550/$AD549-1,"")</f>
        <v/>
      </c>
      <c r="EJ549" s="58">
        <f>IFERROR($AE550/$AE549-1,"")</f>
        <v/>
      </c>
      <c r="EK549" s="58">
        <f>IFERROR($AF550/$AF549-1,"")</f>
        <v/>
      </c>
      <c r="EL549" s="58">
        <f>IFERROR($AG550/$AG549-1,"")</f>
        <v/>
      </c>
      <c r="EM549" s="58">
        <f>IFERROR($BB549/$BB550-1,"")</f>
        <v/>
      </c>
      <c r="EN549" s="58">
        <f>IFERROR($BC549/$BC550-1,"")</f>
        <v/>
      </c>
      <c r="EO549" s="58">
        <f>IFERROR($BD549/$BD550-1,"")</f>
        <v/>
      </c>
      <c r="EP549" s="58">
        <f>IFERROR($BE549/$BE550-1,"")</f>
        <v/>
      </c>
      <c r="EQ549" s="58">
        <f>IFERROR($BF549/$BF550-1,"")</f>
        <v/>
      </c>
      <c r="ER549" s="58">
        <f>IFERROR($BG549/$BG550-1,"")</f>
        <v/>
      </c>
      <c r="ES549" s="58">
        <f>IFERROR($BH549/$BH550-1,"")</f>
        <v/>
      </c>
      <c r="ET549" s="58">
        <f>IFERROR($BI549/$BI550-1,"")</f>
        <v/>
      </c>
      <c r="EU549" s="58">
        <f>IFERROR($BJ549/$BJ550-1,"")</f>
        <v/>
      </c>
      <c r="EV549" s="58">
        <f>IFERROR($BK549/$BK550-1,"")</f>
        <v/>
      </c>
      <c r="EW549" s="58">
        <f>IFERROR($BL549/$BL550-1,"")</f>
        <v/>
      </c>
      <c r="EX549" s="58">
        <f>IFERROR($BM549/$BM550-1,"")</f>
        <v/>
      </c>
      <c r="EY549" s="58">
        <f>IFERROR($BN549/$BN550-1,"")</f>
        <v/>
      </c>
      <c r="EZ549" s="58">
        <f>IFERROR($BO549/$BO550-1,"")</f>
        <v/>
      </c>
      <c r="FA549" s="58">
        <f>IFERROR($BP549/$BP550-1,"")</f>
        <v/>
      </c>
      <c r="FB549" s="58">
        <f>IFERROR($BQ549/$BQ550-1,"")</f>
        <v/>
      </c>
      <c r="FC549" s="58">
        <f>IFERROR($BR549/$BR550-1,"")</f>
        <v/>
      </c>
      <c r="FD549" s="58">
        <f>IFERROR($BS549/$BS550-1,"")</f>
        <v/>
      </c>
      <c r="FE549" s="58">
        <f>IFERROR($BT549/$BT550-1,"")</f>
        <v/>
      </c>
      <c r="FF549" s="58">
        <f>IFERROR($BU549/$BU550-1,"")</f>
        <v/>
      </c>
      <c r="FG549" s="58">
        <f>IFERROR($BV549/$BV550-1,"")</f>
        <v/>
      </c>
      <c r="FH549" s="58">
        <f>IFERROR($BW549/$BW550-1,"")</f>
        <v/>
      </c>
      <c r="FI549" s="58">
        <f>IFERROR($BX549/$BX550-1,"")</f>
        <v/>
      </c>
      <c r="FJ549" s="59">
        <f>$BY549-$BY550</f>
        <v/>
      </c>
      <c r="FK549" s="59">
        <f>$BZ549-$BZ550</f>
        <v/>
      </c>
      <c r="FL549" s="59">
        <f>$CA549-$CA550</f>
        <v/>
      </c>
      <c r="FM549" s="59">
        <f>$CB549-$CB550</f>
        <v/>
      </c>
      <c r="FN549" s="59">
        <f>$CC549-$CC550</f>
        <v/>
      </c>
      <c r="FO549" s="59">
        <f>$CD549-$CD550</f>
        <v/>
      </c>
      <c r="FP549" s="59">
        <f>$CE549-$CE550</f>
        <v/>
      </c>
      <c r="FQ549" s="59">
        <f>$CF549-$CF550</f>
        <v/>
      </c>
      <c r="FR549" s="59">
        <f>$CG549-$CG550</f>
        <v/>
      </c>
      <c r="FS549" s="59">
        <f>$CH549-$CH550</f>
        <v/>
      </c>
      <c r="FT549" s="59">
        <f>$CI549-$CI550</f>
        <v/>
      </c>
      <c r="FU549" s="59">
        <f>$CJ549-$CJ550</f>
        <v/>
      </c>
      <c r="FV549" s="59">
        <f>$CK549-$CK550</f>
        <v/>
      </c>
      <c r="FW549" s="59">
        <f>$CL549-$CL550</f>
        <v/>
      </c>
      <c r="FX549" s="59">
        <f>$CM549-$CM550</f>
        <v/>
      </c>
      <c r="FY549" s="59">
        <f>$CN549-$CN550</f>
        <v/>
      </c>
      <c r="FZ549" s="59">
        <f>$CO549-$CO550</f>
        <v/>
      </c>
      <c r="GA549" s="59">
        <f>$CP549-$CP550</f>
        <v/>
      </c>
      <c r="GB549" s="59">
        <f>$CQ549-$CQ550</f>
        <v/>
      </c>
      <c r="GC549" s="59">
        <f>$CR549-$CR550</f>
        <v/>
      </c>
      <c r="GD549" s="59">
        <f>$CS549-$CS550</f>
        <v/>
      </c>
      <c r="GE549" s="59">
        <f>$CT549-$CT550</f>
        <v/>
      </c>
    </row>
    <row r="550">
      <c r="CU550" s="58">
        <f>IFERROR($B550/$B551-1,"")</f>
        <v/>
      </c>
      <c r="CV550" s="59">
        <f>($F550-$F551)*100</f>
        <v/>
      </c>
      <c r="CW550" s="59">
        <f>($E550-$E551)*100</f>
        <v/>
      </c>
      <c r="CX550" s="58">
        <f>IFERROR($K550/$K551-1,"")</f>
        <v/>
      </c>
      <c r="CY550" s="59">
        <f>($AH550-$AH551)*100</f>
        <v/>
      </c>
      <c r="CZ550" s="59">
        <f>($AI550-$AI551)*100</f>
        <v/>
      </c>
      <c r="DA550" s="59">
        <f>($AJ550-$AJ551)*100</f>
        <v/>
      </c>
      <c r="DB550" s="59">
        <f>($AK550-$AK551)*100</f>
        <v/>
      </c>
      <c r="DC550" s="59">
        <f>($AL550-$AL551)*100</f>
        <v/>
      </c>
      <c r="DD550" s="59">
        <f>($AM550-$AM551)*100</f>
        <v/>
      </c>
      <c r="DE550" s="59">
        <f>($AN550-$AN551)*100</f>
        <v/>
      </c>
      <c r="DF550" s="59">
        <f>($AO550-$AO551)*100</f>
        <v/>
      </c>
      <c r="DG550" s="59">
        <f>($AP550-$AP551)*100</f>
        <v/>
      </c>
      <c r="DH550" s="59">
        <f>($AQ550-$AQ551)*100</f>
        <v/>
      </c>
      <c r="DI550" s="59">
        <f>($AR550-$AR551)*100</f>
        <v/>
      </c>
      <c r="DJ550" s="59">
        <f>($AS550-$AS551)*100</f>
        <v/>
      </c>
      <c r="DK550" s="59">
        <f>($AT550-$AT551)*100</f>
        <v/>
      </c>
      <c r="DL550" s="59">
        <f>($AU550-$AU551)*100</f>
        <v/>
      </c>
      <c r="DM550" s="59">
        <f>($AV550-$AV551)*100</f>
        <v/>
      </c>
      <c r="DN550" s="59">
        <f>($AW550-$AW551)*100</f>
        <v/>
      </c>
      <c r="DO550" s="59">
        <f>($AX550-$AX551)*100</f>
        <v/>
      </c>
      <c r="DP550" s="59">
        <f>($AY550-$AY551)*100</f>
        <v/>
      </c>
      <c r="DQ550" s="59">
        <f>($AZ550-$AZ551)*100</f>
        <v/>
      </c>
      <c r="DR550" s="59">
        <f>($BA550-$BA551)*100</f>
        <v/>
      </c>
      <c r="DS550" s="58">
        <f>IFERROR($N551/$N550-1,"")</f>
        <v/>
      </c>
      <c r="DT550" s="58">
        <f>IFERROR($O551/$O550-1,"")</f>
        <v/>
      </c>
      <c r="DU550" s="58">
        <f>IFERROR($P551/$P550-1,"")</f>
        <v/>
      </c>
      <c r="DV550" s="58">
        <f>IFERROR($Q551/$Q550-1,"")</f>
        <v/>
      </c>
      <c r="DW550" s="58">
        <f>IFERROR($R551/$R550-1,"")</f>
        <v/>
      </c>
      <c r="DX550" s="58">
        <f>IFERROR($S551/$S550-1,"")</f>
        <v/>
      </c>
      <c r="DY550" s="58">
        <f>IFERROR($T551/$T550-1,"")</f>
        <v/>
      </c>
      <c r="DZ550" s="58">
        <f>IFERROR($U551/$U550-1,"")</f>
        <v/>
      </c>
      <c r="EA550" s="58">
        <f>IFERROR($V551/$V550-1,"")</f>
        <v/>
      </c>
      <c r="EB550" s="58">
        <f>IFERROR($W551/$W550-1,"")</f>
        <v/>
      </c>
      <c r="EC550" s="58">
        <f>IFERROR($X551/$X550-1,"")</f>
        <v/>
      </c>
      <c r="ED550" s="58">
        <f>IFERROR($Y551/$Y550-1,"")</f>
        <v/>
      </c>
      <c r="EE550" s="58">
        <f>IFERROR($Z551/$Z550-1,"")</f>
        <v/>
      </c>
      <c r="EF550" s="58">
        <f>IFERROR($AA551/$AA550-1,"")</f>
        <v/>
      </c>
      <c r="EG550" s="58">
        <f>IFERROR($AB551/$AB550-1,"")</f>
        <v/>
      </c>
      <c r="EH550" s="58">
        <f>IFERROR($AC551/$AC550-1,"")</f>
        <v/>
      </c>
      <c r="EI550" s="58">
        <f>IFERROR($AD551/$AD550-1,"")</f>
        <v/>
      </c>
      <c r="EJ550" s="58">
        <f>IFERROR($AE551/$AE550-1,"")</f>
        <v/>
      </c>
      <c r="EK550" s="58">
        <f>IFERROR($AF551/$AF550-1,"")</f>
        <v/>
      </c>
      <c r="EL550" s="58">
        <f>IFERROR($AG551/$AG550-1,"")</f>
        <v/>
      </c>
      <c r="EM550" s="58">
        <f>IFERROR($BB550/$BB551-1,"")</f>
        <v/>
      </c>
      <c r="EN550" s="58">
        <f>IFERROR($BC550/$BC551-1,"")</f>
        <v/>
      </c>
      <c r="EO550" s="58">
        <f>IFERROR($BD550/$BD551-1,"")</f>
        <v/>
      </c>
      <c r="EP550" s="58">
        <f>IFERROR($BE550/$BE551-1,"")</f>
        <v/>
      </c>
      <c r="EQ550" s="58">
        <f>IFERROR($BF550/$BF551-1,"")</f>
        <v/>
      </c>
      <c r="ER550" s="58">
        <f>IFERROR($BG550/$BG551-1,"")</f>
        <v/>
      </c>
      <c r="ES550" s="58">
        <f>IFERROR($BH550/$BH551-1,"")</f>
        <v/>
      </c>
      <c r="ET550" s="58">
        <f>IFERROR($BI550/$BI551-1,"")</f>
        <v/>
      </c>
      <c r="EU550" s="58">
        <f>IFERROR($BJ550/$BJ551-1,"")</f>
        <v/>
      </c>
      <c r="EV550" s="58">
        <f>IFERROR($BK550/$BK551-1,"")</f>
        <v/>
      </c>
      <c r="EW550" s="58">
        <f>IFERROR($BL550/$BL551-1,"")</f>
        <v/>
      </c>
      <c r="EX550" s="58">
        <f>IFERROR($BM550/$BM551-1,"")</f>
        <v/>
      </c>
      <c r="EY550" s="58">
        <f>IFERROR($BN550/$BN551-1,"")</f>
        <v/>
      </c>
      <c r="EZ550" s="58">
        <f>IFERROR($BO550/$BO551-1,"")</f>
        <v/>
      </c>
      <c r="FA550" s="58">
        <f>IFERROR($BP550/$BP551-1,"")</f>
        <v/>
      </c>
      <c r="FB550" s="58">
        <f>IFERROR($BQ550/$BQ551-1,"")</f>
        <v/>
      </c>
      <c r="FC550" s="58">
        <f>IFERROR($BR550/$BR551-1,"")</f>
        <v/>
      </c>
      <c r="FD550" s="58">
        <f>IFERROR($BS550/$BS551-1,"")</f>
        <v/>
      </c>
      <c r="FE550" s="58">
        <f>IFERROR($BT550/$BT551-1,"")</f>
        <v/>
      </c>
      <c r="FF550" s="58">
        <f>IFERROR($BU550/$BU551-1,"")</f>
        <v/>
      </c>
      <c r="FG550" s="58">
        <f>IFERROR($BV550/$BV551-1,"")</f>
        <v/>
      </c>
      <c r="FH550" s="58">
        <f>IFERROR($BW550/$BW551-1,"")</f>
        <v/>
      </c>
      <c r="FI550" s="58">
        <f>IFERROR($BX550/$BX551-1,"")</f>
        <v/>
      </c>
      <c r="FJ550" s="59">
        <f>$BY550-$BY551</f>
        <v/>
      </c>
      <c r="FK550" s="59">
        <f>$BZ550-$BZ551</f>
        <v/>
      </c>
      <c r="FL550" s="59">
        <f>$CA550-$CA551</f>
        <v/>
      </c>
      <c r="FM550" s="59">
        <f>$CB550-$CB551</f>
        <v/>
      </c>
      <c r="FN550" s="59">
        <f>$CC550-$CC551</f>
        <v/>
      </c>
      <c r="FO550" s="59">
        <f>$CD550-$CD551</f>
        <v/>
      </c>
      <c r="FP550" s="59">
        <f>$CE550-$CE551</f>
        <v/>
      </c>
      <c r="FQ550" s="59">
        <f>$CF550-$CF551</f>
        <v/>
      </c>
      <c r="FR550" s="59">
        <f>$CG550-$CG551</f>
        <v/>
      </c>
      <c r="FS550" s="59">
        <f>$CH550-$CH551</f>
        <v/>
      </c>
      <c r="FT550" s="59">
        <f>$CI550-$CI551</f>
        <v/>
      </c>
      <c r="FU550" s="59">
        <f>$CJ550-$CJ551</f>
        <v/>
      </c>
      <c r="FV550" s="59">
        <f>$CK550-$CK551</f>
        <v/>
      </c>
      <c r="FW550" s="59">
        <f>$CL550-$CL551</f>
        <v/>
      </c>
      <c r="FX550" s="59">
        <f>$CM550-$CM551</f>
        <v/>
      </c>
      <c r="FY550" s="59">
        <f>$CN550-$CN551</f>
        <v/>
      </c>
      <c r="FZ550" s="59">
        <f>$CO550-$CO551</f>
        <v/>
      </c>
      <c r="GA550" s="59">
        <f>$CP550-$CP551</f>
        <v/>
      </c>
      <c r="GB550" s="59">
        <f>$CQ550-$CQ551</f>
        <v/>
      </c>
      <c r="GC550" s="59">
        <f>$CR550-$CR551</f>
        <v/>
      </c>
      <c r="GD550" s="59">
        <f>$CS550-$CS551</f>
        <v/>
      </c>
      <c r="GE550" s="59">
        <f>$CT550-$CT551</f>
        <v/>
      </c>
    </row>
    <row r="551">
      <c r="CU551" s="58">
        <f>IFERROR($B551/$B552-1,"")</f>
        <v/>
      </c>
      <c r="CV551" s="59">
        <f>($F551-$F552)*100</f>
        <v/>
      </c>
      <c r="CW551" s="59">
        <f>($E551-$E552)*100</f>
        <v/>
      </c>
      <c r="CX551" s="58">
        <f>IFERROR($K551/$K552-1,"")</f>
        <v/>
      </c>
      <c r="CY551" s="59">
        <f>($AH551-$AH552)*100</f>
        <v/>
      </c>
      <c r="CZ551" s="59">
        <f>($AI551-$AI552)*100</f>
        <v/>
      </c>
      <c r="DA551" s="59">
        <f>($AJ551-$AJ552)*100</f>
        <v/>
      </c>
      <c r="DB551" s="59">
        <f>($AK551-$AK552)*100</f>
        <v/>
      </c>
      <c r="DC551" s="59">
        <f>($AL551-$AL552)*100</f>
        <v/>
      </c>
      <c r="DD551" s="59">
        <f>($AM551-$AM552)*100</f>
        <v/>
      </c>
      <c r="DE551" s="59">
        <f>($AN551-$AN552)*100</f>
        <v/>
      </c>
      <c r="DF551" s="59">
        <f>($AO551-$AO552)*100</f>
        <v/>
      </c>
      <c r="DG551" s="59">
        <f>($AP551-$AP552)*100</f>
        <v/>
      </c>
      <c r="DH551" s="59">
        <f>($AQ551-$AQ552)*100</f>
        <v/>
      </c>
      <c r="DI551" s="59">
        <f>($AR551-$AR552)*100</f>
        <v/>
      </c>
      <c r="DJ551" s="59">
        <f>($AS551-$AS552)*100</f>
        <v/>
      </c>
      <c r="DK551" s="59">
        <f>($AT551-$AT552)*100</f>
        <v/>
      </c>
      <c r="DL551" s="59">
        <f>($AU551-$AU552)*100</f>
        <v/>
      </c>
      <c r="DM551" s="59">
        <f>($AV551-$AV552)*100</f>
        <v/>
      </c>
      <c r="DN551" s="59">
        <f>($AW551-$AW552)*100</f>
        <v/>
      </c>
      <c r="DO551" s="59">
        <f>($AX551-$AX552)*100</f>
        <v/>
      </c>
      <c r="DP551" s="59">
        <f>($AY551-$AY552)*100</f>
        <v/>
      </c>
      <c r="DQ551" s="59">
        <f>($AZ551-$AZ552)*100</f>
        <v/>
      </c>
      <c r="DR551" s="59">
        <f>($BA551-$BA552)*100</f>
        <v/>
      </c>
      <c r="DS551" s="58">
        <f>IFERROR($N552/$N551-1,"")</f>
        <v/>
      </c>
      <c r="DT551" s="58">
        <f>IFERROR($O552/$O551-1,"")</f>
        <v/>
      </c>
      <c r="DU551" s="58">
        <f>IFERROR($P552/$P551-1,"")</f>
        <v/>
      </c>
      <c r="DV551" s="58">
        <f>IFERROR($Q552/$Q551-1,"")</f>
        <v/>
      </c>
      <c r="DW551" s="58">
        <f>IFERROR($R552/$R551-1,"")</f>
        <v/>
      </c>
      <c r="DX551" s="58">
        <f>IFERROR($S552/$S551-1,"")</f>
        <v/>
      </c>
      <c r="DY551" s="58">
        <f>IFERROR($T552/$T551-1,"")</f>
        <v/>
      </c>
      <c r="DZ551" s="58">
        <f>IFERROR($U552/$U551-1,"")</f>
        <v/>
      </c>
      <c r="EA551" s="58">
        <f>IFERROR($V552/$V551-1,"")</f>
        <v/>
      </c>
      <c r="EB551" s="58">
        <f>IFERROR($W552/$W551-1,"")</f>
        <v/>
      </c>
      <c r="EC551" s="58">
        <f>IFERROR($X552/$X551-1,"")</f>
        <v/>
      </c>
      <c r="ED551" s="58">
        <f>IFERROR($Y552/$Y551-1,"")</f>
        <v/>
      </c>
      <c r="EE551" s="58">
        <f>IFERROR($Z552/$Z551-1,"")</f>
        <v/>
      </c>
      <c r="EF551" s="58">
        <f>IFERROR($AA552/$AA551-1,"")</f>
        <v/>
      </c>
      <c r="EG551" s="58">
        <f>IFERROR($AB552/$AB551-1,"")</f>
        <v/>
      </c>
      <c r="EH551" s="58">
        <f>IFERROR($AC552/$AC551-1,"")</f>
        <v/>
      </c>
      <c r="EI551" s="58">
        <f>IFERROR($AD552/$AD551-1,"")</f>
        <v/>
      </c>
      <c r="EJ551" s="58">
        <f>IFERROR($AE552/$AE551-1,"")</f>
        <v/>
      </c>
      <c r="EK551" s="58">
        <f>IFERROR($AF552/$AF551-1,"")</f>
        <v/>
      </c>
      <c r="EL551" s="58">
        <f>IFERROR($AG552/$AG551-1,"")</f>
        <v/>
      </c>
      <c r="EM551" s="58">
        <f>IFERROR($BB551/$BB552-1,"")</f>
        <v/>
      </c>
      <c r="EN551" s="58">
        <f>IFERROR($BC551/$BC552-1,"")</f>
        <v/>
      </c>
      <c r="EO551" s="58">
        <f>IFERROR($BD551/$BD552-1,"")</f>
        <v/>
      </c>
      <c r="EP551" s="58">
        <f>IFERROR($BE551/$BE552-1,"")</f>
        <v/>
      </c>
      <c r="EQ551" s="58">
        <f>IFERROR($BF551/$BF552-1,"")</f>
        <v/>
      </c>
      <c r="ER551" s="58">
        <f>IFERROR($BG551/$BG552-1,"")</f>
        <v/>
      </c>
      <c r="ES551" s="58">
        <f>IFERROR($BH551/$BH552-1,"")</f>
        <v/>
      </c>
      <c r="ET551" s="58">
        <f>IFERROR($BI551/$BI552-1,"")</f>
        <v/>
      </c>
      <c r="EU551" s="58">
        <f>IFERROR($BJ551/$BJ552-1,"")</f>
        <v/>
      </c>
      <c r="EV551" s="58">
        <f>IFERROR($BK551/$BK552-1,"")</f>
        <v/>
      </c>
      <c r="EW551" s="58">
        <f>IFERROR($BL551/$BL552-1,"")</f>
        <v/>
      </c>
      <c r="EX551" s="58">
        <f>IFERROR($BM551/$BM552-1,"")</f>
        <v/>
      </c>
      <c r="EY551" s="58">
        <f>IFERROR($BN551/$BN552-1,"")</f>
        <v/>
      </c>
      <c r="EZ551" s="58">
        <f>IFERROR($BO551/$BO552-1,"")</f>
        <v/>
      </c>
      <c r="FA551" s="58">
        <f>IFERROR($BP551/$BP552-1,"")</f>
        <v/>
      </c>
      <c r="FB551" s="58">
        <f>IFERROR($BQ551/$BQ552-1,"")</f>
        <v/>
      </c>
      <c r="FC551" s="58">
        <f>IFERROR($BR551/$BR552-1,"")</f>
        <v/>
      </c>
      <c r="FD551" s="58">
        <f>IFERROR($BS551/$BS552-1,"")</f>
        <v/>
      </c>
      <c r="FE551" s="58">
        <f>IFERROR($BT551/$BT552-1,"")</f>
        <v/>
      </c>
      <c r="FF551" s="58">
        <f>IFERROR($BU551/$BU552-1,"")</f>
        <v/>
      </c>
      <c r="FG551" s="58">
        <f>IFERROR($BV551/$BV552-1,"")</f>
        <v/>
      </c>
      <c r="FH551" s="58">
        <f>IFERROR($BW551/$BW552-1,"")</f>
        <v/>
      </c>
      <c r="FI551" s="58">
        <f>IFERROR($BX551/$BX552-1,"")</f>
        <v/>
      </c>
      <c r="FJ551" s="59">
        <f>$BY551-$BY552</f>
        <v/>
      </c>
      <c r="FK551" s="59">
        <f>$BZ551-$BZ552</f>
        <v/>
      </c>
      <c r="FL551" s="59">
        <f>$CA551-$CA552</f>
        <v/>
      </c>
      <c r="FM551" s="59">
        <f>$CB551-$CB552</f>
        <v/>
      </c>
      <c r="FN551" s="59">
        <f>$CC551-$CC552</f>
        <v/>
      </c>
      <c r="FO551" s="59">
        <f>$CD551-$CD552</f>
        <v/>
      </c>
      <c r="FP551" s="59">
        <f>$CE551-$CE552</f>
        <v/>
      </c>
      <c r="FQ551" s="59">
        <f>$CF551-$CF552</f>
        <v/>
      </c>
      <c r="FR551" s="59">
        <f>$CG551-$CG552</f>
        <v/>
      </c>
      <c r="FS551" s="59">
        <f>$CH551-$CH552</f>
        <v/>
      </c>
      <c r="FT551" s="59">
        <f>$CI551-$CI552</f>
        <v/>
      </c>
      <c r="FU551" s="59">
        <f>$CJ551-$CJ552</f>
        <v/>
      </c>
      <c r="FV551" s="59">
        <f>$CK551-$CK552</f>
        <v/>
      </c>
      <c r="FW551" s="59">
        <f>$CL551-$CL552</f>
        <v/>
      </c>
      <c r="FX551" s="59">
        <f>$CM551-$CM552</f>
        <v/>
      </c>
      <c r="FY551" s="59">
        <f>$CN551-$CN552</f>
        <v/>
      </c>
      <c r="FZ551" s="59">
        <f>$CO551-$CO552</f>
        <v/>
      </c>
      <c r="GA551" s="59">
        <f>$CP551-$CP552</f>
        <v/>
      </c>
      <c r="GB551" s="59">
        <f>$CQ551-$CQ552</f>
        <v/>
      </c>
      <c r="GC551" s="59">
        <f>$CR551-$CR552</f>
        <v/>
      </c>
      <c r="GD551" s="59">
        <f>$CS551-$CS552</f>
        <v/>
      </c>
      <c r="GE551" s="59">
        <f>$CT551-$CT552</f>
        <v/>
      </c>
    </row>
    <row r="552">
      <c r="CU552" s="58">
        <f>IFERROR($B552/$B553-1,"")</f>
        <v/>
      </c>
      <c r="CV552" s="59">
        <f>($F552-$F553)*100</f>
        <v/>
      </c>
      <c r="CW552" s="59">
        <f>($E552-$E553)*100</f>
        <v/>
      </c>
      <c r="CX552" s="58">
        <f>IFERROR($K552/$K553-1,"")</f>
        <v/>
      </c>
      <c r="CY552" s="59">
        <f>($AH552-$AH553)*100</f>
        <v/>
      </c>
      <c r="CZ552" s="59">
        <f>($AI552-$AI553)*100</f>
        <v/>
      </c>
      <c r="DA552" s="59">
        <f>($AJ552-$AJ553)*100</f>
        <v/>
      </c>
      <c r="DB552" s="59">
        <f>($AK552-$AK553)*100</f>
        <v/>
      </c>
      <c r="DC552" s="59">
        <f>($AL552-$AL553)*100</f>
        <v/>
      </c>
      <c r="DD552" s="59">
        <f>($AM552-$AM553)*100</f>
        <v/>
      </c>
      <c r="DE552" s="59">
        <f>($AN552-$AN553)*100</f>
        <v/>
      </c>
      <c r="DF552" s="59">
        <f>($AO552-$AO553)*100</f>
        <v/>
      </c>
      <c r="DG552" s="59">
        <f>($AP552-$AP553)*100</f>
        <v/>
      </c>
      <c r="DH552" s="59">
        <f>($AQ552-$AQ553)*100</f>
        <v/>
      </c>
      <c r="DI552" s="59">
        <f>($AR552-$AR553)*100</f>
        <v/>
      </c>
      <c r="DJ552" s="59">
        <f>($AS552-$AS553)*100</f>
        <v/>
      </c>
      <c r="DK552" s="59">
        <f>($AT552-$AT553)*100</f>
        <v/>
      </c>
      <c r="DL552" s="59">
        <f>($AU552-$AU553)*100</f>
        <v/>
      </c>
      <c r="DM552" s="59">
        <f>($AV552-$AV553)*100</f>
        <v/>
      </c>
      <c r="DN552" s="59">
        <f>($AW552-$AW553)*100</f>
        <v/>
      </c>
      <c r="DO552" s="59">
        <f>($AX552-$AX553)*100</f>
        <v/>
      </c>
      <c r="DP552" s="59">
        <f>($AY552-$AY553)*100</f>
        <v/>
      </c>
      <c r="DQ552" s="59">
        <f>($AZ552-$AZ553)*100</f>
        <v/>
      </c>
      <c r="DR552" s="59">
        <f>($BA552-$BA553)*100</f>
        <v/>
      </c>
      <c r="DS552" s="58">
        <f>IFERROR($N553/$N552-1,"")</f>
        <v/>
      </c>
      <c r="DT552" s="58">
        <f>IFERROR($O553/$O552-1,"")</f>
        <v/>
      </c>
      <c r="DU552" s="58">
        <f>IFERROR($P553/$P552-1,"")</f>
        <v/>
      </c>
      <c r="DV552" s="58">
        <f>IFERROR($Q553/$Q552-1,"")</f>
        <v/>
      </c>
      <c r="DW552" s="58">
        <f>IFERROR($R553/$R552-1,"")</f>
        <v/>
      </c>
      <c r="DX552" s="58">
        <f>IFERROR($S553/$S552-1,"")</f>
        <v/>
      </c>
      <c r="DY552" s="58">
        <f>IFERROR($T553/$T552-1,"")</f>
        <v/>
      </c>
      <c r="DZ552" s="58">
        <f>IFERROR($U553/$U552-1,"")</f>
        <v/>
      </c>
      <c r="EA552" s="58">
        <f>IFERROR($V553/$V552-1,"")</f>
        <v/>
      </c>
      <c r="EB552" s="58">
        <f>IFERROR($W553/$W552-1,"")</f>
        <v/>
      </c>
      <c r="EC552" s="58">
        <f>IFERROR($X553/$X552-1,"")</f>
        <v/>
      </c>
      <c r="ED552" s="58">
        <f>IFERROR($Y553/$Y552-1,"")</f>
        <v/>
      </c>
      <c r="EE552" s="58">
        <f>IFERROR($Z553/$Z552-1,"")</f>
        <v/>
      </c>
      <c r="EF552" s="58">
        <f>IFERROR($AA553/$AA552-1,"")</f>
        <v/>
      </c>
      <c r="EG552" s="58">
        <f>IFERROR($AB553/$AB552-1,"")</f>
        <v/>
      </c>
      <c r="EH552" s="58">
        <f>IFERROR($AC553/$AC552-1,"")</f>
        <v/>
      </c>
      <c r="EI552" s="58">
        <f>IFERROR($AD553/$AD552-1,"")</f>
        <v/>
      </c>
      <c r="EJ552" s="58">
        <f>IFERROR($AE553/$AE552-1,"")</f>
        <v/>
      </c>
      <c r="EK552" s="58">
        <f>IFERROR($AF553/$AF552-1,"")</f>
        <v/>
      </c>
      <c r="EL552" s="58">
        <f>IFERROR($AG553/$AG552-1,"")</f>
        <v/>
      </c>
      <c r="EM552" s="58">
        <f>IFERROR($BB552/$BB553-1,"")</f>
        <v/>
      </c>
      <c r="EN552" s="58">
        <f>IFERROR($BC552/$BC553-1,"")</f>
        <v/>
      </c>
      <c r="EO552" s="58">
        <f>IFERROR($BD552/$BD553-1,"")</f>
        <v/>
      </c>
      <c r="EP552" s="58">
        <f>IFERROR($BE552/$BE553-1,"")</f>
        <v/>
      </c>
      <c r="EQ552" s="58">
        <f>IFERROR($BF552/$BF553-1,"")</f>
        <v/>
      </c>
      <c r="ER552" s="58">
        <f>IFERROR($BG552/$BG553-1,"")</f>
        <v/>
      </c>
      <c r="ES552" s="58">
        <f>IFERROR($BH552/$BH553-1,"")</f>
        <v/>
      </c>
      <c r="ET552" s="58">
        <f>IFERROR($BI552/$BI553-1,"")</f>
        <v/>
      </c>
      <c r="EU552" s="58">
        <f>IFERROR($BJ552/$BJ553-1,"")</f>
        <v/>
      </c>
      <c r="EV552" s="58">
        <f>IFERROR($BK552/$BK553-1,"")</f>
        <v/>
      </c>
      <c r="EW552" s="58">
        <f>IFERROR($BL552/$BL553-1,"")</f>
        <v/>
      </c>
      <c r="EX552" s="58">
        <f>IFERROR($BM552/$BM553-1,"")</f>
        <v/>
      </c>
      <c r="EY552" s="58">
        <f>IFERROR($BN552/$BN553-1,"")</f>
        <v/>
      </c>
      <c r="EZ552" s="58">
        <f>IFERROR($BO552/$BO553-1,"")</f>
        <v/>
      </c>
      <c r="FA552" s="58">
        <f>IFERROR($BP552/$BP553-1,"")</f>
        <v/>
      </c>
      <c r="FB552" s="58">
        <f>IFERROR($BQ552/$BQ553-1,"")</f>
        <v/>
      </c>
      <c r="FC552" s="58">
        <f>IFERROR($BR552/$BR553-1,"")</f>
        <v/>
      </c>
      <c r="FD552" s="58">
        <f>IFERROR($BS552/$BS553-1,"")</f>
        <v/>
      </c>
      <c r="FE552" s="58">
        <f>IFERROR($BT552/$BT553-1,"")</f>
        <v/>
      </c>
      <c r="FF552" s="58">
        <f>IFERROR($BU552/$BU553-1,"")</f>
        <v/>
      </c>
      <c r="FG552" s="58">
        <f>IFERROR($BV552/$BV553-1,"")</f>
        <v/>
      </c>
      <c r="FH552" s="58">
        <f>IFERROR($BW552/$BW553-1,"")</f>
        <v/>
      </c>
      <c r="FI552" s="58">
        <f>IFERROR($BX552/$BX553-1,"")</f>
        <v/>
      </c>
      <c r="FJ552" s="59">
        <f>$BY552-$BY553</f>
        <v/>
      </c>
      <c r="FK552" s="59">
        <f>$BZ552-$BZ553</f>
        <v/>
      </c>
      <c r="FL552" s="59">
        <f>$CA552-$CA553</f>
        <v/>
      </c>
      <c r="FM552" s="59">
        <f>$CB552-$CB553</f>
        <v/>
      </c>
      <c r="FN552" s="59">
        <f>$CC552-$CC553</f>
        <v/>
      </c>
      <c r="FO552" s="59">
        <f>$CD552-$CD553</f>
        <v/>
      </c>
      <c r="FP552" s="59">
        <f>$CE552-$CE553</f>
        <v/>
      </c>
      <c r="FQ552" s="59">
        <f>$CF552-$CF553</f>
        <v/>
      </c>
      <c r="FR552" s="59">
        <f>$CG552-$CG553</f>
        <v/>
      </c>
      <c r="FS552" s="59">
        <f>$CH552-$CH553</f>
        <v/>
      </c>
      <c r="FT552" s="59">
        <f>$CI552-$CI553</f>
        <v/>
      </c>
      <c r="FU552" s="59">
        <f>$CJ552-$CJ553</f>
        <v/>
      </c>
      <c r="FV552" s="59">
        <f>$CK552-$CK553</f>
        <v/>
      </c>
      <c r="FW552" s="59">
        <f>$CL552-$CL553</f>
        <v/>
      </c>
      <c r="FX552" s="59">
        <f>$CM552-$CM553</f>
        <v/>
      </c>
      <c r="FY552" s="59">
        <f>$CN552-$CN553</f>
        <v/>
      </c>
      <c r="FZ552" s="59">
        <f>$CO552-$CO553</f>
        <v/>
      </c>
      <c r="GA552" s="59">
        <f>$CP552-$CP553</f>
        <v/>
      </c>
      <c r="GB552" s="59">
        <f>$CQ552-$CQ553</f>
        <v/>
      </c>
      <c r="GC552" s="59">
        <f>$CR552-$CR553</f>
        <v/>
      </c>
      <c r="GD552" s="59">
        <f>$CS552-$CS553</f>
        <v/>
      </c>
      <c r="GE552" s="59">
        <f>$CT552-$CT553</f>
        <v/>
      </c>
    </row>
    <row r="553">
      <c r="CU553" s="58">
        <f>IFERROR($B553/$B554-1,"")</f>
        <v/>
      </c>
      <c r="CV553" s="59">
        <f>($F553-$F554)*100</f>
        <v/>
      </c>
      <c r="CW553" s="59">
        <f>($E553-$E554)*100</f>
        <v/>
      </c>
      <c r="CX553" s="58">
        <f>IFERROR($K553/$K554-1,"")</f>
        <v/>
      </c>
      <c r="CY553" s="59">
        <f>($AH553-$AH554)*100</f>
        <v/>
      </c>
      <c r="CZ553" s="59">
        <f>($AI553-$AI554)*100</f>
        <v/>
      </c>
      <c r="DA553" s="59">
        <f>($AJ553-$AJ554)*100</f>
        <v/>
      </c>
      <c r="DB553" s="59">
        <f>($AK553-$AK554)*100</f>
        <v/>
      </c>
      <c r="DC553" s="59">
        <f>($AL553-$AL554)*100</f>
        <v/>
      </c>
      <c r="DD553" s="59">
        <f>($AM553-$AM554)*100</f>
        <v/>
      </c>
      <c r="DE553" s="59">
        <f>($AN553-$AN554)*100</f>
        <v/>
      </c>
      <c r="DF553" s="59">
        <f>($AO553-$AO554)*100</f>
        <v/>
      </c>
      <c r="DG553" s="59">
        <f>($AP553-$AP554)*100</f>
        <v/>
      </c>
      <c r="DH553" s="59">
        <f>($AQ553-$AQ554)*100</f>
        <v/>
      </c>
      <c r="DI553" s="59">
        <f>($AR553-$AR554)*100</f>
        <v/>
      </c>
      <c r="DJ553" s="59">
        <f>($AS553-$AS554)*100</f>
        <v/>
      </c>
      <c r="DK553" s="59">
        <f>($AT553-$AT554)*100</f>
        <v/>
      </c>
      <c r="DL553" s="59">
        <f>($AU553-$AU554)*100</f>
        <v/>
      </c>
      <c r="DM553" s="59">
        <f>($AV553-$AV554)*100</f>
        <v/>
      </c>
      <c r="DN553" s="59">
        <f>($AW553-$AW554)*100</f>
        <v/>
      </c>
      <c r="DO553" s="59">
        <f>($AX553-$AX554)*100</f>
        <v/>
      </c>
      <c r="DP553" s="59">
        <f>($AY553-$AY554)*100</f>
        <v/>
      </c>
      <c r="DQ553" s="59">
        <f>($AZ553-$AZ554)*100</f>
        <v/>
      </c>
      <c r="DR553" s="59">
        <f>($BA553-$BA554)*100</f>
        <v/>
      </c>
      <c r="DS553" s="58">
        <f>IFERROR($N554/$N553-1,"")</f>
        <v/>
      </c>
      <c r="DT553" s="58">
        <f>IFERROR($O554/$O553-1,"")</f>
        <v/>
      </c>
      <c r="DU553" s="58">
        <f>IFERROR($P554/$P553-1,"")</f>
        <v/>
      </c>
      <c r="DV553" s="58">
        <f>IFERROR($Q554/$Q553-1,"")</f>
        <v/>
      </c>
      <c r="DW553" s="58">
        <f>IFERROR($R554/$R553-1,"")</f>
        <v/>
      </c>
      <c r="DX553" s="58">
        <f>IFERROR($S554/$S553-1,"")</f>
        <v/>
      </c>
      <c r="DY553" s="58">
        <f>IFERROR($T554/$T553-1,"")</f>
        <v/>
      </c>
      <c r="DZ553" s="58">
        <f>IFERROR($U554/$U553-1,"")</f>
        <v/>
      </c>
      <c r="EA553" s="58">
        <f>IFERROR($V554/$V553-1,"")</f>
        <v/>
      </c>
      <c r="EB553" s="58">
        <f>IFERROR($W554/$W553-1,"")</f>
        <v/>
      </c>
      <c r="EC553" s="58">
        <f>IFERROR($X554/$X553-1,"")</f>
        <v/>
      </c>
      <c r="ED553" s="58">
        <f>IFERROR($Y554/$Y553-1,"")</f>
        <v/>
      </c>
      <c r="EE553" s="58">
        <f>IFERROR($Z554/$Z553-1,"")</f>
        <v/>
      </c>
      <c r="EF553" s="58">
        <f>IFERROR($AA554/$AA553-1,"")</f>
        <v/>
      </c>
      <c r="EG553" s="58">
        <f>IFERROR($AB554/$AB553-1,"")</f>
        <v/>
      </c>
      <c r="EH553" s="58">
        <f>IFERROR($AC554/$AC553-1,"")</f>
        <v/>
      </c>
      <c r="EI553" s="58">
        <f>IFERROR($AD554/$AD553-1,"")</f>
        <v/>
      </c>
      <c r="EJ553" s="58">
        <f>IFERROR($AE554/$AE553-1,"")</f>
        <v/>
      </c>
      <c r="EK553" s="58">
        <f>IFERROR($AF554/$AF553-1,"")</f>
        <v/>
      </c>
      <c r="EL553" s="58">
        <f>IFERROR($AG554/$AG553-1,"")</f>
        <v/>
      </c>
      <c r="EM553" s="58">
        <f>IFERROR($BB553/$BB554-1,"")</f>
        <v/>
      </c>
      <c r="EN553" s="58">
        <f>IFERROR($BC553/$BC554-1,"")</f>
        <v/>
      </c>
      <c r="EO553" s="58">
        <f>IFERROR($BD553/$BD554-1,"")</f>
        <v/>
      </c>
      <c r="EP553" s="58">
        <f>IFERROR($BE553/$BE554-1,"")</f>
        <v/>
      </c>
      <c r="EQ553" s="58">
        <f>IFERROR($BF553/$BF554-1,"")</f>
        <v/>
      </c>
      <c r="ER553" s="58">
        <f>IFERROR($BG553/$BG554-1,"")</f>
        <v/>
      </c>
      <c r="ES553" s="58">
        <f>IFERROR($BH553/$BH554-1,"")</f>
        <v/>
      </c>
      <c r="ET553" s="58">
        <f>IFERROR($BI553/$BI554-1,"")</f>
        <v/>
      </c>
      <c r="EU553" s="58">
        <f>IFERROR($BJ553/$BJ554-1,"")</f>
        <v/>
      </c>
      <c r="EV553" s="58">
        <f>IFERROR($BK553/$BK554-1,"")</f>
        <v/>
      </c>
      <c r="EW553" s="58">
        <f>IFERROR($BL553/$BL554-1,"")</f>
        <v/>
      </c>
      <c r="EX553" s="58">
        <f>IFERROR($BM553/$BM554-1,"")</f>
        <v/>
      </c>
      <c r="EY553" s="58">
        <f>IFERROR($BN553/$BN554-1,"")</f>
        <v/>
      </c>
      <c r="EZ553" s="58">
        <f>IFERROR($BO553/$BO554-1,"")</f>
        <v/>
      </c>
      <c r="FA553" s="58">
        <f>IFERROR($BP553/$BP554-1,"")</f>
        <v/>
      </c>
      <c r="FB553" s="58">
        <f>IFERROR($BQ553/$BQ554-1,"")</f>
        <v/>
      </c>
      <c r="FC553" s="58">
        <f>IFERROR($BR553/$BR554-1,"")</f>
        <v/>
      </c>
      <c r="FD553" s="58">
        <f>IFERROR($BS553/$BS554-1,"")</f>
        <v/>
      </c>
      <c r="FE553" s="58">
        <f>IFERROR($BT553/$BT554-1,"")</f>
        <v/>
      </c>
      <c r="FF553" s="58">
        <f>IFERROR($BU553/$BU554-1,"")</f>
        <v/>
      </c>
      <c r="FG553" s="58">
        <f>IFERROR($BV553/$BV554-1,"")</f>
        <v/>
      </c>
      <c r="FH553" s="58">
        <f>IFERROR($BW553/$BW554-1,"")</f>
        <v/>
      </c>
      <c r="FI553" s="58">
        <f>IFERROR($BX553/$BX554-1,"")</f>
        <v/>
      </c>
      <c r="FJ553" s="59">
        <f>$BY553-$BY554</f>
        <v/>
      </c>
      <c r="FK553" s="59">
        <f>$BZ553-$BZ554</f>
        <v/>
      </c>
      <c r="FL553" s="59">
        <f>$CA553-$CA554</f>
        <v/>
      </c>
      <c r="FM553" s="59">
        <f>$CB553-$CB554</f>
        <v/>
      </c>
      <c r="FN553" s="59">
        <f>$CC553-$CC554</f>
        <v/>
      </c>
      <c r="FO553" s="59">
        <f>$CD553-$CD554</f>
        <v/>
      </c>
      <c r="FP553" s="59">
        <f>$CE553-$CE554</f>
        <v/>
      </c>
      <c r="FQ553" s="59">
        <f>$CF553-$CF554</f>
        <v/>
      </c>
      <c r="FR553" s="59">
        <f>$CG553-$CG554</f>
        <v/>
      </c>
      <c r="FS553" s="59">
        <f>$CH553-$CH554</f>
        <v/>
      </c>
      <c r="FT553" s="59">
        <f>$CI553-$CI554</f>
        <v/>
      </c>
      <c r="FU553" s="59">
        <f>$CJ553-$CJ554</f>
        <v/>
      </c>
      <c r="FV553" s="59">
        <f>$CK553-$CK554</f>
        <v/>
      </c>
      <c r="FW553" s="59">
        <f>$CL553-$CL554</f>
        <v/>
      </c>
      <c r="FX553" s="59">
        <f>$CM553-$CM554</f>
        <v/>
      </c>
      <c r="FY553" s="59">
        <f>$CN553-$CN554</f>
        <v/>
      </c>
      <c r="FZ553" s="59">
        <f>$CO553-$CO554</f>
        <v/>
      </c>
      <c r="GA553" s="59">
        <f>$CP553-$CP554</f>
        <v/>
      </c>
      <c r="GB553" s="59">
        <f>$CQ553-$CQ554</f>
        <v/>
      </c>
      <c r="GC553" s="59">
        <f>$CR553-$CR554</f>
        <v/>
      </c>
      <c r="GD553" s="59">
        <f>$CS553-$CS554</f>
        <v/>
      </c>
      <c r="GE553" s="59">
        <f>$CT553-$CT554</f>
        <v/>
      </c>
    </row>
    <row r="554">
      <c r="CU554" s="58">
        <f>IFERROR($B554/$B555-1,"")</f>
        <v/>
      </c>
      <c r="CV554" s="59">
        <f>($F554-$F555)*100</f>
        <v/>
      </c>
      <c r="CW554" s="59">
        <f>($E554-$E555)*100</f>
        <v/>
      </c>
      <c r="CX554" s="58">
        <f>IFERROR($K554/$K555-1,"")</f>
        <v/>
      </c>
      <c r="CY554" s="59">
        <f>($AH554-$AH555)*100</f>
        <v/>
      </c>
      <c r="CZ554" s="59">
        <f>($AI554-$AI555)*100</f>
        <v/>
      </c>
      <c r="DA554" s="59">
        <f>($AJ554-$AJ555)*100</f>
        <v/>
      </c>
      <c r="DB554" s="59">
        <f>($AK554-$AK555)*100</f>
        <v/>
      </c>
      <c r="DC554" s="59">
        <f>($AL554-$AL555)*100</f>
        <v/>
      </c>
      <c r="DD554" s="59">
        <f>($AM554-$AM555)*100</f>
        <v/>
      </c>
      <c r="DE554" s="59">
        <f>($AN554-$AN555)*100</f>
        <v/>
      </c>
      <c r="DF554" s="59">
        <f>($AO554-$AO555)*100</f>
        <v/>
      </c>
      <c r="DG554" s="59">
        <f>($AP554-$AP555)*100</f>
        <v/>
      </c>
      <c r="DH554" s="59">
        <f>($AQ554-$AQ555)*100</f>
        <v/>
      </c>
      <c r="DI554" s="59">
        <f>($AR554-$AR555)*100</f>
        <v/>
      </c>
      <c r="DJ554" s="59">
        <f>($AS554-$AS555)*100</f>
        <v/>
      </c>
      <c r="DK554" s="59">
        <f>($AT554-$AT555)*100</f>
        <v/>
      </c>
      <c r="DL554" s="59">
        <f>($AU554-$AU555)*100</f>
        <v/>
      </c>
      <c r="DM554" s="59">
        <f>($AV554-$AV555)*100</f>
        <v/>
      </c>
      <c r="DN554" s="59">
        <f>($AW554-$AW555)*100</f>
        <v/>
      </c>
      <c r="DO554" s="59">
        <f>($AX554-$AX555)*100</f>
        <v/>
      </c>
      <c r="DP554" s="59">
        <f>($AY554-$AY555)*100</f>
        <v/>
      </c>
      <c r="DQ554" s="59">
        <f>($AZ554-$AZ555)*100</f>
        <v/>
      </c>
      <c r="DR554" s="59">
        <f>($BA554-$BA555)*100</f>
        <v/>
      </c>
      <c r="DS554" s="58">
        <f>IFERROR($N555/$N554-1,"")</f>
        <v/>
      </c>
      <c r="DT554" s="58">
        <f>IFERROR($O555/$O554-1,"")</f>
        <v/>
      </c>
      <c r="DU554" s="58">
        <f>IFERROR($P555/$P554-1,"")</f>
        <v/>
      </c>
      <c r="DV554" s="58">
        <f>IFERROR($Q555/$Q554-1,"")</f>
        <v/>
      </c>
      <c r="DW554" s="58">
        <f>IFERROR($R555/$R554-1,"")</f>
        <v/>
      </c>
      <c r="DX554" s="58">
        <f>IFERROR($S555/$S554-1,"")</f>
        <v/>
      </c>
      <c r="DY554" s="58">
        <f>IFERROR($T555/$T554-1,"")</f>
        <v/>
      </c>
      <c r="DZ554" s="58">
        <f>IFERROR($U555/$U554-1,"")</f>
        <v/>
      </c>
      <c r="EA554" s="58">
        <f>IFERROR($V555/$V554-1,"")</f>
        <v/>
      </c>
      <c r="EB554" s="58">
        <f>IFERROR($W555/$W554-1,"")</f>
        <v/>
      </c>
      <c r="EC554" s="58">
        <f>IFERROR($X555/$X554-1,"")</f>
        <v/>
      </c>
      <c r="ED554" s="58">
        <f>IFERROR($Y555/$Y554-1,"")</f>
        <v/>
      </c>
      <c r="EE554" s="58">
        <f>IFERROR($Z555/$Z554-1,"")</f>
        <v/>
      </c>
      <c r="EF554" s="58">
        <f>IFERROR($AA555/$AA554-1,"")</f>
        <v/>
      </c>
      <c r="EG554" s="58">
        <f>IFERROR($AB555/$AB554-1,"")</f>
        <v/>
      </c>
      <c r="EH554" s="58">
        <f>IFERROR($AC555/$AC554-1,"")</f>
        <v/>
      </c>
      <c r="EI554" s="58">
        <f>IFERROR($AD555/$AD554-1,"")</f>
        <v/>
      </c>
      <c r="EJ554" s="58">
        <f>IFERROR($AE555/$AE554-1,"")</f>
        <v/>
      </c>
      <c r="EK554" s="58">
        <f>IFERROR($AF555/$AF554-1,"")</f>
        <v/>
      </c>
      <c r="EL554" s="58">
        <f>IFERROR($AG555/$AG554-1,"")</f>
        <v/>
      </c>
      <c r="EM554" s="58">
        <f>IFERROR($BB554/$BB555-1,"")</f>
        <v/>
      </c>
      <c r="EN554" s="58">
        <f>IFERROR($BC554/$BC555-1,"")</f>
        <v/>
      </c>
      <c r="EO554" s="58">
        <f>IFERROR($BD554/$BD555-1,"")</f>
        <v/>
      </c>
      <c r="EP554" s="58">
        <f>IFERROR($BE554/$BE555-1,"")</f>
        <v/>
      </c>
      <c r="EQ554" s="58">
        <f>IFERROR($BF554/$BF555-1,"")</f>
        <v/>
      </c>
      <c r="ER554" s="58">
        <f>IFERROR($BG554/$BG555-1,"")</f>
        <v/>
      </c>
      <c r="ES554" s="58">
        <f>IFERROR($BH554/$BH555-1,"")</f>
        <v/>
      </c>
      <c r="ET554" s="58">
        <f>IFERROR($BI554/$BI555-1,"")</f>
        <v/>
      </c>
      <c r="EU554" s="58">
        <f>IFERROR($BJ554/$BJ555-1,"")</f>
        <v/>
      </c>
      <c r="EV554" s="58">
        <f>IFERROR($BK554/$BK555-1,"")</f>
        <v/>
      </c>
      <c r="EW554" s="58">
        <f>IFERROR($BL554/$BL555-1,"")</f>
        <v/>
      </c>
      <c r="EX554" s="58">
        <f>IFERROR($BM554/$BM555-1,"")</f>
        <v/>
      </c>
      <c r="EY554" s="58">
        <f>IFERROR($BN554/$BN555-1,"")</f>
        <v/>
      </c>
      <c r="EZ554" s="58">
        <f>IFERROR($BO554/$BO555-1,"")</f>
        <v/>
      </c>
      <c r="FA554" s="58">
        <f>IFERROR($BP554/$BP555-1,"")</f>
        <v/>
      </c>
      <c r="FB554" s="58">
        <f>IFERROR($BQ554/$BQ555-1,"")</f>
        <v/>
      </c>
      <c r="FC554" s="58">
        <f>IFERROR($BR554/$BR555-1,"")</f>
        <v/>
      </c>
      <c r="FD554" s="58">
        <f>IFERROR($BS554/$BS555-1,"")</f>
        <v/>
      </c>
      <c r="FE554" s="58">
        <f>IFERROR($BT554/$BT555-1,"")</f>
        <v/>
      </c>
      <c r="FF554" s="58">
        <f>IFERROR($BU554/$BU555-1,"")</f>
        <v/>
      </c>
      <c r="FG554" s="58">
        <f>IFERROR($BV554/$BV555-1,"")</f>
        <v/>
      </c>
      <c r="FH554" s="58">
        <f>IFERROR($BW554/$BW555-1,"")</f>
        <v/>
      </c>
      <c r="FI554" s="58">
        <f>IFERROR($BX554/$BX555-1,"")</f>
        <v/>
      </c>
      <c r="FJ554" s="59">
        <f>$BY554-$BY555</f>
        <v/>
      </c>
      <c r="FK554" s="59">
        <f>$BZ554-$BZ555</f>
        <v/>
      </c>
      <c r="FL554" s="59">
        <f>$CA554-$CA555</f>
        <v/>
      </c>
      <c r="FM554" s="59">
        <f>$CB554-$CB555</f>
        <v/>
      </c>
      <c r="FN554" s="59">
        <f>$CC554-$CC555</f>
        <v/>
      </c>
      <c r="FO554" s="59">
        <f>$CD554-$CD555</f>
        <v/>
      </c>
      <c r="FP554" s="59">
        <f>$CE554-$CE555</f>
        <v/>
      </c>
      <c r="FQ554" s="59">
        <f>$CF554-$CF555</f>
        <v/>
      </c>
      <c r="FR554" s="59">
        <f>$CG554-$CG555</f>
        <v/>
      </c>
      <c r="FS554" s="59">
        <f>$CH554-$CH555</f>
        <v/>
      </c>
      <c r="FT554" s="59">
        <f>$CI554-$CI555</f>
        <v/>
      </c>
      <c r="FU554" s="59">
        <f>$CJ554-$CJ555</f>
        <v/>
      </c>
      <c r="FV554" s="59">
        <f>$CK554-$CK555</f>
        <v/>
      </c>
      <c r="FW554" s="59">
        <f>$CL554-$CL555</f>
        <v/>
      </c>
      <c r="FX554" s="59">
        <f>$CM554-$CM555</f>
        <v/>
      </c>
      <c r="FY554" s="59">
        <f>$CN554-$CN555</f>
        <v/>
      </c>
      <c r="FZ554" s="59">
        <f>$CO554-$CO555</f>
        <v/>
      </c>
      <c r="GA554" s="59">
        <f>$CP554-$CP555</f>
        <v/>
      </c>
      <c r="GB554" s="59">
        <f>$CQ554-$CQ555</f>
        <v/>
      </c>
      <c r="GC554" s="59">
        <f>$CR554-$CR555</f>
        <v/>
      </c>
      <c r="GD554" s="59">
        <f>$CS554-$CS555</f>
        <v/>
      </c>
      <c r="GE554" s="59">
        <f>$CT554-$CT555</f>
        <v/>
      </c>
    </row>
    <row r="555">
      <c r="CU555" s="58">
        <f>IFERROR($B555/$B556-1,"")</f>
        <v/>
      </c>
      <c r="CV555" s="59">
        <f>($F555-$F556)*100</f>
        <v/>
      </c>
      <c r="CW555" s="59">
        <f>($E555-$E556)*100</f>
        <v/>
      </c>
      <c r="CX555" s="58">
        <f>IFERROR($K555/$K556-1,"")</f>
        <v/>
      </c>
      <c r="CY555" s="59">
        <f>($AH555-$AH556)*100</f>
        <v/>
      </c>
      <c r="CZ555" s="59">
        <f>($AI555-$AI556)*100</f>
        <v/>
      </c>
      <c r="DA555" s="59">
        <f>($AJ555-$AJ556)*100</f>
        <v/>
      </c>
      <c r="DB555" s="59">
        <f>($AK555-$AK556)*100</f>
        <v/>
      </c>
      <c r="DC555" s="59">
        <f>($AL555-$AL556)*100</f>
        <v/>
      </c>
      <c r="DD555" s="59">
        <f>($AM555-$AM556)*100</f>
        <v/>
      </c>
      <c r="DE555" s="59">
        <f>($AN555-$AN556)*100</f>
        <v/>
      </c>
      <c r="DF555" s="59">
        <f>($AO555-$AO556)*100</f>
        <v/>
      </c>
      <c r="DG555" s="59">
        <f>($AP555-$AP556)*100</f>
        <v/>
      </c>
      <c r="DH555" s="59">
        <f>($AQ555-$AQ556)*100</f>
        <v/>
      </c>
      <c r="DI555" s="59">
        <f>($AR555-$AR556)*100</f>
        <v/>
      </c>
      <c r="DJ555" s="59">
        <f>($AS555-$AS556)*100</f>
        <v/>
      </c>
      <c r="DK555" s="59">
        <f>($AT555-$AT556)*100</f>
        <v/>
      </c>
      <c r="DL555" s="59">
        <f>($AU555-$AU556)*100</f>
        <v/>
      </c>
      <c r="DM555" s="59">
        <f>($AV555-$AV556)*100</f>
        <v/>
      </c>
      <c r="DN555" s="59">
        <f>($AW555-$AW556)*100</f>
        <v/>
      </c>
      <c r="DO555" s="59">
        <f>($AX555-$AX556)*100</f>
        <v/>
      </c>
      <c r="DP555" s="59">
        <f>($AY555-$AY556)*100</f>
        <v/>
      </c>
      <c r="DQ555" s="59">
        <f>($AZ555-$AZ556)*100</f>
        <v/>
      </c>
      <c r="DR555" s="59">
        <f>($BA555-$BA556)*100</f>
        <v/>
      </c>
      <c r="DS555" s="58">
        <f>IFERROR($N556/$N555-1,"")</f>
        <v/>
      </c>
      <c r="DT555" s="58">
        <f>IFERROR($O556/$O555-1,"")</f>
        <v/>
      </c>
      <c r="DU555" s="58">
        <f>IFERROR($P556/$P555-1,"")</f>
        <v/>
      </c>
      <c r="DV555" s="58">
        <f>IFERROR($Q556/$Q555-1,"")</f>
        <v/>
      </c>
      <c r="DW555" s="58">
        <f>IFERROR($R556/$R555-1,"")</f>
        <v/>
      </c>
      <c r="DX555" s="58">
        <f>IFERROR($S556/$S555-1,"")</f>
        <v/>
      </c>
      <c r="DY555" s="58">
        <f>IFERROR($T556/$T555-1,"")</f>
        <v/>
      </c>
      <c r="DZ555" s="58">
        <f>IFERROR($U556/$U555-1,"")</f>
        <v/>
      </c>
      <c r="EA555" s="58">
        <f>IFERROR($V556/$V555-1,"")</f>
        <v/>
      </c>
      <c r="EB555" s="58">
        <f>IFERROR($W556/$W555-1,"")</f>
        <v/>
      </c>
      <c r="EC555" s="58">
        <f>IFERROR($X556/$X555-1,"")</f>
        <v/>
      </c>
      <c r="ED555" s="58">
        <f>IFERROR($Y556/$Y555-1,"")</f>
        <v/>
      </c>
      <c r="EE555" s="58">
        <f>IFERROR($Z556/$Z555-1,"")</f>
        <v/>
      </c>
      <c r="EF555" s="58">
        <f>IFERROR($AA556/$AA555-1,"")</f>
        <v/>
      </c>
      <c r="EG555" s="58">
        <f>IFERROR($AB556/$AB555-1,"")</f>
        <v/>
      </c>
      <c r="EH555" s="58">
        <f>IFERROR($AC556/$AC555-1,"")</f>
        <v/>
      </c>
      <c r="EI555" s="58">
        <f>IFERROR($AD556/$AD555-1,"")</f>
        <v/>
      </c>
      <c r="EJ555" s="58">
        <f>IFERROR($AE556/$AE555-1,"")</f>
        <v/>
      </c>
      <c r="EK555" s="58">
        <f>IFERROR($AF556/$AF555-1,"")</f>
        <v/>
      </c>
      <c r="EL555" s="58">
        <f>IFERROR($AG556/$AG555-1,"")</f>
        <v/>
      </c>
      <c r="EM555" s="58">
        <f>IFERROR($BB555/$BB556-1,"")</f>
        <v/>
      </c>
      <c r="EN555" s="58">
        <f>IFERROR($BC555/$BC556-1,"")</f>
        <v/>
      </c>
      <c r="EO555" s="58">
        <f>IFERROR($BD555/$BD556-1,"")</f>
        <v/>
      </c>
      <c r="EP555" s="58">
        <f>IFERROR($BE555/$BE556-1,"")</f>
        <v/>
      </c>
      <c r="EQ555" s="58">
        <f>IFERROR($BF555/$BF556-1,"")</f>
        <v/>
      </c>
      <c r="ER555" s="58">
        <f>IFERROR($BG555/$BG556-1,"")</f>
        <v/>
      </c>
      <c r="ES555" s="58">
        <f>IFERROR($BH555/$BH556-1,"")</f>
        <v/>
      </c>
      <c r="ET555" s="58">
        <f>IFERROR($BI555/$BI556-1,"")</f>
        <v/>
      </c>
      <c r="EU555" s="58">
        <f>IFERROR($BJ555/$BJ556-1,"")</f>
        <v/>
      </c>
      <c r="EV555" s="58">
        <f>IFERROR($BK555/$BK556-1,"")</f>
        <v/>
      </c>
      <c r="EW555" s="58">
        <f>IFERROR($BL555/$BL556-1,"")</f>
        <v/>
      </c>
      <c r="EX555" s="58">
        <f>IFERROR($BM555/$BM556-1,"")</f>
        <v/>
      </c>
      <c r="EY555" s="58">
        <f>IFERROR($BN555/$BN556-1,"")</f>
        <v/>
      </c>
      <c r="EZ555" s="58">
        <f>IFERROR($BO555/$BO556-1,"")</f>
        <v/>
      </c>
      <c r="FA555" s="58">
        <f>IFERROR($BP555/$BP556-1,"")</f>
        <v/>
      </c>
      <c r="FB555" s="58">
        <f>IFERROR($BQ555/$BQ556-1,"")</f>
        <v/>
      </c>
      <c r="FC555" s="58">
        <f>IFERROR($BR555/$BR556-1,"")</f>
        <v/>
      </c>
      <c r="FD555" s="58">
        <f>IFERROR($BS555/$BS556-1,"")</f>
        <v/>
      </c>
      <c r="FE555" s="58">
        <f>IFERROR($BT555/$BT556-1,"")</f>
        <v/>
      </c>
      <c r="FF555" s="58">
        <f>IFERROR($BU555/$BU556-1,"")</f>
        <v/>
      </c>
      <c r="FG555" s="58">
        <f>IFERROR($BV555/$BV556-1,"")</f>
        <v/>
      </c>
      <c r="FH555" s="58">
        <f>IFERROR($BW555/$BW556-1,"")</f>
        <v/>
      </c>
      <c r="FI555" s="58">
        <f>IFERROR($BX555/$BX556-1,"")</f>
        <v/>
      </c>
      <c r="FJ555" s="59">
        <f>$BY555-$BY556</f>
        <v/>
      </c>
      <c r="FK555" s="59">
        <f>$BZ555-$BZ556</f>
        <v/>
      </c>
      <c r="FL555" s="59">
        <f>$CA555-$CA556</f>
        <v/>
      </c>
      <c r="FM555" s="59">
        <f>$CB555-$CB556</f>
        <v/>
      </c>
      <c r="FN555" s="59">
        <f>$CC555-$CC556</f>
        <v/>
      </c>
      <c r="FO555" s="59">
        <f>$CD555-$CD556</f>
        <v/>
      </c>
      <c r="FP555" s="59">
        <f>$CE555-$CE556</f>
        <v/>
      </c>
      <c r="FQ555" s="59">
        <f>$CF555-$CF556</f>
        <v/>
      </c>
      <c r="FR555" s="59">
        <f>$CG555-$CG556</f>
        <v/>
      </c>
      <c r="FS555" s="59">
        <f>$CH555-$CH556</f>
        <v/>
      </c>
      <c r="FT555" s="59">
        <f>$CI555-$CI556</f>
        <v/>
      </c>
      <c r="FU555" s="59">
        <f>$CJ555-$CJ556</f>
        <v/>
      </c>
      <c r="FV555" s="59">
        <f>$CK555-$CK556</f>
        <v/>
      </c>
      <c r="FW555" s="59">
        <f>$CL555-$CL556</f>
        <v/>
      </c>
      <c r="FX555" s="59">
        <f>$CM555-$CM556</f>
        <v/>
      </c>
      <c r="FY555" s="59">
        <f>$CN555-$CN556</f>
        <v/>
      </c>
      <c r="FZ555" s="59">
        <f>$CO555-$CO556</f>
        <v/>
      </c>
      <c r="GA555" s="59">
        <f>$CP555-$CP556</f>
        <v/>
      </c>
      <c r="GB555" s="59">
        <f>$CQ555-$CQ556</f>
        <v/>
      </c>
      <c r="GC555" s="59">
        <f>$CR555-$CR556</f>
        <v/>
      </c>
      <c r="GD555" s="59">
        <f>$CS555-$CS556</f>
        <v/>
      </c>
      <c r="GE555" s="59">
        <f>$CT555-$CT556</f>
        <v/>
      </c>
    </row>
    <row r="556">
      <c r="CU556" s="58">
        <f>IFERROR($B556/$B557-1,"")</f>
        <v/>
      </c>
      <c r="CV556" s="59">
        <f>($F556-$F557)*100</f>
        <v/>
      </c>
      <c r="CW556" s="59">
        <f>($E556-$E557)*100</f>
        <v/>
      </c>
      <c r="CX556" s="58">
        <f>IFERROR($K556/$K557-1,"")</f>
        <v/>
      </c>
      <c r="CY556" s="59">
        <f>($AH556-$AH557)*100</f>
        <v/>
      </c>
      <c r="CZ556" s="59">
        <f>($AI556-$AI557)*100</f>
        <v/>
      </c>
      <c r="DA556" s="59">
        <f>($AJ556-$AJ557)*100</f>
        <v/>
      </c>
      <c r="DB556" s="59">
        <f>($AK556-$AK557)*100</f>
        <v/>
      </c>
      <c r="DC556" s="59">
        <f>($AL556-$AL557)*100</f>
        <v/>
      </c>
      <c r="DD556" s="59">
        <f>($AM556-$AM557)*100</f>
        <v/>
      </c>
      <c r="DE556" s="59">
        <f>($AN556-$AN557)*100</f>
        <v/>
      </c>
      <c r="DF556" s="59">
        <f>($AO556-$AO557)*100</f>
        <v/>
      </c>
      <c r="DG556" s="59">
        <f>($AP556-$AP557)*100</f>
        <v/>
      </c>
      <c r="DH556" s="59">
        <f>($AQ556-$AQ557)*100</f>
        <v/>
      </c>
      <c r="DI556" s="59">
        <f>($AR556-$AR557)*100</f>
        <v/>
      </c>
      <c r="DJ556" s="59">
        <f>($AS556-$AS557)*100</f>
        <v/>
      </c>
      <c r="DK556" s="59">
        <f>($AT556-$AT557)*100</f>
        <v/>
      </c>
      <c r="DL556" s="59">
        <f>($AU556-$AU557)*100</f>
        <v/>
      </c>
      <c r="DM556" s="59">
        <f>($AV556-$AV557)*100</f>
        <v/>
      </c>
      <c r="DN556" s="59">
        <f>($AW556-$AW557)*100</f>
        <v/>
      </c>
      <c r="DO556" s="59">
        <f>($AX556-$AX557)*100</f>
        <v/>
      </c>
      <c r="DP556" s="59">
        <f>($AY556-$AY557)*100</f>
        <v/>
      </c>
      <c r="DQ556" s="59">
        <f>($AZ556-$AZ557)*100</f>
        <v/>
      </c>
      <c r="DR556" s="59">
        <f>($BA556-$BA557)*100</f>
        <v/>
      </c>
      <c r="DS556" s="58">
        <f>IFERROR($N557/$N556-1,"")</f>
        <v/>
      </c>
      <c r="DT556" s="58">
        <f>IFERROR($O557/$O556-1,"")</f>
        <v/>
      </c>
      <c r="DU556" s="58">
        <f>IFERROR($P557/$P556-1,"")</f>
        <v/>
      </c>
      <c r="DV556" s="58">
        <f>IFERROR($Q557/$Q556-1,"")</f>
        <v/>
      </c>
      <c r="DW556" s="58">
        <f>IFERROR($R557/$R556-1,"")</f>
        <v/>
      </c>
      <c r="DX556" s="58">
        <f>IFERROR($S557/$S556-1,"")</f>
        <v/>
      </c>
      <c r="DY556" s="58">
        <f>IFERROR($T557/$T556-1,"")</f>
        <v/>
      </c>
      <c r="DZ556" s="58">
        <f>IFERROR($U557/$U556-1,"")</f>
        <v/>
      </c>
      <c r="EA556" s="58">
        <f>IFERROR($V557/$V556-1,"")</f>
        <v/>
      </c>
      <c r="EB556" s="58">
        <f>IFERROR($W557/$W556-1,"")</f>
        <v/>
      </c>
      <c r="EC556" s="58">
        <f>IFERROR($X557/$X556-1,"")</f>
        <v/>
      </c>
      <c r="ED556" s="58">
        <f>IFERROR($Y557/$Y556-1,"")</f>
        <v/>
      </c>
      <c r="EE556" s="58">
        <f>IFERROR($Z557/$Z556-1,"")</f>
        <v/>
      </c>
      <c r="EF556" s="58">
        <f>IFERROR($AA557/$AA556-1,"")</f>
        <v/>
      </c>
      <c r="EG556" s="58">
        <f>IFERROR($AB557/$AB556-1,"")</f>
        <v/>
      </c>
      <c r="EH556" s="58">
        <f>IFERROR($AC557/$AC556-1,"")</f>
        <v/>
      </c>
      <c r="EI556" s="58">
        <f>IFERROR($AD557/$AD556-1,"")</f>
        <v/>
      </c>
      <c r="EJ556" s="58">
        <f>IFERROR($AE557/$AE556-1,"")</f>
        <v/>
      </c>
      <c r="EK556" s="58">
        <f>IFERROR($AF557/$AF556-1,"")</f>
        <v/>
      </c>
      <c r="EL556" s="58">
        <f>IFERROR($AG557/$AG556-1,"")</f>
        <v/>
      </c>
      <c r="EM556" s="58">
        <f>IFERROR($BB556/$BB557-1,"")</f>
        <v/>
      </c>
      <c r="EN556" s="58">
        <f>IFERROR($BC556/$BC557-1,"")</f>
        <v/>
      </c>
      <c r="EO556" s="58">
        <f>IFERROR($BD556/$BD557-1,"")</f>
        <v/>
      </c>
      <c r="EP556" s="58">
        <f>IFERROR($BE556/$BE557-1,"")</f>
        <v/>
      </c>
      <c r="EQ556" s="58">
        <f>IFERROR($BF556/$BF557-1,"")</f>
        <v/>
      </c>
      <c r="ER556" s="58">
        <f>IFERROR($BG556/$BG557-1,"")</f>
        <v/>
      </c>
      <c r="ES556" s="58">
        <f>IFERROR($BH556/$BH557-1,"")</f>
        <v/>
      </c>
      <c r="ET556" s="58">
        <f>IFERROR($BI556/$BI557-1,"")</f>
        <v/>
      </c>
      <c r="EU556" s="58">
        <f>IFERROR($BJ556/$BJ557-1,"")</f>
        <v/>
      </c>
      <c r="EV556" s="58">
        <f>IFERROR($BK556/$BK557-1,"")</f>
        <v/>
      </c>
      <c r="EW556" s="58">
        <f>IFERROR($BL556/$BL557-1,"")</f>
        <v/>
      </c>
      <c r="EX556" s="58">
        <f>IFERROR($BM556/$BM557-1,"")</f>
        <v/>
      </c>
      <c r="EY556" s="58">
        <f>IFERROR($BN556/$BN557-1,"")</f>
        <v/>
      </c>
      <c r="EZ556" s="58">
        <f>IFERROR($BO556/$BO557-1,"")</f>
        <v/>
      </c>
      <c r="FA556" s="58">
        <f>IFERROR($BP556/$BP557-1,"")</f>
        <v/>
      </c>
      <c r="FB556" s="58">
        <f>IFERROR($BQ556/$BQ557-1,"")</f>
        <v/>
      </c>
      <c r="FC556" s="58">
        <f>IFERROR($BR556/$BR557-1,"")</f>
        <v/>
      </c>
      <c r="FD556" s="58">
        <f>IFERROR($BS556/$BS557-1,"")</f>
        <v/>
      </c>
      <c r="FE556" s="58">
        <f>IFERROR($BT556/$BT557-1,"")</f>
        <v/>
      </c>
      <c r="FF556" s="58">
        <f>IFERROR($BU556/$BU557-1,"")</f>
        <v/>
      </c>
      <c r="FG556" s="58">
        <f>IFERROR($BV556/$BV557-1,"")</f>
        <v/>
      </c>
      <c r="FH556" s="58">
        <f>IFERROR($BW556/$BW557-1,"")</f>
        <v/>
      </c>
      <c r="FI556" s="58">
        <f>IFERROR($BX556/$BX557-1,"")</f>
        <v/>
      </c>
      <c r="FJ556" s="59">
        <f>$BY556-$BY557</f>
        <v/>
      </c>
      <c r="FK556" s="59">
        <f>$BZ556-$BZ557</f>
        <v/>
      </c>
      <c r="FL556" s="59">
        <f>$CA556-$CA557</f>
        <v/>
      </c>
      <c r="FM556" s="59">
        <f>$CB556-$CB557</f>
        <v/>
      </c>
      <c r="FN556" s="59">
        <f>$CC556-$CC557</f>
        <v/>
      </c>
      <c r="FO556" s="59">
        <f>$CD556-$CD557</f>
        <v/>
      </c>
      <c r="FP556" s="59">
        <f>$CE556-$CE557</f>
        <v/>
      </c>
      <c r="FQ556" s="59">
        <f>$CF556-$CF557</f>
        <v/>
      </c>
      <c r="FR556" s="59">
        <f>$CG556-$CG557</f>
        <v/>
      </c>
      <c r="FS556" s="59">
        <f>$CH556-$CH557</f>
        <v/>
      </c>
      <c r="FT556" s="59">
        <f>$CI556-$CI557</f>
        <v/>
      </c>
      <c r="FU556" s="59">
        <f>$CJ556-$CJ557</f>
        <v/>
      </c>
      <c r="FV556" s="59">
        <f>$CK556-$CK557</f>
        <v/>
      </c>
      <c r="FW556" s="59">
        <f>$CL556-$CL557</f>
        <v/>
      </c>
      <c r="FX556" s="59">
        <f>$CM556-$CM557</f>
        <v/>
      </c>
      <c r="FY556" s="59">
        <f>$CN556-$CN557</f>
        <v/>
      </c>
      <c r="FZ556" s="59">
        <f>$CO556-$CO557</f>
        <v/>
      </c>
      <c r="GA556" s="59">
        <f>$CP556-$CP557</f>
        <v/>
      </c>
      <c r="GB556" s="59">
        <f>$CQ556-$CQ557</f>
        <v/>
      </c>
      <c r="GC556" s="59">
        <f>$CR556-$CR557</f>
        <v/>
      </c>
      <c r="GD556" s="59">
        <f>$CS556-$CS557</f>
        <v/>
      </c>
      <c r="GE556" s="59">
        <f>$CT556-$CT557</f>
        <v/>
      </c>
    </row>
    <row r="557">
      <c r="CU557" s="58">
        <f>IFERROR($B557/$B558-1,"")</f>
        <v/>
      </c>
      <c r="CV557" s="59">
        <f>($F557-$F558)*100</f>
        <v/>
      </c>
      <c r="CW557" s="59">
        <f>($E557-$E558)*100</f>
        <v/>
      </c>
      <c r="CX557" s="58">
        <f>IFERROR($K557/$K558-1,"")</f>
        <v/>
      </c>
      <c r="CY557" s="59">
        <f>($AH557-$AH558)*100</f>
        <v/>
      </c>
      <c r="CZ557" s="59">
        <f>($AI557-$AI558)*100</f>
        <v/>
      </c>
      <c r="DA557" s="59">
        <f>($AJ557-$AJ558)*100</f>
        <v/>
      </c>
      <c r="DB557" s="59">
        <f>($AK557-$AK558)*100</f>
        <v/>
      </c>
      <c r="DC557" s="59">
        <f>($AL557-$AL558)*100</f>
        <v/>
      </c>
      <c r="DD557" s="59">
        <f>($AM557-$AM558)*100</f>
        <v/>
      </c>
      <c r="DE557" s="59">
        <f>($AN557-$AN558)*100</f>
        <v/>
      </c>
      <c r="DF557" s="59">
        <f>($AO557-$AO558)*100</f>
        <v/>
      </c>
      <c r="DG557" s="59">
        <f>($AP557-$AP558)*100</f>
        <v/>
      </c>
      <c r="DH557" s="59">
        <f>($AQ557-$AQ558)*100</f>
        <v/>
      </c>
      <c r="DI557" s="59">
        <f>($AR557-$AR558)*100</f>
        <v/>
      </c>
      <c r="DJ557" s="59">
        <f>($AS557-$AS558)*100</f>
        <v/>
      </c>
      <c r="DK557" s="59">
        <f>($AT557-$AT558)*100</f>
        <v/>
      </c>
      <c r="DL557" s="59">
        <f>($AU557-$AU558)*100</f>
        <v/>
      </c>
      <c r="DM557" s="59">
        <f>($AV557-$AV558)*100</f>
        <v/>
      </c>
      <c r="DN557" s="59">
        <f>($AW557-$AW558)*100</f>
        <v/>
      </c>
      <c r="DO557" s="59">
        <f>($AX557-$AX558)*100</f>
        <v/>
      </c>
      <c r="DP557" s="59">
        <f>($AY557-$AY558)*100</f>
        <v/>
      </c>
      <c r="DQ557" s="59">
        <f>($AZ557-$AZ558)*100</f>
        <v/>
      </c>
      <c r="DR557" s="59">
        <f>($BA557-$BA558)*100</f>
        <v/>
      </c>
      <c r="DS557" s="58">
        <f>IFERROR($N558/$N557-1,"")</f>
        <v/>
      </c>
      <c r="DT557" s="58">
        <f>IFERROR($O558/$O557-1,"")</f>
        <v/>
      </c>
      <c r="DU557" s="58">
        <f>IFERROR($P558/$P557-1,"")</f>
        <v/>
      </c>
      <c r="DV557" s="58">
        <f>IFERROR($Q558/$Q557-1,"")</f>
        <v/>
      </c>
      <c r="DW557" s="58">
        <f>IFERROR($R558/$R557-1,"")</f>
        <v/>
      </c>
      <c r="DX557" s="58">
        <f>IFERROR($S558/$S557-1,"")</f>
        <v/>
      </c>
      <c r="DY557" s="58">
        <f>IFERROR($T558/$T557-1,"")</f>
        <v/>
      </c>
      <c r="DZ557" s="58">
        <f>IFERROR($U558/$U557-1,"")</f>
        <v/>
      </c>
      <c r="EA557" s="58">
        <f>IFERROR($V558/$V557-1,"")</f>
        <v/>
      </c>
      <c r="EB557" s="58">
        <f>IFERROR($W558/$W557-1,"")</f>
        <v/>
      </c>
      <c r="EC557" s="58">
        <f>IFERROR($X558/$X557-1,"")</f>
        <v/>
      </c>
      <c r="ED557" s="58">
        <f>IFERROR($Y558/$Y557-1,"")</f>
        <v/>
      </c>
      <c r="EE557" s="58">
        <f>IFERROR($Z558/$Z557-1,"")</f>
        <v/>
      </c>
      <c r="EF557" s="58">
        <f>IFERROR($AA558/$AA557-1,"")</f>
        <v/>
      </c>
      <c r="EG557" s="58">
        <f>IFERROR($AB558/$AB557-1,"")</f>
        <v/>
      </c>
      <c r="EH557" s="58">
        <f>IFERROR($AC558/$AC557-1,"")</f>
        <v/>
      </c>
      <c r="EI557" s="58">
        <f>IFERROR($AD558/$AD557-1,"")</f>
        <v/>
      </c>
      <c r="EJ557" s="58">
        <f>IFERROR($AE558/$AE557-1,"")</f>
        <v/>
      </c>
      <c r="EK557" s="58">
        <f>IFERROR($AF558/$AF557-1,"")</f>
        <v/>
      </c>
      <c r="EL557" s="58">
        <f>IFERROR($AG558/$AG557-1,"")</f>
        <v/>
      </c>
      <c r="EM557" s="58">
        <f>IFERROR($BB557/$BB558-1,"")</f>
        <v/>
      </c>
      <c r="EN557" s="58">
        <f>IFERROR($BC557/$BC558-1,"")</f>
        <v/>
      </c>
      <c r="EO557" s="58">
        <f>IFERROR($BD557/$BD558-1,"")</f>
        <v/>
      </c>
      <c r="EP557" s="58">
        <f>IFERROR($BE557/$BE558-1,"")</f>
        <v/>
      </c>
      <c r="EQ557" s="58">
        <f>IFERROR($BF557/$BF558-1,"")</f>
        <v/>
      </c>
      <c r="ER557" s="58">
        <f>IFERROR($BG557/$BG558-1,"")</f>
        <v/>
      </c>
      <c r="ES557" s="58">
        <f>IFERROR($BH557/$BH558-1,"")</f>
        <v/>
      </c>
      <c r="ET557" s="58">
        <f>IFERROR($BI557/$BI558-1,"")</f>
        <v/>
      </c>
      <c r="EU557" s="58">
        <f>IFERROR($BJ557/$BJ558-1,"")</f>
        <v/>
      </c>
      <c r="EV557" s="58">
        <f>IFERROR($BK557/$BK558-1,"")</f>
        <v/>
      </c>
      <c r="EW557" s="58">
        <f>IFERROR($BL557/$BL558-1,"")</f>
        <v/>
      </c>
      <c r="EX557" s="58">
        <f>IFERROR($BM557/$BM558-1,"")</f>
        <v/>
      </c>
      <c r="EY557" s="58">
        <f>IFERROR($BN557/$BN558-1,"")</f>
        <v/>
      </c>
      <c r="EZ557" s="58">
        <f>IFERROR($BO557/$BO558-1,"")</f>
        <v/>
      </c>
      <c r="FA557" s="58">
        <f>IFERROR($BP557/$BP558-1,"")</f>
        <v/>
      </c>
      <c r="FB557" s="58">
        <f>IFERROR($BQ557/$BQ558-1,"")</f>
        <v/>
      </c>
      <c r="FC557" s="58">
        <f>IFERROR($BR557/$BR558-1,"")</f>
        <v/>
      </c>
      <c r="FD557" s="58">
        <f>IFERROR($BS557/$BS558-1,"")</f>
        <v/>
      </c>
      <c r="FE557" s="58">
        <f>IFERROR($BT557/$BT558-1,"")</f>
        <v/>
      </c>
      <c r="FF557" s="58">
        <f>IFERROR($BU557/$BU558-1,"")</f>
        <v/>
      </c>
      <c r="FG557" s="58">
        <f>IFERROR($BV557/$BV558-1,"")</f>
        <v/>
      </c>
      <c r="FH557" s="58">
        <f>IFERROR($BW557/$BW558-1,"")</f>
        <v/>
      </c>
      <c r="FI557" s="58">
        <f>IFERROR($BX557/$BX558-1,"")</f>
        <v/>
      </c>
      <c r="FJ557" s="59">
        <f>$BY557-$BY558</f>
        <v/>
      </c>
      <c r="FK557" s="59">
        <f>$BZ557-$BZ558</f>
        <v/>
      </c>
      <c r="FL557" s="59">
        <f>$CA557-$CA558</f>
        <v/>
      </c>
      <c r="FM557" s="59">
        <f>$CB557-$CB558</f>
        <v/>
      </c>
      <c r="FN557" s="59">
        <f>$CC557-$CC558</f>
        <v/>
      </c>
      <c r="FO557" s="59">
        <f>$CD557-$CD558</f>
        <v/>
      </c>
      <c r="FP557" s="59">
        <f>$CE557-$CE558</f>
        <v/>
      </c>
      <c r="FQ557" s="59">
        <f>$CF557-$CF558</f>
        <v/>
      </c>
      <c r="FR557" s="59">
        <f>$CG557-$CG558</f>
        <v/>
      </c>
      <c r="FS557" s="59">
        <f>$CH557-$CH558</f>
        <v/>
      </c>
      <c r="FT557" s="59">
        <f>$CI557-$CI558</f>
        <v/>
      </c>
      <c r="FU557" s="59">
        <f>$CJ557-$CJ558</f>
        <v/>
      </c>
      <c r="FV557" s="59">
        <f>$CK557-$CK558</f>
        <v/>
      </c>
      <c r="FW557" s="59">
        <f>$CL557-$CL558</f>
        <v/>
      </c>
      <c r="FX557" s="59">
        <f>$CM557-$CM558</f>
        <v/>
      </c>
      <c r="FY557" s="59">
        <f>$CN557-$CN558</f>
        <v/>
      </c>
      <c r="FZ557" s="59">
        <f>$CO557-$CO558</f>
        <v/>
      </c>
      <c r="GA557" s="59">
        <f>$CP557-$CP558</f>
        <v/>
      </c>
      <c r="GB557" s="59">
        <f>$CQ557-$CQ558</f>
        <v/>
      </c>
      <c r="GC557" s="59">
        <f>$CR557-$CR558</f>
        <v/>
      </c>
      <c r="GD557" s="59">
        <f>$CS557-$CS558</f>
        <v/>
      </c>
      <c r="GE557" s="59">
        <f>$CT557-$CT558</f>
        <v/>
      </c>
    </row>
    <row r="558">
      <c r="CU558" s="58">
        <f>IFERROR($B558/$B559-1,"")</f>
        <v/>
      </c>
      <c r="CV558" s="59">
        <f>($F558-$F559)*100</f>
        <v/>
      </c>
      <c r="CW558" s="59">
        <f>($E558-$E559)*100</f>
        <v/>
      </c>
      <c r="CX558" s="58">
        <f>IFERROR($K558/$K559-1,"")</f>
        <v/>
      </c>
      <c r="CY558" s="59">
        <f>($AH558-$AH559)*100</f>
        <v/>
      </c>
      <c r="CZ558" s="59">
        <f>($AI558-$AI559)*100</f>
        <v/>
      </c>
      <c r="DA558" s="59">
        <f>($AJ558-$AJ559)*100</f>
        <v/>
      </c>
      <c r="DB558" s="59">
        <f>($AK558-$AK559)*100</f>
        <v/>
      </c>
      <c r="DC558" s="59">
        <f>($AL558-$AL559)*100</f>
        <v/>
      </c>
      <c r="DD558" s="59">
        <f>($AM558-$AM559)*100</f>
        <v/>
      </c>
      <c r="DE558" s="59">
        <f>($AN558-$AN559)*100</f>
        <v/>
      </c>
      <c r="DF558" s="59">
        <f>($AO558-$AO559)*100</f>
        <v/>
      </c>
      <c r="DG558" s="59">
        <f>($AP558-$AP559)*100</f>
        <v/>
      </c>
      <c r="DH558" s="59">
        <f>($AQ558-$AQ559)*100</f>
        <v/>
      </c>
      <c r="DI558" s="59">
        <f>($AR558-$AR559)*100</f>
        <v/>
      </c>
      <c r="DJ558" s="59">
        <f>($AS558-$AS559)*100</f>
        <v/>
      </c>
      <c r="DK558" s="59">
        <f>($AT558-$AT559)*100</f>
        <v/>
      </c>
      <c r="DL558" s="59">
        <f>($AU558-$AU559)*100</f>
        <v/>
      </c>
      <c r="DM558" s="59">
        <f>($AV558-$AV559)*100</f>
        <v/>
      </c>
      <c r="DN558" s="59">
        <f>($AW558-$AW559)*100</f>
        <v/>
      </c>
      <c r="DO558" s="59">
        <f>($AX558-$AX559)*100</f>
        <v/>
      </c>
      <c r="DP558" s="59">
        <f>($AY558-$AY559)*100</f>
        <v/>
      </c>
      <c r="DQ558" s="59">
        <f>($AZ558-$AZ559)*100</f>
        <v/>
      </c>
      <c r="DR558" s="59">
        <f>($BA558-$BA559)*100</f>
        <v/>
      </c>
      <c r="DS558" s="58">
        <f>IFERROR($N559/$N558-1,"")</f>
        <v/>
      </c>
      <c r="DT558" s="58">
        <f>IFERROR($O559/$O558-1,"")</f>
        <v/>
      </c>
      <c r="DU558" s="58">
        <f>IFERROR($P559/$P558-1,"")</f>
        <v/>
      </c>
      <c r="DV558" s="58">
        <f>IFERROR($Q559/$Q558-1,"")</f>
        <v/>
      </c>
      <c r="DW558" s="58">
        <f>IFERROR($R559/$R558-1,"")</f>
        <v/>
      </c>
      <c r="DX558" s="58">
        <f>IFERROR($S559/$S558-1,"")</f>
        <v/>
      </c>
      <c r="DY558" s="58">
        <f>IFERROR($T559/$T558-1,"")</f>
        <v/>
      </c>
      <c r="DZ558" s="58">
        <f>IFERROR($U559/$U558-1,"")</f>
        <v/>
      </c>
      <c r="EA558" s="58">
        <f>IFERROR($V559/$V558-1,"")</f>
        <v/>
      </c>
      <c r="EB558" s="58">
        <f>IFERROR($W559/$W558-1,"")</f>
        <v/>
      </c>
      <c r="EC558" s="58">
        <f>IFERROR($X559/$X558-1,"")</f>
        <v/>
      </c>
      <c r="ED558" s="58">
        <f>IFERROR($Y559/$Y558-1,"")</f>
        <v/>
      </c>
      <c r="EE558" s="58">
        <f>IFERROR($Z559/$Z558-1,"")</f>
        <v/>
      </c>
      <c r="EF558" s="58">
        <f>IFERROR($AA559/$AA558-1,"")</f>
        <v/>
      </c>
      <c r="EG558" s="58">
        <f>IFERROR($AB559/$AB558-1,"")</f>
        <v/>
      </c>
      <c r="EH558" s="58">
        <f>IFERROR($AC559/$AC558-1,"")</f>
        <v/>
      </c>
      <c r="EI558" s="58">
        <f>IFERROR($AD559/$AD558-1,"")</f>
        <v/>
      </c>
      <c r="EJ558" s="58">
        <f>IFERROR($AE559/$AE558-1,"")</f>
        <v/>
      </c>
      <c r="EK558" s="58">
        <f>IFERROR($AF559/$AF558-1,"")</f>
        <v/>
      </c>
      <c r="EL558" s="58">
        <f>IFERROR($AG559/$AG558-1,"")</f>
        <v/>
      </c>
      <c r="EM558" s="58">
        <f>IFERROR($BB558/$BB559-1,"")</f>
        <v/>
      </c>
      <c r="EN558" s="58">
        <f>IFERROR($BC558/$BC559-1,"")</f>
        <v/>
      </c>
      <c r="EO558" s="58">
        <f>IFERROR($BD558/$BD559-1,"")</f>
        <v/>
      </c>
      <c r="EP558" s="58">
        <f>IFERROR($BE558/$BE559-1,"")</f>
        <v/>
      </c>
      <c r="EQ558" s="58">
        <f>IFERROR($BF558/$BF559-1,"")</f>
        <v/>
      </c>
      <c r="ER558" s="58">
        <f>IFERROR($BG558/$BG559-1,"")</f>
        <v/>
      </c>
      <c r="ES558" s="58">
        <f>IFERROR($BH558/$BH559-1,"")</f>
        <v/>
      </c>
      <c r="ET558" s="58">
        <f>IFERROR($BI558/$BI559-1,"")</f>
        <v/>
      </c>
      <c r="EU558" s="58">
        <f>IFERROR($BJ558/$BJ559-1,"")</f>
        <v/>
      </c>
      <c r="EV558" s="58">
        <f>IFERROR($BK558/$BK559-1,"")</f>
        <v/>
      </c>
      <c r="EW558" s="58">
        <f>IFERROR($BL558/$BL559-1,"")</f>
        <v/>
      </c>
      <c r="EX558" s="58">
        <f>IFERROR($BM558/$BM559-1,"")</f>
        <v/>
      </c>
      <c r="EY558" s="58">
        <f>IFERROR($BN558/$BN559-1,"")</f>
        <v/>
      </c>
      <c r="EZ558" s="58">
        <f>IFERROR($BO558/$BO559-1,"")</f>
        <v/>
      </c>
      <c r="FA558" s="58">
        <f>IFERROR($BP558/$BP559-1,"")</f>
        <v/>
      </c>
      <c r="FB558" s="58">
        <f>IFERROR($BQ558/$BQ559-1,"")</f>
        <v/>
      </c>
      <c r="FC558" s="58">
        <f>IFERROR($BR558/$BR559-1,"")</f>
        <v/>
      </c>
      <c r="FD558" s="58">
        <f>IFERROR($BS558/$BS559-1,"")</f>
        <v/>
      </c>
      <c r="FE558" s="58">
        <f>IFERROR($BT558/$BT559-1,"")</f>
        <v/>
      </c>
      <c r="FF558" s="58">
        <f>IFERROR($BU558/$BU559-1,"")</f>
        <v/>
      </c>
      <c r="FG558" s="58">
        <f>IFERROR($BV558/$BV559-1,"")</f>
        <v/>
      </c>
      <c r="FH558" s="58">
        <f>IFERROR($BW558/$BW559-1,"")</f>
        <v/>
      </c>
      <c r="FI558" s="58">
        <f>IFERROR($BX558/$BX559-1,"")</f>
        <v/>
      </c>
      <c r="FJ558" s="59">
        <f>$BY558-$BY559</f>
        <v/>
      </c>
      <c r="FK558" s="59">
        <f>$BZ558-$BZ559</f>
        <v/>
      </c>
      <c r="FL558" s="59">
        <f>$CA558-$CA559</f>
        <v/>
      </c>
      <c r="FM558" s="59">
        <f>$CB558-$CB559</f>
        <v/>
      </c>
      <c r="FN558" s="59">
        <f>$CC558-$CC559</f>
        <v/>
      </c>
      <c r="FO558" s="59">
        <f>$CD558-$CD559</f>
        <v/>
      </c>
      <c r="FP558" s="59">
        <f>$CE558-$CE559</f>
        <v/>
      </c>
      <c r="FQ558" s="59">
        <f>$CF558-$CF559</f>
        <v/>
      </c>
      <c r="FR558" s="59">
        <f>$CG558-$CG559</f>
        <v/>
      </c>
      <c r="FS558" s="59">
        <f>$CH558-$CH559</f>
        <v/>
      </c>
      <c r="FT558" s="59">
        <f>$CI558-$CI559</f>
        <v/>
      </c>
      <c r="FU558" s="59">
        <f>$CJ558-$CJ559</f>
        <v/>
      </c>
      <c r="FV558" s="59">
        <f>$CK558-$CK559</f>
        <v/>
      </c>
      <c r="FW558" s="59">
        <f>$CL558-$CL559</f>
        <v/>
      </c>
      <c r="FX558" s="59">
        <f>$CM558-$CM559</f>
        <v/>
      </c>
      <c r="FY558" s="59">
        <f>$CN558-$CN559</f>
        <v/>
      </c>
      <c r="FZ558" s="59">
        <f>$CO558-$CO559</f>
        <v/>
      </c>
      <c r="GA558" s="59">
        <f>$CP558-$CP559</f>
        <v/>
      </c>
      <c r="GB558" s="59">
        <f>$CQ558-$CQ559</f>
        <v/>
      </c>
      <c r="GC558" s="59">
        <f>$CR558-$CR559</f>
        <v/>
      </c>
      <c r="GD558" s="59">
        <f>$CS558-$CS559</f>
        <v/>
      </c>
      <c r="GE558" s="59">
        <f>$CT558-$CT559</f>
        <v/>
      </c>
    </row>
    <row r="559">
      <c r="CU559" s="58">
        <f>IFERROR($B559/$B560-1,"")</f>
        <v/>
      </c>
      <c r="CV559" s="59">
        <f>($F559-$F560)*100</f>
        <v/>
      </c>
      <c r="CW559" s="59">
        <f>($E559-$E560)*100</f>
        <v/>
      </c>
      <c r="CX559" s="58">
        <f>IFERROR($K559/$K560-1,"")</f>
        <v/>
      </c>
      <c r="CY559" s="59">
        <f>($AH559-$AH560)*100</f>
        <v/>
      </c>
      <c r="CZ559" s="59">
        <f>($AI559-$AI560)*100</f>
        <v/>
      </c>
      <c r="DA559" s="59">
        <f>($AJ559-$AJ560)*100</f>
        <v/>
      </c>
      <c r="DB559" s="59">
        <f>($AK559-$AK560)*100</f>
        <v/>
      </c>
      <c r="DC559" s="59">
        <f>($AL559-$AL560)*100</f>
        <v/>
      </c>
      <c r="DD559" s="59">
        <f>($AM559-$AM560)*100</f>
        <v/>
      </c>
      <c r="DE559" s="59">
        <f>($AN559-$AN560)*100</f>
        <v/>
      </c>
      <c r="DF559" s="59">
        <f>($AO559-$AO560)*100</f>
        <v/>
      </c>
      <c r="DG559" s="59">
        <f>($AP559-$AP560)*100</f>
        <v/>
      </c>
      <c r="DH559" s="59">
        <f>($AQ559-$AQ560)*100</f>
        <v/>
      </c>
      <c r="DI559" s="59">
        <f>($AR559-$AR560)*100</f>
        <v/>
      </c>
      <c r="DJ559" s="59">
        <f>($AS559-$AS560)*100</f>
        <v/>
      </c>
      <c r="DK559" s="59">
        <f>($AT559-$AT560)*100</f>
        <v/>
      </c>
      <c r="DL559" s="59">
        <f>($AU559-$AU560)*100</f>
        <v/>
      </c>
      <c r="DM559" s="59">
        <f>($AV559-$AV560)*100</f>
        <v/>
      </c>
      <c r="DN559" s="59">
        <f>($AW559-$AW560)*100</f>
        <v/>
      </c>
      <c r="DO559" s="59">
        <f>($AX559-$AX560)*100</f>
        <v/>
      </c>
      <c r="DP559" s="59">
        <f>($AY559-$AY560)*100</f>
        <v/>
      </c>
      <c r="DQ559" s="59">
        <f>($AZ559-$AZ560)*100</f>
        <v/>
      </c>
      <c r="DR559" s="59">
        <f>($BA559-$BA560)*100</f>
        <v/>
      </c>
      <c r="DS559" s="58">
        <f>IFERROR($N560/$N559-1,"")</f>
        <v/>
      </c>
      <c r="DT559" s="58">
        <f>IFERROR($O560/$O559-1,"")</f>
        <v/>
      </c>
      <c r="DU559" s="58">
        <f>IFERROR($P560/$P559-1,"")</f>
        <v/>
      </c>
      <c r="DV559" s="58">
        <f>IFERROR($Q560/$Q559-1,"")</f>
        <v/>
      </c>
      <c r="DW559" s="58">
        <f>IFERROR($R560/$R559-1,"")</f>
        <v/>
      </c>
      <c r="DX559" s="58">
        <f>IFERROR($S560/$S559-1,"")</f>
        <v/>
      </c>
      <c r="DY559" s="58">
        <f>IFERROR($T560/$T559-1,"")</f>
        <v/>
      </c>
      <c r="DZ559" s="58">
        <f>IFERROR($U560/$U559-1,"")</f>
        <v/>
      </c>
      <c r="EA559" s="58">
        <f>IFERROR($V560/$V559-1,"")</f>
        <v/>
      </c>
      <c r="EB559" s="58">
        <f>IFERROR($W560/$W559-1,"")</f>
        <v/>
      </c>
      <c r="EC559" s="58">
        <f>IFERROR($X560/$X559-1,"")</f>
        <v/>
      </c>
      <c r="ED559" s="58">
        <f>IFERROR($Y560/$Y559-1,"")</f>
        <v/>
      </c>
      <c r="EE559" s="58">
        <f>IFERROR($Z560/$Z559-1,"")</f>
        <v/>
      </c>
      <c r="EF559" s="58">
        <f>IFERROR($AA560/$AA559-1,"")</f>
        <v/>
      </c>
      <c r="EG559" s="58">
        <f>IFERROR($AB560/$AB559-1,"")</f>
        <v/>
      </c>
      <c r="EH559" s="58">
        <f>IFERROR($AC560/$AC559-1,"")</f>
        <v/>
      </c>
      <c r="EI559" s="58">
        <f>IFERROR($AD560/$AD559-1,"")</f>
        <v/>
      </c>
      <c r="EJ559" s="58">
        <f>IFERROR($AE560/$AE559-1,"")</f>
        <v/>
      </c>
      <c r="EK559" s="58">
        <f>IFERROR($AF560/$AF559-1,"")</f>
        <v/>
      </c>
      <c r="EL559" s="58">
        <f>IFERROR($AG560/$AG559-1,"")</f>
        <v/>
      </c>
      <c r="EM559" s="58">
        <f>IFERROR($BB559/$BB560-1,"")</f>
        <v/>
      </c>
      <c r="EN559" s="58">
        <f>IFERROR($BC559/$BC560-1,"")</f>
        <v/>
      </c>
      <c r="EO559" s="58">
        <f>IFERROR($BD559/$BD560-1,"")</f>
        <v/>
      </c>
      <c r="EP559" s="58">
        <f>IFERROR($BE559/$BE560-1,"")</f>
        <v/>
      </c>
      <c r="EQ559" s="58">
        <f>IFERROR($BF559/$BF560-1,"")</f>
        <v/>
      </c>
      <c r="ER559" s="58">
        <f>IFERROR($BG559/$BG560-1,"")</f>
        <v/>
      </c>
      <c r="ES559" s="58">
        <f>IFERROR($BH559/$BH560-1,"")</f>
        <v/>
      </c>
      <c r="ET559" s="58">
        <f>IFERROR($BI559/$BI560-1,"")</f>
        <v/>
      </c>
      <c r="EU559" s="58">
        <f>IFERROR($BJ559/$BJ560-1,"")</f>
        <v/>
      </c>
      <c r="EV559" s="58">
        <f>IFERROR($BK559/$BK560-1,"")</f>
        <v/>
      </c>
      <c r="EW559" s="58">
        <f>IFERROR($BL559/$BL560-1,"")</f>
        <v/>
      </c>
      <c r="EX559" s="58">
        <f>IFERROR($BM559/$BM560-1,"")</f>
        <v/>
      </c>
      <c r="EY559" s="58">
        <f>IFERROR($BN559/$BN560-1,"")</f>
        <v/>
      </c>
      <c r="EZ559" s="58">
        <f>IFERROR($BO559/$BO560-1,"")</f>
        <v/>
      </c>
      <c r="FA559" s="58">
        <f>IFERROR($BP559/$BP560-1,"")</f>
        <v/>
      </c>
      <c r="FB559" s="58">
        <f>IFERROR($BQ559/$BQ560-1,"")</f>
        <v/>
      </c>
      <c r="FC559" s="58">
        <f>IFERROR($BR559/$BR560-1,"")</f>
        <v/>
      </c>
      <c r="FD559" s="58">
        <f>IFERROR($BS559/$BS560-1,"")</f>
        <v/>
      </c>
      <c r="FE559" s="58">
        <f>IFERROR($BT559/$BT560-1,"")</f>
        <v/>
      </c>
      <c r="FF559" s="58">
        <f>IFERROR($BU559/$BU560-1,"")</f>
        <v/>
      </c>
      <c r="FG559" s="58">
        <f>IFERROR($BV559/$BV560-1,"")</f>
        <v/>
      </c>
      <c r="FH559" s="58">
        <f>IFERROR($BW559/$BW560-1,"")</f>
        <v/>
      </c>
      <c r="FI559" s="58">
        <f>IFERROR($BX559/$BX560-1,"")</f>
        <v/>
      </c>
      <c r="FJ559" s="59">
        <f>$BY559-$BY560</f>
        <v/>
      </c>
      <c r="FK559" s="59">
        <f>$BZ559-$BZ560</f>
        <v/>
      </c>
      <c r="FL559" s="59">
        <f>$CA559-$CA560</f>
        <v/>
      </c>
      <c r="FM559" s="59">
        <f>$CB559-$CB560</f>
        <v/>
      </c>
      <c r="FN559" s="59">
        <f>$CC559-$CC560</f>
        <v/>
      </c>
      <c r="FO559" s="59">
        <f>$CD559-$CD560</f>
        <v/>
      </c>
      <c r="FP559" s="59">
        <f>$CE559-$CE560</f>
        <v/>
      </c>
      <c r="FQ559" s="59">
        <f>$CF559-$CF560</f>
        <v/>
      </c>
      <c r="FR559" s="59">
        <f>$CG559-$CG560</f>
        <v/>
      </c>
      <c r="FS559" s="59">
        <f>$CH559-$CH560</f>
        <v/>
      </c>
      <c r="FT559" s="59">
        <f>$CI559-$CI560</f>
        <v/>
      </c>
      <c r="FU559" s="59">
        <f>$CJ559-$CJ560</f>
        <v/>
      </c>
      <c r="FV559" s="59">
        <f>$CK559-$CK560</f>
        <v/>
      </c>
      <c r="FW559" s="59">
        <f>$CL559-$CL560</f>
        <v/>
      </c>
      <c r="FX559" s="59">
        <f>$CM559-$CM560</f>
        <v/>
      </c>
      <c r="FY559" s="59">
        <f>$CN559-$CN560</f>
        <v/>
      </c>
      <c r="FZ559" s="59">
        <f>$CO559-$CO560</f>
        <v/>
      </c>
      <c r="GA559" s="59">
        <f>$CP559-$CP560</f>
        <v/>
      </c>
      <c r="GB559" s="59">
        <f>$CQ559-$CQ560</f>
        <v/>
      </c>
      <c r="GC559" s="59">
        <f>$CR559-$CR560</f>
        <v/>
      </c>
      <c r="GD559" s="59">
        <f>$CS559-$CS560</f>
        <v/>
      </c>
      <c r="GE559" s="59">
        <f>$CT559-$CT560</f>
        <v/>
      </c>
    </row>
    <row r="560">
      <c r="CU560" s="58">
        <f>IFERROR($B560/$B561-1,"")</f>
        <v/>
      </c>
      <c r="CV560" s="59">
        <f>($F560-$F561)*100</f>
        <v/>
      </c>
      <c r="CW560" s="59">
        <f>($E560-$E561)*100</f>
        <v/>
      </c>
      <c r="CX560" s="58">
        <f>IFERROR($K560/$K561-1,"")</f>
        <v/>
      </c>
      <c r="CY560" s="59">
        <f>($AH560-$AH561)*100</f>
        <v/>
      </c>
      <c r="CZ560" s="59">
        <f>($AI560-$AI561)*100</f>
        <v/>
      </c>
      <c r="DA560" s="59">
        <f>($AJ560-$AJ561)*100</f>
        <v/>
      </c>
      <c r="DB560" s="59">
        <f>($AK560-$AK561)*100</f>
        <v/>
      </c>
      <c r="DC560" s="59">
        <f>($AL560-$AL561)*100</f>
        <v/>
      </c>
      <c r="DD560" s="59">
        <f>($AM560-$AM561)*100</f>
        <v/>
      </c>
      <c r="DE560" s="59">
        <f>($AN560-$AN561)*100</f>
        <v/>
      </c>
      <c r="DF560" s="59">
        <f>($AO560-$AO561)*100</f>
        <v/>
      </c>
      <c r="DG560" s="59">
        <f>($AP560-$AP561)*100</f>
        <v/>
      </c>
      <c r="DH560" s="59">
        <f>($AQ560-$AQ561)*100</f>
        <v/>
      </c>
      <c r="DI560" s="59">
        <f>($AR560-$AR561)*100</f>
        <v/>
      </c>
      <c r="DJ560" s="59">
        <f>($AS560-$AS561)*100</f>
        <v/>
      </c>
      <c r="DK560" s="59">
        <f>($AT560-$AT561)*100</f>
        <v/>
      </c>
      <c r="DL560" s="59">
        <f>($AU560-$AU561)*100</f>
        <v/>
      </c>
      <c r="DM560" s="59">
        <f>($AV560-$AV561)*100</f>
        <v/>
      </c>
      <c r="DN560" s="59">
        <f>($AW560-$AW561)*100</f>
        <v/>
      </c>
      <c r="DO560" s="59">
        <f>($AX560-$AX561)*100</f>
        <v/>
      </c>
      <c r="DP560" s="59">
        <f>($AY560-$AY561)*100</f>
        <v/>
      </c>
      <c r="DQ560" s="59">
        <f>($AZ560-$AZ561)*100</f>
        <v/>
      </c>
      <c r="DR560" s="59">
        <f>($BA560-$BA561)*100</f>
        <v/>
      </c>
      <c r="DS560" s="58">
        <f>IFERROR($N561/$N560-1,"")</f>
        <v/>
      </c>
      <c r="DT560" s="58">
        <f>IFERROR($O561/$O560-1,"")</f>
        <v/>
      </c>
      <c r="DU560" s="58">
        <f>IFERROR($P561/$P560-1,"")</f>
        <v/>
      </c>
      <c r="DV560" s="58">
        <f>IFERROR($Q561/$Q560-1,"")</f>
        <v/>
      </c>
      <c r="DW560" s="58">
        <f>IFERROR($R561/$R560-1,"")</f>
        <v/>
      </c>
      <c r="DX560" s="58">
        <f>IFERROR($S561/$S560-1,"")</f>
        <v/>
      </c>
      <c r="DY560" s="58">
        <f>IFERROR($T561/$T560-1,"")</f>
        <v/>
      </c>
      <c r="DZ560" s="58">
        <f>IFERROR($U561/$U560-1,"")</f>
        <v/>
      </c>
      <c r="EA560" s="58">
        <f>IFERROR($V561/$V560-1,"")</f>
        <v/>
      </c>
      <c r="EB560" s="58">
        <f>IFERROR($W561/$W560-1,"")</f>
        <v/>
      </c>
      <c r="EC560" s="58">
        <f>IFERROR($X561/$X560-1,"")</f>
        <v/>
      </c>
      <c r="ED560" s="58">
        <f>IFERROR($Y561/$Y560-1,"")</f>
        <v/>
      </c>
      <c r="EE560" s="58">
        <f>IFERROR($Z561/$Z560-1,"")</f>
        <v/>
      </c>
      <c r="EF560" s="58">
        <f>IFERROR($AA561/$AA560-1,"")</f>
        <v/>
      </c>
      <c r="EG560" s="58">
        <f>IFERROR($AB561/$AB560-1,"")</f>
        <v/>
      </c>
      <c r="EH560" s="58">
        <f>IFERROR($AC561/$AC560-1,"")</f>
        <v/>
      </c>
      <c r="EI560" s="58">
        <f>IFERROR($AD561/$AD560-1,"")</f>
        <v/>
      </c>
      <c r="EJ560" s="58">
        <f>IFERROR($AE561/$AE560-1,"")</f>
        <v/>
      </c>
      <c r="EK560" s="58">
        <f>IFERROR($AF561/$AF560-1,"")</f>
        <v/>
      </c>
      <c r="EL560" s="58">
        <f>IFERROR($AG561/$AG560-1,"")</f>
        <v/>
      </c>
      <c r="EM560" s="58">
        <f>IFERROR($BB560/$BB561-1,"")</f>
        <v/>
      </c>
      <c r="EN560" s="58">
        <f>IFERROR($BC560/$BC561-1,"")</f>
        <v/>
      </c>
      <c r="EO560" s="58">
        <f>IFERROR($BD560/$BD561-1,"")</f>
        <v/>
      </c>
      <c r="EP560" s="58">
        <f>IFERROR($BE560/$BE561-1,"")</f>
        <v/>
      </c>
      <c r="EQ560" s="58">
        <f>IFERROR($BF560/$BF561-1,"")</f>
        <v/>
      </c>
      <c r="ER560" s="58">
        <f>IFERROR($BG560/$BG561-1,"")</f>
        <v/>
      </c>
      <c r="ES560" s="58">
        <f>IFERROR($BH560/$BH561-1,"")</f>
        <v/>
      </c>
      <c r="ET560" s="58">
        <f>IFERROR($BI560/$BI561-1,"")</f>
        <v/>
      </c>
      <c r="EU560" s="58">
        <f>IFERROR($BJ560/$BJ561-1,"")</f>
        <v/>
      </c>
      <c r="EV560" s="58">
        <f>IFERROR($BK560/$BK561-1,"")</f>
        <v/>
      </c>
      <c r="EW560" s="58">
        <f>IFERROR($BL560/$BL561-1,"")</f>
        <v/>
      </c>
      <c r="EX560" s="58">
        <f>IFERROR($BM560/$BM561-1,"")</f>
        <v/>
      </c>
      <c r="EY560" s="58">
        <f>IFERROR($BN560/$BN561-1,"")</f>
        <v/>
      </c>
      <c r="EZ560" s="58">
        <f>IFERROR($BO560/$BO561-1,"")</f>
        <v/>
      </c>
      <c r="FA560" s="58">
        <f>IFERROR($BP560/$BP561-1,"")</f>
        <v/>
      </c>
      <c r="FB560" s="58">
        <f>IFERROR($BQ560/$BQ561-1,"")</f>
        <v/>
      </c>
      <c r="FC560" s="58">
        <f>IFERROR($BR560/$BR561-1,"")</f>
        <v/>
      </c>
      <c r="FD560" s="58">
        <f>IFERROR($BS560/$BS561-1,"")</f>
        <v/>
      </c>
      <c r="FE560" s="58">
        <f>IFERROR($BT560/$BT561-1,"")</f>
        <v/>
      </c>
      <c r="FF560" s="58">
        <f>IFERROR($BU560/$BU561-1,"")</f>
        <v/>
      </c>
      <c r="FG560" s="58">
        <f>IFERROR($BV560/$BV561-1,"")</f>
        <v/>
      </c>
      <c r="FH560" s="58">
        <f>IFERROR($BW560/$BW561-1,"")</f>
        <v/>
      </c>
      <c r="FI560" s="58">
        <f>IFERROR($BX560/$BX561-1,"")</f>
        <v/>
      </c>
      <c r="FJ560" s="59">
        <f>$BY560-$BY561</f>
        <v/>
      </c>
      <c r="FK560" s="59">
        <f>$BZ560-$BZ561</f>
        <v/>
      </c>
      <c r="FL560" s="59">
        <f>$CA560-$CA561</f>
        <v/>
      </c>
      <c r="FM560" s="59">
        <f>$CB560-$CB561</f>
        <v/>
      </c>
      <c r="FN560" s="59">
        <f>$CC560-$CC561</f>
        <v/>
      </c>
      <c r="FO560" s="59">
        <f>$CD560-$CD561</f>
        <v/>
      </c>
      <c r="FP560" s="59">
        <f>$CE560-$CE561</f>
        <v/>
      </c>
      <c r="FQ560" s="59">
        <f>$CF560-$CF561</f>
        <v/>
      </c>
      <c r="FR560" s="59">
        <f>$CG560-$CG561</f>
        <v/>
      </c>
      <c r="FS560" s="59">
        <f>$CH560-$CH561</f>
        <v/>
      </c>
      <c r="FT560" s="59">
        <f>$CI560-$CI561</f>
        <v/>
      </c>
      <c r="FU560" s="59">
        <f>$CJ560-$CJ561</f>
        <v/>
      </c>
      <c r="FV560" s="59">
        <f>$CK560-$CK561</f>
        <v/>
      </c>
      <c r="FW560" s="59">
        <f>$CL560-$CL561</f>
        <v/>
      </c>
      <c r="FX560" s="59">
        <f>$CM560-$CM561</f>
        <v/>
      </c>
      <c r="FY560" s="59">
        <f>$CN560-$CN561</f>
        <v/>
      </c>
      <c r="FZ560" s="59">
        <f>$CO560-$CO561</f>
        <v/>
      </c>
      <c r="GA560" s="59">
        <f>$CP560-$CP561</f>
        <v/>
      </c>
      <c r="GB560" s="59">
        <f>$CQ560-$CQ561</f>
        <v/>
      </c>
      <c r="GC560" s="59">
        <f>$CR560-$CR561</f>
        <v/>
      </c>
      <c r="GD560" s="59">
        <f>$CS560-$CS561</f>
        <v/>
      </c>
      <c r="GE560" s="59">
        <f>$CT560-$CT561</f>
        <v/>
      </c>
    </row>
    <row r="561">
      <c r="CU561" s="58">
        <f>IFERROR($B561/$B562-1,"")</f>
        <v/>
      </c>
      <c r="CV561" s="59">
        <f>($F561-$F562)*100</f>
        <v/>
      </c>
      <c r="CW561" s="59">
        <f>($E561-$E562)*100</f>
        <v/>
      </c>
      <c r="CX561" s="58">
        <f>IFERROR($K561/$K562-1,"")</f>
        <v/>
      </c>
      <c r="CY561" s="59">
        <f>($AH561-$AH562)*100</f>
        <v/>
      </c>
      <c r="CZ561" s="59">
        <f>($AI561-$AI562)*100</f>
        <v/>
      </c>
      <c r="DA561" s="59">
        <f>($AJ561-$AJ562)*100</f>
        <v/>
      </c>
      <c r="DB561" s="59">
        <f>($AK561-$AK562)*100</f>
        <v/>
      </c>
      <c r="DC561" s="59">
        <f>($AL561-$AL562)*100</f>
        <v/>
      </c>
      <c r="DD561" s="59">
        <f>($AM561-$AM562)*100</f>
        <v/>
      </c>
      <c r="DE561" s="59">
        <f>($AN561-$AN562)*100</f>
        <v/>
      </c>
      <c r="DF561" s="59">
        <f>($AO561-$AO562)*100</f>
        <v/>
      </c>
      <c r="DG561" s="59">
        <f>($AP561-$AP562)*100</f>
        <v/>
      </c>
      <c r="DH561" s="59">
        <f>($AQ561-$AQ562)*100</f>
        <v/>
      </c>
      <c r="DI561" s="59">
        <f>($AR561-$AR562)*100</f>
        <v/>
      </c>
      <c r="DJ561" s="59">
        <f>($AS561-$AS562)*100</f>
        <v/>
      </c>
      <c r="DK561" s="59">
        <f>($AT561-$AT562)*100</f>
        <v/>
      </c>
      <c r="DL561" s="59">
        <f>($AU561-$AU562)*100</f>
        <v/>
      </c>
      <c r="DM561" s="59">
        <f>($AV561-$AV562)*100</f>
        <v/>
      </c>
      <c r="DN561" s="59">
        <f>($AW561-$AW562)*100</f>
        <v/>
      </c>
      <c r="DO561" s="59">
        <f>($AX561-$AX562)*100</f>
        <v/>
      </c>
      <c r="DP561" s="59">
        <f>($AY561-$AY562)*100</f>
        <v/>
      </c>
      <c r="DQ561" s="59">
        <f>($AZ561-$AZ562)*100</f>
        <v/>
      </c>
      <c r="DR561" s="59">
        <f>($BA561-$BA562)*100</f>
        <v/>
      </c>
      <c r="DS561" s="58">
        <f>IFERROR($N562/$N561-1,"")</f>
        <v/>
      </c>
      <c r="DT561" s="58">
        <f>IFERROR($O562/$O561-1,"")</f>
        <v/>
      </c>
      <c r="DU561" s="58">
        <f>IFERROR($P562/$P561-1,"")</f>
        <v/>
      </c>
      <c r="DV561" s="58">
        <f>IFERROR($Q562/$Q561-1,"")</f>
        <v/>
      </c>
      <c r="DW561" s="58">
        <f>IFERROR($R562/$R561-1,"")</f>
        <v/>
      </c>
      <c r="DX561" s="58">
        <f>IFERROR($S562/$S561-1,"")</f>
        <v/>
      </c>
      <c r="DY561" s="58">
        <f>IFERROR($T562/$T561-1,"")</f>
        <v/>
      </c>
      <c r="DZ561" s="58">
        <f>IFERROR($U562/$U561-1,"")</f>
        <v/>
      </c>
      <c r="EA561" s="58">
        <f>IFERROR($V562/$V561-1,"")</f>
        <v/>
      </c>
      <c r="EB561" s="58">
        <f>IFERROR($W562/$W561-1,"")</f>
        <v/>
      </c>
      <c r="EC561" s="58">
        <f>IFERROR($X562/$X561-1,"")</f>
        <v/>
      </c>
      <c r="ED561" s="58">
        <f>IFERROR($Y562/$Y561-1,"")</f>
        <v/>
      </c>
      <c r="EE561" s="58">
        <f>IFERROR($Z562/$Z561-1,"")</f>
        <v/>
      </c>
      <c r="EF561" s="58">
        <f>IFERROR($AA562/$AA561-1,"")</f>
        <v/>
      </c>
      <c r="EG561" s="58">
        <f>IFERROR($AB562/$AB561-1,"")</f>
        <v/>
      </c>
      <c r="EH561" s="58">
        <f>IFERROR($AC562/$AC561-1,"")</f>
        <v/>
      </c>
      <c r="EI561" s="58">
        <f>IFERROR($AD562/$AD561-1,"")</f>
        <v/>
      </c>
      <c r="EJ561" s="58">
        <f>IFERROR($AE562/$AE561-1,"")</f>
        <v/>
      </c>
      <c r="EK561" s="58">
        <f>IFERROR($AF562/$AF561-1,"")</f>
        <v/>
      </c>
      <c r="EL561" s="58">
        <f>IFERROR($AG562/$AG561-1,"")</f>
        <v/>
      </c>
      <c r="EM561" s="58">
        <f>IFERROR($BB561/$BB562-1,"")</f>
        <v/>
      </c>
      <c r="EN561" s="58">
        <f>IFERROR($BC561/$BC562-1,"")</f>
        <v/>
      </c>
      <c r="EO561" s="58">
        <f>IFERROR($BD561/$BD562-1,"")</f>
        <v/>
      </c>
      <c r="EP561" s="58">
        <f>IFERROR($BE561/$BE562-1,"")</f>
        <v/>
      </c>
      <c r="EQ561" s="58">
        <f>IFERROR($BF561/$BF562-1,"")</f>
        <v/>
      </c>
      <c r="ER561" s="58">
        <f>IFERROR($BG561/$BG562-1,"")</f>
        <v/>
      </c>
      <c r="ES561" s="58">
        <f>IFERROR($BH561/$BH562-1,"")</f>
        <v/>
      </c>
      <c r="ET561" s="58">
        <f>IFERROR($BI561/$BI562-1,"")</f>
        <v/>
      </c>
      <c r="EU561" s="58">
        <f>IFERROR($BJ561/$BJ562-1,"")</f>
        <v/>
      </c>
      <c r="EV561" s="58">
        <f>IFERROR($BK561/$BK562-1,"")</f>
        <v/>
      </c>
      <c r="EW561" s="58">
        <f>IFERROR($BL561/$BL562-1,"")</f>
        <v/>
      </c>
      <c r="EX561" s="58">
        <f>IFERROR($BM561/$BM562-1,"")</f>
        <v/>
      </c>
      <c r="EY561" s="58">
        <f>IFERROR($BN561/$BN562-1,"")</f>
        <v/>
      </c>
      <c r="EZ561" s="58">
        <f>IFERROR($BO561/$BO562-1,"")</f>
        <v/>
      </c>
      <c r="FA561" s="58">
        <f>IFERROR($BP561/$BP562-1,"")</f>
        <v/>
      </c>
      <c r="FB561" s="58">
        <f>IFERROR($BQ561/$BQ562-1,"")</f>
        <v/>
      </c>
      <c r="FC561" s="58">
        <f>IFERROR($BR561/$BR562-1,"")</f>
        <v/>
      </c>
      <c r="FD561" s="58">
        <f>IFERROR($BS561/$BS562-1,"")</f>
        <v/>
      </c>
      <c r="FE561" s="58">
        <f>IFERROR($BT561/$BT562-1,"")</f>
        <v/>
      </c>
      <c r="FF561" s="58">
        <f>IFERROR($BU561/$BU562-1,"")</f>
        <v/>
      </c>
      <c r="FG561" s="58">
        <f>IFERROR($BV561/$BV562-1,"")</f>
        <v/>
      </c>
      <c r="FH561" s="58">
        <f>IFERROR($BW561/$BW562-1,"")</f>
        <v/>
      </c>
      <c r="FI561" s="58">
        <f>IFERROR($BX561/$BX562-1,"")</f>
        <v/>
      </c>
      <c r="FJ561" s="59">
        <f>$BY561-$BY562</f>
        <v/>
      </c>
      <c r="FK561" s="59">
        <f>$BZ561-$BZ562</f>
        <v/>
      </c>
      <c r="FL561" s="59">
        <f>$CA561-$CA562</f>
        <v/>
      </c>
      <c r="FM561" s="59">
        <f>$CB561-$CB562</f>
        <v/>
      </c>
      <c r="FN561" s="59">
        <f>$CC561-$CC562</f>
        <v/>
      </c>
      <c r="FO561" s="59">
        <f>$CD561-$CD562</f>
        <v/>
      </c>
      <c r="FP561" s="59">
        <f>$CE561-$CE562</f>
        <v/>
      </c>
      <c r="FQ561" s="59">
        <f>$CF561-$CF562</f>
        <v/>
      </c>
      <c r="FR561" s="59">
        <f>$CG561-$CG562</f>
        <v/>
      </c>
      <c r="FS561" s="59">
        <f>$CH561-$CH562</f>
        <v/>
      </c>
      <c r="FT561" s="59">
        <f>$CI561-$CI562</f>
        <v/>
      </c>
      <c r="FU561" s="59">
        <f>$CJ561-$CJ562</f>
        <v/>
      </c>
      <c r="FV561" s="59">
        <f>$CK561-$CK562</f>
        <v/>
      </c>
      <c r="FW561" s="59">
        <f>$CL561-$CL562</f>
        <v/>
      </c>
      <c r="FX561" s="59">
        <f>$CM561-$CM562</f>
        <v/>
      </c>
      <c r="FY561" s="59">
        <f>$CN561-$CN562</f>
        <v/>
      </c>
      <c r="FZ561" s="59">
        <f>$CO561-$CO562</f>
        <v/>
      </c>
      <c r="GA561" s="59">
        <f>$CP561-$CP562</f>
        <v/>
      </c>
      <c r="GB561" s="59">
        <f>$CQ561-$CQ562</f>
        <v/>
      </c>
      <c r="GC561" s="59">
        <f>$CR561-$CR562</f>
        <v/>
      </c>
      <c r="GD561" s="59">
        <f>$CS561-$CS562</f>
        <v/>
      </c>
      <c r="GE561" s="59">
        <f>$CT561-$CT562</f>
        <v/>
      </c>
    </row>
    <row r="562">
      <c r="CU562" s="58">
        <f>IFERROR($B562/$B563-1,"")</f>
        <v/>
      </c>
      <c r="CV562" s="59">
        <f>($F562-$F563)*100</f>
        <v/>
      </c>
      <c r="CW562" s="59">
        <f>($E562-$E563)*100</f>
        <v/>
      </c>
      <c r="CX562" s="58">
        <f>IFERROR($K562/$K563-1,"")</f>
        <v/>
      </c>
      <c r="CY562" s="59">
        <f>($AH562-$AH563)*100</f>
        <v/>
      </c>
      <c r="CZ562" s="59">
        <f>($AI562-$AI563)*100</f>
        <v/>
      </c>
      <c r="DA562" s="59">
        <f>($AJ562-$AJ563)*100</f>
        <v/>
      </c>
      <c r="DB562" s="59">
        <f>($AK562-$AK563)*100</f>
        <v/>
      </c>
      <c r="DC562" s="59">
        <f>($AL562-$AL563)*100</f>
        <v/>
      </c>
      <c r="DD562" s="59">
        <f>($AM562-$AM563)*100</f>
        <v/>
      </c>
      <c r="DE562" s="59">
        <f>($AN562-$AN563)*100</f>
        <v/>
      </c>
      <c r="DF562" s="59">
        <f>($AO562-$AO563)*100</f>
        <v/>
      </c>
      <c r="DG562" s="59">
        <f>($AP562-$AP563)*100</f>
        <v/>
      </c>
      <c r="DH562" s="59">
        <f>($AQ562-$AQ563)*100</f>
        <v/>
      </c>
      <c r="DI562" s="59">
        <f>($AR562-$AR563)*100</f>
        <v/>
      </c>
      <c r="DJ562" s="59">
        <f>($AS562-$AS563)*100</f>
        <v/>
      </c>
      <c r="DK562" s="59">
        <f>($AT562-$AT563)*100</f>
        <v/>
      </c>
      <c r="DL562" s="59">
        <f>($AU562-$AU563)*100</f>
        <v/>
      </c>
      <c r="DM562" s="59">
        <f>($AV562-$AV563)*100</f>
        <v/>
      </c>
      <c r="DN562" s="59">
        <f>($AW562-$AW563)*100</f>
        <v/>
      </c>
      <c r="DO562" s="59">
        <f>($AX562-$AX563)*100</f>
        <v/>
      </c>
      <c r="DP562" s="59">
        <f>($AY562-$AY563)*100</f>
        <v/>
      </c>
      <c r="DQ562" s="59">
        <f>($AZ562-$AZ563)*100</f>
        <v/>
      </c>
      <c r="DR562" s="59">
        <f>($BA562-$BA563)*100</f>
        <v/>
      </c>
      <c r="DS562" s="58">
        <f>IFERROR($N563/$N562-1,"")</f>
        <v/>
      </c>
      <c r="DT562" s="58">
        <f>IFERROR($O563/$O562-1,"")</f>
        <v/>
      </c>
      <c r="DU562" s="58">
        <f>IFERROR($P563/$P562-1,"")</f>
        <v/>
      </c>
      <c r="DV562" s="58">
        <f>IFERROR($Q563/$Q562-1,"")</f>
        <v/>
      </c>
      <c r="DW562" s="58">
        <f>IFERROR($R563/$R562-1,"")</f>
        <v/>
      </c>
      <c r="DX562" s="58">
        <f>IFERROR($S563/$S562-1,"")</f>
        <v/>
      </c>
      <c r="DY562" s="58">
        <f>IFERROR($T563/$T562-1,"")</f>
        <v/>
      </c>
      <c r="DZ562" s="58">
        <f>IFERROR($U563/$U562-1,"")</f>
        <v/>
      </c>
      <c r="EA562" s="58">
        <f>IFERROR($V563/$V562-1,"")</f>
        <v/>
      </c>
      <c r="EB562" s="58">
        <f>IFERROR($W563/$W562-1,"")</f>
        <v/>
      </c>
      <c r="EC562" s="58">
        <f>IFERROR($X563/$X562-1,"")</f>
        <v/>
      </c>
      <c r="ED562" s="58">
        <f>IFERROR($Y563/$Y562-1,"")</f>
        <v/>
      </c>
      <c r="EE562" s="58">
        <f>IFERROR($Z563/$Z562-1,"")</f>
        <v/>
      </c>
      <c r="EF562" s="58">
        <f>IFERROR($AA563/$AA562-1,"")</f>
        <v/>
      </c>
      <c r="EG562" s="58">
        <f>IFERROR($AB563/$AB562-1,"")</f>
        <v/>
      </c>
      <c r="EH562" s="58">
        <f>IFERROR($AC563/$AC562-1,"")</f>
        <v/>
      </c>
      <c r="EI562" s="58">
        <f>IFERROR($AD563/$AD562-1,"")</f>
        <v/>
      </c>
      <c r="EJ562" s="58">
        <f>IFERROR($AE563/$AE562-1,"")</f>
        <v/>
      </c>
      <c r="EK562" s="58">
        <f>IFERROR($AF563/$AF562-1,"")</f>
        <v/>
      </c>
      <c r="EL562" s="58">
        <f>IFERROR($AG563/$AG562-1,"")</f>
        <v/>
      </c>
      <c r="EM562" s="58">
        <f>IFERROR($BB562/$BB563-1,"")</f>
        <v/>
      </c>
      <c r="EN562" s="58">
        <f>IFERROR($BC562/$BC563-1,"")</f>
        <v/>
      </c>
      <c r="EO562" s="58">
        <f>IFERROR($BD562/$BD563-1,"")</f>
        <v/>
      </c>
      <c r="EP562" s="58">
        <f>IFERROR($BE562/$BE563-1,"")</f>
        <v/>
      </c>
      <c r="EQ562" s="58">
        <f>IFERROR($BF562/$BF563-1,"")</f>
        <v/>
      </c>
      <c r="ER562" s="58">
        <f>IFERROR($BG562/$BG563-1,"")</f>
        <v/>
      </c>
      <c r="ES562" s="58">
        <f>IFERROR($BH562/$BH563-1,"")</f>
        <v/>
      </c>
      <c r="ET562" s="58">
        <f>IFERROR($BI562/$BI563-1,"")</f>
        <v/>
      </c>
      <c r="EU562" s="58">
        <f>IFERROR($BJ562/$BJ563-1,"")</f>
        <v/>
      </c>
      <c r="EV562" s="58">
        <f>IFERROR($BK562/$BK563-1,"")</f>
        <v/>
      </c>
      <c r="EW562" s="58">
        <f>IFERROR($BL562/$BL563-1,"")</f>
        <v/>
      </c>
      <c r="EX562" s="58">
        <f>IFERROR($BM562/$BM563-1,"")</f>
        <v/>
      </c>
      <c r="EY562" s="58">
        <f>IFERROR($BN562/$BN563-1,"")</f>
        <v/>
      </c>
      <c r="EZ562" s="58">
        <f>IFERROR($BO562/$BO563-1,"")</f>
        <v/>
      </c>
      <c r="FA562" s="58">
        <f>IFERROR($BP562/$BP563-1,"")</f>
        <v/>
      </c>
      <c r="FB562" s="58">
        <f>IFERROR($BQ562/$BQ563-1,"")</f>
        <v/>
      </c>
      <c r="FC562" s="58">
        <f>IFERROR($BR562/$BR563-1,"")</f>
        <v/>
      </c>
      <c r="FD562" s="58">
        <f>IFERROR($BS562/$BS563-1,"")</f>
        <v/>
      </c>
      <c r="FE562" s="58">
        <f>IFERROR($BT562/$BT563-1,"")</f>
        <v/>
      </c>
      <c r="FF562" s="58">
        <f>IFERROR($BU562/$BU563-1,"")</f>
        <v/>
      </c>
      <c r="FG562" s="58">
        <f>IFERROR($BV562/$BV563-1,"")</f>
        <v/>
      </c>
      <c r="FH562" s="58">
        <f>IFERROR($BW562/$BW563-1,"")</f>
        <v/>
      </c>
      <c r="FI562" s="58">
        <f>IFERROR($BX562/$BX563-1,"")</f>
        <v/>
      </c>
      <c r="FJ562" s="59">
        <f>$BY562-$BY563</f>
        <v/>
      </c>
      <c r="FK562" s="59">
        <f>$BZ562-$BZ563</f>
        <v/>
      </c>
      <c r="FL562" s="59">
        <f>$CA562-$CA563</f>
        <v/>
      </c>
      <c r="FM562" s="59">
        <f>$CB562-$CB563</f>
        <v/>
      </c>
      <c r="FN562" s="59">
        <f>$CC562-$CC563</f>
        <v/>
      </c>
      <c r="FO562" s="59">
        <f>$CD562-$CD563</f>
        <v/>
      </c>
      <c r="FP562" s="59">
        <f>$CE562-$CE563</f>
        <v/>
      </c>
      <c r="FQ562" s="59">
        <f>$CF562-$CF563</f>
        <v/>
      </c>
      <c r="FR562" s="59">
        <f>$CG562-$CG563</f>
        <v/>
      </c>
      <c r="FS562" s="59">
        <f>$CH562-$CH563</f>
        <v/>
      </c>
      <c r="FT562" s="59">
        <f>$CI562-$CI563</f>
        <v/>
      </c>
      <c r="FU562" s="59">
        <f>$CJ562-$CJ563</f>
        <v/>
      </c>
      <c r="FV562" s="59">
        <f>$CK562-$CK563</f>
        <v/>
      </c>
      <c r="FW562" s="59">
        <f>$CL562-$CL563</f>
        <v/>
      </c>
      <c r="FX562" s="59">
        <f>$CM562-$CM563</f>
        <v/>
      </c>
      <c r="FY562" s="59">
        <f>$CN562-$CN563</f>
        <v/>
      </c>
      <c r="FZ562" s="59">
        <f>$CO562-$CO563</f>
        <v/>
      </c>
      <c r="GA562" s="59">
        <f>$CP562-$CP563</f>
        <v/>
      </c>
      <c r="GB562" s="59">
        <f>$CQ562-$CQ563</f>
        <v/>
      </c>
      <c r="GC562" s="59">
        <f>$CR562-$CR563</f>
        <v/>
      </c>
      <c r="GD562" s="59">
        <f>$CS562-$CS563</f>
        <v/>
      </c>
      <c r="GE562" s="59">
        <f>$CT562-$CT563</f>
        <v/>
      </c>
    </row>
    <row r="563">
      <c r="CU563" s="58">
        <f>IFERROR($B563/$B564-1,"")</f>
        <v/>
      </c>
      <c r="CV563" s="59">
        <f>($F563-$F564)*100</f>
        <v/>
      </c>
      <c r="CW563" s="59">
        <f>($E563-$E564)*100</f>
        <v/>
      </c>
      <c r="CX563" s="58">
        <f>IFERROR($K563/$K564-1,"")</f>
        <v/>
      </c>
      <c r="CY563" s="59">
        <f>($AH563-$AH564)*100</f>
        <v/>
      </c>
      <c r="CZ563" s="59">
        <f>($AI563-$AI564)*100</f>
        <v/>
      </c>
      <c r="DA563" s="59">
        <f>($AJ563-$AJ564)*100</f>
        <v/>
      </c>
      <c r="DB563" s="59">
        <f>($AK563-$AK564)*100</f>
        <v/>
      </c>
      <c r="DC563" s="59">
        <f>($AL563-$AL564)*100</f>
        <v/>
      </c>
      <c r="DD563" s="59">
        <f>($AM563-$AM564)*100</f>
        <v/>
      </c>
      <c r="DE563" s="59">
        <f>($AN563-$AN564)*100</f>
        <v/>
      </c>
      <c r="DF563" s="59">
        <f>($AO563-$AO564)*100</f>
        <v/>
      </c>
      <c r="DG563" s="59">
        <f>($AP563-$AP564)*100</f>
        <v/>
      </c>
      <c r="DH563" s="59">
        <f>($AQ563-$AQ564)*100</f>
        <v/>
      </c>
      <c r="DI563" s="59">
        <f>($AR563-$AR564)*100</f>
        <v/>
      </c>
      <c r="DJ563" s="59">
        <f>($AS563-$AS564)*100</f>
        <v/>
      </c>
      <c r="DK563" s="59">
        <f>($AT563-$AT564)*100</f>
        <v/>
      </c>
      <c r="DL563" s="59">
        <f>($AU563-$AU564)*100</f>
        <v/>
      </c>
      <c r="DM563" s="59">
        <f>($AV563-$AV564)*100</f>
        <v/>
      </c>
      <c r="DN563" s="59">
        <f>($AW563-$AW564)*100</f>
        <v/>
      </c>
      <c r="DO563" s="59">
        <f>($AX563-$AX564)*100</f>
        <v/>
      </c>
      <c r="DP563" s="59">
        <f>($AY563-$AY564)*100</f>
        <v/>
      </c>
      <c r="DQ563" s="59">
        <f>($AZ563-$AZ564)*100</f>
        <v/>
      </c>
      <c r="DR563" s="59">
        <f>($BA563-$BA564)*100</f>
        <v/>
      </c>
      <c r="DS563" s="58">
        <f>IFERROR($N564/$N563-1,"")</f>
        <v/>
      </c>
      <c r="DT563" s="58">
        <f>IFERROR($O564/$O563-1,"")</f>
        <v/>
      </c>
      <c r="DU563" s="58">
        <f>IFERROR($P564/$P563-1,"")</f>
        <v/>
      </c>
      <c r="DV563" s="58">
        <f>IFERROR($Q564/$Q563-1,"")</f>
        <v/>
      </c>
      <c r="DW563" s="58">
        <f>IFERROR($R564/$R563-1,"")</f>
        <v/>
      </c>
      <c r="DX563" s="58">
        <f>IFERROR($S564/$S563-1,"")</f>
        <v/>
      </c>
      <c r="DY563" s="58">
        <f>IFERROR($T564/$T563-1,"")</f>
        <v/>
      </c>
      <c r="DZ563" s="58">
        <f>IFERROR($U564/$U563-1,"")</f>
        <v/>
      </c>
      <c r="EA563" s="58">
        <f>IFERROR($V564/$V563-1,"")</f>
        <v/>
      </c>
      <c r="EB563" s="58">
        <f>IFERROR($W564/$W563-1,"")</f>
        <v/>
      </c>
      <c r="EC563" s="58">
        <f>IFERROR($X564/$X563-1,"")</f>
        <v/>
      </c>
      <c r="ED563" s="58">
        <f>IFERROR($Y564/$Y563-1,"")</f>
        <v/>
      </c>
      <c r="EE563" s="58">
        <f>IFERROR($Z564/$Z563-1,"")</f>
        <v/>
      </c>
      <c r="EF563" s="58">
        <f>IFERROR($AA564/$AA563-1,"")</f>
        <v/>
      </c>
      <c r="EG563" s="58">
        <f>IFERROR($AB564/$AB563-1,"")</f>
        <v/>
      </c>
      <c r="EH563" s="58">
        <f>IFERROR($AC564/$AC563-1,"")</f>
        <v/>
      </c>
      <c r="EI563" s="58">
        <f>IFERROR($AD564/$AD563-1,"")</f>
        <v/>
      </c>
      <c r="EJ563" s="58">
        <f>IFERROR($AE564/$AE563-1,"")</f>
        <v/>
      </c>
      <c r="EK563" s="58">
        <f>IFERROR($AF564/$AF563-1,"")</f>
        <v/>
      </c>
      <c r="EL563" s="58">
        <f>IFERROR($AG564/$AG563-1,"")</f>
        <v/>
      </c>
      <c r="EM563" s="58">
        <f>IFERROR($BB563/$BB564-1,"")</f>
        <v/>
      </c>
      <c r="EN563" s="58">
        <f>IFERROR($BC563/$BC564-1,"")</f>
        <v/>
      </c>
      <c r="EO563" s="58">
        <f>IFERROR($BD563/$BD564-1,"")</f>
        <v/>
      </c>
      <c r="EP563" s="58">
        <f>IFERROR($BE563/$BE564-1,"")</f>
        <v/>
      </c>
      <c r="EQ563" s="58">
        <f>IFERROR($BF563/$BF564-1,"")</f>
        <v/>
      </c>
      <c r="ER563" s="58">
        <f>IFERROR($BG563/$BG564-1,"")</f>
        <v/>
      </c>
      <c r="ES563" s="58">
        <f>IFERROR($BH563/$BH564-1,"")</f>
        <v/>
      </c>
      <c r="ET563" s="58">
        <f>IFERROR($BI563/$BI564-1,"")</f>
        <v/>
      </c>
      <c r="EU563" s="58">
        <f>IFERROR($BJ563/$BJ564-1,"")</f>
        <v/>
      </c>
      <c r="EV563" s="58">
        <f>IFERROR($BK563/$BK564-1,"")</f>
        <v/>
      </c>
      <c r="EW563" s="58">
        <f>IFERROR($BL563/$BL564-1,"")</f>
        <v/>
      </c>
      <c r="EX563" s="58">
        <f>IFERROR($BM563/$BM564-1,"")</f>
        <v/>
      </c>
      <c r="EY563" s="58">
        <f>IFERROR($BN563/$BN564-1,"")</f>
        <v/>
      </c>
      <c r="EZ563" s="58">
        <f>IFERROR($BO563/$BO564-1,"")</f>
        <v/>
      </c>
      <c r="FA563" s="58">
        <f>IFERROR($BP563/$BP564-1,"")</f>
        <v/>
      </c>
      <c r="FB563" s="58">
        <f>IFERROR($BQ563/$BQ564-1,"")</f>
        <v/>
      </c>
      <c r="FC563" s="58">
        <f>IFERROR($BR563/$BR564-1,"")</f>
        <v/>
      </c>
      <c r="FD563" s="58">
        <f>IFERROR($BS563/$BS564-1,"")</f>
        <v/>
      </c>
      <c r="FE563" s="58">
        <f>IFERROR($BT563/$BT564-1,"")</f>
        <v/>
      </c>
      <c r="FF563" s="58">
        <f>IFERROR($BU563/$BU564-1,"")</f>
        <v/>
      </c>
      <c r="FG563" s="58">
        <f>IFERROR($BV563/$BV564-1,"")</f>
        <v/>
      </c>
      <c r="FH563" s="58">
        <f>IFERROR($BW563/$BW564-1,"")</f>
        <v/>
      </c>
      <c r="FI563" s="58">
        <f>IFERROR($BX563/$BX564-1,"")</f>
        <v/>
      </c>
      <c r="FJ563" s="59">
        <f>$BY563-$BY564</f>
        <v/>
      </c>
      <c r="FK563" s="59">
        <f>$BZ563-$BZ564</f>
        <v/>
      </c>
      <c r="FL563" s="59">
        <f>$CA563-$CA564</f>
        <v/>
      </c>
      <c r="FM563" s="59">
        <f>$CB563-$CB564</f>
        <v/>
      </c>
      <c r="FN563" s="59">
        <f>$CC563-$CC564</f>
        <v/>
      </c>
      <c r="FO563" s="59">
        <f>$CD563-$CD564</f>
        <v/>
      </c>
      <c r="FP563" s="59">
        <f>$CE563-$CE564</f>
        <v/>
      </c>
      <c r="FQ563" s="59">
        <f>$CF563-$CF564</f>
        <v/>
      </c>
      <c r="FR563" s="59">
        <f>$CG563-$CG564</f>
        <v/>
      </c>
      <c r="FS563" s="59">
        <f>$CH563-$CH564</f>
        <v/>
      </c>
      <c r="FT563" s="59">
        <f>$CI563-$CI564</f>
        <v/>
      </c>
      <c r="FU563" s="59">
        <f>$CJ563-$CJ564</f>
        <v/>
      </c>
      <c r="FV563" s="59">
        <f>$CK563-$CK564</f>
        <v/>
      </c>
      <c r="FW563" s="59">
        <f>$CL563-$CL564</f>
        <v/>
      </c>
      <c r="FX563" s="59">
        <f>$CM563-$CM564</f>
        <v/>
      </c>
      <c r="FY563" s="59">
        <f>$CN563-$CN564</f>
        <v/>
      </c>
      <c r="FZ563" s="59">
        <f>$CO563-$CO564</f>
        <v/>
      </c>
      <c r="GA563" s="59">
        <f>$CP563-$CP564</f>
        <v/>
      </c>
      <c r="GB563" s="59">
        <f>$CQ563-$CQ564</f>
        <v/>
      </c>
      <c r="GC563" s="59">
        <f>$CR563-$CR564</f>
        <v/>
      </c>
      <c r="GD563" s="59">
        <f>$CS563-$CS564</f>
        <v/>
      </c>
      <c r="GE563" s="59">
        <f>$CT563-$CT564</f>
        <v/>
      </c>
    </row>
    <row r="564">
      <c r="CU564" s="58">
        <f>IFERROR($B564/$B565-1,"")</f>
        <v/>
      </c>
      <c r="CV564" s="59">
        <f>($F564-$F565)*100</f>
        <v/>
      </c>
      <c r="CW564" s="59">
        <f>($E564-$E565)*100</f>
        <v/>
      </c>
      <c r="CX564" s="58">
        <f>IFERROR($K564/$K565-1,"")</f>
        <v/>
      </c>
      <c r="CY564" s="59">
        <f>($AH564-$AH565)*100</f>
        <v/>
      </c>
      <c r="CZ564" s="59">
        <f>($AI564-$AI565)*100</f>
        <v/>
      </c>
      <c r="DA564" s="59">
        <f>($AJ564-$AJ565)*100</f>
        <v/>
      </c>
      <c r="DB564" s="59">
        <f>($AK564-$AK565)*100</f>
        <v/>
      </c>
      <c r="DC564" s="59">
        <f>($AL564-$AL565)*100</f>
        <v/>
      </c>
      <c r="DD564" s="59">
        <f>($AM564-$AM565)*100</f>
        <v/>
      </c>
      <c r="DE564" s="59">
        <f>($AN564-$AN565)*100</f>
        <v/>
      </c>
      <c r="DF564" s="59">
        <f>($AO564-$AO565)*100</f>
        <v/>
      </c>
      <c r="DG564" s="59">
        <f>($AP564-$AP565)*100</f>
        <v/>
      </c>
      <c r="DH564" s="59">
        <f>($AQ564-$AQ565)*100</f>
        <v/>
      </c>
      <c r="DI564" s="59">
        <f>($AR564-$AR565)*100</f>
        <v/>
      </c>
      <c r="DJ564" s="59">
        <f>($AS564-$AS565)*100</f>
        <v/>
      </c>
      <c r="DK564" s="59">
        <f>($AT564-$AT565)*100</f>
        <v/>
      </c>
      <c r="DL564" s="59">
        <f>($AU564-$AU565)*100</f>
        <v/>
      </c>
      <c r="DM564" s="59">
        <f>($AV564-$AV565)*100</f>
        <v/>
      </c>
      <c r="DN564" s="59">
        <f>($AW564-$AW565)*100</f>
        <v/>
      </c>
      <c r="DO564" s="59">
        <f>($AX564-$AX565)*100</f>
        <v/>
      </c>
      <c r="DP564" s="59">
        <f>($AY564-$AY565)*100</f>
        <v/>
      </c>
      <c r="DQ564" s="59">
        <f>($AZ564-$AZ565)*100</f>
        <v/>
      </c>
      <c r="DR564" s="59">
        <f>($BA564-$BA565)*100</f>
        <v/>
      </c>
      <c r="DS564" s="58">
        <f>IFERROR($N565/$N564-1,"")</f>
        <v/>
      </c>
      <c r="DT564" s="58">
        <f>IFERROR($O565/$O564-1,"")</f>
        <v/>
      </c>
      <c r="DU564" s="58">
        <f>IFERROR($P565/$P564-1,"")</f>
        <v/>
      </c>
      <c r="DV564" s="58">
        <f>IFERROR($Q565/$Q564-1,"")</f>
        <v/>
      </c>
      <c r="DW564" s="58">
        <f>IFERROR($R565/$R564-1,"")</f>
        <v/>
      </c>
      <c r="DX564" s="58">
        <f>IFERROR($S565/$S564-1,"")</f>
        <v/>
      </c>
      <c r="DY564" s="58">
        <f>IFERROR($T565/$T564-1,"")</f>
        <v/>
      </c>
      <c r="DZ564" s="58">
        <f>IFERROR($U565/$U564-1,"")</f>
        <v/>
      </c>
      <c r="EA564" s="58">
        <f>IFERROR($V565/$V564-1,"")</f>
        <v/>
      </c>
      <c r="EB564" s="58">
        <f>IFERROR($W565/$W564-1,"")</f>
        <v/>
      </c>
      <c r="EC564" s="58">
        <f>IFERROR($X565/$X564-1,"")</f>
        <v/>
      </c>
      <c r="ED564" s="58">
        <f>IFERROR($Y565/$Y564-1,"")</f>
        <v/>
      </c>
      <c r="EE564" s="58">
        <f>IFERROR($Z565/$Z564-1,"")</f>
        <v/>
      </c>
      <c r="EF564" s="58">
        <f>IFERROR($AA565/$AA564-1,"")</f>
        <v/>
      </c>
      <c r="EG564" s="58">
        <f>IFERROR($AB565/$AB564-1,"")</f>
        <v/>
      </c>
      <c r="EH564" s="58">
        <f>IFERROR($AC565/$AC564-1,"")</f>
        <v/>
      </c>
      <c r="EI564" s="58">
        <f>IFERROR($AD565/$AD564-1,"")</f>
        <v/>
      </c>
      <c r="EJ564" s="58">
        <f>IFERROR($AE565/$AE564-1,"")</f>
        <v/>
      </c>
      <c r="EK564" s="58">
        <f>IFERROR($AF565/$AF564-1,"")</f>
        <v/>
      </c>
      <c r="EL564" s="58">
        <f>IFERROR($AG565/$AG564-1,"")</f>
        <v/>
      </c>
      <c r="EM564" s="58">
        <f>IFERROR($BB564/$BB565-1,"")</f>
        <v/>
      </c>
      <c r="EN564" s="58">
        <f>IFERROR($BC564/$BC565-1,"")</f>
        <v/>
      </c>
      <c r="EO564" s="58">
        <f>IFERROR($BD564/$BD565-1,"")</f>
        <v/>
      </c>
      <c r="EP564" s="58">
        <f>IFERROR($BE564/$BE565-1,"")</f>
        <v/>
      </c>
      <c r="EQ564" s="58">
        <f>IFERROR($BF564/$BF565-1,"")</f>
        <v/>
      </c>
      <c r="ER564" s="58">
        <f>IFERROR($BG564/$BG565-1,"")</f>
        <v/>
      </c>
      <c r="ES564" s="58">
        <f>IFERROR($BH564/$BH565-1,"")</f>
        <v/>
      </c>
      <c r="ET564" s="58">
        <f>IFERROR($BI564/$BI565-1,"")</f>
        <v/>
      </c>
      <c r="EU564" s="58">
        <f>IFERROR($BJ564/$BJ565-1,"")</f>
        <v/>
      </c>
      <c r="EV564" s="58">
        <f>IFERROR($BK564/$BK565-1,"")</f>
        <v/>
      </c>
      <c r="EW564" s="58">
        <f>IFERROR($BL564/$BL565-1,"")</f>
        <v/>
      </c>
      <c r="EX564" s="58">
        <f>IFERROR($BM564/$BM565-1,"")</f>
        <v/>
      </c>
      <c r="EY564" s="58">
        <f>IFERROR($BN564/$BN565-1,"")</f>
        <v/>
      </c>
      <c r="EZ564" s="58">
        <f>IFERROR($BO564/$BO565-1,"")</f>
        <v/>
      </c>
      <c r="FA564" s="58">
        <f>IFERROR($BP564/$BP565-1,"")</f>
        <v/>
      </c>
      <c r="FB564" s="58">
        <f>IFERROR($BQ564/$BQ565-1,"")</f>
        <v/>
      </c>
      <c r="FC564" s="58">
        <f>IFERROR($BR564/$BR565-1,"")</f>
        <v/>
      </c>
      <c r="FD564" s="58">
        <f>IFERROR($BS564/$BS565-1,"")</f>
        <v/>
      </c>
      <c r="FE564" s="58">
        <f>IFERROR($BT564/$BT565-1,"")</f>
        <v/>
      </c>
      <c r="FF564" s="58">
        <f>IFERROR($BU564/$BU565-1,"")</f>
        <v/>
      </c>
      <c r="FG564" s="58">
        <f>IFERROR($BV564/$BV565-1,"")</f>
        <v/>
      </c>
      <c r="FH564" s="58">
        <f>IFERROR($BW564/$BW565-1,"")</f>
        <v/>
      </c>
      <c r="FI564" s="58">
        <f>IFERROR($BX564/$BX565-1,"")</f>
        <v/>
      </c>
      <c r="FJ564" s="59">
        <f>$BY564-$BY565</f>
        <v/>
      </c>
      <c r="FK564" s="59">
        <f>$BZ564-$BZ565</f>
        <v/>
      </c>
      <c r="FL564" s="59">
        <f>$CA564-$CA565</f>
        <v/>
      </c>
      <c r="FM564" s="59">
        <f>$CB564-$CB565</f>
        <v/>
      </c>
      <c r="FN564" s="59">
        <f>$CC564-$CC565</f>
        <v/>
      </c>
      <c r="FO564" s="59">
        <f>$CD564-$CD565</f>
        <v/>
      </c>
      <c r="FP564" s="59">
        <f>$CE564-$CE565</f>
        <v/>
      </c>
      <c r="FQ564" s="59">
        <f>$CF564-$CF565</f>
        <v/>
      </c>
      <c r="FR564" s="59">
        <f>$CG564-$CG565</f>
        <v/>
      </c>
      <c r="FS564" s="59">
        <f>$CH564-$CH565</f>
        <v/>
      </c>
      <c r="FT564" s="59">
        <f>$CI564-$CI565</f>
        <v/>
      </c>
      <c r="FU564" s="59">
        <f>$CJ564-$CJ565</f>
        <v/>
      </c>
      <c r="FV564" s="59">
        <f>$CK564-$CK565</f>
        <v/>
      </c>
      <c r="FW564" s="59">
        <f>$CL564-$CL565</f>
        <v/>
      </c>
      <c r="FX564" s="59">
        <f>$CM564-$CM565</f>
        <v/>
      </c>
      <c r="FY564" s="59">
        <f>$CN564-$CN565</f>
        <v/>
      </c>
      <c r="FZ564" s="59">
        <f>$CO564-$CO565</f>
        <v/>
      </c>
      <c r="GA564" s="59">
        <f>$CP564-$CP565</f>
        <v/>
      </c>
      <c r="GB564" s="59">
        <f>$CQ564-$CQ565</f>
        <v/>
      </c>
      <c r="GC564" s="59">
        <f>$CR564-$CR565</f>
        <v/>
      </c>
      <c r="GD564" s="59">
        <f>$CS564-$CS565</f>
        <v/>
      </c>
      <c r="GE564" s="59">
        <f>$CT564-$CT565</f>
        <v/>
      </c>
    </row>
    <row r="565">
      <c r="CU565" s="58">
        <f>IFERROR($B565/$B566-1,"")</f>
        <v/>
      </c>
      <c r="CV565" s="59">
        <f>($F565-$F566)*100</f>
        <v/>
      </c>
      <c r="CW565" s="59">
        <f>($E565-$E566)*100</f>
        <v/>
      </c>
      <c r="CX565" s="58">
        <f>IFERROR($K565/$K566-1,"")</f>
        <v/>
      </c>
      <c r="CY565" s="59">
        <f>($AH565-$AH566)*100</f>
        <v/>
      </c>
      <c r="CZ565" s="59">
        <f>($AI565-$AI566)*100</f>
        <v/>
      </c>
      <c r="DA565" s="59">
        <f>($AJ565-$AJ566)*100</f>
        <v/>
      </c>
      <c r="DB565" s="59">
        <f>($AK565-$AK566)*100</f>
        <v/>
      </c>
      <c r="DC565" s="59">
        <f>($AL565-$AL566)*100</f>
        <v/>
      </c>
      <c r="DD565" s="59">
        <f>($AM565-$AM566)*100</f>
        <v/>
      </c>
      <c r="DE565" s="59">
        <f>($AN565-$AN566)*100</f>
        <v/>
      </c>
      <c r="DF565" s="59">
        <f>($AO565-$AO566)*100</f>
        <v/>
      </c>
      <c r="DG565" s="59">
        <f>($AP565-$AP566)*100</f>
        <v/>
      </c>
      <c r="DH565" s="59">
        <f>($AQ565-$AQ566)*100</f>
        <v/>
      </c>
      <c r="DI565" s="59">
        <f>($AR565-$AR566)*100</f>
        <v/>
      </c>
      <c r="DJ565" s="59">
        <f>($AS565-$AS566)*100</f>
        <v/>
      </c>
      <c r="DK565" s="59">
        <f>($AT565-$AT566)*100</f>
        <v/>
      </c>
      <c r="DL565" s="59">
        <f>($AU565-$AU566)*100</f>
        <v/>
      </c>
      <c r="DM565" s="59">
        <f>($AV565-$AV566)*100</f>
        <v/>
      </c>
      <c r="DN565" s="59">
        <f>($AW565-$AW566)*100</f>
        <v/>
      </c>
      <c r="DO565" s="59">
        <f>($AX565-$AX566)*100</f>
        <v/>
      </c>
      <c r="DP565" s="59">
        <f>($AY565-$AY566)*100</f>
        <v/>
      </c>
      <c r="DQ565" s="59">
        <f>($AZ565-$AZ566)*100</f>
        <v/>
      </c>
      <c r="DR565" s="59">
        <f>($BA565-$BA566)*100</f>
        <v/>
      </c>
      <c r="DS565" s="58">
        <f>IFERROR($N566/$N565-1,"")</f>
        <v/>
      </c>
      <c r="DT565" s="58">
        <f>IFERROR($O566/$O565-1,"")</f>
        <v/>
      </c>
      <c r="DU565" s="58">
        <f>IFERROR($P566/$P565-1,"")</f>
        <v/>
      </c>
      <c r="DV565" s="58">
        <f>IFERROR($Q566/$Q565-1,"")</f>
        <v/>
      </c>
      <c r="DW565" s="58">
        <f>IFERROR($R566/$R565-1,"")</f>
        <v/>
      </c>
      <c r="DX565" s="58">
        <f>IFERROR($S566/$S565-1,"")</f>
        <v/>
      </c>
      <c r="DY565" s="58">
        <f>IFERROR($T566/$T565-1,"")</f>
        <v/>
      </c>
      <c r="DZ565" s="58">
        <f>IFERROR($U566/$U565-1,"")</f>
        <v/>
      </c>
      <c r="EA565" s="58">
        <f>IFERROR($V566/$V565-1,"")</f>
        <v/>
      </c>
      <c r="EB565" s="58">
        <f>IFERROR($W566/$W565-1,"")</f>
        <v/>
      </c>
      <c r="EC565" s="58">
        <f>IFERROR($X566/$X565-1,"")</f>
        <v/>
      </c>
      <c r="ED565" s="58">
        <f>IFERROR($Y566/$Y565-1,"")</f>
        <v/>
      </c>
      <c r="EE565" s="58">
        <f>IFERROR($Z566/$Z565-1,"")</f>
        <v/>
      </c>
      <c r="EF565" s="58">
        <f>IFERROR($AA566/$AA565-1,"")</f>
        <v/>
      </c>
      <c r="EG565" s="58">
        <f>IFERROR($AB566/$AB565-1,"")</f>
        <v/>
      </c>
      <c r="EH565" s="58">
        <f>IFERROR($AC566/$AC565-1,"")</f>
        <v/>
      </c>
      <c r="EI565" s="58">
        <f>IFERROR($AD566/$AD565-1,"")</f>
        <v/>
      </c>
      <c r="EJ565" s="58">
        <f>IFERROR($AE566/$AE565-1,"")</f>
        <v/>
      </c>
      <c r="EK565" s="58">
        <f>IFERROR($AF566/$AF565-1,"")</f>
        <v/>
      </c>
      <c r="EL565" s="58">
        <f>IFERROR($AG566/$AG565-1,"")</f>
        <v/>
      </c>
      <c r="EM565" s="58">
        <f>IFERROR($BB565/$BB566-1,"")</f>
        <v/>
      </c>
      <c r="EN565" s="58">
        <f>IFERROR($BC565/$BC566-1,"")</f>
        <v/>
      </c>
      <c r="EO565" s="58">
        <f>IFERROR($BD565/$BD566-1,"")</f>
        <v/>
      </c>
      <c r="EP565" s="58">
        <f>IFERROR($BE565/$BE566-1,"")</f>
        <v/>
      </c>
      <c r="EQ565" s="58">
        <f>IFERROR($BF565/$BF566-1,"")</f>
        <v/>
      </c>
      <c r="ER565" s="58">
        <f>IFERROR($BG565/$BG566-1,"")</f>
        <v/>
      </c>
      <c r="ES565" s="58">
        <f>IFERROR($BH565/$BH566-1,"")</f>
        <v/>
      </c>
      <c r="ET565" s="58">
        <f>IFERROR($BI565/$BI566-1,"")</f>
        <v/>
      </c>
      <c r="EU565" s="58">
        <f>IFERROR($BJ565/$BJ566-1,"")</f>
        <v/>
      </c>
      <c r="EV565" s="58">
        <f>IFERROR($BK565/$BK566-1,"")</f>
        <v/>
      </c>
      <c r="EW565" s="58">
        <f>IFERROR($BL565/$BL566-1,"")</f>
        <v/>
      </c>
      <c r="EX565" s="58">
        <f>IFERROR($BM565/$BM566-1,"")</f>
        <v/>
      </c>
      <c r="EY565" s="58">
        <f>IFERROR($BN565/$BN566-1,"")</f>
        <v/>
      </c>
      <c r="EZ565" s="58">
        <f>IFERROR($BO565/$BO566-1,"")</f>
        <v/>
      </c>
      <c r="FA565" s="58">
        <f>IFERROR($BP565/$BP566-1,"")</f>
        <v/>
      </c>
      <c r="FB565" s="58">
        <f>IFERROR($BQ565/$BQ566-1,"")</f>
        <v/>
      </c>
      <c r="FC565" s="58">
        <f>IFERROR($BR565/$BR566-1,"")</f>
        <v/>
      </c>
      <c r="FD565" s="58">
        <f>IFERROR($BS565/$BS566-1,"")</f>
        <v/>
      </c>
      <c r="FE565" s="58">
        <f>IFERROR($BT565/$BT566-1,"")</f>
        <v/>
      </c>
      <c r="FF565" s="58">
        <f>IFERROR($BU565/$BU566-1,"")</f>
        <v/>
      </c>
      <c r="FG565" s="58">
        <f>IFERROR($BV565/$BV566-1,"")</f>
        <v/>
      </c>
      <c r="FH565" s="58">
        <f>IFERROR($BW565/$BW566-1,"")</f>
        <v/>
      </c>
      <c r="FI565" s="58">
        <f>IFERROR($BX565/$BX566-1,"")</f>
        <v/>
      </c>
      <c r="FJ565" s="59">
        <f>$BY565-$BY566</f>
        <v/>
      </c>
      <c r="FK565" s="59">
        <f>$BZ565-$BZ566</f>
        <v/>
      </c>
      <c r="FL565" s="59">
        <f>$CA565-$CA566</f>
        <v/>
      </c>
      <c r="FM565" s="59">
        <f>$CB565-$CB566</f>
        <v/>
      </c>
      <c r="FN565" s="59">
        <f>$CC565-$CC566</f>
        <v/>
      </c>
      <c r="FO565" s="59">
        <f>$CD565-$CD566</f>
        <v/>
      </c>
      <c r="FP565" s="59">
        <f>$CE565-$CE566</f>
        <v/>
      </c>
      <c r="FQ565" s="59">
        <f>$CF565-$CF566</f>
        <v/>
      </c>
      <c r="FR565" s="59">
        <f>$CG565-$CG566</f>
        <v/>
      </c>
      <c r="FS565" s="59">
        <f>$CH565-$CH566</f>
        <v/>
      </c>
      <c r="FT565" s="59">
        <f>$CI565-$CI566</f>
        <v/>
      </c>
      <c r="FU565" s="59">
        <f>$CJ565-$CJ566</f>
        <v/>
      </c>
      <c r="FV565" s="59">
        <f>$CK565-$CK566</f>
        <v/>
      </c>
      <c r="FW565" s="59">
        <f>$CL565-$CL566</f>
        <v/>
      </c>
      <c r="FX565" s="59">
        <f>$CM565-$CM566</f>
        <v/>
      </c>
      <c r="FY565" s="59">
        <f>$CN565-$CN566</f>
        <v/>
      </c>
      <c r="FZ565" s="59">
        <f>$CO565-$CO566</f>
        <v/>
      </c>
      <c r="GA565" s="59">
        <f>$CP565-$CP566</f>
        <v/>
      </c>
      <c r="GB565" s="59">
        <f>$CQ565-$CQ566</f>
        <v/>
      </c>
      <c r="GC565" s="59">
        <f>$CR565-$CR566</f>
        <v/>
      </c>
      <c r="GD565" s="59">
        <f>$CS565-$CS566</f>
        <v/>
      </c>
      <c r="GE565" s="59">
        <f>$CT565-$CT566</f>
        <v/>
      </c>
    </row>
    <row r="566">
      <c r="CU566" s="58">
        <f>IFERROR($B566/$B567-1,"")</f>
        <v/>
      </c>
      <c r="CV566" s="59">
        <f>($F566-$F567)*100</f>
        <v/>
      </c>
      <c r="CW566" s="59">
        <f>($E566-$E567)*100</f>
        <v/>
      </c>
      <c r="CX566" s="58">
        <f>IFERROR($K566/$K567-1,"")</f>
        <v/>
      </c>
      <c r="CY566" s="59">
        <f>($AH566-$AH567)*100</f>
        <v/>
      </c>
      <c r="CZ566" s="59">
        <f>($AI566-$AI567)*100</f>
        <v/>
      </c>
      <c r="DA566" s="59">
        <f>($AJ566-$AJ567)*100</f>
        <v/>
      </c>
      <c r="DB566" s="59">
        <f>($AK566-$AK567)*100</f>
        <v/>
      </c>
      <c r="DC566" s="59">
        <f>($AL566-$AL567)*100</f>
        <v/>
      </c>
      <c r="DD566" s="59">
        <f>($AM566-$AM567)*100</f>
        <v/>
      </c>
      <c r="DE566" s="59">
        <f>($AN566-$AN567)*100</f>
        <v/>
      </c>
      <c r="DF566" s="59">
        <f>($AO566-$AO567)*100</f>
        <v/>
      </c>
      <c r="DG566" s="59">
        <f>($AP566-$AP567)*100</f>
        <v/>
      </c>
      <c r="DH566" s="59">
        <f>($AQ566-$AQ567)*100</f>
        <v/>
      </c>
      <c r="DI566" s="59">
        <f>($AR566-$AR567)*100</f>
        <v/>
      </c>
      <c r="DJ566" s="59">
        <f>($AS566-$AS567)*100</f>
        <v/>
      </c>
      <c r="DK566" s="59">
        <f>($AT566-$AT567)*100</f>
        <v/>
      </c>
      <c r="DL566" s="59">
        <f>($AU566-$AU567)*100</f>
        <v/>
      </c>
      <c r="DM566" s="59">
        <f>($AV566-$AV567)*100</f>
        <v/>
      </c>
      <c r="DN566" s="59">
        <f>($AW566-$AW567)*100</f>
        <v/>
      </c>
      <c r="DO566" s="59">
        <f>($AX566-$AX567)*100</f>
        <v/>
      </c>
      <c r="DP566" s="59">
        <f>($AY566-$AY567)*100</f>
        <v/>
      </c>
      <c r="DQ566" s="59">
        <f>($AZ566-$AZ567)*100</f>
        <v/>
      </c>
      <c r="DR566" s="59">
        <f>($BA566-$BA567)*100</f>
        <v/>
      </c>
      <c r="DS566" s="58">
        <f>IFERROR($N567/$N566-1,"")</f>
        <v/>
      </c>
      <c r="DT566" s="58">
        <f>IFERROR($O567/$O566-1,"")</f>
        <v/>
      </c>
      <c r="DU566" s="58">
        <f>IFERROR($P567/$P566-1,"")</f>
        <v/>
      </c>
      <c r="DV566" s="58">
        <f>IFERROR($Q567/$Q566-1,"")</f>
        <v/>
      </c>
      <c r="DW566" s="58">
        <f>IFERROR($R567/$R566-1,"")</f>
        <v/>
      </c>
      <c r="DX566" s="58">
        <f>IFERROR($S567/$S566-1,"")</f>
        <v/>
      </c>
      <c r="DY566" s="58">
        <f>IFERROR($T567/$T566-1,"")</f>
        <v/>
      </c>
      <c r="DZ566" s="58">
        <f>IFERROR($U567/$U566-1,"")</f>
        <v/>
      </c>
      <c r="EA566" s="58">
        <f>IFERROR($V567/$V566-1,"")</f>
        <v/>
      </c>
      <c r="EB566" s="58">
        <f>IFERROR($W567/$W566-1,"")</f>
        <v/>
      </c>
      <c r="EC566" s="58">
        <f>IFERROR($X567/$X566-1,"")</f>
        <v/>
      </c>
      <c r="ED566" s="58">
        <f>IFERROR($Y567/$Y566-1,"")</f>
        <v/>
      </c>
      <c r="EE566" s="58">
        <f>IFERROR($Z567/$Z566-1,"")</f>
        <v/>
      </c>
      <c r="EF566" s="58">
        <f>IFERROR($AA567/$AA566-1,"")</f>
        <v/>
      </c>
      <c r="EG566" s="58">
        <f>IFERROR($AB567/$AB566-1,"")</f>
        <v/>
      </c>
      <c r="EH566" s="58">
        <f>IFERROR($AC567/$AC566-1,"")</f>
        <v/>
      </c>
      <c r="EI566" s="58">
        <f>IFERROR($AD567/$AD566-1,"")</f>
        <v/>
      </c>
      <c r="EJ566" s="58">
        <f>IFERROR($AE567/$AE566-1,"")</f>
        <v/>
      </c>
      <c r="EK566" s="58">
        <f>IFERROR($AF567/$AF566-1,"")</f>
        <v/>
      </c>
      <c r="EL566" s="58">
        <f>IFERROR($AG567/$AG566-1,"")</f>
        <v/>
      </c>
      <c r="EM566" s="58">
        <f>IFERROR($BB566/$BB567-1,"")</f>
        <v/>
      </c>
      <c r="EN566" s="58">
        <f>IFERROR($BC566/$BC567-1,"")</f>
        <v/>
      </c>
      <c r="EO566" s="58">
        <f>IFERROR($BD566/$BD567-1,"")</f>
        <v/>
      </c>
      <c r="EP566" s="58">
        <f>IFERROR($BE566/$BE567-1,"")</f>
        <v/>
      </c>
      <c r="EQ566" s="58">
        <f>IFERROR($BF566/$BF567-1,"")</f>
        <v/>
      </c>
      <c r="ER566" s="58">
        <f>IFERROR($BG566/$BG567-1,"")</f>
        <v/>
      </c>
      <c r="ES566" s="58">
        <f>IFERROR($BH566/$BH567-1,"")</f>
        <v/>
      </c>
      <c r="ET566" s="58">
        <f>IFERROR($BI566/$BI567-1,"")</f>
        <v/>
      </c>
      <c r="EU566" s="58">
        <f>IFERROR($BJ566/$BJ567-1,"")</f>
        <v/>
      </c>
      <c r="EV566" s="58">
        <f>IFERROR($BK566/$BK567-1,"")</f>
        <v/>
      </c>
      <c r="EW566" s="58">
        <f>IFERROR($BL566/$BL567-1,"")</f>
        <v/>
      </c>
      <c r="EX566" s="58">
        <f>IFERROR($BM566/$BM567-1,"")</f>
        <v/>
      </c>
      <c r="EY566" s="58">
        <f>IFERROR($BN566/$BN567-1,"")</f>
        <v/>
      </c>
      <c r="EZ566" s="58">
        <f>IFERROR($BO566/$BO567-1,"")</f>
        <v/>
      </c>
      <c r="FA566" s="58">
        <f>IFERROR($BP566/$BP567-1,"")</f>
        <v/>
      </c>
      <c r="FB566" s="58">
        <f>IFERROR($BQ566/$BQ567-1,"")</f>
        <v/>
      </c>
      <c r="FC566" s="58">
        <f>IFERROR($BR566/$BR567-1,"")</f>
        <v/>
      </c>
      <c r="FD566" s="58">
        <f>IFERROR($BS566/$BS567-1,"")</f>
        <v/>
      </c>
      <c r="FE566" s="58">
        <f>IFERROR($BT566/$BT567-1,"")</f>
        <v/>
      </c>
      <c r="FF566" s="58">
        <f>IFERROR($BU566/$BU567-1,"")</f>
        <v/>
      </c>
      <c r="FG566" s="58">
        <f>IFERROR($BV566/$BV567-1,"")</f>
        <v/>
      </c>
      <c r="FH566" s="58">
        <f>IFERROR($BW566/$BW567-1,"")</f>
        <v/>
      </c>
      <c r="FI566" s="58">
        <f>IFERROR($BX566/$BX567-1,"")</f>
        <v/>
      </c>
      <c r="FJ566" s="59">
        <f>$BY566-$BY567</f>
        <v/>
      </c>
      <c r="FK566" s="59">
        <f>$BZ566-$BZ567</f>
        <v/>
      </c>
      <c r="FL566" s="59">
        <f>$CA566-$CA567</f>
        <v/>
      </c>
      <c r="FM566" s="59">
        <f>$CB566-$CB567</f>
        <v/>
      </c>
      <c r="FN566" s="59">
        <f>$CC566-$CC567</f>
        <v/>
      </c>
      <c r="FO566" s="59">
        <f>$CD566-$CD567</f>
        <v/>
      </c>
      <c r="FP566" s="59">
        <f>$CE566-$CE567</f>
        <v/>
      </c>
      <c r="FQ566" s="59">
        <f>$CF566-$CF567</f>
        <v/>
      </c>
      <c r="FR566" s="59">
        <f>$CG566-$CG567</f>
        <v/>
      </c>
      <c r="FS566" s="59">
        <f>$CH566-$CH567</f>
        <v/>
      </c>
      <c r="FT566" s="59">
        <f>$CI566-$CI567</f>
        <v/>
      </c>
      <c r="FU566" s="59">
        <f>$CJ566-$CJ567</f>
        <v/>
      </c>
      <c r="FV566" s="59">
        <f>$CK566-$CK567</f>
        <v/>
      </c>
      <c r="FW566" s="59">
        <f>$CL566-$CL567</f>
        <v/>
      </c>
      <c r="FX566" s="59">
        <f>$CM566-$CM567</f>
        <v/>
      </c>
      <c r="FY566" s="59">
        <f>$CN566-$CN567</f>
        <v/>
      </c>
      <c r="FZ566" s="59">
        <f>$CO566-$CO567</f>
        <v/>
      </c>
      <c r="GA566" s="59">
        <f>$CP566-$CP567</f>
        <v/>
      </c>
      <c r="GB566" s="59">
        <f>$CQ566-$CQ567</f>
        <v/>
      </c>
      <c r="GC566" s="59">
        <f>$CR566-$CR567</f>
        <v/>
      </c>
      <c r="GD566" s="59">
        <f>$CS566-$CS567</f>
        <v/>
      </c>
      <c r="GE566" s="59">
        <f>$CT566-$CT567</f>
        <v/>
      </c>
    </row>
    <row r="567">
      <c r="CU567" s="58">
        <f>IFERROR($B567/$B568-1,"")</f>
        <v/>
      </c>
      <c r="CV567" s="59">
        <f>($F567-$F568)*100</f>
        <v/>
      </c>
      <c r="CW567" s="59">
        <f>($E567-$E568)*100</f>
        <v/>
      </c>
      <c r="CX567" s="58">
        <f>IFERROR($K567/$K568-1,"")</f>
        <v/>
      </c>
      <c r="CY567" s="59">
        <f>($AH567-$AH568)*100</f>
        <v/>
      </c>
      <c r="CZ567" s="59">
        <f>($AI567-$AI568)*100</f>
        <v/>
      </c>
      <c r="DA567" s="59">
        <f>($AJ567-$AJ568)*100</f>
        <v/>
      </c>
      <c r="DB567" s="59">
        <f>($AK567-$AK568)*100</f>
        <v/>
      </c>
      <c r="DC567" s="59">
        <f>($AL567-$AL568)*100</f>
        <v/>
      </c>
      <c r="DD567" s="59">
        <f>($AM567-$AM568)*100</f>
        <v/>
      </c>
      <c r="DE567" s="59">
        <f>($AN567-$AN568)*100</f>
        <v/>
      </c>
      <c r="DF567" s="59">
        <f>($AO567-$AO568)*100</f>
        <v/>
      </c>
      <c r="DG567" s="59">
        <f>($AP567-$AP568)*100</f>
        <v/>
      </c>
      <c r="DH567" s="59">
        <f>($AQ567-$AQ568)*100</f>
        <v/>
      </c>
      <c r="DI567" s="59">
        <f>($AR567-$AR568)*100</f>
        <v/>
      </c>
      <c r="DJ567" s="59">
        <f>($AS567-$AS568)*100</f>
        <v/>
      </c>
      <c r="DK567" s="59">
        <f>($AT567-$AT568)*100</f>
        <v/>
      </c>
      <c r="DL567" s="59">
        <f>($AU567-$AU568)*100</f>
        <v/>
      </c>
      <c r="DM567" s="59">
        <f>($AV567-$AV568)*100</f>
        <v/>
      </c>
      <c r="DN567" s="59">
        <f>($AW567-$AW568)*100</f>
        <v/>
      </c>
      <c r="DO567" s="59">
        <f>($AX567-$AX568)*100</f>
        <v/>
      </c>
      <c r="DP567" s="59">
        <f>($AY567-$AY568)*100</f>
        <v/>
      </c>
      <c r="DQ567" s="59">
        <f>($AZ567-$AZ568)*100</f>
        <v/>
      </c>
      <c r="DR567" s="59">
        <f>($BA567-$BA568)*100</f>
        <v/>
      </c>
      <c r="DS567" s="58">
        <f>IFERROR($N568/$N567-1,"")</f>
        <v/>
      </c>
      <c r="DT567" s="58">
        <f>IFERROR($O568/$O567-1,"")</f>
        <v/>
      </c>
      <c r="DU567" s="58">
        <f>IFERROR($P568/$P567-1,"")</f>
        <v/>
      </c>
      <c r="DV567" s="58">
        <f>IFERROR($Q568/$Q567-1,"")</f>
        <v/>
      </c>
      <c r="DW567" s="58">
        <f>IFERROR($R568/$R567-1,"")</f>
        <v/>
      </c>
      <c r="DX567" s="58">
        <f>IFERROR($S568/$S567-1,"")</f>
        <v/>
      </c>
      <c r="DY567" s="58">
        <f>IFERROR($T568/$T567-1,"")</f>
        <v/>
      </c>
      <c r="DZ567" s="58">
        <f>IFERROR($U568/$U567-1,"")</f>
        <v/>
      </c>
      <c r="EA567" s="58">
        <f>IFERROR($V568/$V567-1,"")</f>
        <v/>
      </c>
      <c r="EB567" s="58">
        <f>IFERROR($W568/$W567-1,"")</f>
        <v/>
      </c>
      <c r="EC567" s="58">
        <f>IFERROR($X568/$X567-1,"")</f>
        <v/>
      </c>
      <c r="ED567" s="58">
        <f>IFERROR($Y568/$Y567-1,"")</f>
        <v/>
      </c>
      <c r="EE567" s="58">
        <f>IFERROR($Z568/$Z567-1,"")</f>
        <v/>
      </c>
      <c r="EF567" s="58">
        <f>IFERROR($AA568/$AA567-1,"")</f>
        <v/>
      </c>
      <c r="EG567" s="58">
        <f>IFERROR($AB568/$AB567-1,"")</f>
        <v/>
      </c>
      <c r="EH567" s="58">
        <f>IFERROR($AC568/$AC567-1,"")</f>
        <v/>
      </c>
      <c r="EI567" s="58">
        <f>IFERROR($AD568/$AD567-1,"")</f>
        <v/>
      </c>
      <c r="EJ567" s="58">
        <f>IFERROR($AE568/$AE567-1,"")</f>
        <v/>
      </c>
      <c r="EK567" s="58">
        <f>IFERROR($AF568/$AF567-1,"")</f>
        <v/>
      </c>
      <c r="EL567" s="58">
        <f>IFERROR($AG568/$AG567-1,"")</f>
        <v/>
      </c>
      <c r="EM567" s="58">
        <f>IFERROR($BB567/$BB568-1,"")</f>
        <v/>
      </c>
      <c r="EN567" s="58">
        <f>IFERROR($BC567/$BC568-1,"")</f>
        <v/>
      </c>
      <c r="EO567" s="58">
        <f>IFERROR($BD567/$BD568-1,"")</f>
        <v/>
      </c>
      <c r="EP567" s="58">
        <f>IFERROR($BE567/$BE568-1,"")</f>
        <v/>
      </c>
      <c r="EQ567" s="58">
        <f>IFERROR($BF567/$BF568-1,"")</f>
        <v/>
      </c>
      <c r="ER567" s="58">
        <f>IFERROR($BG567/$BG568-1,"")</f>
        <v/>
      </c>
      <c r="ES567" s="58">
        <f>IFERROR($BH567/$BH568-1,"")</f>
        <v/>
      </c>
      <c r="ET567" s="58">
        <f>IFERROR($BI567/$BI568-1,"")</f>
        <v/>
      </c>
      <c r="EU567" s="58">
        <f>IFERROR($BJ567/$BJ568-1,"")</f>
        <v/>
      </c>
      <c r="EV567" s="58">
        <f>IFERROR($BK567/$BK568-1,"")</f>
        <v/>
      </c>
      <c r="EW567" s="58">
        <f>IFERROR($BL567/$BL568-1,"")</f>
        <v/>
      </c>
      <c r="EX567" s="58">
        <f>IFERROR($BM567/$BM568-1,"")</f>
        <v/>
      </c>
      <c r="EY567" s="58">
        <f>IFERROR($BN567/$BN568-1,"")</f>
        <v/>
      </c>
      <c r="EZ567" s="58">
        <f>IFERROR($BO567/$BO568-1,"")</f>
        <v/>
      </c>
      <c r="FA567" s="58">
        <f>IFERROR($BP567/$BP568-1,"")</f>
        <v/>
      </c>
      <c r="FB567" s="58">
        <f>IFERROR($BQ567/$BQ568-1,"")</f>
        <v/>
      </c>
      <c r="FC567" s="58">
        <f>IFERROR($BR567/$BR568-1,"")</f>
        <v/>
      </c>
      <c r="FD567" s="58">
        <f>IFERROR($BS567/$BS568-1,"")</f>
        <v/>
      </c>
      <c r="FE567" s="58">
        <f>IFERROR($BT567/$BT568-1,"")</f>
        <v/>
      </c>
      <c r="FF567" s="58">
        <f>IFERROR($BU567/$BU568-1,"")</f>
        <v/>
      </c>
      <c r="FG567" s="58">
        <f>IFERROR($BV567/$BV568-1,"")</f>
        <v/>
      </c>
      <c r="FH567" s="58">
        <f>IFERROR($BW567/$BW568-1,"")</f>
        <v/>
      </c>
      <c r="FI567" s="58">
        <f>IFERROR($BX567/$BX568-1,"")</f>
        <v/>
      </c>
      <c r="FJ567" s="59">
        <f>$BY567-$BY568</f>
        <v/>
      </c>
      <c r="FK567" s="59">
        <f>$BZ567-$BZ568</f>
        <v/>
      </c>
      <c r="FL567" s="59">
        <f>$CA567-$CA568</f>
        <v/>
      </c>
      <c r="FM567" s="59">
        <f>$CB567-$CB568</f>
        <v/>
      </c>
      <c r="FN567" s="59">
        <f>$CC567-$CC568</f>
        <v/>
      </c>
      <c r="FO567" s="59">
        <f>$CD567-$CD568</f>
        <v/>
      </c>
      <c r="FP567" s="59">
        <f>$CE567-$CE568</f>
        <v/>
      </c>
      <c r="FQ567" s="59">
        <f>$CF567-$CF568</f>
        <v/>
      </c>
      <c r="FR567" s="59">
        <f>$CG567-$CG568</f>
        <v/>
      </c>
      <c r="FS567" s="59">
        <f>$CH567-$CH568</f>
        <v/>
      </c>
      <c r="FT567" s="59">
        <f>$CI567-$CI568</f>
        <v/>
      </c>
      <c r="FU567" s="59">
        <f>$CJ567-$CJ568</f>
        <v/>
      </c>
      <c r="FV567" s="59">
        <f>$CK567-$CK568</f>
        <v/>
      </c>
      <c r="FW567" s="59">
        <f>$CL567-$CL568</f>
        <v/>
      </c>
      <c r="FX567" s="59">
        <f>$CM567-$CM568</f>
        <v/>
      </c>
      <c r="FY567" s="59">
        <f>$CN567-$CN568</f>
        <v/>
      </c>
      <c r="FZ567" s="59">
        <f>$CO567-$CO568</f>
        <v/>
      </c>
      <c r="GA567" s="59">
        <f>$CP567-$CP568</f>
        <v/>
      </c>
      <c r="GB567" s="59">
        <f>$CQ567-$CQ568</f>
        <v/>
      </c>
      <c r="GC567" s="59">
        <f>$CR567-$CR568</f>
        <v/>
      </c>
      <c r="GD567" s="59">
        <f>$CS567-$CS568</f>
        <v/>
      </c>
      <c r="GE567" s="59">
        <f>$CT567-$CT568</f>
        <v/>
      </c>
    </row>
    <row r="568">
      <c r="CU568" s="58">
        <f>IFERROR($B568/$B569-1,"")</f>
        <v/>
      </c>
      <c r="CV568" s="59">
        <f>($F568-$F569)*100</f>
        <v/>
      </c>
      <c r="CW568" s="59">
        <f>($E568-$E569)*100</f>
        <v/>
      </c>
      <c r="CX568" s="58">
        <f>IFERROR($K568/$K569-1,"")</f>
        <v/>
      </c>
      <c r="CY568" s="59">
        <f>($AH568-$AH569)*100</f>
        <v/>
      </c>
      <c r="CZ568" s="59">
        <f>($AI568-$AI569)*100</f>
        <v/>
      </c>
      <c r="DA568" s="59">
        <f>($AJ568-$AJ569)*100</f>
        <v/>
      </c>
      <c r="DB568" s="59">
        <f>($AK568-$AK569)*100</f>
        <v/>
      </c>
      <c r="DC568" s="59">
        <f>($AL568-$AL569)*100</f>
        <v/>
      </c>
      <c r="DD568" s="59">
        <f>($AM568-$AM569)*100</f>
        <v/>
      </c>
      <c r="DE568" s="59">
        <f>($AN568-$AN569)*100</f>
        <v/>
      </c>
      <c r="DF568" s="59">
        <f>($AO568-$AO569)*100</f>
        <v/>
      </c>
      <c r="DG568" s="59">
        <f>($AP568-$AP569)*100</f>
        <v/>
      </c>
      <c r="DH568" s="59">
        <f>($AQ568-$AQ569)*100</f>
        <v/>
      </c>
      <c r="DI568" s="59">
        <f>($AR568-$AR569)*100</f>
        <v/>
      </c>
      <c r="DJ568" s="59">
        <f>($AS568-$AS569)*100</f>
        <v/>
      </c>
      <c r="DK568" s="59">
        <f>($AT568-$AT569)*100</f>
        <v/>
      </c>
      <c r="DL568" s="59">
        <f>($AU568-$AU569)*100</f>
        <v/>
      </c>
      <c r="DM568" s="59">
        <f>($AV568-$AV569)*100</f>
        <v/>
      </c>
      <c r="DN568" s="59">
        <f>($AW568-$AW569)*100</f>
        <v/>
      </c>
      <c r="DO568" s="59">
        <f>($AX568-$AX569)*100</f>
        <v/>
      </c>
      <c r="DP568" s="59">
        <f>($AY568-$AY569)*100</f>
        <v/>
      </c>
      <c r="DQ568" s="59">
        <f>($AZ568-$AZ569)*100</f>
        <v/>
      </c>
      <c r="DR568" s="59">
        <f>($BA568-$BA569)*100</f>
        <v/>
      </c>
      <c r="DS568" s="58">
        <f>IFERROR($N569/$N568-1,"")</f>
        <v/>
      </c>
      <c r="DT568" s="58">
        <f>IFERROR($O569/$O568-1,"")</f>
        <v/>
      </c>
      <c r="DU568" s="58">
        <f>IFERROR($P569/$P568-1,"")</f>
        <v/>
      </c>
      <c r="DV568" s="58">
        <f>IFERROR($Q569/$Q568-1,"")</f>
        <v/>
      </c>
      <c r="DW568" s="58">
        <f>IFERROR($R569/$R568-1,"")</f>
        <v/>
      </c>
      <c r="DX568" s="58">
        <f>IFERROR($S569/$S568-1,"")</f>
        <v/>
      </c>
      <c r="DY568" s="58">
        <f>IFERROR($T569/$T568-1,"")</f>
        <v/>
      </c>
      <c r="DZ568" s="58">
        <f>IFERROR($U569/$U568-1,"")</f>
        <v/>
      </c>
      <c r="EA568" s="58">
        <f>IFERROR($V569/$V568-1,"")</f>
        <v/>
      </c>
      <c r="EB568" s="58">
        <f>IFERROR($W569/$W568-1,"")</f>
        <v/>
      </c>
      <c r="EC568" s="58">
        <f>IFERROR($X569/$X568-1,"")</f>
        <v/>
      </c>
      <c r="ED568" s="58">
        <f>IFERROR($Y569/$Y568-1,"")</f>
        <v/>
      </c>
      <c r="EE568" s="58">
        <f>IFERROR($Z569/$Z568-1,"")</f>
        <v/>
      </c>
      <c r="EF568" s="58">
        <f>IFERROR($AA569/$AA568-1,"")</f>
        <v/>
      </c>
      <c r="EG568" s="58">
        <f>IFERROR($AB569/$AB568-1,"")</f>
        <v/>
      </c>
      <c r="EH568" s="58">
        <f>IFERROR($AC569/$AC568-1,"")</f>
        <v/>
      </c>
      <c r="EI568" s="58">
        <f>IFERROR($AD569/$AD568-1,"")</f>
        <v/>
      </c>
      <c r="EJ568" s="58">
        <f>IFERROR($AE569/$AE568-1,"")</f>
        <v/>
      </c>
      <c r="EK568" s="58">
        <f>IFERROR($AF569/$AF568-1,"")</f>
        <v/>
      </c>
      <c r="EL568" s="58">
        <f>IFERROR($AG569/$AG568-1,"")</f>
        <v/>
      </c>
      <c r="EM568" s="58">
        <f>IFERROR($BB568/$BB569-1,"")</f>
        <v/>
      </c>
      <c r="EN568" s="58">
        <f>IFERROR($BC568/$BC569-1,"")</f>
        <v/>
      </c>
      <c r="EO568" s="58">
        <f>IFERROR($BD568/$BD569-1,"")</f>
        <v/>
      </c>
      <c r="EP568" s="58">
        <f>IFERROR($BE568/$BE569-1,"")</f>
        <v/>
      </c>
      <c r="EQ568" s="58">
        <f>IFERROR($BF568/$BF569-1,"")</f>
        <v/>
      </c>
      <c r="ER568" s="58">
        <f>IFERROR($BG568/$BG569-1,"")</f>
        <v/>
      </c>
      <c r="ES568" s="58">
        <f>IFERROR($BH568/$BH569-1,"")</f>
        <v/>
      </c>
      <c r="ET568" s="58">
        <f>IFERROR($BI568/$BI569-1,"")</f>
        <v/>
      </c>
      <c r="EU568" s="58">
        <f>IFERROR($BJ568/$BJ569-1,"")</f>
        <v/>
      </c>
      <c r="EV568" s="58">
        <f>IFERROR($BK568/$BK569-1,"")</f>
        <v/>
      </c>
      <c r="EW568" s="58">
        <f>IFERROR($BL568/$BL569-1,"")</f>
        <v/>
      </c>
      <c r="EX568" s="58">
        <f>IFERROR($BM568/$BM569-1,"")</f>
        <v/>
      </c>
      <c r="EY568" s="58">
        <f>IFERROR($BN568/$BN569-1,"")</f>
        <v/>
      </c>
      <c r="EZ568" s="58">
        <f>IFERROR($BO568/$BO569-1,"")</f>
        <v/>
      </c>
      <c r="FA568" s="58">
        <f>IFERROR($BP568/$BP569-1,"")</f>
        <v/>
      </c>
      <c r="FB568" s="58">
        <f>IFERROR($BQ568/$BQ569-1,"")</f>
        <v/>
      </c>
      <c r="FC568" s="58">
        <f>IFERROR($BR568/$BR569-1,"")</f>
        <v/>
      </c>
      <c r="FD568" s="58">
        <f>IFERROR($BS568/$BS569-1,"")</f>
        <v/>
      </c>
      <c r="FE568" s="58">
        <f>IFERROR($BT568/$BT569-1,"")</f>
        <v/>
      </c>
      <c r="FF568" s="58">
        <f>IFERROR($BU568/$BU569-1,"")</f>
        <v/>
      </c>
      <c r="FG568" s="58">
        <f>IFERROR($BV568/$BV569-1,"")</f>
        <v/>
      </c>
      <c r="FH568" s="58">
        <f>IFERROR($BW568/$BW569-1,"")</f>
        <v/>
      </c>
      <c r="FI568" s="58">
        <f>IFERROR($BX568/$BX569-1,"")</f>
        <v/>
      </c>
      <c r="FJ568" s="59">
        <f>$BY568-$BY569</f>
        <v/>
      </c>
      <c r="FK568" s="59">
        <f>$BZ568-$BZ569</f>
        <v/>
      </c>
      <c r="FL568" s="59">
        <f>$CA568-$CA569</f>
        <v/>
      </c>
      <c r="FM568" s="59">
        <f>$CB568-$CB569</f>
        <v/>
      </c>
      <c r="FN568" s="59">
        <f>$CC568-$CC569</f>
        <v/>
      </c>
      <c r="FO568" s="59">
        <f>$CD568-$CD569</f>
        <v/>
      </c>
      <c r="FP568" s="59">
        <f>$CE568-$CE569</f>
        <v/>
      </c>
      <c r="FQ568" s="59">
        <f>$CF568-$CF569</f>
        <v/>
      </c>
      <c r="FR568" s="59">
        <f>$CG568-$CG569</f>
        <v/>
      </c>
      <c r="FS568" s="59">
        <f>$CH568-$CH569</f>
        <v/>
      </c>
      <c r="FT568" s="59">
        <f>$CI568-$CI569</f>
        <v/>
      </c>
      <c r="FU568" s="59">
        <f>$CJ568-$CJ569</f>
        <v/>
      </c>
      <c r="FV568" s="59">
        <f>$CK568-$CK569</f>
        <v/>
      </c>
      <c r="FW568" s="59">
        <f>$CL568-$CL569</f>
        <v/>
      </c>
      <c r="FX568" s="59">
        <f>$CM568-$CM569</f>
        <v/>
      </c>
      <c r="FY568" s="59">
        <f>$CN568-$CN569</f>
        <v/>
      </c>
      <c r="FZ568" s="59">
        <f>$CO568-$CO569</f>
        <v/>
      </c>
      <c r="GA568" s="59">
        <f>$CP568-$CP569</f>
        <v/>
      </c>
      <c r="GB568" s="59">
        <f>$CQ568-$CQ569</f>
        <v/>
      </c>
      <c r="GC568" s="59">
        <f>$CR568-$CR569</f>
        <v/>
      </c>
      <c r="GD568" s="59">
        <f>$CS568-$CS569</f>
        <v/>
      </c>
      <c r="GE568" s="59">
        <f>$CT568-$CT569</f>
        <v/>
      </c>
    </row>
    <row r="569">
      <c r="CU569" s="58">
        <f>IFERROR($B569/$B570-1,"")</f>
        <v/>
      </c>
      <c r="CV569" s="59">
        <f>($F569-$F570)*100</f>
        <v/>
      </c>
      <c r="CW569" s="59">
        <f>($E569-$E570)*100</f>
        <v/>
      </c>
      <c r="CX569" s="58">
        <f>IFERROR($K569/$K570-1,"")</f>
        <v/>
      </c>
      <c r="CY569" s="59">
        <f>($AH569-$AH570)*100</f>
        <v/>
      </c>
      <c r="CZ569" s="59">
        <f>($AI569-$AI570)*100</f>
        <v/>
      </c>
      <c r="DA569" s="59">
        <f>($AJ569-$AJ570)*100</f>
        <v/>
      </c>
      <c r="DB569" s="59">
        <f>($AK569-$AK570)*100</f>
        <v/>
      </c>
      <c r="DC569" s="59">
        <f>($AL569-$AL570)*100</f>
        <v/>
      </c>
      <c r="DD569" s="59">
        <f>($AM569-$AM570)*100</f>
        <v/>
      </c>
      <c r="DE569" s="59">
        <f>($AN569-$AN570)*100</f>
        <v/>
      </c>
      <c r="DF569" s="59">
        <f>($AO569-$AO570)*100</f>
        <v/>
      </c>
      <c r="DG569" s="59">
        <f>($AP569-$AP570)*100</f>
        <v/>
      </c>
      <c r="DH569" s="59">
        <f>($AQ569-$AQ570)*100</f>
        <v/>
      </c>
      <c r="DI569" s="59">
        <f>($AR569-$AR570)*100</f>
        <v/>
      </c>
      <c r="DJ569" s="59">
        <f>($AS569-$AS570)*100</f>
        <v/>
      </c>
      <c r="DK569" s="59">
        <f>($AT569-$AT570)*100</f>
        <v/>
      </c>
      <c r="DL569" s="59">
        <f>($AU569-$AU570)*100</f>
        <v/>
      </c>
      <c r="DM569" s="59">
        <f>($AV569-$AV570)*100</f>
        <v/>
      </c>
      <c r="DN569" s="59">
        <f>($AW569-$AW570)*100</f>
        <v/>
      </c>
      <c r="DO569" s="59">
        <f>($AX569-$AX570)*100</f>
        <v/>
      </c>
      <c r="DP569" s="59">
        <f>($AY569-$AY570)*100</f>
        <v/>
      </c>
      <c r="DQ569" s="59">
        <f>($AZ569-$AZ570)*100</f>
        <v/>
      </c>
      <c r="DR569" s="59">
        <f>($BA569-$BA570)*100</f>
        <v/>
      </c>
      <c r="DS569" s="58">
        <f>IFERROR($N570/$N569-1,"")</f>
        <v/>
      </c>
      <c r="DT569" s="58">
        <f>IFERROR($O570/$O569-1,"")</f>
        <v/>
      </c>
      <c r="DU569" s="58">
        <f>IFERROR($P570/$P569-1,"")</f>
        <v/>
      </c>
      <c r="DV569" s="58">
        <f>IFERROR($Q570/$Q569-1,"")</f>
        <v/>
      </c>
      <c r="DW569" s="58">
        <f>IFERROR($R570/$R569-1,"")</f>
        <v/>
      </c>
      <c r="DX569" s="58">
        <f>IFERROR($S570/$S569-1,"")</f>
        <v/>
      </c>
      <c r="DY569" s="58">
        <f>IFERROR($T570/$T569-1,"")</f>
        <v/>
      </c>
      <c r="DZ569" s="58">
        <f>IFERROR($U570/$U569-1,"")</f>
        <v/>
      </c>
      <c r="EA569" s="58">
        <f>IFERROR($V570/$V569-1,"")</f>
        <v/>
      </c>
      <c r="EB569" s="58">
        <f>IFERROR($W570/$W569-1,"")</f>
        <v/>
      </c>
      <c r="EC569" s="58">
        <f>IFERROR($X570/$X569-1,"")</f>
        <v/>
      </c>
      <c r="ED569" s="58">
        <f>IFERROR($Y570/$Y569-1,"")</f>
        <v/>
      </c>
      <c r="EE569" s="58">
        <f>IFERROR($Z570/$Z569-1,"")</f>
        <v/>
      </c>
      <c r="EF569" s="58">
        <f>IFERROR($AA570/$AA569-1,"")</f>
        <v/>
      </c>
      <c r="EG569" s="58">
        <f>IFERROR($AB570/$AB569-1,"")</f>
        <v/>
      </c>
      <c r="EH569" s="58">
        <f>IFERROR($AC570/$AC569-1,"")</f>
        <v/>
      </c>
      <c r="EI569" s="58">
        <f>IFERROR($AD570/$AD569-1,"")</f>
        <v/>
      </c>
      <c r="EJ569" s="58">
        <f>IFERROR($AE570/$AE569-1,"")</f>
        <v/>
      </c>
      <c r="EK569" s="58">
        <f>IFERROR($AF570/$AF569-1,"")</f>
        <v/>
      </c>
      <c r="EL569" s="58">
        <f>IFERROR($AG570/$AG569-1,"")</f>
        <v/>
      </c>
      <c r="EM569" s="58">
        <f>IFERROR($BB569/$BB570-1,"")</f>
        <v/>
      </c>
      <c r="EN569" s="58">
        <f>IFERROR($BC569/$BC570-1,"")</f>
        <v/>
      </c>
      <c r="EO569" s="58">
        <f>IFERROR($BD569/$BD570-1,"")</f>
        <v/>
      </c>
      <c r="EP569" s="58">
        <f>IFERROR($BE569/$BE570-1,"")</f>
        <v/>
      </c>
      <c r="EQ569" s="58">
        <f>IFERROR($BF569/$BF570-1,"")</f>
        <v/>
      </c>
      <c r="ER569" s="58">
        <f>IFERROR($BG569/$BG570-1,"")</f>
        <v/>
      </c>
      <c r="ES569" s="58">
        <f>IFERROR($BH569/$BH570-1,"")</f>
        <v/>
      </c>
      <c r="ET569" s="58">
        <f>IFERROR($BI569/$BI570-1,"")</f>
        <v/>
      </c>
      <c r="EU569" s="58">
        <f>IFERROR($BJ569/$BJ570-1,"")</f>
        <v/>
      </c>
      <c r="EV569" s="58">
        <f>IFERROR($BK569/$BK570-1,"")</f>
        <v/>
      </c>
      <c r="EW569" s="58">
        <f>IFERROR($BL569/$BL570-1,"")</f>
        <v/>
      </c>
      <c r="EX569" s="58">
        <f>IFERROR($BM569/$BM570-1,"")</f>
        <v/>
      </c>
      <c r="EY569" s="58">
        <f>IFERROR($BN569/$BN570-1,"")</f>
        <v/>
      </c>
      <c r="EZ569" s="58">
        <f>IFERROR($BO569/$BO570-1,"")</f>
        <v/>
      </c>
      <c r="FA569" s="58">
        <f>IFERROR($BP569/$BP570-1,"")</f>
        <v/>
      </c>
      <c r="FB569" s="58">
        <f>IFERROR($BQ569/$BQ570-1,"")</f>
        <v/>
      </c>
      <c r="FC569" s="58">
        <f>IFERROR($BR569/$BR570-1,"")</f>
        <v/>
      </c>
      <c r="FD569" s="58">
        <f>IFERROR($BS569/$BS570-1,"")</f>
        <v/>
      </c>
      <c r="FE569" s="58">
        <f>IFERROR($BT569/$BT570-1,"")</f>
        <v/>
      </c>
      <c r="FF569" s="58">
        <f>IFERROR($BU569/$BU570-1,"")</f>
        <v/>
      </c>
      <c r="FG569" s="58">
        <f>IFERROR($BV569/$BV570-1,"")</f>
        <v/>
      </c>
      <c r="FH569" s="58">
        <f>IFERROR($BW569/$BW570-1,"")</f>
        <v/>
      </c>
      <c r="FI569" s="58">
        <f>IFERROR($BX569/$BX570-1,"")</f>
        <v/>
      </c>
      <c r="FJ569" s="59">
        <f>$BY569-$BY570</f>
        <v/>
      </c>
      <c r="FK569" s="59">
        <f>$BZ569-$BZ570</f>
        <v/>
      </c>
      <c r="FL569" s="59">
        <f>$CA569-$CA570</f>
        <v/>
      </c>
      <c r="FM569" s="59">
        <f>$CB569-$CB570</f>
        <v/>
      </c>
      <c r="FN569" s="59">
        <f>$CC569-$CC570</f>
        <v/>
      </c>
      <c r="FO569" s="59">
        <f>$CD569-$CD570</f>
        <v/>
      </c>
      <c r="FP569" s="59">
        <f>$CE569-$CE570</f>
        <v/>
      </c>
      <c r="FQ569" s="59">
        <f>$CF569-$CF570</f>
        <v/>
      </c>
      <c r="FR569" s="59">
        <f>$CG569-$CG570</f>
        <v/>
      </c>
      <c r="FS569" s="59">
        <f>$CH569-$CH570</f>
        <v/>
      </c>
      <c r="FT569" s="59">
        <f>$CI569-$CI570</f>
        <v/>
      </c>
      <c r="FU569" s="59">
        <f>$CJ569-$CJ570</f>
        <v/>
      </c>
      <c r="FV569" s="59">
        <f>$CK569-$CK570</f>
        <v/>
      </c>
      <c r="FW569" s="59">
        <f>$CL569-$CL570</f>
        <v/>
      </c>
      <c r="FX569" s="59">
        <f>$CM569-$CM570</f>
        <v/>
      </c>
      <c r="FY569" s="59">
        <f>$CN569-$CN570</f>
        <v/>
      </c>
      <c r="FZ569" s="59">
        <f>$CO569-$CO570</f>
        <v/>
      </c>
      <c r="GA569" s="59">
        <f>$CP569-$CP570</f>
        <v/>
      </c>
      <c r="GB569" s="59">
        <f>$CQ569-$CQ570</f>
        <v/>
      </c>
      <c r="GC569" s="59">
        <f>$CR569-$CR570</f>
        <v/>
      </c>
      <c r="GD569" s="59">
        <f>$CS569-$CS570</f>
        <v/>
      </c>
      <c r="GE569" s="59">
        <f>$CT569-$CT570</f>
        <v/>
      </c>
    </row>
    <row r="570">
      <c r="CU570" s="58">
        <f>IFERROR($B570/$B571-1,"")</f>
        <v/>
      </c>
      <c r="CV570" s="59">
        <f>($F570-$F571)*100</f>
        <v/>
      </c>
      <c r="CW570" s="59">
        <f>($E570-$E571)*100</f>
        <v/>
      </c>
      <c r="CX570" s="58">
        <f>IFERROR($K570/$K571-1,"")</f>
        <v/>
      </c>
      <c r="CY570" s="59">
        <f>($AH570-$AH571)*100</f>
        <v/>
      </c>
      <c r="CZ570" s="59">
        <f>($AI570-$AI571)*100</f>
        <v/>
      </c>
      <c r="DA570" s="59">
        <f>($AJ570-$AJ571)*100</f>
        <v/>
      </c>
      <c r="DB570" s="59">
        <f>($AK570-$AK571)*100</f>
        <v/>
      </c>
      <c r="DC570" s="59">
        <f>($AL570-$AL571)*100</f>
        <v/>
      </c>
      <c r="DD570" s="59">
        <f>($AM570-$AM571)*100</f>
        <v/>
      </c>
      <c r="DE570" s="59">
        <f>($AN570-$AN571)*100</f>
        <v/>
      </c>
      <c r="DF570" s="59">
        <f>($AO570-$AO571)*100</f>
        <v/>
      </c>
      <c r="DG570" s="59">
        <f>($AP570-$AP571)*100</f>
        <v/>
      </c>
      <c r="DH570" s="59">
        <f>($AQ570-$AQ571)*100</f>
        <v/>
      </c>
      <c r="DI570" s="59">
        <f>($AR570-$AR571)*100</f>
        <v/>
      </c>
      <c r="DJ570" s="59">
        <f>($AS570-$AS571)*100</f>
        <v/>
      </c>
      <c r="DK570" s="59">
        <f>($AT570-$AT571)*100</f>
        <v/>
      </c>
      <c r="DL570" s="59">
        <f>($AU570-$AU571)*100</f>
        <v/>
      </c>
      <c r="DM570" s="59">
        <f>($AV570-$AV571)*100</f>
        <v/>
      </c>
      <c r="DN570" s="59">
        <f>($AW570-$AW571)*100</f>
        <v/>
      </c>
      <c r="DO570" s="59">
        <f>($AX570-$AX571)*100</f>
        <v/>
      </c>
      <c r="DP570" s="59">
        <f>($AY570-$AY571)*100</f>
        <v/>
      </c>
      <c r="DQ570" s="59">
        <f>($AZ570-$AZ571)*100</f>
        <v/>
      </c>
      <c r="DR570" s="59">
        <f>($BA570-$BA571)*100</f>
        <v/>
      </c>
      <c r="DS570" s="58">
        <f>IFERROR($N571/$N570-1,"")</f>
        <v/>
      </c>
      <c r="DT570" s="58">
        <f>IFERROR($O571/$O570-1,"")</f>
        <v/>
      </c>
      <c r="DU570" s="58">
        <f>IFERROR($P571/$P570-1,"")</f>
        <v/>
      </c>
      <c r="DV570" s="58">
        <f>IFERROR($Q571/$Q570-1,"")</f>
        <v/>
      </c>
      <c r="DW570" s="58">
        <f>IFERROR($R571/$R570-1,"")</f>
        <v/>
      </c>
      <c r="DX570" s="58">
        <f>IFERROR($S571/$S570-1,"")</f>
        <v/>
      </c>
      <c r="DY570" s="58">
        <f>IFERROR($T571/$T570-1,"")</f>
        <v/>
      </c>
      <c r="DZ570" s="58">
        <f>IFERROR($U571/$U570-1,"")</f>
        <v/>
      </c>
      <c r="EA570" s="58">
        <f>IFERROR($V571/$V570-1,"")</f>
        <v/>
      </c>
      <c r="EB570" s="58">
        <f>IFERROR($W571/$W570-1,"")</f>
        <v/>
      </c>
      <c r="EC570" s="58">
        <f>IFERROR($X571/$X570-1,"")</f>
        <v/>
      </c>
      <c r="ED570" s="58">
        <f>IFERROR($Y571/$Y570-1,"")</f>
        <v/>
      </c>
      <c r="EE570" s="58">
        <f>IFERROR($Z571/$Z570-1,"")</f>
        <v/>
      </c>
      <c r="EF570" s="58">
        <f>IFERROR($AA571/$AA570-1,"")</f>
        <v/>
      </c>
      <c r="EG570" s="58">
        <f>IFERROR($AB571/$AB570-1,"")</f>
        <v/>
      </c>
      <c r="EH570" s="58">
        <f>IFERROR($AC571/$AC570-1,"")</f>
        <v/>
      </c>
      <c r="EI570" s="58">
        <f>IFERROR($AD571/$AD570-1,"")</f>
        <v/>
      </c>
      <c r="EJ570" s="58">
        <f>IFERROR($AE571/$AE570-1,"")</f>
        <v/>
      </c>
      <c r="EK570" s="58">
        <f>IFERROR($AF571/$AF570-1,"")</f>
        <v/>
      </c>
      <c r="EL570" s="58">
        <f>IFERROR($AG571/$AG570-1,"")</f>
        <v/>
      </c>
      <c r="EM570" s="58">
        <f>IFERROR($BB570/$BB571-1,"")</f>
        <v/>
      </c>
      <c r="EN570" s="58">
        <f>IFERROR($BC570/$BC571-1,"")</f>
        <v/>
      </c>
      <c r="EO570" s="58">
        <f>IFERROR($BD570/$BD571-1,"")</f>
        <v/>
      </c>
      <c r="EP570" s="58">
        <f>IFERROR($BE570/$BE571-1,"")</f>
        <v/>
      </c>
      <c r="EQ570" s="58">
        <f>IFERROR($BF570/$BF571-1,"")</f>
        <v/>
      </c>
      <c r="ER570" s="58">
        <f>IFERROR($BG570/$BG571-1,"")</f>
        <v/>
      </c>
      <c r="ES570" s="58">
        <f>IFERROR($BH570/$BH571-1,"")</f>
        <v/>
      </c>
      <c r="ET570" s="58">
        <f>IFERROR($BI570/$BI571-1,"")</f>
        <v/>
      </c>
      <c r="EU570" s="58">
        <f>IFERROR($BJ570/$BJ571-1,"")</f>
        <v/>
      </c>
      <c r="EV570" s="58">
        <f>IFERROR($BK570/$BK571-1,"")</f>
        <v/>
      </c>
      <c r="EW570" s="58">
        <f>IFERROR($BL570/$BL571-1,"")</f>
        <v/>
      </c>
      <c r="EX570" s="58">
        <f>IFERROR($BM570/$BM571-1,"")</f>
        <v/>
      </c>
      <c r="EY570" s="58">
        <f>IFERROR($BN570/$BN571-1,"")</f>
        <v/>
      </c>
      <c r="EZ570" s="58">
        <f>IFERROR($BO570/$BO571-1,"")</f>
        <v/>
      </c>
      <c r="FA570" s="58">
        <f>IFERROR($BP570/$BP571-1,"")</f>
        <v/>
      </c>
      <c r="FB570" s="58">
        <f>IFERROR($BQ570/$BQ571-1,"")</f>
        <v/>
      </c>
      <c r="FC570" s="58">
        <f>IFERROR($BR570/$BR571-1,"")</f>
        <v/>
      </c>
      <c r="FD570" s="58">
        <f>IFERROR($BS570/$BS571-1,"")</f>
        <v/>
      </c>
      <c r="FE570" s="58">
        <f>IFERROR($BT570/$BT571-1,"")</f>
        <v/>
      </c>
      <c r="FF570" s="58">
        <f>IFERROR($BU570/$BU571-1,"")</f>
        <v/>
      </c>
      <c r="FG570" s="58">
        <f>IFERROR($BV570/$BV571-1,"")</f>
        <v/>
      </c>
      <c r="FH570" s="58">
        <f>IFERROR($BW570/$BW571-1,"")</f>
        <v/>
      </c>
      <c r="FI570" s="58">
        <f>IFERROR($BX570/$BX571-1,"")</f>
        <v/>
      </c>
      <c r="FJ570" s="59">
        <f>$BY570-$BY571</f>
        <v/>
      </c>
      <c r="FK570" s="59">
        <f>$BZ570-$BZ571</f>
        <v/>
      </c>
      <c r="FL570" s="59">
        <f>$CA570-$CA571</f>
        <v/>
      </c>
      <c r="FM570" s="59">
        <f>$CB570-$CB571</f>
        <v/>
      </c>
      <c r="FN570" s="59">
        <f>$CC570-$CC571</f>
        <v/>
      </c>
      <c r="FO570" s="59">
        <f>$CD570-$CD571</f>
        <v/>
      </c>
      <c r="FP570" s="59">
        <f>$CE570-$CE571</f>
        <v/>
      </c>
      <c r="FQ570" s="59">
        <f>$CF570-$CF571</f>
        <v/>
      </c>
      <c r="FR570" s="59">
        <f>$CG570-$CG571</f>
        <v/>
      </c>
      <c r="FS570" s="59">
        <f>$CH570-$CH571</f>
        <v/>
      </c>
      <c r="FT570" s="59">
        <f>$CI570-$CI571</f>
        <v/>
      </c>
      <c r="FU570" s="59">
        <f>$CJ570-$CJ571</f>
        <v/>
      </c>
      <c r="FV570" s="59">
        <f>$CK570-$CK571</f>
        <v/>
      </c>
      <c r="FW570" s="59">
        <f>$CL570-$CL571</f>
        <v/>
      </c>
      <c r="FX570" s="59">
        <f>$CM570-$CM571</f>
        <v/>
      </c>
      <c r="FY570" s="59">
        <f>$CN570-$CN571</f>
        <v/>
      </c>
      <c r="FZ570" s="59">
        <f>$CO570-$CO571</f>
        <v/>
      </c>
      <c r="GA570" s="59">
        <f>$CP570-$CP571</f>
        <v/>
      </c>
      <c r="GB570" s="59">
        <f>$CQ570-$CQ571</f>
        <v/>
      </c>
      <c r="GC570" s="59">
        <f>$CR570-$CR571</f>
        <v/>
      </c>
      <c r="GD570" s="59">
        <f>$CS570-$CS571</f>
        <v/>
      </c>
      <c r="GE570" s="59">
        <f>$CT570-$CT571</f>
        <v/>
      </c>
    </row>
    <row r="571">
      <c r="CU571" s="58">
        <f>IFERROR($B571/$B572-1,"")</f>
        <v/>
      </c>
      <c r="CV571" s="59">
        <f>($F571-$F572)*100</f>
        <v/>
      </c>
      <c r="CW571" s="59">
        <f>($E571-$E572)*100</f>
        <v/>
      </c>
      <c r="CX571" s="58">
        <f>IFERROR($K571/$K572-1,"")</f>
        <v/>
      </c>
      <c r="CY571" s="59">
        <f>($AH571-$AH572)*100</f>
        <v/>
      </c>
      <c r="CZ571" s="59">
        <f>($AI571-$AI572)*100</f>
        <v/>
      </c>
      <c r="DA571" s="59">
        <f>($AJ571-$AJ572)*100</f>
        <v/>
      </c>
      <c r="DB571" s="59">
        <f>($AK571-$AK572)*100</f>
        <v/>
      </c>
      <c r="DC571" s="59">
        <f>($AL571-$AL572)*100</f>
        <v/>
      </c>
      <c r="DD571" s="59">
        <f>($AM571-$AM572)*100</f>
        <v/>
      </c>
      <c r="DE571" s="59">
        <f>($AN571-$AN572)*100</f>
        <v/>
      </c>
      <c r="DF571" s="59">
        <f>($AO571-$AO572)*100</f>
        <v/>
      </c>
      <c r="DG571" s="59">
        <f>($AP571-$AP572)*100</f>
        <v/>
      </c>
      <c r="DH571" s="59">
        <f>($AQ571-$AQ572)*100</f>
        <v/>
      </c>
      <c r="DI571" s="59">
        <f>($AR571-$AR572)*100</f>
        <v/>
      </c>
      <c r="DJ571" s="59">
        <f>($AS571-$AS572)*100</f>
        <v/>
      </c>
      <c r="DK571" s="59">
        <f>($AT571-$AT572)*100</f>
        <v/>
      </c>
      <c r="DL571" s="59">
        <f>($AU571-$AU572)*100</f>
        <v/>
      </c>
      <c r="DM571" s="59">
        <f>($AV571-$AV572)*100</f>
        <v/>
      </c>
      <c r="DN571" s="59">
        <f>($AW571-$AW572)*100</f>
        <v/>
      </c>
      <c r="DO571" s="59">
        <f>($AX571-$AX572)*100</f>
        <v/>
      </c>
      <c r="DP571" s="59">
        <f>($AY571-$AY572)*100</f>
        <v/>
      </c>
      <c r="DQ571" s="59">
        <f>($AZ571-$AZ572)*100</f>
        <v/>
      </c>
      <c r="DR571" s="59">
        <f>($BA571-$BA572)*100</f>
        <v/>
      </c>
      <c r="DS571" s="58">
        <f>IFERROR($N572/$N571-1,"")</f>
        <v/>
      </c>
      <c r="DT571" s="58">
        <f>IFERROR($O572/$O571-1,"")</f>
        <v/>
      </c>
      <c r="DU571" s="58">
        <f>IFERROR($P572/$P571-1,"")</f>
        <v/>
      </c>
      <c r="DV571" s="58">
        <f>IFERROR($Q572/$Q571-1,"")</f>
        <v/>
      </c>
      <c r="DW571" s="58">
        <f>IFERROR($R572/$R571-1,"")</f>
        <v/>
      </c>
      <c r="DX571" s="58">
        <f>IFERROR($S572/$S571-1,"")</f>
        <v/>
      </c>
      <c r="DY571" s="58">
        <f>IFERROR($T572/$T571-1,"")</f>
        <v/>
      </c>
      <c r="DZ571" s="58">
        <f>IFERROR($U572/$U571-1,"")</f>
        <v/>
      </c>
      <c r="EA571" s="58">
        <f>IFERROR($V572/$V571-1,"")</f>
        <v/>
      </c>
      <c r="EB571" s="58">
        <f>IFERROR($W572/$W571-1,"")</f>
        <v/>
      </c>
      <c r="EC571" s="58">
        <f>IFERROR($X572/$X571-1,"")</f>
        <v/>
      </c>
      <c r="ED571" s="58">
        <f>IFERROR($Y572/$Y571-1,"")</f>
        <v/>
      </c>
      <c r="EE571" s="58">
        <f>IFERROR($Z572/$Z571-1,"")</f>
        <v/>
      </c>
      <c r="EF571" s="58">
        <f>IFERROR($AA572/$AA571-1,"")</f>
        <v/>
      </c>
      <c r="EG571" s="58">
        <f>IFERROR($AB572/$AB571-1,"")</f>
        <v/>
      </c>
      <c r="EH571" s="58">
        <f>IFERROR($AC572/$AC571-1,"")</f>
        <v/>
      </c>
      <c r="EI571" s="58">
        <f>IFERROR($AD572/$AD571-1,"")</f>
        <v/>
      </c>
      <c r="EJ571" s="58">
        <f>IFERROR($AE572/$AE571-1,"")</f>
        <v/>
      </c>
      <c r="EK571" s="58">
        <f>IFERROR($AF572/$AF571-1,"")</f>
        <v/>
      </c>
      <c r="EL571" s="58">
        <f>IFERROR($AG572/$AG571-1,"")</f>
        <v/>
      </c>
      <c r="EM571" s="58">
        <f>IFERROR($BB571/$BB572-1,"")</f>
        <v/>
      </c>
      <c r="EN571" s="58">
        <f>IFERROR($BC571/$BC572-1,"")</f>
        <v/>
      </c>
      <c r="EO571" s="58">
        <f>IFERROR($BD571/$BD572-1,"")</f>
        <v/>
      </c>
      <c r="EP571" s="58">
        <f>IFERROR($BE571/$BE572-1,"")</f>
        <v/>
      </c>
      <c r="EQ571" s="58">
        <f>IFERROR($BF571/$BF572-1,"")</f>
        <v/>
      </c>
      <c r="ER571" s="58">
        <f>IFERROR($BG571/$BG572-1,"")</f>
        <v/>
      </c>
      <c r="ES571" s="58">
        <f>IFERROR($BH571/$BH572-1,"")</f>
        <v/>
      </c>
      <c r="ET571" s="58">
        <f>IFERROR($BI571/$BI572-1,"")</f>
        <v/>
      </c>
      <c r="EU571" s="58">
        <f>IFERROR($BJ571/$BJ572-1,"")</f>
        <v/>
      </c>
      <c r="EV571" s="58">
        <f>IFERROR($BK571/$BK572-1,"")</f>
        <v/>
      </c>
      <c r="EW571" s="58">
        <f>IFERROR($BL571/$BL572-1,"")</f>
        <v/>
      </c>
      <c r="EX571" s="58">
        <f>IFERROR($BM571/$BM572-1,"")</f>
        <v/>
      </c>
      <c r="EY571" s="58">
        <f>IFERROR($BN571/$BN572-1,"")</f>
        <v/>
      </c>
      <c r="EZ571" s="58">
        <f>IFERROR($BO571/$BO572-1,"")</f>
        <v/>
      </c>
      <c r="FA571" s="58">
        <f>IFERROR($BP571/$BP572-1,"")</f>
        <v/>
      </c>
      <c r="FB571" s="58">
        <f>IFERROR($BQ571/$BQ572-1,"")</f>
        <v/>
      </c>
      <c r="FC571" s="58">
        <f>IFERROR($BR571/$BR572-1,"")</f>
        <v/>
      </c>
      <c r="FD571" s="58">
        <f>IFERROR($BS571/$BS572-1,"")</f>
        <v/>
      </c>
      <c r="FE571" s="58">
        <f>IFERROR($BT571/$BT572-1,"")</f>
        <v/>
      </c>
      <c r="FF571" s="58">
        <f>IFERROR($BU571/$BU572-1,"")</f>
        <v/>
      </c>
      <c r="FG571" s="58">
        <f>IFERROR($BV571/$BV572-1,"")</f>
        <v/>
      </c>
      <c r="FH571" s="58">
        <f>IFERROR($BW571/$BW572-1,"")</f>
        <v/>
      </c>
      <c r="FI571" s="58">
        <f>IFERROR($BX571/$BX572-1,"")</f>
        <v/>
      </c>
      <c r="FJ571" s="59">
        <f>$BY571-$BY572</f>
        <v/>
      </c>
      <c r="FK571" s="59">
        <f>$BZ571-$BZ572</f>
        <v/>
      </c>
      <c r="FL571" s="59">
        <f>$CA571-$CA572</f>
        <v/>
      </c>
      <c r="FM571" s="59">
        <f>$CB571-$CB572</f>
        <v/>
      </c>
      <c r="FN571" s="59">
        <f>$CC571-$CC572</f>
        <v/>
      </c>
      <c r="FO571" s="59">
        <f>$CD571-$CD572</f>
        <v/>
      </c>
      <c r="FP571" s="59">
        <f>$CE571-$CE572</f>
        <v/>
      </c>
      <c r="FQ571" s="59">
        <f>$CF571-$CF572</f>
        <v/>
      </c>
      <c r="FR571" s="59">
        <f>$CG571-$CG572</f>
        <v/>
      </c>
      <c r="FS571" s="59">
        <f>$CH571-$CH572</f>
        <v/>
      </c>
      <c r="FT571" s="59">
        <f>$CI571-$CI572</f>
        <v/>
      </c>
      <c r="FU571" s="59">
        <f>$CJ571-$CJ572</f>
        <v/>
      </c>
      <c r="FV571" s="59">
        <f>$CK571-$CK572</f>
        <v/>
      </c>
      <c r="FW571" s="59">
        <f>$CL571-$CL572</f>
        <v/>
      </c>
      <c r="FX571" s="59">
        <f>$CM571-$CM572</f>
        <v/>
      </c>
      <c r="FY571" s="59">
        <f>$CN571-$CN572</f>
        <v/>
      </c>
      <c r="FZ571" s="59">
        <f>$CO571-$CO572</f>
        <v/>
      </c>
      <c r="GA571" s="59">
        <f>$CP571-$CP572</f>
        <v/>
      </c>
      <c r="GB571" s="59">
        <f>$CQ571-$CQ572</f>
        <v/>
      </c>
      <c r="GC571" s="59">
        <f>$CR571-$CR572</f>
        <v/>
      </c>
      <c r="GD571" s="59">
        <f>$CS571-$CS572</f>
        <v/>
      </c>
      <c r="GE571" s="59">
        <f>$CT571-$CT572</f>
        <v/>
      </c>
    </row>
    <row r="572">
      <c r="CU572" s="58">
        <f>IFERROR($B572/$B573-1,"")</f>
        <v/>
      </c>
      <c r="CV572" s="59">
        <f>($F572-$F573)*100</f>
        <v/>
      </c>
      <c r="CW572" s="59">
        <f>($E572-$E573)*100</f>
        <v/>
      </c>
      <c r="CX572" s="58">
        <f>IFERROR($K572/$K573-1,"")</f>
        <v/>
      </c>
      <c r="CY572" s="59">
        <f>($AH572-$AH573)*100</f>
        <v/>
      </c>
      <c r="CZ572" s="59">
        <f>($AI572-$AI573)*100</f>
        <v/>
      </c>
      <c r="DA572" s="59">
        <f>($AJ572-$AJ573)*100</f>
        <v/>
      </c>
      <c r="DB572" s="59">
        <f>($AK572-$AK573)*100</f>
        <v/>
      </c>
      <c r="DC572" s="59">
        <f>($AL572-$AL573)*100</f>
        <v/>
      </c>
      <c r="DD572" s="59">
        <f>($AM572-$AM573)*100</f>
        <v/>
      </c>
      <c r="DE572" s="59">
        <f>($AN572-$AN573)*100</f>
        <v/>
      </c>
      <c r="DF572" s="59">
        <f>($AO572-$AO573)*100</f>
        <v/>
      </c>
      <c r="DG572" s="59">
        <f>($AP572-$AP573)*100</f>
        <v/>
      </c>
      <c r="DH572" s="59">
        <f>($AQ572-$AQ573)*100</f>
        <v/>
      </c>
      <c r="DI572" s="59">
        <f>($AR572-$AR573)*100</f>
        <v/>
      </c>
      <c r="DJ572" s="59">
        <f>($AS572-$AS573)*100</f>
        <v/>
      </c>
      <c r="DK572" s="59">
        <f>($AT572-$AT573)*100</f>
        <v/>
      </c>
      <c r="DL572" s="59">
        <f>($AU572-$AU573)*100</f>
        <v/>
      </c>
      <c r="DM572" s="59">
        <f>($AV572-$AV573)*100</f>
        <v/>
      </c>
      <c r="DN572" s="59">
        <f>($AW572-$AW573)*100</f>
        <v/>
      </c>
      <c r="DO572" s="59">
        <f>($AX572-$AX573)*100</f>
        <v/>
      </c>
      <c r="DP572" s="59">
        <f>($AY572-$AY573)*100</f>
        <v/>
      </c>
      <c r="DQ572" s="59">
        <f>($AZ572-$AZ573)*100</f>
        <v/>
      </c>
      <c r="DR572" s="59">
        <f>($BA572-$BA573)*100</f>
        <v/>
      </c>
      <c r="DS572" s="58">
        <f>IFERROR($N573/$N572-1,"")</f>
        <v/>
      </c>
      <c r="DT572" s="58">
        <f>IFERROR($O573/$O572-1,"")</f>
        <v/>
      </c>
      <c r="DU572" s="58">
        <f>IFERROR($P573/$P572-1,"")</f>
        <v/>
      </c>
      <c r="DV572" s="58">
        <f>IFERROR($Q573/$Q572-1,"")</f>
        <v/>
      </c>
      <c r="DW572" s="58">
        <f>IFERROR($R573/$R572-1,"")</f>
        <v/>
      </c>
      <c r="DX572" s="58">
        <f>IFERROR($S573/$S572-1,"")</f>
        <v/>
      </c>
      <c r="DY572" s="58">
        <f>IFERROR($T573/$T572-1,"")</f>
        <v/>
      </c>
      <c r="DZ572" s="58">
        <f>IFERROR($U573/$U572-1,"")</f>
        <v/>
      </c>
      <c r="EA572" s="58">
        <f>IFERROR($V573/$V572-1,"")</f>
        <v/>
      </c>
      <c r="EB572" s="58">
        <f>IFERROR($W573/$W572-1,"")</f>
        <v/>
      </c>
      <c r="EC572" s="58">
        <f>IFERROR($X573/$X572-1,"")</f>
        <v/>
      </c>
      <c r="ED572" s="58">
        <f>IFERROR($Y573/$Y572-1,"")</f>
        <v/>
      </c>
      <c r="EE572" s="58">
        <f>IFERROR($Z573/$Z572-1,"")</f>
        <v/>
      </c>
      <c r="EF572" s="58">
        <f>IFERROR($AA573/$AA572-1,"")</f>
        <v/>
      </c>
      <c r="EG572" s="58">
        <f>IFERROR($AB573/$AB572-1,"")</f>
        <v/>
      </c>
      <c r="EH572" s="58">
        <f>IFERROR($AC573/$AC572-1,"")</f>
        <v/>
      </c>
      <c r="EI572" s="58">
        <f>IFERROR($AD573/$AD572-1,"")</f>
        <v/>
      </c>
      <c r="EJ572" s="58">
        <f>IFERROR($AE573/$AE572-1,"")</f>
        <v/>
      </c>
      <c r="EK572" s="58">
        <f>IFERROR($AF573/$AF572-1,"")</f>
        <v/>
      </c>
      <c r="EL572" s="58">
        <f>IFERROR($AG573/$AG572-1,"")</f>
        <v/>
      </c>
      <c r="EM572" s="58">
        <f>IFERROR($BB572/$BB573-1,"")</f>
        <v/>
      </c>
      <c r="EN572" s="58">
        <f>IFERROR($BC572/$BC573-1,"")</f>
        <v/>
      </c>
      <c r="EO572" s="58">
        <f>IFERROR($BD572/$BD573-1,"")</f>
        <v/>
      </c>
      <c r="EP572" s="58">
        <f>IFERROR($BE572/$BE573-1,"")</f>
        <v/>
      </c>
      <c r="EQ572" s="58">
        <f>IFERROR($BF572/$BF573-1,"")</f>
        <v/>
      </c>
      <c r="ER572" s="58">
        <f>IFERROR($BG572/$BG573-1,"")</f>
        <v/>
      </c>
      <c r="ES572" s="58">
        <f>IFERROR($BH572/$BH573-1,"")</f>
        <v/>
      </c>
      <c r="ET572" s="58">
        <f>IFERROR($BI572/$BI573-1,"")</f>
        <v/>
      </c>
      <c r="EU572" s="58">
        <f>IFERROR($BJ572/$BJ573-1,"")</f>
        <v/>
      </c>
      <c r="EV572" s="58">
        <f>IFERROR($BK572/$BK573-1,"")</f>
        <v/>
      </c>
      <c r="EW572" s="58">
        <f>IFERROR($BL572/$BL573-1,"")</f>
        <v/>
      </c>
      <c r="EX572" s="58">
        <f>IFERROR($BM572/$BM573-1,"")</f>
        <v/>
      </c>
      <c r="EY572" s="58">
        <f>IFERROR($BN572/$BN573-1,"")</f>
        <v/>
      </c>
      <c r="EZ572" s="58">
        <f>IFERROR($BO572/$BO573-1,"")</f>
        <v/>
      </c>
      <c r="FA572" s="58">
        <f>IFERROR($BP572/$BP573-1,"")</f>
        <v/>
      </c>
      <c r="FB572" s="58">
        <f>IFERROR($BQ572/$BQ573-1,"")</f>
        <v/>
      </c>
      <c r="FC572" s="58">
        <f>IFERROR($BR572/$BR573-1,"")</f>
        <v/>
      </c>
      <c r="FD572" s="58">
        <f>IFERROR($BS572/$BS573-1,"")</f>
        <v/>
      </c>
      <c r="FE572" s="58">
        <f>IFERROR($BT572/$BT573-1,"")</f>
        <v/>
      </c>
      <c r="FF572" s="58">
        <f>IFERROR($BU572/$BU573-1,"")</f>
        <v/>
      </c>
      <c r="FG572" s="58">
        <f>IFERROR($BV572/$BV573-1,"")</f>
        <v/>
      </c>
      <c r="FH572" s="58">
        <f>IFERROR($BW572/$BW573-1,"")</f>
        <v/>
      </c>
      <c r="FI572" s="58">
        <f>IFERROR($BX572/$BX573-1,"")</f>
        <v/>
      </c>
      <c r="FJ572" s="59">
        <f>$BY572-$BY573</f>
        <v/>
      </c>
      <c r="FK572" s="59">
        <f>$BZ572-$BZ573</f>
        <v/>
      </c>
      <c r="FL572" s="59">
        <f>$CA572-$CA573</f>
        <v/>
      </c>
      <c r="FM572" s="59">
        <f>$CB572-$CB573</f>
        <v/>
      </c>
      <c r="FN572" s="59">
        <f>$CC572-$CC573</f>
        <v/>
      </c>
      <c r="FO572" s="59">
        <f>$CD572-$CD573</f>
        <v/>
      </c>
      <c r="FP572" s="59">
        <f>$CE572-$CE573</f>
        <v/>
      </c>
      <c r="FQ572" s="59">
        <f>$CF572-$CF573</f>
        <v/>
      </c>
      <c r="FR572" s="59">
        <f>$CG572-$CG573</f>
        <v/>
      </c>
      <c r="FS572" s="59">
        <f>$CH572-$CH573</f>
        <v/>
      </c>
      <c r="FT572" s="59">
        <f>$CI572-$CI573</f>
        <v/>
      </c>
      <c r="FU572" s="59">
        <f>$CJ572-$CJ573</f>
        <v/>
      </c>
      <c r="FV572" s="59">
        <f>$CK572-$CK573</f>
        <v/>
      </c>
      <c r="FW572" s="59">
        <f>$CL572-$CL573</f>
        <v/>
      </c>
      <c r="FX572" s="59">
        <f>$CM572-$CM573</f>
        <v/>
      </c>
      <c r="FY572" s="59">
        <f>$CN572-$CN573</f>
        <v/>
      </c>
      <c r="FZ572" s="59">
        <f>$CO572-$CO573</f>
        <v/>
      </c>
      <c r="GA572" s="59">
        <f>$CP572-$CP573</f>
        <v/>
      </c>
      <c r="GB572" s="59">
        <f>$CQ572-$CQ573</f>
        <v/>
      </c>
      <c r="GC572" s="59">
        <f>$CR572-$CR573</f>
        <v/>
      </c>
      <c r="GD572" s="59">
        <f>$CS572-$CS573</f>
        <v/>
      </c>
      <c r="GE572" s="59">
        <f>$CT572-$CT573</f>
        <v/>
      </c>
    </row>
    <row r="573">
      <c r="CU573" s="58">
        <f>IFERROR($B573/$B574-1,"")</f>
        <v/>
      </c>
      <c r="CV573" s="59">
        <f>($F573-$F574)*100</f>
        <v/>
      </c>
      <c r="CW573" s="59">
        <f>($E573-$E574)*100</f>
        <v/>
      </c>
      <c r="CX573" s="58">
        <f>IFERROR($K573/$K574-1,"")</f>
        <v/>
      </c>
      <c r="CY573" s="59">
        <f>($AH573-$AH574)*100</f>
        <v/>
      </c>
      <c r="CZ573" s="59">
        <f>($AI573-$AI574)*100</f>
        <v/>
      </c>
      <c r="DA573" s="59">
        <f>($AJ573-$AJ574)*100</f>
        <v/>
      </c>
      <c r="DB573" s="59">
        <f>($AK573-$AK574)*100</f>
        <v/>
      </c>
      <c r="DC573" s="59">
        <f>($AL573-$AL574)*100</f>
        <v/>
      </c>
      <c r="DD573" s="59">
        <f>($AM573-$AM574)*100</f>
        <v/>
      </c>
      <c r="DE573" s="59">
        <f>($AN573-$AN574)*100</f>
        <v/>
      </c>
      <c r="DF573" s="59">
        <f>($AO573-$AO574)*100</f>
        <v/>
      </c>
      <c r="DG573" s="59">
        <f>($AP573-$AP574)*100</f>
        <v/>
      </c>
      <c r="DH573" s="59">
        <f>($AQ573-$AQ574)*100</f>
        <v/>
      </c>
      <c r="DI573" s="59">
        <f>($AR573-$AR574)*100</f>
        <v/>
      </c>
      <c r="DJ573" s="59">
        <f>($AS573-$AS574)*100</f>
        <v/>
      </c>
      <c r="DK573" s="59">
        <f>($AT573-$AT574)*100</f>
        <v/>
      </c>
      <c r="DL573" s="59">
        <f>($AU573-$AU574)*100</f>
        <v/>
      </c>
      <c r="DM573" s="59">
        <f>($AV573-$AV574)*100</f>
        <v/>
      </c>
      <c r="DN573" s="59">
        <f>($AW573-$AW574)*100</f>
        <v/>
      </c>
      <c r="DO573" s="59">
        <f>($AX573-$AX574)*100</f>
        <v/>
      </c>
      <c r="DP573" s="59">
        <f>($AY573-$AY574)*100</f>
        <v/>
      </c>
      <c r="DQ573" s="59">
        <f>($AZ573-$AZ574)*100</f>
        <v/>
      </c>
      <c r="DR573" s="59">
        <f>($BA573-$BA574)*100</f>
        <v/>
      </c>
      <c r="DS573" s="58">
        <f>IFERROR($N574/$N573-1,"")</f>
        <v/>
      </c>
      <c r="DT573" s="58">
        <f>IFERROR($O574/$O573-1,"")</f>
        <v/>
      </c>
      <c r="DU573" s="58">
        <f>IFERROR($P574/$P573-1,"")</f>
        <v/>
      </c>
      <c r="DV573" s="58">
        <f>IFERROR($Q574/$Q573-1,"")</f>
        <v/>
      </c>
      <c r="DW573" s="58">
        <f>IFERROR($R574/$R573-1,"")</f>
        <v/>
      </c>
      <c r="DX573" s="58">
        <f>IFERROR($S574/$S573-1,"")</f>
        <v/>
      </c>
      <c r="DY573" s="58">
        <f>IFERROR($T574/$T573-1,"")</f>
        <v/>
      </c>
      <c r="DZ573" s="58">
        <f>IFERROR($U574/$U573-1,"")</f>
        <v/>
      </c>
      <c r="EA573" s="58">
        <f>IFERROR($V574/$V573-1,"")</f>
        <v/>
      </c>
      <c r="EB573" s="58">
        <f>IFERROR($W574/$W573-1,"")</f>
        <v/>
      </c>
      <c r="EC573" s="58">
        <f>IFERROR($X574/$X573-1,"")</f>
        <v/>
      </c>
      <c r="ED573" s="58">
        <f>IFERROR($Y574/$Y573-1,"")</f>
        <v/>
      </c>
      <c r="EE573" s="58">
        <f>IFERROR($Z574/$Z573-1,"")</f>
        <v/>
      </c>
      <c r="EF573" s="58">
        <f>IFERROR($AA574/$AA573-1,"")</f>
        <v/>
      </c>
      <c r="EG573" s="58">
        <f>IFERROR($AB574/$AB573-1,"")</f>
        <v/>
      </c>
      <c r="EH573" s="58">
        <f>IFERROR($AC574/$AC573-1,"")</f>
        <v/>
      </c>
      <c r="EI573" s="58">
        <f>IFERROR($AD574/$AD573-1,"")</f>
        <v/>
      </c>
      <c r="EJ573" s="58">
        <f>IFERROR($AE574/$AE573-1,"")</f>
        <v/>
      </c>
      <c r="EK573" s="58">
        <f>IFERROR($AF574/$AF573-1,"")</f>
        <v/>
      </c>
      <c r="EL573" s="58">
        <f>IFERROR($AG574/$AG573-1,"")</f>
        <v/>
      </c>
      <c r="EM573" s="58">
        <f>IFERROR($BB573/$BB574-1,"")</f>
        <v/>
      </c>
      <c r="EN573" s="58">
        <f>IFERROR($BC573/$BC574-1,"")</f>
        <v/>
      </c>
      <c r="EO573" s="58">
        <f>IFERROR($BD573/$BD574-1,"")</f>
        <v/>
      </c>
      <c r="EP573" s="58">
        <f>IFERROR($BE573/$BE574-1,"")</f>
        <v/>
      </c>
      <c r="EQ573" s="58">
        <f>IFERROR($BF573/$BF574-1,"")</f>
        <v/>
      </c>
      <c r="ER573" s="58">
        <f>IFERROR($BG573/$BG574-1,"")</f>
        <v/>
      </c>
      <c r="ES573" s="58">
        <f>IFERROR($BH573/$BH574-1,"")</f>
        <v/>
      </c>
      <c r="ET573" s="58">
        <f>IFERROR($BI573/$BI574-1,"")</f>
        <v/>
      </c>
      <c r="EU573" s="58">
        <f>IFERROR($BJ573/$BJ574-1,"")</f>
        <v/>
      </c>
      <c r="EV573" s="58">
        <f>IFERROR($BK573/$BK574-1,"")</f>
        <v/>
      </c>
      <c r="EW573" s="58">
        <f>IFERROR($BL573/$BL574-1,"")</f>
        <v/>
      </c>
      <c r="EX573" s="58">
        <f>IFERROR($BM573/$BM574-1,"")</f>
        <v/>
      </c>
      <c r="EY573" s="58">
        <f>IFERROR($BN573/$BN574-1,"")</f>
        <v/>
      </c>
      <c r="EZ573" s="58">
        <f>IFERROR($BO573/$BO574-1,"")</f>
        <v/>
      </c>
      <c r="FA573" s="58">
        <f>IFERROR($BP573/$BP574-1,"")</f>
        <v/>
      </c>
      <c r="FB573" s="58">
        <f>IFERROR($BQ573/$BQ574-1,"")</f>
        <v/>
      </c>
      <c r="FC573" s="58">
        <f>IFERROR($BR573/$BR574-1,"")</f>
        <v/>
      </c>
      <c r="FD573" s="58">
        <f>IFERROR($BS573/$BS574-1,"")</f>
        <v/>
      </c>
      <c r="FE573" s="58">
        <f>IFERROR($BT573/$BT574-1,"")</f>
        <v/>
      </c>
      <c r="FF573" s="58">
        <f>IFERROR($BU573/$BU574-1,"")</f>
        <v/>
      </c>
      <c r="FG573" s="58">
        <f>IFERROR($BV573/$BV574-1,"")</f>
        <v/>
      </c>
      <c r="FH573" s="58">
        <f>IFERROR($BW573/$BW574-1,"")</f>
        <v/>
      </c>
      <c r="FI573" s="58">
        <f>IFERROR($BX573/$BX574-1,"")</f>
        <v/>
      </c>
      <c r="FJ573" s="59">
        <f>$BY573-$BY574</f>
        <v/>
      </c>
      <c r="FK573" s="59">
        <f>$BZ573-$BZ574</f>
        <v/>
      </c>
      <c r="FL573" s="59">
        <f>$CA573-$CA574</f>
        <v/>
      </c>
      <c r="FM573" s="59">
        <f>$CB573-$CB574</f>
        <v/>
      </c>
      <c r="FN573" s="59">
        <f>$CC573-$CC574</f>
        <v/>
      </c>
      <c r="FO573" s="59">
        <f>$CD573-$CD574</f>
        <v/>
      </c>
      <c r="FP573" s="59">
        <f>$CE573-$CE574</f>
        <v/>
      </c>
      <c r="FQ573" s="59">
        <f>$CF573-$CF574</f>
        <v/>
      </c>
      <c r="FR573" s="59">
        <f>$CG573-$CG574</f>
        <v/>
      </c>
      <c r="FS573" s="59">
        <f>$CH573-$CH574</f>
        <v/>
      </c>
      <c r="FT573" s="59">
        <f>$CI573-$CI574</f>
        <v/>
      </c>
      <c r="FU573" s="59">
        <f>$CJ573-$CJ574</f>
        <v/>
      </c>
      <c r="FV573" s="59">
        <f>$CK573-$CK574</f>
        <v/>
      </c>
      <c r="FW573" s="59">
        <f>$CL573-$CL574</f>
        <v/>
      </c>
      <c r="FX573" s="59">
        <f>$CM573-$CM574</f>
        <v/>
      </c>
      <c r="FY573" s="59">
        <f>$CN573-$CN574</f>
        <v/>
      </c>
      <c r="FZ573" s="59">
        <f>$CO573-$CO574</f>
        <v/>
      </c>
      <c r="GA573" s="59">
        <f>$CP573-$CP574</f>
        <v/>
      </c>
      <c r="GB573" s="59">
        <f>$CQ573-$CQ574</f>
        <v/>
      </c>
      <c r="GC573" s="59">
        <f>$CR573-$CR574</f>
        <v/>
      </c>
      <c r="GD573" s="59">
        <f>$CS573-$CS574</f>
        <v/>
      </c>
      <c r="GE573" s="59">
        <f>$CT573-$CT574</f>
        <v/>
      </c>
    </row>
    <row r="574">
      <c r="CU574" s="58">
        <f>IFERROR($B574/$B575-1,"")</f>
        <v/>
      </c>
      <c r="CV574" s="59">
        <f>($F574-$F575)*100</f>
        <v/>
      </c>
      <c r="CW574" s="59">
        <f>($E574-$E575)*100</f>
        <v/>
      </c>
      <c r="CX574" s="58">
        <f>IFERROR($K574/$K575-1,"")</f>
        <v/>
      </c>
      <c r="CY574" s="59">
        <f>($AH574-$AH575)*100</f>
        <v/>
      </c>
      <c r="CZ574" s="59">
        <f>($AI574-$AI575)*100</f>
        <v/>
      </c>
      <c r="DA574" s="59">
        <f>($AJ574-$AJ575)*100</f>
        <v/>
      </c>
      <c r="DB574" s="59">
        <f>($AK574-$AK575)*100</f>
        <v/>
      </c>
      <c r="DC574" s="59">
        <f>($AL574-$AL575)*100</f>
        <v/>
      </c>
      <c r="DD574" s="59">
        <f>($AM574-$AM575)*100</f>
        <v/>
      </c>
      <c r="DE574" s="59">
        <f>($AN574-$AN575)*100</f>
        <v/>
      </c>
      <c r="DF574" s="59">
        <f>($AO574-$AO575)*100</f>
        <v/>
      </c>
      <c r="DG574" s="59">
        <f>($AP574-$AP575)*100</f>
        <v/>
      </c>
      <c r="DH574" s="59">
        <f>($AQ574-$AQ575)*100</f>
        <v/>
      </c>
      <c r="DI574" s="59">
        <f>($AR574-$AR575)*100</f>
        <v/>
      </c>
      <c r="DJ574" s="59">
        <f>($AS574-$AS575)*100</f>
        <v/>
      </c>
      <c r="DK574" s="59">
        <f>($AT574-$AT575)*100</f>
        <v/>
      </c>
      <c r="DL574" s="59">
        <f>($AU574-$AU575)*100</f>
        <v/>
      </c>
      <c r="DM574" s="59">
        <f>($AV574-$AV575)*100</f>
        <v/>
      </c>
      <c r="DN574" s="59">
        <f>($AW574-$AW575)*100</f>
        <v/>
      </c>
      <c r="DO574" s="59">
        <f>($AX574-$AX575)*100</f>
        <v/>
      </c>
      <c r="DP574" s="59">
        <f>($AY574-$AY575)*100</f>
        <v/>
      </c>
      <c r="DQ574" s="59">
        <f>($AZ574-$AZ575)*100</f>
        <v/>
      </c>
      <c r="DR574" s="59">
        <f>($BA574-$BA575)*100</f>
        <v/>
      </c>
      <c r="DS574" s="58">
        <f>IFERROR($N575/$N574-1,"")</f>
        <v/>
      </c>
      <c r="DT574" s="58">
        <f>IFERROR($O575/$O574-1,"")</f>
        <v/>
      </c>
      <c r="DU574" s="58">
        <f>IFERROR($P575/$P574-1,"")</f>
        <v/>
      </c>
      <c r="DV574" s="58">
        <f>IFERROR($Q575/$Q574-1,"")</f>
        <v/>
      </c>
      <c r="DW574" s="58">
        <f>IFERROR($R575/$R574-1,"")</f>
        <v/>
      </c>
      <c r="DX574" s="58">
        <f>IFERROR($S575/$S574-1,"")</f>
        <v/>
      </c>
      <c r="DY574" s="58">
        <f>IFERROR($T575/$T574-1,"")</f>
        <v/>
      </c>
      <c r="DZ574" s="58">
        <f>IFERROR($U575/$U574-1,"")</f>
        <v/>
      </c>
      <c r="EA574" s="58">
        <f>IFERROR($V575/$V574-1,"")</f>
        <v/>
      </c>
      <c r="EB574" s="58">
        <f>IFERROR($W575/$W574-1,"")</f>
        <v/>
      </c>
      <c r="EC574" s="58">
        <f>IFERROR($X575/$X574-1,"")</f>
        <v/>
      </c>
      <c r="ED574" s="58">
        <f>IFERROR($Y575/$Y574-1,"")</f>
        <v/>
      </c>
      <c r="EE574" s="58">
        <f>IFERROR($Z575/$Z574-1,"")</f>
        <v/>
      </c>
      <c r="EF574" s="58">
        <f>IFERROR($AA575/$AA574-1,"")</f>
        <v/>
      </c>
      <c r="EG574" s="58">
        <f>IFERROR($AB575/$AB574-1,"")</f>
        <v/>
      </c>
      <c r="EH574" s="58">
        <f>IFERROR($AC575/$AC574-1,"")</f>
        <v/>
      </c>
      <c r="EI574" s="58">
        <f>IFERROR($AD575/$AD574-1,"")</f>
        <v/>
      </c>
      <c r="EJ574" s="58">
        <f>IFERROR($AE575/$AE574-1,"")</f>
        <v/>
      </c>
      <c r="EK574" s="58">
        <f>IFERROR($AF575/$AF574-1,"")</f>
        <v/>
      </c>
      <c r="EL574" s="58">
        <f>IFERROR($AG575/$AG574-1,"")</f>
        <v/>
      </c>
      <c r="EM574" s="58">
        <f>IFERROR($BB574/$BB575-1,"")</f>
        <v/>
      </c>
      <c r="EN574" s="58">
        <f>IFERROR($BC574/$BC575-1,"")</f>
        <v/>
      </c>
      <c r="EO574" s="58">
        <f>IFERROR($BD574/$BD575-1,"")</f>
        <v/>
      </c>
      <c r="EP574" s="58">
        <f>IFERROR($BE574/$BE575-1,"")</f>
        <v/>
      </c>
      <c r="EQ574" s="58">
        <f>IFERROR($BF574/$BF575-1,"")</f>
        <v/>
      </c>
      <c r="ER574" s="58">
        <f>IFERROR($BG574/$BG575-1,"")</f>
        <v/>
      </c>
      <c r="ES574" s="58">
        <f>IFERROR($BH574/$BH575-1,"")</f>
        <v/>
      </c>
      <c r="ET574" s="58">
        <f>IFERROR($BI574/$BI575-1,"")</f>
        <v/>
      </c>
      <c r="EU574" s="58">
        <f>IFERROR($BJ574/$BJ575-1,"")</f>
        <v/>
      </c>
      <c r="EV574" s="58">
        <f>IFERROR($BK574/$BK575-1,"")</f>
        <v/>
      </c>
      <c r="EW574" s="58">
        <f>IFERROR($BL574/$BL575-1,"")</f>
        <v/>
      </c>
      <c r="EX574" s="58">
        <f>IFERROR($BM574/$BM575-1,"")</f>
        <v/>
      </c>
      <c r="EY574" s="58">
        <f>IFERROR($BN574/$BN575-1,"")</f>
        <v/>
      </c>
      <c r="EZ574" s="58">
        <f>IFERROR($BO574/$BO575-1,"")</f>
        <v/>
      </c>
      <c r="FA574" s="58">
        <f>IFERROR($BP574/$BP575-1,"")</f>
        <v/>
      </c>
      <c r="FB574" s="58">
        <f>IFERROR($BQ574/$BQ575-1,"")</f>
        <v/>
      </c>
      <c r="FC574" s="58">
        <f>IFERROR($BR574/$BR575-1,"")</f>
        <v/>
      </c>
      <c r="FD574" s="58">
        <f>IFERROR($BS574/$BS575-1,"")</f>
        <v/>
      </c>
      <c r="FE574" s="58">
        <f>IFERROR($BT574/$BT575-1,"")</f>
        <v/>
      </c>
      <c r="FF574" s="58">
        <f>IFERROR($BU574/$BU575-1,"")</f>
        <v/>
      </c>
      <c r="FG574" s="58">
        <f>IFERROR($BV574/$BV575-1,"")</f>
        <v/>
      </c>
      <c r="FH574" s="58">
        <f>IFERROR($BW574/$BW575-1,"")</f>
        <v/>
      </c>
      <c r="FI574" s="58">
        <f>IFERROR($BX574/$BX575-1,"")</f>
        <v/>
      </c>
      <c r="FJ574" s="59">
        <f>$BY574-$BY575</f>
        <v/>
      </c>
      <c r="FK574" s="59">
        <f>$BZ574-$BZ575</f>
        <v/>
      </c>
      <c r="FL574" s="59">
        <f>$CA574-$CA575</f>
        <v/>
      </c>
      <c r="FM574" s="59">
        <f>$CB574-$CB575</f>
        <v/>
      </c>
      <c r="FN574" s="59">
        <f>$CC574-$CC575</f>
        <v/>
      </c>
      <c r="FO574" s="59">
        <f>$CD574-$CD575</f>
        <v/>
      </c>
      <c r="FP574" s="59">
        <f>$CE574-$CE575</f>
        <v/>
      </c>
      <c r="FQ574" s="59">
        <f>$CF574-$CF575</f>
        <v/>
      </c>
      <c r="FR574" s="59">
        <f>$CG574-$CG575</f>
        <v/>
      </c>
      <c r="FS574" s="59">
        <f>$CH574-$CH575</f>
        <v/>
      </c>
      <c r="FT574" s="59">
        <f>$CI574-$CI575</f>
        <v/>
      </c>
      <c r="FU574" s="59">
        <f>$CJ574-$CJ575</f>
        <v/>
      </c>
      <c r="FV574" s="59">
        <f>$CK574-$CK575</f>
        <v/>
      </c>
      <c r="FW574" s="59">
        <f>$CL574-$CL575</f>
        <v/>
      </c>
      <c r="FX574" s="59">
        <f>$CM574-$CM575</f>
        <v/>
      </c>
      <c r="FY574" s="59">
        <f>$CN574-$CN575</f>
        <v/>
      </c>
      <c r="FZ574" s="59">
        <f>$CO574-$CO575</f>
        <v/>
      </c>
      <c r="GA574" s="59">
        <f>$CP574-$CP575</f>
        <v/>
      </c>
      <c r="GB574" s="59">
        <f>$CQ574-$CQ575</f>
        <v/>
      </c>
      <c r="GC574" s="59">
        <f>$CR574-$CR575</f>
        <v/>
      </c>
      <c r="GD574" s="59">
        <f>$CS574-$CS575</f>
        <v/>
      </c>
      <c r="GE574" s="59">
        <f>$CT574-$CT575</f>
        <v/>
      </c>
    </row>
    <row r="575">
      <c r="CU575" s="58">
        <f>IFERROR($B575/$B576-1,"")</f>
        <v/>
      </c>
      <c r="CV575" s="59">
        <f>($F575-$F576)*100</f>
        <v/>
      </c>
      <c r="CW575" s="59">
        <f>($E575-$E576)*100</f>
        <v/>
      </c>
      <c r="CX575" s="58">
        <f>IFERROR($K575/$K576-1,"")</f>
        <v/>
      </c>
      <c r="CY575" s="59">
        <f>($AH575-$AH576)*100</f>
        <v/>
      </c>
      <c r="CZ575" s="59">
        <f>($AI575-$AI576)*100</f>
        <v/>
      </c>
      <c r="DA575" s="59">
        <f>($AJ575-$AJ576)*100</f>
        <v/>
      </c>
      <c r="DB575" s="59">
        <f>($AK575-$AK576)*100</f>
        <v/>
      </c>
      <c r="DC575" s="59">
        <f>($AL575-$AL576)*100</f>
        <v/>
      </c>
      <c r="DD575" s="59">
        <f>($AM575-$AM576)*100</f>
        <v/>
      </c>
      <c r="DE575" s="59">
        <f>($AN575-$AN576)*100</f>
        <v/>
      </c>
      <c r="DF575" s="59">
        <f>($AO575-$AO576)*100</f>
        <v/>
      </c>
      <c r="DG575" s="59">
        <f>($AP575-$AP576)*100</f>
        <v/>
      </c>
      <c r="DH575" s="59">
        <f>($AQ575-$AQ576)*100</f>
        <v/>
      </c>
      <c r="DI575" s="59">
        <f>($AR575-$AR576)*100</f>
        <v/>
      </c>
      <c r="DJ575" s="59">
        <f>($AS575-$AS576)*100</f>
        <v/>
      </c>
      <c r="DK575" s="59">
        <f>($AT575-$AT576)*100</f>
        <v/>
      </c>
      <c r="DL575" s="59">
        <f>($AU575-$AU576)*100</f>
        <v/>
      </c>
      <c r="DM575" s="59">
        <f>($AV575-$AV576)*100</f>
        <v/>
      </c>
      <c r="DN575" s="59">
        <f>($AW575-$AW576)*100</f>
        <v/>
      </c>
      <c r="DO575" s="59">
        <f>($AX575-$AX576)*100</f>
        <v/>
      </c>
      <c r="DP575" s="59">
        <f>($AY575-$AY576)*100</f>
        <v/>
      </c>
      <c r="DQ575" s="59">
        <f>($AZ575-$AZ576)*100</f>
        <v/>
      </c>
      <c r="DR575" s="59">
        <f>($BA575-$BA576)*100</f>
        <v/>
      </c>
      <c r="DS575" s="58">
        <f>IFERROR($N576/$N575-1,"")</f>
        <v/>
      </c>
      <c r="DT575" s="58">
        <f>IFERROR($O576/$O575-1,"")</f>
        <v/>
      </c>
      <c r="DU575" s="58">
        <f>IFERROR($P576/$P575-1,"")</f>
        <v/>
      </c>
      <c r="DV575" s="58">
        <f>IFERROR($Q576/$Q575-1,"")</f>
        <v/>
      </c>
      <c r="DW575" s="58">
        <f>IFERROR($R576/$R575-1,"")</f>
        <v/>
      </c>
      <c r="DX575" s="58">
        <f>IFERROR($S576/$S575-1,"")</f>
        <v/>
      </c>
      <c r="DY575" s="58">
        <f>IFERROR($T576/$T575-1,"")</f>
        <v/>
      </c>
      <c r="DZ575" s="58">
        <f>IFERROR($U576/$U575-1,"")</f>
        <v/>
      </c>
      <c r="EA575" s="58">
        <f>IFERROR($V576/$V575-1,"")</f>
        <v/>
      </c>
      <c r="EB575" s="58">
        <f>IFERROR($W576/$W575-1,"")</f>
        <v/>
      </c>
      <c r="EC575" s="58">
        <f>IFERROR($X576/$X575-1,"")</f>
        <v/>
      </c>
      <c r="ED575" s="58">
        <f>IFERROR($Y576/$Y575-1,"")</f>
        <v/>
      </c>
      <c r="EE575" s="58">
        <f>IFERROR($Z576/$Z575-1,"")</f>
        <v/>
      </c>
      <c r="EF575" s="58">
        <f>IFERROR($AA576/$AA575-1,"")</f>
        <v/>
      </c>
      <c r="EG575" s="58">
        <f>IFERROR($AB576/$AB575-1,"")</f>
        <v/>
      </c>
      <c r="EH575" s="58">
        <f>IFERROR($AC576/$AC575-1,"")</f>
        <v/>
      </c>
      <c r="EI575" s="58">
        <f>IFERROR($AD576/$AD575-1,"")</f>
        <v/>
      </c>
      <c r="EJ575" s="58">
        <f>IFERROR($AE576/$AE575-1,"")</f>
        <v/>
      </c>
      <c r="EK575" s="58">
        <f>IFERROR($AF576/$AF575-1,"")</f>
        <v/>
      </c>
      <c r="EL575" s="58">
        <f>IFERROR($AG576/$AG575-1,"")</f>
        <v/>
      </c>
      <c r="EM575" s="58">
        <f>IFERROR($BB575/$BB576-1,"")</f>
        <v/>
      </c>
      <c r="EN575" s="58">
        <f>IFERROR($BC575/$BC576-1,"")</f>
        <v/>
      </c>
      <c r="EO575" s="58">
        <f>IFERROR($BD575/$BD576-1,"")</f>
        <v/>
      </c>
      <c r="EP575" s="58">
        <f>IFERROR($BE575/$BE576-1,"")</f>
        <v/>
      </c>
      <c r="EQ575" s="58">
        <f>IFERROR($BF575/$BF576-1,"")</f>
        <v/>
      </c>
      <c r="ER575" s="58">
        <f>IFERROR($BG575/$BG576-1,"")</f>
        <v/>
      </c>
      <c r="ES575" s="58">
        <f>IFERROR($BH575/$BH576-1,"")</f>
        <v/>
      </c>
      <c r="ET575" s="58">
        <f>IFERROR($BI575/$BI576-1,"")</f>
        <v/>
      </c>
      <c r="EU575" s="58">
        <f>IFERROR($BJ575/$BJ576-1,"")</f>
        <v/>
      </c>
      <c r="EV575" s="58">
        <f>IFERROR($BK575/$BK576-1,"")</f>
        <v/>
      </c>
      <c r="EW575" s="58">
        <f>IFERROR($BL575/$BL576-1,"")</f>
        <v/>
      </c>
      <c r="EX575" s="58">
        <f>IFERROR($BM575/$BM576-1,"")</f>
        <v/>
      </c>
      <c r="EY575" s="58">
        <f>IFERROR($BN575/$BN576-1,"")</f>
        <v/>
      </c>
      <c r="EZ575" s="58">
        <f>IFERROR($BO575/$BO576-1,"")</f>
        <v/>
      </c>
      <c r="FA575" s="58">
        <f>IFERROR($BP575/$BP576-1,"")</f>
        <v/>
      </c>
      <c r="FB575" s="58">
        <f>IFERROR($BQ575/$BQ576-1,"")</f>
        <v/>
      </c>
      <c r="FC575" s="58">
        <f>IFERROR($BR575/$BR576-1,"")</f>
        <v/>
      </c>
      <c r="FD575" s="58">
        <f>IFERROR($BS575/$BS576-1,"")</f>
        <v/>
      </c>
      <c r="FE575" s="58">
        <f>IFERROR($BT575/$BT576-1,"")</f>
        <v/>
      </c>
      <c r="FF575" s="58">
        <f>IFERROR($BU575/$BU576-1,"")</f>
        <v/>
      </c>
      <c r="FG575" s="58">
        <f>IFERROR($BV575/$BV576-1,"")</f>
        <v/>
      </c>
      <c r="FH575" s="58">
        <f>IFERROR($BW575/$BW576-1,"")</f>
        <v/>
      </c>
      <c r="FI575" s="58">
        <f>IFERROR($BX575/$BX576-1,"")</f>
        <v/>
      </c>
      <c r="FJ575" s="59">
        <f>$BY575-$BY576</f>
        <v/>
      </c>
      <c r="FK575" s="59">
        <f>$BZ575-$BZ576</f>
        <v/>
      </c>
      <c r="FL575" s="59">
        <f>$CA575-$CA576</f>
        <v/>
      </c>
      <c r="FM575" s="59">
        <f>$CB575-$CB576</f>
        <v/>
      </c>
      <c r="FN575" s="59">
        <f>$CC575-$CC576</f>
        <v/>
      </c>
      <c r="FO575" s="59">
        <f>$CD575-$CD576</f>
        <v/>
      </c>
      <c r="FP575" s="59">
        <f>$CE575-$CE576</f>
        <v/>
      </c>
      <c r="FQ575" s="59">
        <f>$CF575-$CF576</f>
        <v/>
      </c>
      <c r="FR575" s="59">
        <f>$CG575-$CG576</f>
        <v/>
      </c>
      <c r="FS575" s="59">
        <f>$CH575-$CH576</f>
        <v/>
      </c>
      <c r="FT575" s="59">
        <f>$CI575-$CI576</f>
        <v/>
      </c>
      <c r="FU575" s="59">
        <f>$CJ575-$CJ576</f>
        <v/>
      </c>
      <c r="FV575" s="59">
        <f>$CK575-$CK576</f>
        <v/>
      </c>
      <c r="FW575" s="59">
        <f>$CL575-$CL576</f>
        <v/>
      </c>
      <c r="FX575" s="59">
        <f>$CM575-$CM576</f>
        <v/>
      </c>
      <c r="FY575" s="59">
        <f>$CN575-$CN576</f>
        <v/>
      </c>
      <c r="FZ575" s="59">
        <f>$CO575-$CO576</f>
        <v/>
      </c>
      <c r="GA575" s="59">
        <f>$CP575-$CP576</f>
        <v/>
      </c>
      <c r="GB575" s="59">
        <f>$CQ575-$CQ576</f>
        <v/>
      </c>
      <c r="GC575" s="59">
        <f>$CR575-$CR576</f>
        <v/>
      </c>
      <c r="GD575" s="59">
        <f>$CS575-$CS576</f>
        <v/>
      </c>
      <c r="GE575" s="59">
        <f>$CT575-$CT576</f>
        <v/>
      </c>
    </row>
    <row r="576">
      <c r="CU576" s="58">
        <f>IFERROR($B576/$B577-1,"")</f>
        <v/>
      </c>
      <c r="CV576" s="59">
        <f>($F576-$F577)*100</f>
        <v/>
      </c>
      <c r="CW576" s="59">
        <f>($E576-$E577)*100</f>
        <v/>
      </c>
      <c r="CX576" s="58">
        <f>IFERROR($K576/$K577-1,"")</f>
        <v/>
      </c>
      <c r="CY576" s="59">
        <f>($AH576-$AH577)*100</f>
        <v/>
      </c>
      <c r="CZ576" s="59">
        <f>($AI576-$AI577)*100</f>
        <v/>
      </c>
      <c r="DA576" s="59">
        <f>($AJ576-$AJ577)*100</f>
        <v/>
      </c>
      <c r="DB576" s="59">
        <f>($AK576-$AK577)*100</f>
        <v/>
      </c>
      <c r="DC576" s="59">
        <f>($AL576-$AL577)*100</f>
        <v/>
      </c>
      <c r="DD576" s="59">
        <f>($AM576-$AM577)*100</f>
        <v/>
      </c>
      <c r="DE576" s="59">
        <f>($AN576-$AN577)*100</f>
        <v/>
      </c>
      <c r="DF576" s="59">
        <f>($AO576-$AO577)*100</f>
        <v/>
      </c>
      <c r="DG576" s="59">
        <f>($AP576-$AP577)*100</f>
        <v/>
      </c>
      <c r="DH576" s="59">
        <f>($AQ576-$AQ577)*100</f>
        <v/>
      </c>
      <c r="DI576" s="59">
        <f>($AR576-$AR577)*100</f>
        <v/>
      </c>
      <c r="DJ576" s="59">
        <f>($AS576-$AS577)*100</f>
        <v/>
      </c>
      <c r="DK576" s="59">
        <f>($AT576-$AT577)*100</f>
        <v/>
      </c>
      <c r="DL576" s="59">
        <f>($AU576-$AU577)*100</f>
        <v/>
      </c>
      <c r="DM576" s="59">
        <f>($AV576-$AV577)*100</f>
        <v/>
      </c>
      <c r="DN576" s="59">
        <f>($AW576-$AW577)*100</f>
        <v/>
      </c>
      <c r="DO576" s="59">
        <f>($AX576-$AX577)*100</f>
        <v/>
      </c>
      <c r="DP576" s="59">
        <f>($AY576-$AY577)*100</f>
        <v/>
      </c>
      <c r="DQ576" s="59">
        <f>($AZ576-$AZ577)*100</f>
        <v/>
      </c>
      <c r="DR576" s="59">
        <f>($BA576-$BA577)*100</f>
        <v/>
      </c>
      <c r="DS576" s="58">
        <f>IFERROR($N577/$N576-1,"")</f>
        <v/>
      </c>
      <c r="DT576" s="58">
        <f>IFERROR($O577/$O576-1,"")</f>
        <v/>
      </c>
      <c r="DU576" s="58">
        <f>IFERROR($P577/$P576-1,"")</f>
        <v/>
      </c>
      <c r="DV576" s="58">
        <f>IFERROR($Q577/$Q576-1,"")</f>
        <v/>
      </c>
      <c r="DW576" s="58">
        <f>IFERROR($R577/$R576-1,"")</f>
        <v/>
      </c>
      <c r="DX576" s="58">
        <f>IFERROR($S577/$S576-1,"")</f>
        <v/>
      </c>
      <c r="DY576" s="58">
        <f>IFERROR($T577/$T576-1,"")</f>
        <v/>
      </c>
      <c r="DZ576" s="58">
        <f>IFERROR($U577/$U576-1,"")</f>
        <v/>
      </c>
      <c r="EA576" s="58">
        <f>IFERROR($V577/$V576-1,"")</f>
        <v/>
      </c>
      <c r="EB576" s="58">
        <f>IFERROR($W577/$W576-1,"")</f>
        <v/>
      </c>
      <c r="EC576" s="58">
        <f>IFERROR($X577/$X576-1,"")</f>
        <v/>
      </c>
      <c r="ED576" s="58">
        <f>IFERROR($Y577/$Y576-1,"")</f>
        <v/>
      </c>
      <c r="EE576" s="58">
        <f>IFERROR($Z577/$Z576-1,"")</f>
        <v/>
      </c>
      <c r="EF576" s="58">
        <f>IFERROR($AA577/$AA576-1,"")</f>
        <v/>
      </c>
      <c r="EG576" s="58">
        <f>IFERROR($AB577/$AB576-1,"")</f>
        <v/>
      </c>
      <c r="EH576" s="58">
        <f>IFERROR($AC577/$AC576-1,"")</f>
        <v/>
      </c>
      <c r="EI576" s="58">
        <f>IFERROR($AD577/$AD576-1,"")</f>
        <v/>
      </c>
      <c r="EJ576" s="58">
        <f>IFERROR($AE577/$AE576-1,"")</f>
        <v/>
      </c>
      <c r="EK576" s="58">
        <f>IFERROR($AF577/$AF576-1,"")</f>
        <v/>
      </c>
      <c r="EL576" s="58">
        <f>IFERROR($AG577/$AG576-1,"")</f>
        <v/>
      </c>
      <c r="EM576" s="58">
        <f>IFERROR($BB576/$BB577-1,"")</f>
        <v/>
      </c>
      <c r="EN576" s="58">
        <f>IFERROR($BC576/$BC577-1,"")</f>
        <v/>
      </c>
      <c r="EO576" s="58">
        <f>IFERROR($BD576/$BD577-1,"")</f>
        <v/>
      </c>
      <c r="EP576" s="58">
        <f>IFERROR($BE576/$BE577-1,"")</f>
        <v/>
      </c>
      <c r="EQ576" s="58">
        <f>IFERROR($BF576/$BF577-1,"")</f>
        <v/>
      </c>
      <c r="ER576" s="58">
        <f>IFERROR($BG576/$BG577-1,"")</f>
        <v/>
      </c>
      <c r="ES576" s="58">
        <f>IFERROR($BH576/$BH577-1,"")</f>
        <v/>
      </c>
      <c r="ET576" s="58">
        <f>IFERROR($BI576/$BI577-1,"")</f>
        <v/>
      </c>
      <c r="EU576" s="58">
        <f>IFERROR($BJ576/$BJ577-1,"")</f>
        <v/>
      </c>
      <c r="EV576" s="58">
        <f>IFERROR($BK576/$BK577-1,"")</f>
        <v/>
      </c>
      <c r="EW576" s="58">
        <f>IFERROR($BL576/$BL577-1,"")</f>
        <v/>
      </c>
      <c r="EX576" s="58">
        <f>IFERROR($BM576/$BM577-1,"")</f>
        <v/>
      </c>
      <c r="EY576" s="58">
        <f>IFERROR($BN576/$BN577-1,"")</f>
        <v/>
      </c>
      <c r="EZ576" s="58">
        <f>IFERROR($BO576/$BO577-1,"")</f>
        <v/>
      </c>
      <c r="FA576" s="58">
        <f>IFERROR($BP576/$BP577-1,"")</f>
        <v/>
      </c>
      <c r="FB576" s="58">
        <f>IFERROR($BQ576/$BQ577-1,"")</f>
        <v/>
      </c>
      <c r="FC576" s="58">
        <f>IFERROR($BR576/$BR577-1,"")</f>
        <v/>
      </c>
      <c r="FD576" s="58">
        <f>IFERROR($BS576/$BS577-1,"")</f>
        <v/>
      </c>
      <c r="FE576" s="58">
        <f>IFERROR($BT576/$BT577-1,"")</f>
        <v/>
      </c>
      <c r="FF576" s="58">
        <f>IFERROR($BU576/$BU577-1,"")</f>
        <v/>
      </c>
      <c r="FG576" s="58">
        <f>IFERROR($BV576/$BV577-1,"")</f>
        <v/>
      </c>
      <c r="FH576" s="58">
        <f>IFERROR($BW576/$BW577-1,"")</f>
        <v/>
      </c>
      <c r="FI576" s="58">
        <f>IFERROR($BX576/$BX577-1,"")</f>
        <v/>
      </c>
      <c r="FJ576" s="59">
        <f>$BY576-$BY577</f>
        <v/>
      </c>
      <c r="FK576" s="59">
        <f>$BZ576-$BZ577</f>
        <v/>
      </c>
      <c r="FL576" s="59">
        <f>$CA576-$CA577</f>
        <v/>
      </c>
      <c r="FM576" s="59">
        <f>$CB576-$CB577</f>
        <v/>
      </c>
      <c r="FN576" s="59">
        <f>$CC576-$CC577</f>
        <v/>
      </c>
      <c r="FO576" s="59">
        <f>$CD576-$CD577</f>
        <v/>
      </c>
      <c r="FP576" s="59">
        <f>$CE576-$CE577</f>
        <v/>
      </c>
      <c r="FQ576" s="59">
        <f>$CF576-$CF577</f>
        <v/>
      </c>
      <c r="FR576" s="59">
        <f>$CG576-$CG577</f>
        <v/>
      </c>
      <c r="FS576" s="59">
        <f>$CH576-$CH577</f>
        <v/>
      </c>
      <c r="FT576" s="59">
        <f>$CI576-$CI577</f>
        <v/>
      </c>
      <c r="FU576" s="59">
        <f>$CJ576-$CJ577</f>
        <v/>
      </c>
      <c r="FV576" s="59">
        <f>$CK576-$CK577</f>
        <v/>
      </c>
      <c r="FW576" s="59">
        <f>$CL576-$CL577</f>
        <v/>
      </c>
      <c r="FX576" s="59">
        <f>$CM576-$CM577</f>
        <v/>
      </c>
      <c r="FY576" s="59">
        <f>$CN576-$CN577</f>
        <v/>
      </c>
      <c r="FZ576" s="59">
        <f>$CO576-$CO577</f>
        <v/>
      </c>
      <c r="GA576" s="59">
        <f>$CP576-$CP577</f>
        <v/>
      </c>
      <c r="GB576" s="59">
        <f>$CQ576-$CQ577</f>
        <v/>
      </c>
      <c r="GC576" s="59">
        <f>$CR576-$CR577</f>
        <v/>
      </c>
      <c r="GD576" s="59">
        <f>$CS576-$CS577</f>
        <v/>
      </c>
      <c r="GE576" s="59">
        <f>$CT576-$CT577</f>
        <v/>
      </c>
    </row>
    <row r="577">
      <c r="CU577" s="58">
        <f>IFERROR($B577/$B578-1,"")</f>
        <v/>
      </c>
      <c r="CV577" s="59">
        <f>($F577-$F578)*100</f>
        <v/>
      </c>
      <c r="CW577" s="59">
        <f>($E577-$E578)*100</f>
        <v/>
      </c>
      <c r="CX577" s="58">
        <f>IFERROR($K577/$K578-1,"")</f>
        <v/>
      </c>
      <c r="CY577" s="59">
        <f>($AH577-$AH578)*100</f>
        <v/>
      </c>
      <c r="CZ577" s="59">
        <f>($AI577-$AI578)*100</f>
        <v/>
      </c>
      <c r="DA577" s="59">
        <f>($AJ577-$AJ578)*100</f>
        <v/>
      </c>
      <c r="DB577" s="59">
        <f>($AK577-$AK578)*100</f>
        <v/>
      </c>
      <c r="DC577" s="59">
        <f>($AL577-$AL578)*100</f>
        <v/>
      </c>
      <c r="DD577" s="59">
        <f>($AM577-$AM578)*100</f>
        <v/>
      </c>
      <c r="DE577" s="59">
        <f>($AN577-$AN578)*100</f>
        <v/>
      </c>
      <c r="DF577" s="59">
        <f>($AO577-$AO578)*100</f>
        <v/>
      </c>
      <c r="DG577" s="59">
        <f>($AP577-$AP578)*100</f>
        <v/>
      </c>
      <c r="DH577" s="59">
        <f>($AQ577-$AQ578)*100</f>
        <v/>
      </c>
      <c r="DI577" s="59">
        <f>($AR577-$AR578)*100</f>
        <v/>
      </c>
      <c r="DJ577" s="59">
        <f>($AS577-$AS578)*100</f>
        <v/>
      </c>
      <c r="DK577" s="59">
        <f>($AT577-$AT578)*100</f>
        <v/>
      </c>
      <c r="DL577" s="59">
        <f>($AU577-$AU578)*100</f>
        <v/>
      </c>
      <c r="DM577" s="59">
        <f>($AV577-$AV578)*100</f>
        <v/>
      </c>
      <c r="DN577" s="59">
        <f>($AW577-$AW578)*100</f>
        <v/>
      </c>
      <c r="DO577" s="59">
        <f>($AX577-$AX578)*100</f>
        <v/>
      </c>
      <c r="DP577" s="59">
        <f>($AY577-$AY578)*100</f>
        <v/>
      </c>
      <c r="DQ577" s="59">
        <f>($AZ577-$AZ578)*100</f>
        <v/>
      </c>
      <c r="DR577" s="59">
        <f>($BA577-$BA578)*100</f>
        <v/>
      </c>
      <c r="DS577" s="58">
        <f>IFERROR($N578/$N577-1,"")</f>
        <v/>
      </c>
      <c r="DT577" s="58">
        <f>IFERROR($O578/$O577-1,"")</f>
        <v/>
      </c>
      <c r="DU577" s="58">
        <f>IFERROR($P578/$P577-1,"")</f>
        <v/>
      </c>
      <c r="DV577" s="58">
        <f>IFERROR($Q578/$Q577-1,"")</f>
        <v/>
      </c>
      <c r="DW577" s="58">
        <f>IFERROR($R578/$R577-1,"")</f>
        <v/>
      </c>
      <c r="DX577" s="58">
        <f>IFERROR($S578/$S577-1,"")</f>
        <v/>
      </c>
      <c r="DY577" s="58">
        <f>IFERROR($T578/$T577-1,"")</f>
        <v/>
      </c>
      <c r="DZ577" s="58">
        <f>IFERROR($U578/$U577-1,"")</f>
        <v/>
      </c>
      <c r="EA577" s="58">
        <f>IFERROR($V578/$V577-1,"")</f>
        <v/>
      </c>
      <c r="EB577" s="58">
        <f>IFERROR($W578/$W577-1,"")</f>
        <v/>
      </c>
      <c r="EC577" s="58">
        <f>IFERROR($X578/$X577-1,"")</f>
        <v/>
      </c>
      <c r="ED577" s="58">
        <f>IFERROR($Y578/$Y577-1,"")</f>
        <v/>
      </c>
      <c r="EE577" s="58">
        <f>IFERROR($Z578/$Z577-1,"")</f>
        <v/>
      </c>
      <c r="EF577" s="58">
        <f>IFERROR($AA578/$AA577-1,"")</f>
        <v/>
      </c>
      <c r="EG577" s="58">
        <f>IFERROR($AB578/$AB577-1,"")</f>
        <v/>
      </c>
      <c r="EH577" s="58">
        <f>IFERROR($AC578/$AC577-1,"")</f>
        <v/>
      </c>
      <c r="EI577" s="58">
        <f>IFERROR($AD578/$AD577-1,"")</f>
        <v/>
      </c>
      <c r="EJ577" s="58">
        <f>IFERROR($AE578/$AE577-1,"")</f>
        <v/>
      </c>
      <c r="EK577" s="58">
        <f>IFERROR($AF578/$AF577-1,"")</f>
        <v/>
      </c>
      <c r="EL577" s="58">
        <f>IFERROR($AG578/$AG577-1,"")</f>
        <v/>
      </c>
      <c r="EM577" s="58">
        <f>IFERROR($BB577/$BB578-1,"")</f>
        <v/>
      </c>
      <c r="EN577" s="58">
        <f>IFERROR($BC577/$BC578-1,"")</f>
        <v/>
      </c>
      <c r="EO577" s="58">
        <f>IFERROR($BD577/$BD578-1,"")</f>
        <v/>
      </c>
      <c r="EP577" s="58">
        <f>IFERROR($BE577/$BE578-1,"")</f>
        <v/>
      </c>
      <c r="EQ577" s="58">
        <f>IFERROR($BF577/$BF578-1,"")</f>
        <v/>
      </c>
      <c r="ER577" s="58">
        <f>IFERROR($BG577/$BG578-1,"")</f>
        <v/>
      </c>
      <c r="ES577" s="58">
        <f>IFERROR($BH577/$BH578-1,"")</f>
        <v/>
      </c>
      <c r="ET577" s="58">
        <f>IFERROR($BI577/$BI578-1,"")</f>
        <v/>
      </c>
      <c r="EU577" s="58">
        <f>IFERROR($BJ577/$BJ578-1,"")</f>
        <v/>
      </c>
      <c r="EV577" s="58">
        <f>IFERROR($BK577/$BK578-1,"")</f>
        <v/>
      </c>
      <c r="EW577" s="58">
        <f>IFERROR($BL577/$BL578-1,"")</f>
        <v/>
      </c>
      <c r="EX577" s="58">
        <f>IFERROR($BM577/$BM578-1,"")</f>
        <v/>
      </c>
      <c r="EY577" s="58">
        <f>IFERROR($BN577/$BN578-1,"")</f>
        <v/>
      </c>
      <c r="EZ577" s="58">
        <f>IFERROR($BO577/$BO578-1,"")</f>
        <v/>
      </c>
      <c r="FA577" s="58">
        <f>IFERROR($BP577/$BP578-1,"")</f>
        <v/>
      </c>
      <c r="FB577" s="58">
        <f>IFERROR($BQ577/$BQ578-1,"")</f>
        <v/>
      </c>
      <c r="FC577" s="58">
        <f>IFERROR($BR577/$BR578-1,"")</f>
        <v/>
      </c>
      <c r="FD577" s="58">
        <f>IFERROR($BS577/$BS578-1,"")</f>
        <v/>
      </c>
      <c r="FE577" s="58">
        <f>IFERROR($BT577/$BT578-1,"")</f>
        <v/>
      </c>
      <c r="FF577" s="58">
        <f>IFERROR($BU577/$BU578-1,"")</f>
        <v/>
      </c>
      <c r="FG577" s="58">
        <f>IFERROR($BV577/$BV578-1,"")</f>
        <v/>
      </c>
      <c r="FH577" s="58">
        <f>IFERROR($BW577/$BW578-1,"")</f>
        <v/>
      </c>
      <c r="FI577" s="58">
        <f>IFERROR($BX577/$BX578-1,"")</f>
        <v/>
      </c>
      <c r="FJ577" s="59">
        <f>$BY577-$BY578</f>
        <v/>
      </c>
      <c r="FK577" s="59">
        <f>$BZ577-$BZ578</f>
        <v/>
      </c>
      <c r="FL577" s="59">
        <f>$CA577-$CA578</f>
        <v/>
      </c>
      <c r="FM577" s="59">
        <f>$CB577-$CB578</f>
        <v/>
      </c>
      <c r="FN577" s="59">
        <f>$CC577-$CC578</f>
        <v/>
      </c>
      <c r="FO577" s="59">
        <f>$CD577-$CD578</f>
        <v/>
      </c>
      <c r="FP577" s="59">
        <f>$CE577-$CE578</f>
        <v/>
      </c>
      <c r="FQ577" s="59">
        <f>$CF577-$CF578</f>
        <v/>
      </c>
      <c r="FR577" s="59">
        <f>$CG577-$CG578</f>
        <v/>
      </c>
      <c r="FS577" s="59">
        <f>$CH577-$CH578</f>
        <v/>
      </c>
      <c r="FT577" s="59">
        <f>$CI577-$CI578</f>
        <v/>
      </c>
      <c r="FU577" s="59">
        <f>$CJ577-$CJ578</f>
        <v/>
      </c>
      <c r="FV577" s="59">
        <f>$CK577-$CK578</f>
        <v/>
      </c>
      <c r="FW577" s="59">
        <f>$CL577-$CL578</f>
        <v/>
      </c>
      <c r="FX577" s="59">
        <f>$CM577-$CM578</f>
        <v/>
      </c>
      <c r="FY577" s="59">
        <f>$CN577-$CN578</f>
        <v/>
      </c>
      <c r="FZ577" s="59">
        <f>$CO577-$CO578</f>
        <v/>
      </c>
      <c r="GA577" s="59">
        <f>$CP577-$CP578</f>
        <v/>
      </c>
      <c r="GB577" s="59">
        <f>$CQ577-$CQ578</f>
        <v/>
      </c>
      <c r="GC577" s="59">
        <f>$CR577-$CR578</f>
        <v/>
      </c>
      <c r="GD577" s="59">
        <f>$CS577-$CS578</f>
        <v/>
      </c>
      <c r="GE577" s="59">
        <f>$CT577-$CT578</f>
        <v/>
      </c>
    </row>
    <row r="578">
      <c r="CU578" s="58">
        <f>IFERROR($B578/$B579-1,"")</f>
        <v/>
      </c>
      <c r="CV578" s="59">
        <f>($F578-$F579)*100</f>
        <v/>
      </c>
      <c r="CW578" s="59">
        <f>($E578-$E579)*100</f>
        <v/>
      </c>
      <c r="CX578" s="58">
        <f>IFERROR($K578/$K579-1,"")</f>
        <v/>
      </c>
      <c r="CY578" s="59">
        <f>($AH578-$AH579)*100</f>
        <v/>
      </c>
      <c r="CZ578" s="59">
        <f>($AI578-$AI579)*100</f>
        <v/>
      </c>
      <c r="DA578" s="59">
        <f>($AJ578-$AJ579)*100</f>
        <v/>
      </c>
      <c r="DB578" s="59">
        <f>($AK578-$AK579)*100</f>
        <v/>
      </c>
      <c r="DC578" s="59">
        <f>($AL578-$AL579)*100</f>
        <v/>
      </c>
      <c r="DD578" s="59">
        <f>($AM578-$AM579)*100</f>
        <v/>
      </c>
      <c r="DE578" s="59">
        <f>($AN578-$AN579)*100</f>
        <v/>
      </c>
      <c r="DF578" s="59">
        <f>($AO578-$AO579)*100</f>
        <v/>
      </c>
      <c r="DG578" s="59">
        <f>($AP578-$AP579)*100</f>
        <v/>
      </c>
      <c r="DH578" s="59">
        <f>($AQ578-$AQ579)*100</f>
        <v/>
      </c>
      <c r="DI578" s="59">
        <f>($AR578-$AR579)*100</f>
        <v/>
      </c>
      <c r="DJ578" s="59">
        <f>($AS578-$AS579)*100</f>
        <v/>
      </c>
      <c r="DK578" s="59">
        <f>($AT578-$AT579)*100</f>
        <v/>
      </c>
      <c r="DL578" s="59">
        <f>($AU578-$AU579)*100</f>
        <v/>
      </c>
      <c r="DM578" s="59">
        <f>($AV578-$AV579)*100</f>
        <v/>
      </c>
      <c r="DN578" s="59">
        <f>($AW578-$AW579)*100</f>
        <v/>
      </c>
      <c r="DO578" s="59">
        <f>($AX578-$AX579)*100</f>
        <v/>
      </c>
      <c r="DP578" s="59">
        <f>($AY578-$AY579)*100</f>
        <v/>
      </c>
      <c r="DQ578" s="59">
        <f>($AZ578-$AZ579)*100</f>
        <v/>
      </c>
      <c r="DR578" s="59">
        <f>($BA578-$BA579)*100</f>
        <v/>
      </c>
      <c r="DS578" s="58">
        <f>IFERROR($N579/$N578-1,"")</f>
        <v/>
      </c>
      <c r="DT578" s="58">
        <f>IFERROR($O579/$O578-1,"")</f>
        <v/>
      </c>
      <c r="DU578" s="58">
        <f>IFERROR($P579/$P578-1,"")</f>
        <v/>
      </c>
      <c r="DV578" s="58">
        <f>IFERROR($Q579/$Q578-1,"")</f>
        <v/>
      </c>
      <c r="DW578" s="58">
        <f>IFERROR($R579/$R578-1,"")</f>
        <v/>
      </c>
      <c r="DX578" s="58">
        <f>IFERROR($S579/$S578-1,"")</f>
        <v/>
      </c>
      <c r="DY578" s="58">
        <f>IFERROR($T579/$T578-1,"")</f>
        <v/>
      </c>
      <c r="DZ578" s="58">
        <f>IFERROR($U579/$U578-1,"")</f>
        <v/>
      </c>
      <c r="EA578" s="58">
        <f>IFERROR($V579/$V578-1,"")</f>
        <v/>
      </c>
      <c r="EB578" s="58">
        <f>IFERROR($W579/$W578-1,"")</f>
        <v/>
      </c>
      <c r="EC578" s="58">
        <f>IFERROR($X579/$X578-1,"")</f>
        <v/>
      </c>
      <c r="ED578" s="58">
        <f>IFERROR($Y579/$Y578-1,"")</f>
        <v/>
      </c>
      <c r="EE578" s="58">
        <f>IFERROR($Z579/$Z578-1,"")</f>
        <v/>
      </c>
      <c r="EF578" s="58">
        <f>IFERROR($AA579/$AA578-1,"")</f>
        <v/>
      </c>
      <c r="EG578" s="58">
        <f>IFERROR($AB579/$AB578-1,"")</f>
        <v/>
      </c>
      <c r="EH578" s="58">
        <f>IFERROR($AC579/$AC578-1,"")</f>
        <v/>
      </c>
      <c r="EI578" s="58">
        <f>IFERROR($AD579/$AD578-1,"")</f>
        <v/>
      </c>
      <c r="EJ578" s="58">
        <f>IFERROR($AE579/$AE578-1,"")</f>
        <v/>
      </c>
      <c r="EK578" s="58">
        <f>IFERROR($AF579/$AF578-1,"")</f>
        <v/>
      </c>
      <c r="EL578" s="58">
        <f>IFERROR($AG579/$AG578-1,"")</f>
        <v/>
      </c>
      <c r="EM578" s="58">
        <f>IFERROR($BB578/$BB579-1,"")</f>
        <v/>
      </c>
      <c r="EN578" s="58">
        <f>IFERROR($BC578/$BC579-1,"")</f>
        <v/>
      </c>
      <c r="EO578" s="58">
        <f>IFERROR($BD578/$BD579-1,"")</f>
        <v/>
      </c>
      <c r="EP578" s="58">
        <f>IFERROR($BE578/$BE579-1,"")</f>
        <v/>
      </c>
      <c r="EQ578" s="58">
        <f>IFERROR($BF578/$BF579-1,"")</f>
        <v/>
      </c>
      <c r="ER578" s="58">
        <f>IFERROR($BG578/$BG579-1,"")</f>
        <v/>
      </c>
      <c r="ES578" s="58">
        <f>IFERROR($BH578/$BH579-1,"")</f>
        <v/>
      </c>
      <c r="ET578" s="58">
        <f>IFERROR($BI578/$BI579-1,"")</f>
        <v/>
      </c>
      <c r="EU578" s="58">
        <f>IFERROR($BJ578/$BJ579-1,"")</f>
        <v/>
      </c>
      <c r="EV578" s="58">
        <f>IFERROR($BK578/$BK579-1,"")</f>
        <v/>
      </c>
      <c r="EW578" s="58">
        <f>IFERROR($BL578/$BL579-1,"")</f>
        <v/>
      </c>
      <c r="EX578" s="58">
        <f>IFERROR($BM578/$BM579-1,"")</f>
        <v/>
      </c>
      <c r="EY578" s="58">
        <f>IFERROR($BN578/$BN579-1,"")</f>
        <v/>
      </c>
      <c r="EZ578" s="58">
        <f>IFERROR($BO578/$BO579-1,"")</f>
        <v/>
      </c>
      <c r="FA578" s="58">
        <f>IFERROR($BP578/$BP579-1,"")</f>
        <v/>
      </c>
      <c r="FB578" s="58">
        <f>IFERROR($BQ578/$BQ579-1,"")</f>
        <v/>
      </c>
      <c r="FC578" s="58">
        <f>IFERROR($BR578/$BR579-1,"")</f>
        <v/>
      </c>
      <c r="FD578" s="58">
        <f>IFERROR($BS578/$BS579-1,"")</f>
        <v/>
      </c>
      <c r="FE578" s="58">
        <f>IFERROR($BT578/$BT579-1,"")</f>
        <v/>
      </c>
      <c r="FF578" s="58">
        <f>IFERROR($BU578/$BU579-1,"")</f>
        <v/>
      </c>
      <c r="FG578" s="58">
        <f>IFERROR($BV578/$BV579-1,"")</f>
        <v/>
      </c>
      <c r="FH578" s="58">
        <f>IFERROR($BW578/$BW579-1,"")</f>
        <v/>
      </c>
      <c r="FI578" s="58">
        <f>IFERROR($BX578/$BX579-1,"")</f>
        <v/>
      </c>
      <c r="FJ578" s="59">
        <f>$BY578-$BY579</f>
        <v/>
      </c>
      <c r="FK578" s="59">
        <f>$BZ578-$BZ579</f>
        <v/>
      </c>
      <c r="FL578" s="59">
        <f>$CA578-$CA579</f>
        <v/>
      </c>
      <c r="FM578" s="59">
        <f>$CB578-$CB579</f>
        <v/>
      </c>
      <c r="FN578" s="59">
        <f>$CC578-$CC579</f>
        <v/>
      </c>
      <c r="FO578" s="59">
        <f>$CD578-$CD579</f>
        <v/>
      </c>
      <c r="FP578" s="59">
        <f>$CE578-$CE579</f>
        <v/>
      </c>
      <c r="FQ578" s="59">
        <f>$CF578-$CF579</f>
        <v/>
      </c>
      <c r="FR578" s="59">
        <f>$CG578-$CG579</f>
        <v/>
      </c>
      <c r="FS578" s="59">
        <f>$CH578-$CH579</f>
        <v/>
      </c>
      <c r="FT578" s="59">
        <f>$CI578-$CI579</f>
        <v/>
      </c>
      <c r="FU578" s="59">
        <f>$CJ578-$CJ579</f>
        <v/>
      </c>
      <c r="FV578" s="59">
        <f>$CK578-$CK579</f>
        <v/>
      </c>
      <c r="FW578" s="59">
        <f>$CL578-$CL579</f>
        <v/>
      </c>
      <c r="FX578" s="59">
        <f>$CM578-$CM579</f>
        <v/>
      </c>
      <c r="FY578" s="59">
        <f>$CN578-$CN579</f>
        <v/>
      </c>
      <c r="FZ578" s="59">
        <f>$CO578-$CO579</f>
        <v/>
      </c>
      <c r="GA578" s="59">
        <f>$CP578-$CP579</f>
        <v/>
      </c>
      <c r="GB578" s="59">
        <f>$CQ578-$CQ579</f>
        <v/>
      </c>
      <c r="GC578" s="59">
        <f>$CR578-$CR579</f>
        <v/>
      </c>
      <c r="GD578" s="59">
        <f>$CS578-$CS579</f>
        <v/>
      </c>
      <c r="GE578" s="59">
        <f>$CT578-$CT579</f>
        <v/>
      </c>
    </row>
    <row r="579">
      <c r="CU579" s="58">
        <f>IFERROR($B579/$B580-1,"")</f>
        <v/>
      </c>
      <c r="CV579" s="59">
        <f>($F579-$F580)*100</f>
        <v/>
      </c>
      <c r="CW579" s="59">
        <f>($E579-$E580)*100</f>
        <v/>
      </c>
      <c r="CX579" s="58">
        <f>IFERROR($K579/$K580-1,"")</f>
        <v/>
      </c>
      <c r="CY579" s="59">
        <f>($AH579-$AH580)*100</f>
        <v/>
      </c>
      <c r="CZ579" s="59">
        <f>($AI579-$AI580)*100</f>
        <v/>
      </c>
      <c r="DA579" s="59">
        <f>($AJ579-$AJ580)*100</f>
        <v/>
      </c>
      <c r="DB579" s="59">
        <f>($AK579-$AK580)*100</f>
        <v/>
      </c>
      <c r="DC579" s="59">
        <f>($AL579-$AL580)*100</f>
        <v/>
      </c>
      <c r="DD579" s="59">
        <f>($AM579-$AM580)*100</f>
        <v/>
      </c>
      <c r="DE579" s="59">
        <f>($AN579-$AN580)*100</f>
        <v/>
      </c>
      <c r="DF579" s="59">
        <f>($AO579-$AO580)*100</f>
        <v/>
      </c>
      <c r="DG579" s="59">
        <f>($AP579-$AP580)*100</f>
        <v/>
      </c>
      <c r="DH579" s="59">
        <f>($AQ579-$AQ580)*100</f>
        <v/>
      </c>
      <c r="DI579" s="59">
        <f>($AR579-$AR580)*100</f>
        <v/>
      </c>
      <c r="DJ579" s="59">
        <f>($AS579-$AS580)*100</f>
        <v/>
      </c>
      <c r="DK579" s="59">
        <f>($AT579-$AT580)*100</f>
        <v/>
      </c>
      <c r="DL579" s="59">
        <f>($AU579-$AU580)*100</f>
        <v/>
      </c>
      <c r="DM579" s="59">
        <f>($AV579-$AV580)*100</f>
        <v/>
      </c>
      <c r="DN579" s="59">
        <f>($AW579-$AW580)*100</f>
        <v/>
      </c>
      <c r="DO579" s="59">
        <f>($AX579-$AX580)*100</f>
        <v/>
      </c>
      <c r="DP579" s="59">
        <f>($AY579-$AY580)*100</f>
        <v/>
      </c>
      <c r="DQ579" s="59">
        <f>($AZ579-$AZ580)*100</f>
        <v/>
      </c>
      <c r="DR579" s="59">
        <f>($BA579-$BA580)*100</f>
        <v/>
      </c>
      <c r="DS579" s="58">
        <f>IFERROR($N580/$N579-1,"")</f>
        <v/>
      </c>
      <c r="DT579" s="58">
        <f>IFERROR($O580/$O579-1,"")</f>
        <v/>
      </c>
      <c r="DU579" s="58">
        <f>IFERROR($P580/$P579-1,"")</f>
        <v/>
      </c>
      <c r="DV579" s="58">
        <f>IFERROR($Q580/$Q579-1,"")</f>
        <v/>
      </c>
      <c r="DW579" s="58">
        <f>IFERROR($R580/$R579-1,"")</f>
        <v/>
      </c>
      <c r="DX579" s="58">
        <f>IFERROR($S580/$S579-1,"")</f>
        <v/>
      </c>
      <c r="DY579" s="58">
        <f>IFERROR($T580/$T579-1,"")</f>
        <v/>
      </c>
      <c r="DZ579" s="58">
        <f>IFERROR($U580/$U579-1,"")</f>
        <v/>
      </c>
      <c r="EA579" s="58">
        <f>IFERROR($V580/$V579-1,"")</f>
        <v/>
      </c>
      <c r="EB579" s="58">
        <f>IFERROR($W580/$W579-1,"")</f>
        <v/>
      </c>
      <c r="EC579" s="58">
        <f>IFERROR($X580/$X579-1,"")</f>
        <v/>
      </c>
      <c r="ED579" s="58">
        <f>IFERROR($Y580/$Y579-1,"")</f>
        <v/>
      </c>
      <c r="EE579" s="58">
        <f>IFERROR($Z580/$Z579-1,"")</f>
        <v/>
      </c>
      <c r="EF579" s="58">
        <f>IFERROR($AA580/$AA579-1,"")</f>
        <v/>
      </c>
      <c r="EG579" s="58">
        <f>IFERROR($AB580/$AB579-1,"")</f>
        <v/>
      </c>
      <c r="EH579" s="58">
        <f>IFERROR($AC580/$AC579-1,"")</f>
        <v/>
      </c>
      <c r="EI579" s="58">
        <f>IFERROR($AD580/$AD579-1,"")</f>
        <v/>
      </c>
      <c r="EJ579" s="58">
        <f>IFERROR($AE580/$AE579-1,"")</f>
        <v/>
      </c>
      <c r="EK579" s="58">
        <f>IFERROR($AF580/$AF579-1,"")</f>
        <v/>
      </c>
      <c r="EL579" s="58">
        <f>IFERROR($AG580/$AG579-1,"")</f>
        <v/>
      </c>
      <c r="EM579" s="58">
        <f>IFERROR($BB579/$BB580-1,"")</f>
        <v/>
      </c>
      <c r="EN579" s="58">
        <f>IFERROR($BC579/$BC580-1,"")</f>
        <v/>
      </c>
      <c r="EO579" s="58">
        <f>IFERROR($BD579/$BD580-1,"")</f>
        <v/>
      </c>
      <c r="EP579" s="58">
        <f>IFERROR($BE579/$BE580-1,"")</f>
        <v/>
      </c>
      <c r="EQ579" s="58">
        <f>IFERROR($BF579/$BF580-1,"")</f>
        <v/>
      </c>
      <c r="ER579" s="58">
        <f>IFERROR($BG579/$BG580-1,"")</f>
        <v/>
      </c>
      <c r="ES579" s="58">
        <f>IFERROR($BH579/$BH580-1,"")</f>
        <v/>
      </c>
      <c r="ET579" s="58">
        <f>IFERROR($BI579/$BI580-1,"")</f>
        <v/>
      </c>
      <c r="EU579" s="58">
        <f>IFERROR($BJ579/$BJ580-1,"")</f>
        <v/>
      </c>
      <c r="EV579" s="58">
        <f>IFERROR($BK579/$BK580-1,"")</f>
        <v/>
      </c>
      <c r="EW579" s="58">
        <f>IFERROR($BL579/$BL580-1,"")</f>
        <v/>
      </c>
      <c r="EX579" s="58">
        <f>IFERROR($BM579/$BM580-1,"")</f>
        <v/>
      </c>
      <c r="EY579" s="58">
        <f>IFERROR($BN579/$BN580-1,"")</f>
        <v/>
      </c>
      <c r="EZ579" s="58">
        <f>IFERROR($BO579/$BO580-1,"")</f>
        <v/>
      </c>
      <c r="FA579" s="58">
        <f>IFERROR($BP579/$BP580-1,"")</f>
        <v/>
      </c>
      <c r="FB579" s="58">
        <f>IFERROR($BQ579/$BQ580-1,"")</f>
        <v/>
      </c>
      <c r="FC579" s="58">
        <f>IFERROR($BR579/$BR580-1,"")</f>
        <v/>
      </c>
      <c r="FD579" s="58">
        <f>IFERROR($BS579/$BS580-1,"")</f>
        <v/>
      </c>
      <c r="FE579" s="58">
        <f>IFERROR($BT579/$BT580-1,"")</f>
        <v/>
      </c>
      <c r="FF579" s="58">
        <f>IFERROR($BU579/$BU580-1,"")</f>
        <v/>
      </c>
      <c r="FG579" s="58">
        <f>IFERROR($BV579/$BV580-1,"")</f>
        <v/>
      </c>
      <c r="FH579" s="58">
        <f>IFERROR($BW579/$BW580-1,"")</f>
        <v/>
      </c>
      <c r="FI579" s="58">
        <f>IFERROR($BX579/$BX580-1,"")</f>
        <v/>
      </c>
      <c r="FJ579" s="59">
        <f>$BY579-$BY580</f>
        <v/>
      </c>
      <c r="FK579" s="59">
        <f>$BZ579-$BZ580</f>
        <v/>
      </c>
      <c r="FL579" s="59">
        <f>$CA579-$CA580</f>
        <v/>
      </c>
      <c r="FM579" s="59">
        <f>$CB579-$CB580</f>
        <v/>
      </c>
      <c r="FN579" s="59">
        <f>$CC579-$CC580</f>
        <v/>
      </c>
      <c r="FO579" s="59">
        <f>$CD579-$CD580</f>
        <v/>
      </c>
      <c r="FP579" s="59">
        <f>$CE579-$CE580</f>
        <v/>
      </c>
      <c r="FQ579" s="59">
        <f>$CF579-$CF580</f>
        <v/>
      </c>
      <c r="FR579" s="59">
        <f>$CG579-$CG580</f>
        <v/>
      </c>
      <c r="FS579" s="59">
        <f>$CH579-$CH580</f>
        <v/>
      </c>
      <c r="FT579" s="59">
        <f>$CI579-$CI580</f>
        <v/>
      </c>
      <c r="FU579" s="59">
        <f>$CJ579-$CJ580</f>
        <v/>
      </c>
      <c r="FV579" s="59">
        <f>$CK579-$CK580</f>
        <v/>
      </c>
      <c r="FW579" s="59">
        <f>$CL579-$CL580</f>
        <v/>
      </c>
      <c r="FX579" s="59">
        <f>$CM579-$CM580</f>
        <v/>
      </c>
      <c r="FY579" s="59">
        <f>$CN579-$CN580</f>
        <v/>
      </c>
      <c r="FZ579" s="59">
        <f>$CO579-$CO580</f>
        <v/>
      </c>
      <c r="GA579" s="59">
        <f>$CP579-$CP580</f>
        <v/>
      </c>
      <c r="GB579" s="59">
        <f>$CQ579-$CQ580</f>
        <v/>
      </c>
      <c r="GC579" s="59">
        <f>$CR579-$CR580</f>
        <v/>
      </c>
      <c r="GD579" s="59">
        <f>$CS579-$CS580</f>
        <v/>
      </c>
      <c r="GE579" s="59">
        <f>$CT579-$CT580</f>
        <v/>
      </c>
    </row>
    <row r="580">
      <c r="CU580" s="58">
        <f>IFERROR($B580/$B581-1,"")</f>
        <v/>
      </c>
      <c r="CV580" s="59">
        <f>($F580-$F581)*100</f>
        <v/>
      </c>
      <c r="CW580" s="59">
        <f>($E580-$E581)*100</f>
        <v/>
      </c>
      <c r="CX580" s="58">
        <f>IFERROR($K580/$K581-1,"")</f>
        <v/>
      </c>
      <c r="CY580" s="59">
        <f>($AH580-$AH581)*100</f>
        <v/>
      </c>
      <c r="CZ580" s="59">
        <f>($AI580-$AI581)*100</f>
        <v/>
      </c>
      <c r="DA580" s="59">
        <f>($AJ580-$AJ581)*100</f>
        <v/>
      </c>
      <c r="DB580" s="59">
        <f>($AK580-$AK581)*100</f>
        <v/>
      </c>
      <c r="DC580" s="59">
        <f>($AL580-$AL581)*100</f>
        <v/>
      </c>
      <c r="DD580" s="59">
        <f>($AM580-$AM581)*100</f>
        <v/>
      </c>
      <c r="DE580" s="59">
        <f>($AN580-$AN581)*100</f>
        <v/>
      </c>
      <c r="DF580" s="59">
        <f>($AO580-$AO581)*100</f>
        <v/>
      </c>
      <c r="DG580" s="59">
        <f>($AP580-$AP581)*100</f>
        <v/>
      </c>
      <c r="DH580" s="59">
        <f>($AQ580-$AQ581)*100</f>
        <v/>
      </c>
      <c r="DI580" s="59">
        <f>($AR580-$AR581)*100</f>
        <v/>
      </c>
      <c r="DJ580" s="59">
        <f>($AS580-$AS581)*100</f>
        <v/>
      </c>
      <c r="DK580" s="59">
        <f>($AT580-$AT581)*100</f>
        <v/>
      </c>
      <c r="DL580" s="59">
        <f>($AU580-$AU581)*100</f>
        <v/>
      </c>
      <c r="DM580" s="59">
        <f>($AV580-$AV581)*100</f>
        <v/>
      </c>
      <c r="DN580" s="59">
        <f>($AW580-$AW581)*100</f>
        <v/>
      </c>
      <c r="DO580" s="59">
        <f>($AX580-$AX581)*100</f>
        <v/>
      </c>
      <c r="DP580" s="59">
        <f>($AY580-$AY581)*100</f>
        <v/>
      </c>
      <c r="DQ580" s="59">
        <f>($AZ580-$AZ581)*100</f>
        <v/>
      </c>
      <c r="DR580" s="59">
        <f>($BA580-$BA581)*100</f>
        <v/>
      </c>
      <c r="DS580" s="58">
        <f>IFERROR($N581/$N580-1,"")</f>
        <v/>
      </c>
      <c r="DT580" s="58">
        <f>IFERROR($O581/$O580-1,"")</f>
        <v/>
      </c>
      <c r="DU580" s="58">
        <f>IFERROR($P581/$P580-1,"")</f>
        <v/>
      </c>
      <c r="DV580" s="58">
        <f>IFERROR($Q581/$Q580-1,"")</f>
        <v/>
      </c>
      <c r="DW580" s="58">
        <f>IFERROR($R581/$R580-1,"")</f>
        <v/>
      </c>
      <c r="DX580" s="58">
        <f>IFERROR($S581/$S580-1,"")</f>
        <v/>
      </c>
      <c r="DY580" s="58">
        <f>IFERROR($T581/$T580-1,"")</f>
        <v/>
      </c>
      <c r="DZ580" s="58">
        <f>IFERROR($U581/$U580-1,"")</f>
        <v/>
      </c>
      <c r="EA580" s="58">
        <f>IFERROR($V581/$V580-1,"")</f>
        <v/>
      </c>
      <c r="EB580" s="58">
        <f>IFERROR($W581/$W580-1,"")</f>
        <v/>
      </c>
      <c r="EC580" s="58">
        <f>IFERROR($X581/$X580-1,"")</f>
        <v/>
      </c>
      <c r="ED580" s="58">
        <f>IFERROR($Y581/$Y580-1,"")</f>
        <v/>
      </c>
      <c r="EE580" s="58">
        <f>IFERROR($Z581/$Z580-1,"")</f>
        <v/>
      </c>
      <c r="EF580" s="58">
        <f>IFERROR($AA581/$AA580-1,"")</f>
        <v/>
      </c>
      <c r="EG580" s="58">
        <f>IFERROR($AB581/$AB580-1,"")</f>
        <v/>
      </c>
      <c r="EH580" s="58">
        <f>IFERROR($AC581/$AC580-1,"")</f>
        <v/>
      </c>
      <c r="EI580" s="58">
        <f>IFERROR($AD581/$AD580-1,"")</f>
        <v/>
      </c>
      <c r="EJ580" s="58">
        <f>IFERROR($AE581/$AE580-1,"")</f>
        <v/>
      </c>
      <c r="EK580" s="58">
        <f>IFERROR($AF581/$AF580-1,"")</f>
        <v/>
      </c>
      <c r="EL580" s="58">
        <f>IFERROR($AG581/$AG580-1,"")</f>
        <v/>
      </c>
      <c r="EM580" s="58">
        <f>IFERROR($BB580/$BB581-1,"")</f>
        <v/>
      </c>
      <c r="EN580" s="58">
        <f>IFERROR($BC580/$BC581-1,"")</f>
        <v/>
      </c>
      <c r="EO580" s="58">
        <f>IFERROR($BD580/$BD581-1,"")</f>
        <v/>
      </c>
      <c r="EP580" s="58">
        <f>IFERROR($BE580/$BE581-1,"")</f>
        <v/>
      </c>
      <c r="EQ580" s="58">
        <f>IFERROR($BF580/$BF581-1,"")</f>
        <v/>
      </c>
      <c r="ER580" s="58">
        <f>IFERROR($BG580/$BG581-1,"")</f>
        <v/>
      </c>
      <c r="ES580" s="58">
        <f>IFERROR($BH580/$BH581-1,"")</f>
        <v/>
      </c>
      <c r="ET580" s="58">
        <f>IFERROR($BI580/$BI581-1,"")</f>
        <v/>
      </c>
      <c r="EU580" s="58">
        <f>IFERROR($BJ580/$BJ581-1,"")</f>
        <v/>
      </c>
      <c r="EV580" s="58">
        <f>IFERROR($BK580/$BK581-1,"")</f>
        <v/>
      </c>
      <c r="EW580" s="58">
        <f>IFERROR($BL580/$BL581-1,"")</f>
        <v/>
      </c>
      <c r="EX580" s="58">
        <f>IFERROR($BM580/$BM581-1,"")</f>
        <v/>
      </c>
      <c r="EY580" s="58">
        <f>IFERROR($BN580/$BN581-1,"")</f>
        <v/>
      </c>
      <c r="EZ580" s="58">
        <f>IFERROR($BO580/$BO581-1,"")</f>
        <v/>
      </c>
      <c r="FA580" s="58">
        <f>IFERROR($BP580/$BP581-1,"")</f>
        <v/>
      </c>
      <c r="FB580" s="58">
        <f>IFERROR($BQ580/$BQ581-1,"")</f>
        <v/>
      </c>
      <c r="FC580" s="58">
        <f>IFERROR($BR580/$BR581-1,"")</f>
        <v/>
      </c>
      <c r="FD580" s="58">
        <f>IFERROR($BS580/$BS581-1,"")</f>
        <v/>
      </c>
      <c r="FE580" s="58">
        <f>IFERROR($BT580/$BT581-1,"")</f>
        <v/>
      </c>
      <c r="FF580" s="58">
        <f>IFERROR($BU580/$BU581-1,"")</f>
        <v/>
      </c>
      <c r="FG580" s="58">
        <f>IFERROR($BV580/$BV581-1,"")</f>
        <v/>
      </c>
      <c r="FH580" s="58">
        <f>IFERROR($BW580/$BW581-1,"")</f>
        <v/>
      </c>
      <c r="FI580" s="58">
        <f>IFERROR($BX580/$BX581-1,"")</f>
        <v/>
      </c>
      <c r="FJ580" s="59">
        <f>$BY580-$BY581</f>
        <v/>
      </c>
      <c r="FK580" s="59">
        <f>$BZ580-$BZ581</f>
        <v/>
      </c>
      <c r="FL580" s="59">
        <f>$CA580-$CA581</f>
        <v/>
      </c>
      <c r="FM580" s="59">
        <f>$CB580-$CB581</f>
        <v/>
      </c>
      <c r="FN580" s="59">
        <f>$CC580-$CC581</f>
        <v/>
      </c>
      <c r="FO580" s="59">
        <f>$CD580-$CD581</f>
        <v/>
      </c>
      <c r="FP580" s="59">
        <f>$CE580-$CE581</f>
        <v/>
      </c>
      <c r="FQ580" s="59">
        <f>$CF580-$CF581</f>
        <v/>
      </c>
      <c r="FR580" s="59">
        <f>$CG580-$CG581</f>
        <v/>
      </c>
      <c r="FS580" s="59">
        <f>$CH580-$CH581</f>
        <v/>
      </c>
      <c r="FT580" s="59">
        <f>$CI580-$CI581</f>
        <v/>
      </c>
      <c r="FU580" s="59">
        <f>$CJ580-$CJ581</f>
        <v/>
      </c>
      <c r="FV580" s="59">
        <f>$CK580-$CK581</f>
        <v/>
      </c>
      <c r="FW580" s="59">
        <f>$CL580-$CL581</f>
        <v/>
      </c>
      <c r="FX580" s="59">
        <f>$CM580-$CM581</f>
        <v/>
      </c>
      <c r="FY580" s="59">
        <f>$CN580-$CN581</f>
        <v/>
      </c>
      <c r="FZ580" s="59">
        <f>$CO580-$CO581</f>
        <v/>
      </c>
      <c r="GA580" s="59">
        <f>$CP580-$CP581</f>
        <v/>
      </c>
      <c r="GB580" s="59">
        <f>$CQ580-$CQ581</f>
        <v/>
      </c>
      <c r="GC580" s="59">
        <f>$CR580-$CR581</f>
        <v/>
      </c>
      <c r="GD580" s="59">
        <f>$CS580-$CS581</f>
        <v/>
      </c>
      <c r="GE580" s="59">
        <f>$CT580-$CT581</f>
        <v/>
      </c>
    </row>
    <row r="581">
      <c r="CU581" s="58">
        <f>IFERROR($B581/$B582-1,"")</f>
        <v/>
      </c>
      <c r="CV581" s="59">
        <f>($F581-$F582)*100</f>
        <v/>
      </c>
      <c r="CW581" s="59">
        <f>($E581-$E582)*100</f>
        <v/>
      </c>
      <c r="CX581" s="58">
        <f>IFERROR($K581/$K582-1,"")</f>
        <v/>
      </c>
      <c r="CY581" s="59">
        <f>($AH581-$AH582)*100</f>
        <v/>
      </c>
      <c r="CZ581" s="59">
        <f>($AI581-$AI582)*100</f>
        <v/>
      </c>
      <c r="DA581" s="59">
        <f>($AJ581-$AJ582)*100</f>
        <v/>
      </c>
      <c r="DB581" s="59">
        <f>($AK581-$AK582)*100</f>
        <v/>
      </c>
      <c r="DC581" s="59">
        <f>($AL581-$AL582)*100</f>
        <v/>
      </c>
      <c r="DD581" s="59">
        <f>($AM581-$AM582)*100</f>
        <v/>
      </c>
      <c r="DE581" s="59">
        <f>($AN581-$AN582)*100</f>
        <v/>
      </c>
      <c r="DF581" s="59">
        <f>($AO581-$AO582)*100</f>
        <v/>
      </c>
      <c r="DG581" s="59">
        <f>($AP581-$AP582)*100</f>
        <v/>
      </c>
      <c r="DH581" s="59">
        <f>($AQ581-$AQ582)*100</f>
        <v/>
      </c>
      <c r="DI581" s="59">
        <f>($AR581-$AR582)*100</f>
        <v/>
      </c>
      <c r="DJ581" s="59">
        <f>($AS581-$AS582)*100</f>
        <v/>
      </c>
      <c r="DK581" s="59">
        <f>($AT581-$AT582)*100</f>
        <v/>
      </c>
      <c r="DL581" s="59">
        <f>($AU581-$AU582)*100</f>
        <v/>
      </c>
      <c r="DM581" s="59">
        <f>($AV581-$AV582)*100</f>
        <v/>
      </c>
      <c r="DN581" s="59">
        <f>($AW581-$AW582)*100</f>
        <v/>
      </c>
      <c r="DO581" s="59">
        <f>($AX581-$AX582)*100</f>
        <v/>
      </c>
      <c r="DP581" s="59">
        <f>($AY581-$AY582)*100</f>
        <v/>
      </c>
      <c r="DQ581" s="59">
        <f>($AZ581-$AZ582)*100</f>
        <v/>
      </c>
      <c r="DR581" s="59">
        <f>($BA581-$BA582)*100</f>
        <v/>
      </c>
      <c r="DS581" s="58">
        <f>IFERROR($N582/$N581-1,"")</f>
        <v/>
      </c>
      <c r="DT581" s="58">
        <f>IFERROR($O582/$O581-1,"")</f>
        <v/>
      </c>
      <c r="DU581" s="58">
        <f>IFERROR($P582/$P581-1,"")</f>
        <v/>
      </c>
      <c r="DV581" s="58">
        <f>IFERROR($Q582/$Q581-1,"")</f>
        <v/>
      </c>
      <c r="DW581" s="58">
        <f>IFERROR($R582/$R581-1,"")</f>
        <v/>
      </c>
      <c r="DX581" s="58">
        <f>IFERROR($S582/$S581-1,"")</f>
        <v/>
      </c>
      <c r="DY581" s="58">
        <f>IFERROR($T582/$T581-1,"")</f>
        <v/>
      </c>
      <c r="DZ581" s="58">
        <f>IFERROR($U582/$U581-1,"")</f>
        <v/>
      </c>
      <c r="EA581" s="58">
        <f>IFERROR($V582/$V581-1,"")</f>
        <v/>
      </c>
      <c r="EB581" s="58">
        <f>IFERROR($W582/$W581-1,"")</f>
        <v/>
      </c>
      <c r="EC581" s="58">
        <f>IFERROR($X582/$X581-1,"")</f>
        <v/>
      </c>
      <c r="ED581" s="58">
        <f>IFERROR($Y582/$Y581-1,"")</f>
        <v/>
      </c>
      <c r="EE581" s="58">
        <f>IFERROR($Z582/$Z581-1,"")</f>
        <v/>
      </c>
      <c r="EF581" s="58">
        <f>IFERROR($AA582/$AA581-1,"")</f>
        <v/>
      </c>
      <c r="EG581" s="58">
        <f>IFERROR($AB582/$AB581-1,"")</f>
        <v/>
      </c>
      <c r="EH581" s="58">
        <f>IFERROR($AC582/$AC581-1,"")</f>
        <v/>
      </c>
      <c r="EI581" s="58">
        <f>IFERROR($AD582/$AD581-1,"")</f>
        <v/>
      </c>
      <c r="EJ581" s="58">
        <f>IFERROR($AE582/$AE581-1,"")</f>
        <v/>
      </c>
      <c r="EK581" s="58">
        <f>IFERROR($AF582/$AF581-1,"")</f>
        <v/>
      </c>
      <c r="EL581" s="58">
        <f>IFERROR($AG582/$AG581-1,"")</f>
        <v/>
      </c>
      <c r="EM581" s="58">
        <f>IFERROR($BB581/$BB582-1,"")</f>
        <v/>
      </c>
      <c r="EN581" s="58">
        <f>IFERROR($BC581/$BC582-1,"")</f>
        <v/>
      </c>
      <c r="EO581" s="58">
        <f>IFERROR($BD581/$BD582-1,"")</f>
        <v/>
      </c>
      <c r="EP581" s="58">
        <f>IFERROR($BE581/$BE582-1,"")</f>
        <v/>
      </c>
      <c r="EQ581" s="58">
        <f>IFERROR($BF581/$BF582-1,"")</f>
        <v/>
      </c>
      <c r="ER581" s="58">
        <f>IFERROR($BG581/$BG582-1,"")</f>
        <v/>
      </c>
      <c r="ES581" s="58">
        <f>IFERROR($BH581/$BH582-1,"")</f>
        <v/>
      </c>
      <c r="ET581" s="58">
        <f>IFERROR($BI581/$BI582-1,"")</f>
        <v/>
      </c>
      <c r="EU581" s="58">
        <f>IFERROR($BJ581/$BJ582-1,"")</f>
        <v/>
      </c>
      <c r="EV581" s="58">
        <f>IFERROR($BK581/$BK582-1,"")</f>
        <v/>
      </c>
      <c r="EW581" s="58">
        <f>IFERROR($BL581/$BL582-1,"")</f>
        <v/>
      </c>
      <c r="EX581" s="58">
        <f>IFERROR($BM581/$BM582-1,"")</f>
        <v/>
      </c>
      <c r="EY581" s="58">
        <f>IFERROR($BN581/$BN582-1,"")</f>
        <v/>
      </c>
      <c r="EZ581" s="58">
        <f>IFERROR($BO581/$BO582-1,"")</f>
        <v/>
      </c>
      <c r="FA581" s="58">
        <f>IFERROR($BP581/$BP582-1,"")</f>
        <v/>
      </c>
      <c r="FB581" s="58">
        <f>IFERROR($BQ581/$BQ582-1,"")</f>
        <v/>
      </c>
      <c r="FC581" s="58">
        <f>IFERROR($BR581/$BR582-1,"")</f>
        <v/>
      </c>
      <c r="FD581" s="58">
        <f>IFERROR($BS581/$BS582-1,"")</f>
        <v/>
      </c>
      <c r="FE581" s="58">
        <f>IFERROR($BT581/$BT582-1,"")</f>
        <v/>
      </c>
      <c r="FF581" s="58">
        <f>IFERROR($BU581/$BU582-1,"")</f>
        <v/>
      </c>
      <c r="FG581" s="58">
        <f>IFERROR($BV581/$BV582-1,"")</f>
        <v/>
      </c>
      <c r="FH581" s="58">
        <f>IFERROR($BW581/$BW582-1,"")</f>
        <v/>
      </c>
      <c r="FI581" s="58">
        <f>IFERROR($BX581/$BX582-1,"")</f>
        <v/>
      </c>
      <c r="FJ581" s="59">
        <f>$BY581-$BY582</f>
        <v/>
      </c>
      <c r="FK581" s="59">
        <f>$BZ581-$BZ582</f>
        <v/>
      </c>
      <c r="FL581" s="59">
        <f>$CA581-$CA582</f>
        <v/>
      </c>
      <c r="FM581" s="59">
        <f>$CB581-$CB582</f>
        <v/>
      </c>
      <c r="FN581" s="59">
        <f>$CC581-$CC582</f>
        <v/>
      </c>
      <c r="FO581" s="59">
        <f>$CD581-$CD582</f>
        <v/>
      </c>
      <c r="FP581" s="59">
        <f>$CE581-$CE582</f>
        <v/>
      </c>
      <c r="FQ581" s="59">
        <f>$CF581-$CF582</f>
        <v/>
      </c>
      <c r="FR581" s="59">
        <f>$CG581-$CG582</f>
        <v/>
      </c>
      <c r="FS581" s="59">
        <f>$CH581-$CH582</f>
        <v/>
      </c>
      <c r="FT581" s="59">
        <f>$CI581-$CI582</f>
        <v/>
      </c>
      <c r="FU581" s="59">
        <f>$CJ581-$CJ582</f>
        <v/>
      </c>
      <c r="FV581" s="59">
        <f>$CK581-$CK582</f>
        <v/>
      </c>
      <c r="FW581" s="59">
        <f>$CL581-$CL582</f>
        <v/>
      </c>
      <c r="FX581" s="59">
        <f>$CM581-$CM582</f>
        <v/>
      </c>
      <c r="FY581" s="59">
        <f>$CN581-$CN582</f>
        <v/>
      </c>
      <c r="FZ581" s="59">
        <f>$CO581-$CO582</f>
        <v/>
      </c>
      <c r="GA581" s="59">
        <f>$CP581-$CP582</f>
        <v/>
      </c>
      <c r="GB581" s="59">
        <f>$CQ581-$CQ582</f>
        <v/>
      </c>
      <c r="GC581" s="59">
        <f>$CR581-$CR582</f>
        <v/>
      </c>
      <c r="GD581" s="59">
        <f>$CS581-$CS582</f>
        <v/>
      </c>
      <c r="GE581" s="59">
        <f>$CT581-$CT582</f>
        <v/>
      </c>
    </row>
    <row r="582">
      <c r="CU582" s="58">
        <f>IFERROR($B582/$B583-1,"")</f>
        <v/>
      </c>
      <c r="CV582" s="59">
        <f>($F582-$F583)*100</f>
        <v/>
      </c>
      <c r="CW582" s="59">
        <f>($E582-$E583)*100</f>
        <v/>
      </c>
      <c r="CX582" s="58">
        <f>IFERROR($K582/$K583-1,"")</f>
        <v/>
      </c>
      <c r="CY582" s="59">
        <f>($AH582-$AH583)*100</f>
        <v/>
      </c>
      <c r="CZ582" s="59">
        <f>($AI582-$AI583)*100</f>
        <v/>
      </c>
      <c r="DA582" s="59">
        <f>($AJ582-$AJ583)*100</f>
        <v/>
      </c>
      <c r="DB582" s="59">
        <f>($AK582-$AK583)*100</f>
        <v/>
      </c>
      <c r="DC582" s="59">
        <f>($AL582-$AL583)*100</f>
        <v/>
      </c>
      <c r="DD582" s="59">
        <f>($AM582-$AM583)*100</f>
        <v/>
      </c>
      <c r="DE582" s="59">
        <f>($AN582-$AN583)*100</f>
        <v/>
      </c>
      <c r="DF582" s="59">
        <f>($AO582-$AO583)*100</f>
        <v/>
      </c>
      <c r="DG582" s="59">
        <f>($AP582-$AP583)*100</f>
        <v/>
      </c>
      <c r="DH582" s="59">
        <f>($AQ582-$AQ583)*100</f>
        <v/>
      </c>
      <c r="DI582" s="59">
        <f>($AR582-$AR583)*100</f>
        <v/>
      </c>
      <c r="DJ582" s="59">
        <f>($AS582-$AS583)*100</f>
        <v/>
      </c>
      <c r="DK582" s="59">
        <f>($AT582-$AT583)*100</f>
        <v/>
      </c>
      <c r="DL582" s="59">
        <f>($AU582-$AU583)*100</f>
        <v/>
      </c>
      <c r="DM582" s="59">
        <f>($AV582-$AV583)*100</f>
        <v/>
      </c>
      <c r="DN582" s="59">
        <f>($AW582-$AW583)*100</f>
        <v/>
      </c>
      <c r="DO582" s="59">
        <f>($AX582-$AX583)*100</f>
        <v/>
      </c>
      <c r="DP582" s="59">
        <f>($AY582-$AY583)*100</f>
        <v/>
      </c>
      <c r="DQ582" s="59">
        <f>($AZ582-$AZ583)*100</f>
        <v/>
      </c>
      <c r="DR582" s="59">
        <f>($BA582-$BA583)*100</f>
        <v/>
      </c>
      <c r="DS582" s="58">
        <f>IFERROR($N583/$N582-1,"")</f>
        <v/>
      </c>
      <c r="DT582" s="58">
        <f>IFERROR($O583/$O582-1,"")</f>
        <v/>
      </c>
      <c r="DU582" s="58">
        <f>IFERROR($P583/$P582-1,"")</f>
        <v/>
      </c>
      <c r="DV582" s="58">
        <f>IFERROR($Q583/$Q582-1,"")</f>
        <v/>
      </c>
      <c r="DW582" s="58">
        <f>IFERROR($R583/$R582-1,"")</f>
        <v/>
      </c>
      <c r="DX582" s="58">
        <f>IFERROR($S583/$S582-1,"")</f>
        <v/>
      </c>
      <c r="DY582" s="58">
        <f>IFERROR($T583/$T582-1,"")</f>
        <v/>
      </c>
      <c r="DZ582" s="58">
        <f>IFERROR($U583/$U582-1,"")</f>
        <v/>
      </c>
      <c r="EA582" s="58">
        <f>IFERROR($V583/$V582-1,"")</f>
        <v/>
      </c>
      <c r="EB582" s="58">
        <f>IFERROR($W583/$W582-1,"")</f>
        <v/>
      </c>
      <c r="EC582" s="58">
        <f>IFERROR($X583/$X582-1,"")</f>
        <v/>
      </c>
      <c r="ED582" s="58">
        <f>IFERROR($Y583/$Y582-1,"")</f>
        <v/>
      </c>
      <c r="EE582" s="58">
        <f>IFERROR($Z583/$Z582-1,"")</f>
        <v/>
      </c>
      <c r="EF582" s="58">
        <f>IFERROR($AA583/$AA582-1,"")</f>
        <v/>
      </c>
      <c r="EG582" s="58">
        <f>IFERROR($AB583/$AB582-1,"")</f>
        <v/>
      </c>
      <c r="EH582" s="58">
        <f>IFERROR($AC583/$AC582-1,"")</f>
        <v/>
      </c>
      <c r="EI582" s="58">
        <f>IFERROR($AD583/$AD582-1,"")</f>
        <v/>
      </c>
      <c r="EJ582" s="58">
        <f>IFERROR($AE583/$AE582-1,"")</f>
        <v/>
      </c>
      <c r="EK582" s="58">
        <f>IFERROR($AF583/$AF582-1,"")</f>
        <v/>
      </c>
      <c r="EL582" s="58">
        <f>IFERROR($AG583/$AG582-1,"")</f>
        <v/>
      </c>
      <c r="EM582" s="58">
        <f>IFERROR($BB582/$BB583-1,"")</f>
        <v/>
      </c>
      <c r="EN582" s="58">
        <f>IFERROR($BC582/$BC583-1,"")</f>
        <v/>
      </c>
      <c r="EO582" s="58">
        <f>IFERROR($BD582/$BD583-1,"")</f>
        <v/>
      </c>
      <c r="EP582" s="58">
        <f>IFERROR($BE582/$BE583-1,"")</f>
        <v/>
      </c>
      <c r="EQ582" s="58">
        <f>IFERROR($BF582/$BF583-1,"")</f>
        <v/>
      </c>
      <c r="ER582" s="58">
        <f>IFERROR($BG582/$BG583-1,"")</f>
        <v/>
      </c>
      <c r="ES582" s="58">
        <f>IFERROR($BH582/$BH583-1,"")</f>
        <v/>
      </c>
      <c r="ET582" s="58">
        <f>IFERROR($BI582/$BI583-1,"")</f>
        <v/>
      </c>
      <c r="EU582" s="58">
        <f>IFERROR($BJ582/$BJ583-1,"")</f>
        <v/>
      </c>
      <c r="EV582" s="58">
        <f>IFERROR($BK582/$BK583-1,"")</f>
        <v/>
      </c>
      <c r="EW582" s="58">
        <f>IFERROR($BL582/$BL583-1,"")</f>
        <v/>
      </c>
      <c r="EX582" s="58">
        <f>IFERROR($BM582/$BM583-1,"")</f>
        <v/>
      </c>
      <c r="EY582" s="58">
        <f>IFERROR($BN582/$BN583-1,"")</f>
        <v/>
      </c>
      <c r="EZ582" s="58">
        <f>IFERROR($BO582/$BO583-1,"")</f>
        <v/>
      </c>
      <c r="FA582" s="58">
        <f>IFERROR($BP582/$BP583-1,"")</f>
        <v/>
      </c>
      <c r="FB582" s="58">
        <f>IFERROR($BQ582/$BQ583-1,"")</f>
        <v/>
      </c>
      <c r="FC582" s="58">
        <f>IFERROR($BR582/$BR583-1,"")</f>
        <v/>
      </c>
      <c r="FD582" s="58">
        <f>IFERROR($BS582/$BS583-1,"")</f>
        <v/>
      </c>
      <c r="FE582" s="58">
        <f>IFERROR($BT582/$BT583-1,"")</f>
        <v/>
      </c>
      <c r="FF582" s="58">
        <f>IFERROR($BU582/$BU583-1,"")</f>
        <v/>
      </c>
      <c r="FG582" s="58">
        <f>IFERROR($BV582/$BV583-1,"")</f>
        <v/>
      </c>
      <c r="FH582" s="58">
        <f>IFERROR($BW582/$BW583-1,"")</f>
        <v/>
      </c>
      <c r="FI582" s="58">
        <f>IFERROR($BX582/$BX583-1,"")</f>
        <v/>
      </c>
      <c r="FJ582" s="59">
        <f>$BY582-$BY583</f>
        <v/>
      </c>
      <c r="FK582" s="59">
        <f>$BZ582-$BZ583</f>
        <v/>
      </c>
      <c r="FL582" s="59">
        <f>$CA582-$CA583</f>
        <v/>
      </c>
      <c r="FM582" s="59">
        <f>$CB582-$CB583</f>
        <v/>
      </c>
      <c r="FN582" s="59">
        <f>$CC582-$CC583</f>
        <v/>
      </c>
      <c r="FO582" s="59">
        <f>$CD582-$CD583</f>
        <v/>
      </c>
      <c r="FP582" s="59">
        <f>$CE582-$CE583</f>
        <v/>
      </c>
      <c r="FQ582" s="59">
        <f>$CF582-$CF583</f>
        <v/>
      </c>
      <c r="FR582" s="59">
        <f>$CG582-$CG583</f>
        <v/>
      </c>
      <c r="FS582" s="59">
        <f>$CH582-$CH583</f>
        <v/>
      </c>
      <c r="FT582" s="59">
        <f>$CI582-$CI583</f>
        <v/>
      </c>
      <c r="FU582" s="59">
        <f>$CJ582-$CJ583</f>
        <v/>
      </c>
      <c r="FV582" s="59">
        <f>$CK582-$CK583</f>
        <v/>
      </c>
      <c r="FW582" s="59">
        <f>$CL582-$CL583</f>
        <v/>
      </c>
      <c r="FX582" s="59">
        <f>$CM582-$CM583</f>
        <v/>
      </c>
      <c r="FY582" s="59">
        <f>$CN582-$CN583</f>
        <v/>
      </c>
      <c r="FZ582" s="59">
        <f>$CO582-$CO583</f>
        <v/>
      </c>
      <c r="GA582" s="59">
        <f>$CP582-$CP583</f>
        <v/>
      </c>
      <c r="GB582" s="59">
        <f>$CQ582-$CQ583</f>
        <v/>
      </c>
      <c r="GC582" s="59">
        <f>$CR582-$CR583</f>
        <v/>
      </c>
      <c r="GD582" s="59">
        <f>$CS582-$CS583</f>
        <v/>
      </c>
      <c r="GE582" s="59">
        <f>$CT582-$CT583</f>
        <v/>
      </c>
    </row>
    <row r="583">
      <c r="CU583" s="58">
        <f>IFERROR($B583/$B584-1,"")</f>
        <v/>
      </c>
      <c r="CV583" s="59">
        <f>($F583-$F584)*100</f>
        <v/>
      </c>
      <c r="CW583" s="59">
        <f>($E583-$E584)*100</f>
        <v/>
      </c>
      <c r="CX583" s="58">
        <f>IFERROR($K583/$K584-1,"")</f>
        <v/>
      </c>
      <c r="CY583" s="59">
        <f>($AH583-$AH584)*100</f>
        <v/>
      </c>
      <c r="CZ583" s="59">
        <f>($AI583-$AI584)*100</f>
        <v/>
      </c>
      <c r="DA583" s="59">
        <f>($AJ583-$AJ584)*100</f>
        <v/>
      </c>
      <c r="DB583" s="59">
        <f>($AK583-$AK584)*100</f>
        <v/>
      </c>
      <c r="DC583" s="59">
        <f>($AL583-$AL584)*100</f>
        <v/>
      </c>
      <c r="DD583" s="59">
        <f>($AM583-$AM584)*100</f>
        <v/>
      </c>
      <c r="DE583" s="59">
        <f>($AN583-$AN584)*100</f>
        <v/>
      </c>
      <c r="DF583" s="59">
        <f>($AO583-$AO584)*100</f>
        <v/>
      </c>
      <c r="DG583" s="59">
        <f>($AP583-$AP584)*100</f>
        <v/>
      </c>
      <c r="DH583" s="59">
        <f>($AQ583-$AQ584)*100</f>
        <v/>
      </c>
      <c r="DI583" s="59">
        <f>($AR583-$AR584)*100</f>
        <v/>
      </c>
      <c r="DJ583" s="59">
        <f>($AS583-$AS584)*100</f>
        <v/>
      </c>
      <c r="DK583" s="59">
        <f>($AT583-$AT584)*100</f>
        <v/>
      </c>
      <c r="DL583" s="59">
        <f>($AU583-$AU584)*100</f>
        <v/>
      </c>
      <c r="DM583" s="59">
        <f>($AV583-$AV584)*100</f>
        <v/>
      </c>
      <c r="DN583" s="59">
        <f>($AW583-$AW584)*100</f>
        <v/>
      </c>
      <c r="DO583" s="59">
        <f>($AX583-$AX584)*100</f>
        <v/>
      </c>
      <c r="DP583" s="59">
        <f>($AY583-$AY584)*100</f>
        <v/>
      </c>
      <c r="DQ583" s="59">
        <f>($AZ583-$AZ584)*100</f>
        <v/>
      </c>
      <c r="DR583" s="59">
        <f>($BA583-$BA584)*100</f>
        <v/>
      </c>
      <c r="DS583" s="58">
        <f>IFERROR($N584/$N583-1,"")</f>
        <v/>
      </c>
      <c r="DT583" s="58">
        <f>IFERROR($O584/$O583-1,"")</f>
        <v/>
      </c>
      <c r="DU583" s="58">
        <f>IFERROR($P584/$P583-1,"")</f>
        <v/>
      </c>
      <c r="DV583" s="58">
        <f>IFERROR($Q584/$Q583-1,"")</f>
        <v/>
      </c>
      <c r="DW583" s="58">
        <f>IFERROR($R584/$R583-1,"")</f>
        <v/>
      </c>
      <c r="DX583" s="58">
        <f>IFERROR($S584/$S583-1,"")</f>
        <v/>
      </c>
      <c r="DY583" s="58">
        <f>IFERROR($T584/$T583-1,"")</f>
        <v/>
      </c>
      <c r="DZ583" s="58">
        <f>IFERROR($U584/$U583-1,"")</f>
        <v/>
      </c>
      <c r="EA583" s="58">
        <f>IFERROR($V584/$V583-1,"")</f>
        <v/>
      </c>
      <c r="EB583" s="58">
        <f>IFERROR($W584/$W583-1,"")</f>
        <v/>
      </c>
      <c r="EC583" s="58">
        <f>IFERROR($X584/$X583-1,"")</f>
        <v/>
      </c>
      <c r="ED583" s="58">
        <f>IFERROR($Y584/$Y583-1,"")</f>
        <v/>
      </c>
      <c r="EE583" s="58">
        <f>IFERROR($Z584/$Z583-1,"")</f>
        <v/>
      </c>
      <c r="EF583" s="58">
        <f>IFERROR($AA584/$AA583-1,"")</f>
        <v/>
      </c>
      <c r="EG583" s="58">
        <f>IFERROR($AB584/$AB583-1,"")</f>
        <v/>
      </c>
      <c r="EH583" s="58">
        <f>IFERROR($AC584/$AC583-1,"")</f>
        <v/>
      </c>
      <c r="EI583" s="58">
        <f>IFERROR($AD584/$AD583-1,"")</f>
        <v/>
      </c>
      <c r="EJ583" s="58">
        <f>IFERROR($AE584/$AE583-1,"")</f>
        <v/>
      </c>
      <c r="EK583" s="58">
        <f>IFERROR($AF584/$AF583-1,"")</f>
        <v/>
      </c>
      <c r="EL583" s="58">
        <f>IFERROR($AG584/$AG583-1,"")</f>
        <v/>
      </c>
      <c r="EM583" s="58">
        <f>IFERROR($BB583/$BB584-1,"")</f>
        <v/>
      </c>
      <c r="EN583" s="58">
        <f>IFERROR($BC583/$BC584-1,"")</f>
        <v/>
      </c>
      <c r="EO583" s="58">
        <f>IFERROR($BD583/$BD584-1,"")</f>
        <v/>
      </c>
      <c r="EP583" s="58">
        <f>IFERROR($BE583/$BE584-1,"")</f>
        <v/>
      </c>
      <c r="EQ583" s="58">
        <f>IFERROR($BF583/$BF584-1,"")</f>
        <v/>
      </c>
      <c r="ER583" s="58">
        <f>IFERROR($BG583/$BG584-1,"")</f>
        <v/>
      </c>
      <c r="ES583" s="58">
        <f>IFERROR($BH583/$BH584-1,"")</f>
        <v/>
      </c>
      <c r="ET583" s="58">
        <f>IFERROR($BI583/$BI584-1,"")</f>
        <v/>
      </c>
      <c r="EU583" s="58">
        <f>IFERROR($BJ583/$BJ584-1,"")</f>
        <v/>
      </c>
      <c r="EV583" s="58">
        <f>IFERROR($BK583/$BK584-1,"")</f>
        <v/>
      </c>
      <c r="EW583" s="58">
        <f>IFERROR($BL583/$BL584-1,"")</f>
        <v/>
      </c>
      <c r="EX583" s="58">
        <f>IFERROR($BM583/$BM584-1,"")</f>
        <v/>
      </c>
      <c r="EY583" s="58">
        <f>IFERROR($BN583/$BN584-1,"")</f>
        <v/>
      </c>
      <c r="EZ583" s="58">
        <f>IFERROR($BO583/$BO584-1,"")</f>
        <v/>
      </c>
      <c r="FA583" s="58">
        <f>IFERROR($BP583/$BP584-1,"")</f>
        <v/>
      </c>
      <c r="FB583" s="58">
        <f>IFERROR($BQ583/$BQ584-1,"")</f>
        <v/>
      </c>
      <c r="FC583" s="58">
        <f>IFERROR($BR583/$BR584-1,"")</f>
        <v/>
      </c>
      <c r="FD583" s="58">
        <f>IFERROR($BS583/$BS584-1,"")</f>
        <v/>
      </c>
      <c r="FE583" s="58">
        <f>IFERROR($BT583/$BT584-1,"")</f>
        <v/>
      </c>
      <c r="FF583" s="58">
        <f>IFERROR($BU583/$BU584-1,"")</f>
        <v/>
      </c>
      <c r="FG583" s="58">
        <f>IFERROR($BV583/$BV584-1,"")</f>
        <v/>
      </c>
      <c r="FH583" s="58">
        <f>IFERROR($BW583/$BW584-1,"")</f>
        <v/>
      </c>
      <c r="FI583" s="58">
        <f>IFERROR($BX583/$BX584-1,"")</f>
        <v/>
      </c>
      <c r="FJ583" s="59">
        <f>$BY583-$BY584</f>
        <v/>
      </c>
      <c r="FK583" s="59">
        <f>$BZ583-$BZ584</f>
        <v/>
      </c>
      <c r="FL583" s="59">
        <f>$CA583-$CA584</f>
        <v/>
      </c>
      <c r="FM583" s="59">
        <f>$CB583-$CB584</f>
        <v/>
      </c>
      <c r="FN583" s="59">
        <f>$CC583-$CC584</f>
        <v/>
      </c>
      <c r="FO583" s="59">
        <f>$CD583-$CD584</f>
        <v/>
      </c>
      <c r="FP583" s="59">
        <f>$CE583-$CE584</f>
        <v/>
      </c>
      <c r="FQ583" s="59">
        <f>$CF583-$CF584</f>
        <v/>
      </c>
      <c r="FR583" s="59">
        <f>$CG583-$CG584</f>
        <v/>
      </c>
      <c r="FS583" s="59">
        <f>$CH583-$CH584</f>
        <v/>
      </c>
      <c r="FT583" s="59">
        <f>$CI583-$CI584</f>
        <v/>
      </c>
      <c r="FU583" s="59">
        <f>$CJ583-$CJ584</f>
        <v/>
      </c>
      <c r="FV583" s="59">
        <f>$CK583-$CK584</f>
        <v/>
      </c>
      <c r="FW583" s="59">
        <f>$CL583-$CL584</f>
        <v/>
      </c>
      <c r="FX583" s="59">
        <f>$CM583-$CM584</f>
        <v/>
      </c>
      <c r="FY583" s="59">
        <f>$CN583-$CN584</f>
        <v/>
      </c>
      <c r="FZ583" s="59">
        <f>$CO583-$CO584</f>
        <v/>
      </c>
      <c r="GA583" s="59">
        <f>$CP583-$CP584</f>
        <v/>
      </c>
      <c r="GB583" s="59">
        <f>$CQ583-$CQ584</f>
        <v/>
      </c>
      <c r="GC583" s="59">
        <f>$CR583-$CR584</f>
        <v/>
      </c>
      <c r="GD583" s="59">
        <f>$CS583-$CS584</f>
        <v/>
      </c>
      <c r="GE583" s="59">
        <f>$CT583-$CT584</f>
        <v/>
      </c>
    </row>
    <row r="584">
      <c r="CU584" s="58">
        <f>IFERROR($B584/$B585-1,"")</f>
        <v/>
      </c>
      <c r="CV584" s="59">
        <f>($F584-$F585)*100</f>
        <v/>
      </c>
      <c r="CW584" s="59">
        <f>($E584-$E585)*100</f>
        <v/>
      </c>
      <c r="CX584" s="58">
        <f>IFERROR($K584/$K585-1,"")</f>
        <v/>
      </c>
      <c r="CY584" s="59">
        <f>($AH584-$AH585)*100</f>
        <v/>
      </c>
      <c r="CZ584" s="59">
        <f>($AI584-$AI585)*100</f>
        <v/>
      </c>
      <c r="DA584" s="59">
        <f>($AJ584-$AJ585)*100</f>
        <v/>
      </c>
      <c r="DB584" s="59">
        <f>($AK584-$AK585)*100</f>
        <v/>
      </c>
      <c r="DC584" s="59">
        <f>($AL584-$AL585)*100</f>
        <v/>
      </c>
      <c r="DD584" s="59">
        <f>($AM584-$AM585)*100</f>
        <v/>
      </c>
      <c r="DE584" s="59">
        <f>($AN584-$AN585)*100</f>
        <v/>
      </c>
      <c r="DF584" s="59">
        <f>($AO584-$AO585)*100</f>
        <v/>
      </c>
      <c r="DG584" s="59">
        <f>($AP584-$AP585)*100</f>
        <v/>
      </c>
      <c r="DH584" s="59">
        <f>($AQ584-$AQ585)*100</f>
        <v/>
      </c>
      <c r="DI584" s="59">
        <f>($AR584-$AR585)*100</f>
        <v/>
      </c>
      <c r="DJ584" s="59">
        <f>($AS584-$AS585)*100</f>
        <v/>
      </c>
      <c r="DK584" s="59">
        <f>($AT584-$AT585)*100</f>
        <v/>
      </c>
      <c r="DL584" s="59">
        <f>($AU584-$AU585)*100</f>
        <v/>
      </c>
      <c r="DM584" s="59">
        <f>($AV584-$AV585)*100</f>
        <v/>
      </c>
      <c r="DN584" s="59">
        <f>($AW584-$AW585)*100</f>
        <v/>
      </c>
      <c r="DO584" s="59">
        <f>($AX584-$AX585)*100</f>
        <v/>
      </c>
      <c r="DP584" s="59">
        <f>($AY584-$AY585)*100</f>
        <v/>
      </c>
      <c r="DQ584" s="59">
        <f>($AZ584-$AZ585)*100</f>
        <v/>
      </c>
      <c r="DR584" s="59">
        <f>($BA584-$BA585)*100</f>
        <v/>
      </c>
      <c r="DS584" s="58">
        <f>IFERROR($N585/$N584-1,"")</f>
        <v/>
      </c>
      <c r="DT584" s="58">
        <f>IFERROR($O585/$O584-1,"")</f>
        <v/>
      </c>
      <c r="DU584" s="58">
        <f>IFERROR($P585/$P584-1,"")</f>
        <v/>
      </c>
      <c r="DV584" s="58">
        <f>IFERROR($Q585/$Q584-1,"")</f>
        <v/>
      </c>
      <c r="DW584" s="58">
        <f>IFERROR($R585/$R584-1,"")</f>
        <v/>
      </c>
      <c r="DX584" s="58">
        <f>IFERROR($S585/$S584-1,"")</f>
        <v/>
      </c>
      <c r="DY584" s="58">
        <f>IFERROR($T585/$T584-1,"")</f>
        <v/>
      </c>
      <c r="DZ584" s="58">
        <f>IFERROR($U585/$U584-1,"")</f>
        <v/>
      </c>
      <c r="EA584" s="58">
        <f>IFERROR($V585/$V584-1,"")</f>
        <v/>
      </c>
      <c r="EB584" s="58">
        <f>IFERROR($W585/$W584-1,"")</f>
        <v/>
      </c>
      <c r="EC584" s="58">
        <f>IFERROR($X585/$X584-1,"")</f>
        <v/>
      </c>
      <c r="ED584" s="58">
        <f>IFERROR($Y585/$Y584-1,"")</f>
        <v/>
      </c>
      <c r="EE584" s="58">
        <f>IFERROR($Z585/$Z584-1,"")</f>
        <v/>
      </c>
      <c r="EF584" s="58">
        <f>IFERROR($AA585/$AA584-1,"")</f>
        <v/>
      </c>
      <c r="EG584" s="58">
        <f>IFERROR($AB585/$AB584-1,"")</f>
        <v/>
      </c>
      <c r="EH584" s="58">
        <f>IFERROR($AC585/$AC584-1,"")</f>
        <v/>
      </c>
      <c r="EI584" s="58">
        <f>IFERROR($AD585/$AD584-1,"")</f>
        <v/>
      </c>
      <c r="EJ584" s="58">
        <f>IFERROR($AE585/$AE584-1,"")</f>
        <v/>
      </c>
      <c r="EK584" s="58">
        <f>IFERROR($AF585/$AF584-1,"")</f>
        <v/>
      </c>
      <c r="EL584" s="58">
        <f>IFERROR($AG585/$AG584-1,"")</f>
        <v/>
      </c>
      <c r="EM584" s="58">
        <f>IFERROR($BB584/$BB585-1,"")</f>
        <v/>
      </c>
      <c r="EN584" s="58">
        <f>IFERROR($BC584/$BC585-1,"")</f>
        <v/>
      </c>
      <c r="EO584" s="58">
        <f>IFERROR($BD584/$BD585-1,"")</f>
        <v/>
      </c>
      <c r="EP584" s="58">
        <f>IFERROR($BE584/$BE585-1,"")</f>
        <v/>
      </c>
      <c r="EQ584" s="58">
        <f>IFERROR($BF584/$BF585-1,"")</f>
        <v/>
      </c>
      <c r="ER584" s="58">
        <f>IFERROR($BG584/$BG585-1,"")</f>
        <v/>
      </c>
      <c r="ES584" s="58">
        <f>IFERROR($BH584/$BH585-1,"")</f>
        <v/>
      </c>
      <c r="ET584" s="58">
        <f>IFERROR($BI584/$BI585-1,"")</f>
        <v/>
      </c>
      <c r="EU584" s="58">
        <f>IFERROR($BJ584/$BJ585-1,"")</f>
        <v/>
      </c>
      <c r="EV584" s="58">
        <f>IFERROR($BK584/$BK585-1,"")</f>
        <v/>
      </c>
      <c r="EW584" s="58">
        <f>IFERROR($BL584/$BL585-1,"")</f>
        <v/>
      </c>
      <c r="EX584" s="58">
        <f>IFERROR($BM584/$BM585-1,"")</f>
        <v/>
      </c>
      <c r="EY584" s="58">
        <f>IFERROR($BN584/$BN585-1,"")</f>
        <v/>
      </c>
      <c r="EZ584" s="58">
        <f>IFERROR($BO584/$BO585-1,"")</f>
        <v/>
      </c>
      <c r="FA584" s="58">
        <f>IFERROR($BP584/$BP585-1,"")</f>
        <v/>
      </c>
      <c r="FB584" s="58">
        <f>IFERROR($BQ584/$BQ585-1,"")</f>
        <v/>
      </c>
      <c r="FC584" s="58">
        <f>IFERROR($BR584/$BR585-1,"")</f>
        <v/>
      </c>
      <c r="FD584" s="58">
        <f>IFERROR($BS584/$BS585-1,"")</f>
        <v/>
      </c>
      <c r="FE584" s="58">
        <f>IFERROR($BT584/$BT585-1,"")</f>
        <v/>
      </c>
      <c r="FF584" s="58">
        <f>IFERROR($BU584/$BU585-1,"")</f>
        <v/>
      </c>
      <c r="FG584" s="58">
        <f>IFERROR($BV584/$BV585-1,"")</f>
        <v/>
      </c>
      <c r="FH584" s="58">
        <f>IFERROR($BW584/$BW585-1,"")</f>
        <v/>
      </c>
      <c r="FI584" s="58">
        <f>IFERROR($BX584/$BX585-1,"")</f>
        <v/>
      </c>
      <c r="FJ584" s="59">
        <f>$BY584-$BY585</f>
        <v/>
      </c>
      <c r="FK584" s="59">
        <f>$BZ584-$BZ585</f>
        <v/>
      </c>
      <c r="FL584" s="59">
        <f>$CA584-$CA585</f>
        <v/>
      </c>
      <c r="FM584" s="59">
        <f>$CB584-$CB585</f>
        <v/>
      </c>
      <c r="FN584" s="59">
        <f>$CC584-$CC585</f>
        <v/>
      </c>
      <c r="FO584" s="59">
        <f>$CD584-$CD585</f>
        <v/>
      </c>
      <c r="FP584" s="59">
        <f>$CE584-$CE585</f>
        <v/>
      </c>
      <c r="FQ584" s="59">
        <f>$CF584-$CF585</f>
        <v/>
      </c>
      <c r="FR584" s="59">
        <f>$CG584-$CG585</f>
        <v/>
      </c>
      <c r="FS584" s="59">
        <f>$CH584-$CH585</f>
        <v/>
      </c>
      <c r="FT584" s="59">
        <f>$CI584-$CI585</f>
        <v/>
      </c>
      <c r="FU584" s="59">
        <f>$CJ584-$CJ585</f>
        <v/>
      </c>
      <c r="FV584" s="59">
        <f>$CK584-$CK585</f>
        <v/>
      </c>
      <c r="FW584" s="59">
        <f>$CL584-$CL585</f>
        <v/>
      </c>
      <c r="FX584" s="59">
        <f>$CM584-$CM585</f>
        <v/>
      </c>
      <c r="FY584" s="59">
        <f>$CN584-$CN585</f>
        <v/>
      </c>
      <c r="FZ584" s="59">
        <f>$CO584-$CO585</f>
        <v/>
      </c>
      <c r="GA584" s="59">
        <f>$CP584-$CP585</f>
        <v/>
      </c>
      <c r="GB584" s="59">
        <f>$CQ584-$CQ585</f>
        <v/>
      </c>
      <c r="GC584" s="59">
        <f>$CR584-$CR585</f>
        <v/>
      </c>
      <c r="GD584" s="59">
        <f>$CS584-$CS585</f>
        <v/>
      </c>
      <c r="GE584" s="59">
        <f>$CT584-$CT585</f>
        <v/>
      </c>
    </row>
    <row r="585">
      <c r="CU585" s="58">
        <f>IFERROR($B585/$B586-1,"")</f>
        <v/>
      </c>
      <c r="CV585" s="59">
        <f>($F585-$F586)*100</f>
        <v/>
      </c>
      <c r="CW585" s="59">
        <f>($E585-$E586)*100</f>
        <v/>
      </c>
      <c r="CX585" s="58">
        <f>IFERROR($K585/$K586-1,"")</f>
        <v/>
      </c>
      <c r="CY585" s="59">
        <f>($AH585-$AH586)*100</f>
        <v/>
      </c>
      <c r="CZ585" s="59">
        <f>($AI585-$AI586)*100</f>
        <v/>
      </c>
      <c r="DA585" s="59">
        <f>($AJ585-$AJ586)*100</f>
        <v/>
      </c>
      <c r="DB585" s="59">
        <f>($AK585-$AK586)*100</f>
        <v/>
      </c>
      <c r="DC585" s="59">
        <f>($AL585-$AL586)*100</f>
        <v/>
      </c>
      <c r="DD585" s="59">
        <f>($AM585-$AM586)*100</f>
        <v/>
      </c>
      <c r="DE585" s="59">
        <f>($AN585-$AN586)*100</f>
        <v/>
      </c>
      <c r="DF585" s="59">
        <f>($AO585-$AO586)*100</f>
        <v/>
      </c>
      <c r="DG585" s="59">
        <f>($AP585-$AP586)*100</f>
        <v/>
      </c>
      <c r="DH585" s="59">
        <f>($AQ585-$AQ586)*100</f>
        <v/>
      </c>
      <c r="DI585" s="59">
        <f>($AR585-$AR586)*100</f>
        <v/>
      </c>
      <c r="DJ585" s="59">
        <f>($AS585-$AS586)*100</f>
        <v/>
      </c>
      <c r="DK585" s="59">
        <f>($AT585-$AT586)*100</f>
        <v/>
      </c>
      <c r="DL585" s="59">
        <f>($AU585-$AU586)*100</f>
        <v/>
      </c>
      <c r="DM585" s="59">
        <f>($AV585-$AV586)*100</f>
        <v/>
      </c>
      <c r="DN585" s="59">
        <f>($AW585-$AW586)*100</f>
        <v/>
      </c>
      <c r="DO585" s="59">
        <f>($AX585-$AX586)*100</f>
        <v/>
      </c>
      <c r="DP585" s="59">
        <f>($AY585-$AY586)*100</f>
        <v/>
      </c>
      <c r="DQ585" s="59">
        <f>($AZ585-$AZ586)*100</f>
        <v/>
      </c>
      <c r="DR585" s="59">
        <f>($BA585-$BA586)*100</f>
        <v/>
      </c>
      <c r="DS585" s="58">
        <f>IFERROR($N586/$N585-1,"")</f>
        <v/>
      </c>
      <c r="DT585" s="58">
        <f>IFERROR($O586/$O585-1,"")</f>
        <v/>
      </c>
      <c r="DU585" s="58">
        <f>IFERROR($P586/$P585-1,"")</f>
        <v/>
      </c>
      <c r="DV585" s="58">
        <f>IFERROR($Q586/$Q585-1,"")</f>
        <v/>
      </c>
      <c r="DW585" s="58">
        <f>IFERROR($R586/$R585-1,"")</f>
        <v/>
      </c>
      <c r="DX585" s="58">
        <f>IFERROR($S586/$S585-1,"")</f>
        <v/>
      </c>
      <c r="DY585" s="58">
        <f>IFERROR($T586/$T585-1,"")</f>
        <v/>
      </c>
      <c r="DZ585" s="58">
        <f>IFERROR($U586/$U585-1,"")</f>
        <v/>
      </c>
      <c r="EA585" s="58">
        <f>IFERROR($V586/$V585-1,"")</f>
        <v/>
      </c>
      <c r="EB585" s="58">
        <f>IFERROR($W586/$W585-1,"")</f>
        <v/>
      </c>
      <c r="EC585" s="58">
        <f>IFERROR($X586/$X585-1,"")</f>
        <v/>
      </c>
      <c r="ED585" s="58">
        <f>IFERROR($Y586/$Y585-1,"")</f>
        <v/>
      </c>
      <c r="EE585" s="58">
        <f>IFERROR($Z586/$Z585-1,"")</f>
        <v/>
      </c>
      <c r="EF585" s="58">
        <f>IFERROR($AA586/$AA585-1,"")</f>
        <v/>
      </c>
      <c r="EG585" s="58">
        <f>IFERROR($AB586/$AB585-1,"")</f>
        <v/>
      </c>
      <c r="EH585" s="58">
        <f>IFERROR($AC586/$AC585-1,"")</f>
        <v/>
      </c>
      <c r="EI585" s="58">
        <f>IFERROR($AD586/$AD585-1,"")</f>
        <v/>
      </c>
      <c r="EJ585" s="58">
        <f>IFERROR($AE586/$AE585-1,"")</f>
        <v/>
      </c>
      <c r="EK585" s="58">
        <f>IFERROR($AF586/$AF585-1,"")</f>
        <v/>
      </c>
      <c r="EL585" s="58">
        <f>IFERROR($AG586/$AG585-1,"")</f>
        <v/>
      </c>
      <c r="EM585" s="58">
        <f>IFERROR($BB585/$BB586-1,"")</f>
        <v/>
      </c>
      <c r="EN585" s="58">
        <f>IFERROR($BC585/$BC586-1,"")</f>
        <v/>
      </c>
      <c r="EO585" s="58">
        <f>IFERROR($BD585/$BD586-1,"")</f>
        <v/>
      </c>
      <c r="EP585" s="58">
        <f>IFERROR($BE585/$BE586-1,"")</f>
        <v/>
      </c>
      <c r="EQ585" s="58">
        <f>IFERROR($BF585/$BF586-1,"")</f>
        <v/>
      </c>
      <c r="ER585" s="58">
        <f>IFERROR($BG585/$BG586-1,"")</f>
        <v/>
      </c>
      <c r="ES585" s="58">
        <f>IFERROR($BH585/$BH586-1,"")</f>
        <v/>
      </c>
      <c r="ET585" s="58">
        <f>IFERROR($BI585/$BI586-1,"")</f>
        <v/>
      </c>
      <c r="EU585" s="58">
        <f>IFERROR($BJ585/$BJ586-1,"")</f>
        <v/>
      </c>
      <c r="EV585" s="58">
        <f>IFERROR($BK585/$BK586-1,"")</f>
        <v/>
      </c>
      <c r="EW585" s="58">
        <f>IFERROR($BL585/$BL586-1,"")</f>
        <v/>
      </c>
      <c r="EX585" s="58">
        <f>IFERROR($BM585/$BM586-1,"")</f>
        <v/>
      </c>
      <c r="EY585" s="58">
        <f>IFERROR($BN585/$BN586-1,"")</f>
        <v/>
      </c>
      <c r="EZ585" s="58">
        <f>IFERROR($BO585/$BO586-1,"")</f>
        <v/>
      </c>
      <c r="FA585" s="58">
        <f>IFERROR($BP585/$BP586-1,"")</f>
        <v/>
      </c>
      <c r="FB585" s="58">
        <f>IFERROR($BQ585/$BQ586-1,"")</f>
        <v/>
      </c>
      <c r="FC585" s="58">
        <f>IFERROR($BR585/$BR586-1,"")</f>
        <v/>
      </c>
      <c r="FD585" s="58">
        <f>IFERROR($BS585/$BS586-1,"")</f>
        <v/>
      </c>
      <c r="FE585" s="58">
        <f>IFERROR($BT585/$BT586-1,"")</f>
        <v/>
      </c>
      <c r="FF585" s="58">
        <f>IFERROR($BU585/$BU586-1,"")</f>
        <v/>
      </c>
      <c r="FG585" s="58">
        <f>IFERROR($BV585/$BV586-1,"")</f>
        <v/>
      </c>
      <c r="FH585" s="58">
        <f>IFERROR($BW585/$BW586-1,"")</f>
        <v/>
      </c>
      <c r="FI585" s="58">
        <f>IFERROR($BX585/$BX586-1,"")</f>
        <v/>
      </c>
      <c r="FJ585" s="59">
        <f>$BY585-$BY586</f>
        <v/>
      </c>
      <c r="FK585" s="59">
        <f>$BZ585-$BZ586</f>
        <v/>
      </c>
      <c r="FL585" s="59">
        <f>$CA585-$CA586</f>
        <v/>
      </c>
      <c r="FM585" s="59">
        <f>$CB585-$CB586</f>
        <v/>
      </c>
      <c r="FN585" s="59">
        <f>$CC585-$CC586</f>
        <v/>
      </c>
      <c r="FO585" s="59">
        <f>$CD585-$CD586</f>
        <v/>
      </c>
      <c r="FP585" s="59">
        <f>$CE585-$CE586</f>
        <v/>
      </c>
      <c r="FQ585" s="59">
        <f>$CF585-$CF586</f>
        <v/>
      </c>
      <c r="FR585" s="59">
        <f>$CG585-$CG586</f>
        <v/>
      </c>
      <c r="FS585" s="59">
        <f>$CH585-$CH586</f>
        <v/>
      </c>
      <c r="FT585" s="59">
        <f>$CI585-$CI586</f>
        <v/>
      </c>
      <c r="FU585" s="59">
        <f>$CJ585-$CJ586</f>
        <v/>
      </c>
      <c r="FV585" s="59">
        <f>$CK585-$CK586</f>
        <v/>
      </c>
      <c r="FW585" s="59">
        <f>$CL585-$CL586</f>
        <v/>
      </c>
      <c r="FX585" s="59">
        <f>$CM585-$CM586</f>
        <v/>
      </c>
      <c r="FY585" s="59">
        <f>$CN585-$CN586</f>
        <v/>
      </c>
      <c r="FZ585" s="59">
        <f>$CO585-$CO586</f>
        <v/>
      </c>
      <c r="GA585" s="59">
        <f>$CP585-$CP586</f>
        <v/>
      </c>
      <c r="GB585" s="59">
        <f>$CQ585-$CQ586</f>
        <v/>
      </c>
      <c r="GC585" s="59">
        <f>$CR585-$CR586</f>
        <v/>
      </c>
      <c r="GD585" s="59">
        <f>$CS585-$CS586</f>
        <v/>
      </c>
      <c r="GE585" s="59">
        <f>$CT585-$CT586</f>
        <v/>
      </c>
    </row>
    <row r="586">
      <c r="CU586" s="58">
        <f>IFERROR($B586/$B587-1,"")</f>
        <v/>
      </c>
      <c r="CV586" s="59">
        <f>($F586-$F587)*100</f>
        <v/>
      </c>
      <c r="CW586" s="59">
        <f>($E586-$E587)*100</f>
        <v/>
      </c>
      <c r="CX586" s="58">
        <f>IFERROR($K586/$K587-1,"")</f>
        <v/>
      </c>
      <c r="CY586" s="59">
        <f>($AH586-$AH587)*100</f>
        <v/>
      </c>
      <c r="CZ586" s="59">
        <f>($AI586-$AI587)*100</f>
        <v/>
      </c>
      <c r="DA586" s="59">
        <f>($AJ586-$AJ587)*100</f>
        <v/>
      </c>
      <c r="DB586" s="59">
        <f>($AK586-$AK587)*100</f>
        <v/>
      </c>
      <c r="DC586" s="59">
        <f>($AL586-$AL587)*100</f>
        <v/>
      </c>
      <c r="DD586" s="59">
        <f>($AM586-$AM587)*100</f>
        <v/>
      </c>
      <c r="DE586" s="59">
        <f>($AN586-$AN587)*100</f>
        <v/>
      </c>
      <c r="DF586" s="59">
        <f>($AO586-$AO587)*100</f>
        <v/>
      </c>
      <c r="DG586" s="59">
        <f>($AP586-$AP587)*100</f>
        <v/>
      </c>
      <c r="DH586" s="59">
        <f>($AQ586-$AQ587)*100</f>
        <v/>
      </c>
      <c r="DI586" s="59">
        <f>($AR586-$AR587)*100</f>
        <v/>
      </c>
      <c r="DJ586" s="59">
        <f>($AS586-$AS587)*100</f>
        <v/>
      </c>
      <c r="DK586" s="59">
        <f>($AT586-$AT587)*100</f>
        <v/>
      </c>
      <c r="DL586" s="59">
        <f>($AU586-$AU587)*100</f>
        <v/>
      </c>
      <c r="DM586" s="59">
        <f>($AV586-$AV587)*100</f>
        <v/>
      </c>
      <c r="DN586" s="59">
        <f>($AW586-$AW587)*100</f>
        <v/>
      </c>
      <c r="DO586" s="59">
        <f>($AX586-$AX587)*100</f>
        <v/>
      </c>
      <c r="DP586" s="59">
        <f>($AY586-$AY587)*100</f>
        <v/>
      </c>
      <c r="DQ586" s="59">
        <f>($AZ586-$AZ587)*100</f>
        <v/>
      </c>
      <c r="DR586" s="59">
        <f>($BA586-$BA587)*100</f>
        <v/>
      </c>
      <c r="DS586" s="58">
        <f>IFERROR($N587/$N586-1,"")</f>
        <v/>
      </c>
      <c r="DT586" s="58">
        <f>IFERROR($O587/$O586-1,"")</f>
        <v/>
      </c>
      <c r="DU586" s="58">
        <f>IFERROR($P587/$P586-1,"")</f>
        <v/>
      </c>
      <c r="DV586" s="58">
        <f>IFERROR($Q587/$Q586-1,"")</f>
        <v/>
      </c>
      <c r="DW586" s="58">
        <f>IFERROR($R587/$R586-1,"")</f>
        <v/>
      </c>
      <c r="DX586" s="58">
        <f>IFERROR($S587/$S586-1,"")</f>
        <v/>
      </c>
      <c r="DY586" s="58">
        <f>IFERROR($T587/$T586-1,"")</f>
        <v/>
      </c>
      <c r="DZ586" s="58">
        <f>IFERROR($U587/$U586-1,"")</f>
        <v/>
      </c>
      <c r="EA586" s="58">
        <f>IFERROR($V587/$V586-1,"")</f>
        <v/>
      </c>
      <c r="EB586" s="58">
        <f>IFERROR($W587/$W586-1,"")</f>
        <v/>
      </c>
      <c r="EC586" s="58">
        <f>IFERROR($X587/$X586-1,"")</f>
        <v/>
      </c>
      <c r="ED586" s="58">
        <f>IFERROR($Y587/$Y586-1,"")</f>
        <v/>
      </c>
      <c r="EE586" s="58">
        <f>IFERROR($Z587/$Z586-1,"")</f>
        <v/>
      </c>
      <c r="EF586" s="58">
        <f>IFERROR($AA587/$AA586-1,"")</f>
        <v/>
      </c>
      <c r="EG586" s="58">
        <f>IFERROR($AB587/$AB586-1,"")</f>
        <v/>
      </c>
      <c r="EH586" s="58">
        <f>IFERROR($AC587/$AC586-1,"")</f>
        <v/>
      </c>
      <c r="EI586" s="58">
        <f>IFERROR($AD587/$AD586-1,"")</f>
        <v/>
      </c>
      <c r="EJ586" s="58">
        <f>IFERROR($AE587/$AE586-1,"")</f>
        <v/>
      </c>
      <c r="EK586" s="58">
        <f>IFERROR($AF587/$AF586-1,"")</f>
        <v/>
      </c>
      <c r="EL586" s="58">
        <f>IFERROR($AG587/$AG586-1,"")</f>
        <v/>
      </c>
      <c r="EM586" s="58">
        <f>IFERROR($BB586/$BB587-1,"")</f>
        <v/>
      </c>
      <c r="EN586" s="58">
        <f>IFERROR($BC586/$BC587-1,"")</f>
        <v/>
      </c>
      <c r="EO586" s="58">
        <f>IFERROR($BD586/$BD587-1,"")</f>
        <v/>
      </c>
      <c r="EP586" s="58">
        <f>IFERROR($BE586/$BE587-1,"")</f>
        <v/>
      </c>
      <c r="EQ586" s="58">
        <f>IFERROR($BF586/$BF587-1,"")</f>
        <v/>
      </c>
      <c r="ER586" s="58">
        <f>IFERROR($BG586/$BG587-1,"")</f>
        <v/>
      </c>
      <c r="ES586" s="58">
        <f>IFERROR($BH586/$BH587-1,"")</f>
        <v/>
      </c>
      <c r="ET586" s="58">
        <f>IFERROR($BI586/$BI587-1,"")</f>
        <v/>
      </c>
      <c r="EU586" s="58">
        <f>IFERROR($BJ586/$BJ587-1,"")</f>
        <v/>
      </c>
      <c r="EV586" s="58">
        <f>IFERROR($BK586/$BK587-1,"")</f>
        <v/>
      </c>
      <c r="EW586" s="58">
        <f>IFERROR($BL586/$BL587-1,"")</f>
        <v/>
      </c>
      <c r="EX586" s="58">
        <f>IFERROR($BM586/$BM587-1,"")</f>
        <v/>
      </c>
      <c r="EY586" s="58">
        <f>IFERROR($BN586/$BN587-1,"")</f>
        <v/>
      </c>
      <c r="EZ586" s="58">
        <f>IFERROR($BO586/$BO587-1,"")</f>
        <v/>
      </c>
      <c r="FA586" s="58">
        <f>IFERROR($BP586/$BP587-1,"")</f>
        <v/>
      </c>
      <c r="FB586" s="58">
        <f>IFERROR($BQ586/$BQ587-1,"")</f>
        <v/>
      </c>
      <c r="FC586" s="58">
        <f>IFERROR($BR586/$BR587-1,"")</f>
        <v/>
      </c>
      <c r="FD586" s="58">
        <f>IFERROR($BS586/$BS587-1,"")</f>
        <v/>
      </c>
      <c r="FE586" s="58">
        <f>IFERROR($BT586/$BT587-1,"")</f>
        <v/>
      </c>
      <c r="FF586" s="58">
        <f>IFERROR($BU586/$BU587-1,"")</f>
        <v/>
      </c>
      <c r="FG586" s="58">
        <f>IFERROR($BV586/$BV587-1,"")</f>
        <v/>
      </c>
      <c r="FH586" s="58">
        <f>IFERROR($BW586/$BW587-1,"")</f>
        <v/>
      </c>
      <c r="FI586" s="58">
        <f>IFERROR($BX586/$BX587-1,"")</f>
        <v/>
      </c>
      <c r="FJ586" s="59">
        <f>$BY586-$BY587</f>
        <v/>
      </c>
      <c r="FK586" s="59">
        <f>$BZ586-$BZ587</f>
        <v/>
      </c>
      <c r="FL586" s="59">
        <f>$CA586-$CA587</f>
        <v/>
      </c>
      <c r="FM586" s="59">
        <f>$CB586-$CB587</f>
        <v/>
      </c>
      <c r="FN586" s="59">
        <f>$CC586-$CC587</f>
        <v/>
      </c>
      <c r="FO586" s="59">
        <f>$CD586-$CD587</f>
        <v/>
      </c>
      <c r="FP586" s="59">
        <f>$CE586-$CE587</f>
        <v/>
      </c>
      <c r="FQ586" s="59">
        <f>$CF586-$CF587</f>
        <v/>
      </c>
      <c r="FR586" s="59">
        <f>$CG586-$CG587</f>
        <v/>
      </c>
      <c r="FS586" s="59">
        <f>$CH586-$CH587</f>
        <v/>
      </c>
      <c r="FT586" s="59">
        <f>$CI586-$CI587</f>
        <v/>
      </c>
      <c r="FU586" s="59">
        <f>$CJ586-$CJ587</f>
        <v/>
      </c>
      <c r="FV586" s="59">
        <f>$CK586-$CK587</f>
        <v/>
      </c>
      <c r="FW586" s="59">
        <f>$CL586-$CL587</f>
        <v/>
      </c>
      <c r="FX586" s="59">
        <f>$CM586-$CM587</f>
        <v/>
      </c>
      <c r="FY586" s="59">
        <f>$CN586-$CN587</f>
        <v/>
      </c>
      <c r="FZ586" s="59">
        <f>$CO586-$CO587</f>
        <v/>
      </c>
      <c r="GA586" s="59">
        <f>$CP586-$CP587</f>
        <v/>
      </c>
      <c r="GB586" s="59">
        <f>$CQ586-$CQ587</f>
        <v/>
      </c>
      <c r="GC586" s="59">
        <f>$CR586-$CR587</f>
        <v/>
      </c>
      <c r="GD586" s="59">
        <f>$CS586-$CS587</f>
        <v/>
      </c>
      <c r="GE586" s="59">
        <f>$CT586-$CT587</f>
        <v/>
      </c>
    </row>
    <row r="587">
      <c r="CU587" s="58">
        <f>IFERROR($B587/$B588-1,"")</f>
        <v/>
      </c>
      <c r="CV587" s="59">
        <f>($F587-$F588)*100</f>
        <v/>
      </c>
      <c r="CW587" s="59">
        <f>($E587-$E588)*100</f>
        <v/>
      </c>
      <c r="CX587" s="58">
        <f>IFERROR($K587/$K588-1,"")</f>
        <v/>
      </c>
      <c r="CY587" s="59">
        <f>($AH587-$AH588)*100</f>
        <v/>
      </c>
      <c r="CZ587" s="59">
        <f>($AI587-$AI588)*100</f>
        <v/>
      </c>
      <c r="DA587" s="59">
        <f>($AJ587-$AJ588)*100</f>
        <v/>
      </c>
      <c r="DB587" s="59">
        <f>($AK587-$AK588)*100</f>
        <v/>
      </c>
      <c r="DC587" s="59">
        <f>($AL587-$AL588)*100</f>
        <v/>
      </c>
      <c r="DD587" s="59">
        <f>($AM587-$AM588)*100</f>
        <v/>
      </c>
      <c r="DE587" s="59">
        <f>($AN587-$AN588)*100</f>
        <v/>
      </c>
      <c r="DF587" s="59">
        <f>($AO587-$AO588)*100</f>
        <v/>
      </c>
      <c r="DG587" s="59">
        <f>($AP587-$AP588)*100</f>
        <v/>
      </c>
      <c r="DH587" s="59">
        <f>($AQ587-$AQ588)*100</f>
        <v/>
      </c>
      <c r="DI587" s="59">
        <f>($AR587-$AR588)*100</f>
        <v/>
      </c>
      <c r="DJ587" s="59">
        <f>($AS587-$AS588)*100</f>
        <v/>
      </c>
      <c r="DK587" s="59">
        <f>($AT587-$AT588)*100</f>
        <v/>
      </c>
      <c r="DL587" s="59">
        <f>($AU587-$AU588)*100</f>
        <v/>
      </c>
      <c r="DM587" s="59">
        <f>($AV587-$AV588)*100</f>
        <v/>
      </c>
      <c r="DN587" s="59">
        <f>($AW587-$AW588)*100</f>
        <v/>
      </c>
      <c r="DO587" s="59">
        <f>($AX587-$AX588)*100</f>
        <v/>
      </c>
      <c r="DP587" s="59">
        <f>($AY587-$AY588)*100</f>
        <v/>
      </c>
      <c r="DQ587" s="59">
        <f>($AZ587-$AZ588)*100</f>
        <v/>
      </c>
      <c r="DR587" s="59">
        <f>($BA587-$BA588)*100</f>
        <v/>
      </c>
      <c r="DS587" s="58">
        <f>IFERROR($N588/$N587-1,"")</f>
        <v/>
      </c>
      <c r="DT587" s="58">
        <f>IFERROR($O588/$O587-1,"")</f>
        <v/>
      </c>
      <c r="DU587" s="58">
        <f>IFERROR($P588/$P587-1,"")</f>
        <v/>
      </c>
      <c r="DV587" s="58">
        <f>IFERROR($Q588/$Q587-1,"")</f>
        <v/>
      </c>
      <c r="DW587" s="58">
        <f>IFERROR($R588/$R587-1,"")</f>
        <v/>
      </c>
      <c r="DX587" s="58">
        <f>IFERROR($S588/$S587-1,"")</f>
        <v/>
      </c>
      <c r="DY587" s="58">
        <f>IFERROR($T588/$T587-1,"")</f>
        <v/>
      </c>
      <c r="DZ587" s="58">
        <f>IFERROR($U588/$U587-1,"")</f>
        <v/>
      </c>
      <c r="EA587" s="58">
        <f>IFERROR($V588/$V587-1,"")</f>
        <v/>
      </c>
      <c r="EB587" s="58">
        <f>IFERROR($W588/$W587-1,"")</f>
        <v/>
      </c>
      <c r="EC587" s="58">
        <f>IFERROR($X588/$X587-1,"")</f>
        <v/>
      </c>
      <c r="ED587" s="58">
        <f>IFERROR($Y588/$Y587-1,"")</f>
        <v/>
      </c>
      <c r="EE587" s="58">
        <f>IFERROR($Z588/$Z587-1,"")</f>
        <v/>
      </c>
      <c r="EF587" s="58">
        <f>IFERROR($AA588/$AA587-1,"")</f>
        <v/>
      </c>
      <c r="EG587" s="58">
        <f>IFERROR($AB588/$AB587-1,"")</f>
        <v/>
      </c>
      <c r="EH587" s="58">
        <f>IFERROR($AC588/$AC587-1,"")</f>
        <v/>
      </c>
      <c r="EI587" s="58">
        <f>IFERROR($AD588/$AD587-1,"")</f>
        <v/>
      </c>
      <c r="EJ587" s="58">
        <f>IFERROR($AE588/$AE587-1,"")</f>
        <v/>
      </c>
      <c r="EK587" s="58">
        <f>IFERROR($AF588/$AF587-1,"")</f>
        <v/>
      </c>
      <c r="EL587" s="58">
        <f>IFERROR($AG588/$AG587-1,"")</f>
        <v/>
      </c>
      <c r="EM587" s="58">
        <f>IFERROR($BB587/$BB588-1,"")</f>
        <v/>
      </c>
      <c r="EN587" s="58">
        <f>IFERROR($BC587/$BC588-1,"")</f>
        <v/>
      </c>
      <c r="EO587" s="58">
        <f>IFERROR($BD587/$BD588-1,"")</f>
        <v/>
      </c>
      <c r="EP587" s="58">
        <f>IFERROR($BE587/$BE588-1,"")</f>
        <v/>
      </c>
      <c r="EQ587" s="58">
        <f>IFERROR($BF587/$BF588-1,"")</f>
        <v/>
      </c>
      <c r="ER587" s="58">
        <f>IFERROR($BG587/$BG588-1,"")</f>
        <v/>
      </c>
      <c r="ES587" s="58">
        <f>IFERROR($BH587/$BH588-1,"")</f>
        <v/>
      </c>
      <c r="ET587" s="58">
        <f>IFERROR($BI587/$BI588-1,"")</f>
        <v/>
      </c>
      <c r="EU587" s="58">
        <f>IFERROR($BJ587/$BJ588-1,"")</f>
        <v/>
      </c>
      <c r="EV587" s="58">
        <f>IFERROR($BK587/$BK588-1,"")</f>
        <v/>
      </c>
      <c r="EW587" s="58">
        <f>IFERROR($BL587/$BL588-1,"")</f>
        <v/>
      </c>
      <c r="EX587" s="58">
        <f>IFERROR($BM587/$BM588-1,"")</f>
        <v/>
      </c>
      <c r="EY587" s="58">
        <f>IFERROR($BN587/$BN588-1,"")</f>
        <v/>
      </c>
      <c r="EZ587" s="58">
        <f>IFERROR($BO587/$BO588-1,"")</f>
        <v/>
      </c>
      <c r="FA587" s="58">
        <f>IFERROR($BP587/$BP588-1,"")</f>
        <v/>
      </c>
      <c r="FB587" s="58">
        <f>IFERROR($BQ587/$BQ588-1,"")</f>
        <v/>
      </c>
      <c r="FC587" s="58">
        <f>IFERROR($BR587/$BR588-1,"")</f>
        <v/>
      </c>
      <c r="FD587" s="58">
        <f>IFERROR($BS587/$BS588-1,"")</f>
        <v/>
      </c>
      <c r="FE587" s="58">
        <f>IFERROR($BT587/$BT588-1,"")</f>
        <v/>
      </c>
      <c r="FF587" s="58">
        <f>IFERROR($BU587/$BU588-1,"")</f>
        <v/>
      </c>
      <c r="FG587" s="58">
        <f>IFERROR($BV587/$BV588-1,"")</f>
        <v/>
      </c>
      <c r="FH587" s="58">
        <f>IFERROR($BW587/$BW588-1,"")</f>
        <v/>
      </c>
      <c r="FI587" s="58">
        <f>IFERROR($BX587/$BX588-1,"")</f>
        <v/>
      </c>
      <c r="FJ587" s="59">
        <f>$BY587-$BY588</f>
        <v/>
      </c>
      <c r="FK587" s="59">
        <f>$BZ587-$BZ588</f>
        <v/>
      </c>
      <c r="FL587" s="59">
        <f>$CA587-$CA588</f>
        <v/>
      </c>
      <c r="FM587" s="59">
        <f>$CB587-$CB588</f>
        <v/>
      </c>
      <c r="FN587" s="59">
        <f>$CC587-$CC588</f>
        <v/>
      </c>
      <c r="FO587" s="59">
        <f>$CD587-$CD588</f>
        <v/>
      </c>
      <c r="FP587" s="59">
        <f>$CE587-$CE588</f>
        <v/>
      </c>
      <c r="FQ587" s="59">
        <f>$CF587-$CF588</f>
        <v/>
      </c>
      <c r="FR587" s="59">
        <f>$CG587-$CG588</f>
        <v/>
      </c>
      <c r="FS587" s="59">
        <f>$CH587-$CH588</f>
        <v/>
      </c>
      <c r="FT587" s="59">
        <f>$CI587-$CI588</f>
        <v/>
      </c>
      <c r="FU587" s="59">
        <f>$CJ587-$CJ588</f>
        <v/>
      </c>
      <c r="FV587" s="59">
        <f>$CK587-$CK588</f>
        <v/>
      </c>
      <c r="FW587" s="59">
        <f>$CL587-$CL588</f>
        <v/>
      </c>
      <c r="FX587" s="59">
        <f>$CM587-$CM588</f>
        <v/>
      </c>
      <c r="FY587" s="59">
        <f>$CN587-$CN588</f>
        <v/>
      </c>
      <c r="FZ587" s="59">
        <f>$CO587-$CO588</f>
        <v/>
      </c>
      <c r="GA587" s="59">
        <f>$CP587-$CP588</f>
        <v/>
      </c>
      <c r="GB587" s="59">
        <f>$CQ587-$CQ588</f>
        <v/>
      </c>
      <c r="GC587" s="59">
        <f>$CR587-$CR588</f>
        <v/>
      </c>
      <c r="GD587" s="59">
        <f>$CS587-$CS588</f>
        <v/>
      </c>
      <c r="GE587" s="59">
        <f>$CT587-$CT588</f>
        <v/>
      </c>
    </row>
    <row r="588">
      <c r="CU588" s="58">
        <f>IFERROR($B588/$B589-1,"")</f>
        <v/>
      </c>
      <c r="CV588" s="59">
        <f>($F588-$F589)*100</f>
        <v/>
      </c>
      <c r="CW588" s="59">
        <f>($E588-$E589)*100</f>
        <v/>
      </c>
      <c r="CX588" s="58">
        <f>IFERROR($K588/$K589-1,"")</f>
        <v/>
      </c>
      <c r="CY588" s="59">
        <f>($AH588-$AH589)*100</f>
        <v/>
      </c>
      <c r="CZ588" s="59">
        <f>($AI588-$AI589)*100</f>
        <v/>
      </c>
      <c r="DA588" s="59">
        <f>($AJ588-$AJ589)*100</f>
        <v/>
      </c>
      <c r="DB588" s="59">
        <f>($AK588-$AK589)*100</f>
        <v/>
      </c>
      <c r="DC588" s="59">
        <f>($AL588-$AL589)*100</f>
        <v/>
      </c>
      <c r="DD588" s="59">
        <f>($AM588-$AM589)*100</f>
        <v/>
      </c>
      <c r="DE588" s="59">
        <f>($AN588-$AN589)*100</f>
        <v/>
      </c>
      <c r="DF588" s="59">
        <f>($AO588-$AO589)*100</f>
        <v/>
      </c>
      <c r="DG588" s="59">
        <f>($AP588-$AP589)*100</f>
        <v/>
      </c>
      <c r="DH588" s="59">
        <f>($AQ588-$AQ589)*100</f>
        <v/>
      </c>
      <c r="DI588" s="59">
        <f>($AR588-$AR589)*100</f>
        <v/>
      </c>
      <c r="DJ588" s="59">
        <f>($AS588-$AS589)*100</f>
        <v/>
      </c>
      <c r="DK588" s="59">
        <f>($AT588-$AT589)*100</f>
        <v/>
      </c>
      <c r="DL588" s="59">
        <f>($AU588-$AU589)*100</f>
        <v/>
      </c>
      <c r="DM588" s="59">
        <f>($AV588-$AV589)*100</f>
        <v/>
      </c>
      <c r="DN588" s="59">
        <f>($AW588-$AW589)*100</f>
        <v/>
      </c>
      <c r="DO588" s="59">
        <f>($AX588-$AX589)*100</f>
        <v/>
      </c>
      <c r="DP588" s="59">
        <f>($AY588-$AY589)*100</f>
        <v/>
      </c>
      <c r="DQ588" s="59">
        <f>($AZ588-$AZ589)*100</f>
        <v/>
      </c>
      <c r="DR588" s="59">
        <f>($BA588-$BA589)*100</f>
        <v/>
      </c>
      <c r="DS588" s="58">
        <f>IFERROR($N589/$N588-1,"")</f>
        <v/>
      </c>
      <c r="DT588" s="58">
        <f>IFERROR($O589/$O588-1,"")</f>
        <v/>
      </c>
      <c r="DU588" s="58">
        <f>IFERROR($P589/$P588-1,"")</f>
        <v/>
      </c>
      <c r="DV588" s="58">
        <f>IFERROR($Q589/$Q588-1,"")</f>
        <v/>
      </c>
      <c r="DW588" s="58">
        <f>IFERROR($R589/$R588-1,"")</f>
        <v/>
      </c>
      <c r="DX588" s="58">
        <f>IFERROR($S589/$S588-1,"")</f>
        <v/>
      </c>
      <c r="DY588" s="58">
        <f>IFERROR($T589/$T588-1,"")</f>
        <v/>
      </c>
      <c r="DZ588" s="58">
        <f>IFERROR($U589/$U588-1,"")</f>
        <v/>
      </c>
      <c r="EA588" s="58">
        <f>IFERROR($V589/$V588-1,"")</f>
        <v/>
      </c>
      <c r="EB588" s="58">
        <f>IFERROR($W589/$W588-1,"")</f>
        <v/>
      </c>
      <c r="EC588" s="58">
        <f>IFERROR($X589/$X588-1,"")</f>
        <v/>
      </c>
      <c r="ED588" s="58">
        <f>IFERROR($Y589/$Y588-1,"")</f>
        <v/>
      </c>
      <c r="EE588" s="58">
        <f>IFERROR($Z589/$Z588-1,"")</f>
        <v/>
      </c>
      <c r="EF588" s="58">
        <f>IFERROR($AA589/$AA588-1,"")</f>
        <v/>
      </c>
      <c r="EG588" s="58">
        <f>IFERROR($AB589/$AB588-1,"")</f>
        <v/>
      </c>
      <c r="EH588" s="58">
        <f>IFERROR($AC589/$AC588-1,"")</f>
        <v/>
      </c>
      <c r="EI588" s="58">
        <f>IFERROR($AD589/$AD588-1,"")</f>
        <v/>
      </c>
      <c r="EJ588" s="58">
        <f>IFERROR($AE589/$AE588-1,"")</f>
        <v/>
      </c>
      <c r="EK588" s="58">
        <f>IFERROR($AF589/$AF588-1,"")</f>
        <v/>
      </c>
      <c r="EL588" s="58">
        <f>IFERROR($AG589/$AG588-1,"")</f>
        <v/>
      </c>
      <c r="EM588" s="58">
        <f>IFERROR($BB588/$BB589-1,"")</f>
        <v/>
      </c>
      <c r="EN588" s="58">
        <f>IFERROR($BC588/$BC589-1,"")</f>
        <v/>
      </c>
      <c r="EO588" s="58">
        <f>IFERROR($BD588/$BD589-1,"")</f>
        <v/>
      </c>
      <c r="EP588" s="58">
        <f>IFERROR($BE588/$BE589-1,"")</f>
        <v/>
      </c>
      <c r="EQ588" s="58">
        <f>IFERROR($BF588/$BF589-1,"")</f>
        <v/>
      </c>
      <c r="ER588" s="58">
        <f>IFERROR($BG588/$BG589-1,"")</f>
        <v/>
      </c>
      <c r="ES588" s="58">
        <f>IFERROR($BH588/$BH589-1,"")</f>
        <v/>
      </c>
      <c r="ET588" s="58">
        <f>IFERROR($BI588/$BI589-1,"")</f>
        <v/>
      </c>
      <c r="EU588" s="58">
        <f>IFERROR($BJ588/$BJ589-1,"")</f>
        <v/>
      </c>
      <c r="EV588" s="58">
        <f>IFERROR($BK588/$BK589-1,"")</f>
        <v/>
      </c>
      <c r="EW588" s="58">
        <f>IFERROR($BL588/$BL589-1,"")</f>
        <v/>
      </c>
      <c r="EX588" s="58">
        <f>IFERROR($BM588/$BM589-1,"")</f>
        <v/>
      </c>
      <c r="EY588" s="58">
        <f>IFERROR($BN588/$BN589-1,"")</f>
        <v/>
      </c>
      <c r="EZ588" s="58">
        <f>IFERROR($BO588/$BO589-1,"")</f>
        <v/>
      </c>
      <c r="FA588" s="58">
        <f>IFERROR($BP588/$BP589-1,"")</f>
        <v/>
      </c>
      <c r="FB588" s="58">
        <f>IFERROR($BQ588/$BQ589-1,"")</f>
        <v/>
      </c>
      <c r="FC588" s="58">
        <f>IFERROR($BR588/$BR589-1,"")</f>
        <v/>
      </c>
      <c r="FD588" s="58">
        <f>IFERROR($BS588/$BS589-1,"")</f>
        <v/>
      </c>
      <c r="FE588" s="58">
        <f>IFERROR($BT588/$BT589-1,"")</f>
        <v/>
      </c>
      <c r="FF588" s="58">
        <f>IFERROR($BU588/$BU589-1,"")</f>
        <v/>
      </c>
      <c r="FG588" s="58">
        <f>IFERROR($BV588/$BV589-1,"")</f>
        <v/>
      </c>
      <c r="FH588" s="58">
        <f>IFERROR($BW588/$BW589-1,"")</f>
        <v/>
      </c>
      <c r="FI588" s="58">
        <f>IFERROR($BX588/$BX589-1,"")</f>
        <v/>
      </c>
      <c r="FJ588" s="59">
        <f>$BY588-$BY589</f>
        <v/>
      </c>
      <c r="FK588" s="59">
        <f>$BZ588-$BZ589</f>
        <v/>
      </c>
      <c r="FL588" s="59">
        <f>$CA588-$CA589</f>
        <v/>
      </c>
      <c r="FM588" s="59">
        <f>$CB588-$CB589</f>
        <v/>
      </c>
      <c r="FN588" s="59">
        <f>$CC588-$CC589</f>
        <v/>
      </c>
      <c r="FO588" s="59">
        <f>$CD588-$CD589</f>
        <v/>
      </c>
      <c r="FP588" s="59">
        <f>$CE588-$CE589</f>
        <v/>
      </c>
      <c r="FQ588" s="59">
        <f>$CF588-$CF589</f>
        <v/>
      </c>
      <c r="FR588" s="59">
        <f>$CG588-$CG589</f>
        <v/>
      </c>
      <c r="FS588" s="59">
        <f>$CH588-$CH589</f>
        <v/>
      </c>
      <c r="FT588" s="59">
        <f>$CI588-$CI589</f>
        <v/>
      </c>
      <c r="FU588" s="59">
        <f>$CJ588-$CJ589</f>
        <v/>
      </c>
      <c r="FV588" s="59">
        <f>$CK588-$CK589</f>
        <v/>
      </c>
      <c r="FW588" s="59">
        <f>$CL588-$CL589</f>
        <v/>
      </c>
      <c r="FX588" s="59">
        <f>$CM588-$CM589</f>
        <v/>
      </c>
      <c r="FY588" s="59">
        <f>$CN588-$CN589</f>
        <v/>
      </c>
      <c r="FZ588" s="59">
        <f>$CO588-$CO589</f>
        <v/>
      </c>
      <c r="GA588" s="59">
        <f>$CP588-$CP589</f>
        <v/>
      </c>
      <c r="GB588" s="59">
        <f>$CQ588-$CQ589</f>
        <v/>
      </c>
      <c r="GC588" s="59">
        <f>$CR588-$CR589</f>
        <v/>
      </c>
      <c r="GD588" s="59">
        <f>$CS588-$CS589</f>
        <v/>
      </c>
      <c r="GE588" s="59">
        <f>$CT588-$CT589</f>
        <v/>
      </c>
    </row>
    <row r="589">
      <c r="CU589" s="58">
        <f>IFERROR($B589/$B590-1,"")</f>
        <v/>
      </c>
      <c r="CV589" s="59">
        <f>($F589-$F590)*100</f>
        <v/>
      </c>
      <c r="CW589" s="59">
        <f>($E589-$E590)*100</f>
        <v/>
      </c>
      <c r="CX589" s="58">
        <f>IFERROR($K589/$K590-1,"")</f>
        <v/>
      </c>
      <c r="CY589" s="59">
        <f>($AH589-$AH590)*100</f>
        <v/>
      </c>
      <c r="CZ589" s="59">
        <f>($AI589-$AI590)*100</f>
        <v/>
      </c>
      <c r="DA589" s="59">
        <f>($AJ589-$AJ590)*100</f>
        <v/>
      </c>
      <c r="DB589" s="59">
        <f>($AK589-$AK590)*100</f>
        <v/>
      </c>
      <c r="DC589" s="59">
        <f>($AL589-$AL590)*100</f>
        <v/>
      </c>
      <c r="DD589" s="59">
        <f>($AM589-$AM590)*100</f>
        <v/>
      </c>
      <c r="DE589" s="59">
        <f>($AN589-$AN590)*100</f>
        <v/>
      </c>
      <c r="DF589" s="59">
        <f>($AO589-$AO590)*100</f>
        <v/>
      </c>
      <c r="DG589" s="59">
        <f>($AP589-$AP590)*100</f>
        <v/>
      </c>
      <c r="DH589" s="59">
        <f>($AQ589-$AQ590)*100</f>
        <v/>
      </c>
      <c r="DI589" s="59">
        <f>($AR589-$AR590)*100</f>
        <v/>
      </c>
      <c r="DJ589" s="59">
        <f>($AS589-$AS590)*100</f>
        <v/>
      </c>
      <c r="DK589" s="59">
        <f>($AT589-$AT590)*100</f>
        <v/>
      </c>
      <c r="DL589" s="59">
        <f>($AU589-$AU590)*100</f>
        <v/>
      </c>
      <c r="DM589" s="59">
        <f>($AV589-$AV590)*100</f>
        <v/>
      </c>
      <c r="DN589" s="59">
        <f>($AW589-$AW590)*100</f>
        <v/>
      </c>
      <c r="DO589" s="59">
        <f>($AX589-$AX590)*100</f>
        <v/>
      </c>
      <c r="DP589" s="59">
        <f>($AY589-$AY590)*100</f>
        <v/>
      </c>
      <c r="DQ589" s="59">
        <f>($AZ589-$AZ590)*100</f>
        <v/>
      </c>
      <c r="DR589" s="59">
        <f>($BA589-$BA590)*100</f>
        <v/>
      </c>
      <c r="DS589" s="58">
        <f>IFERROR($N590/$N589-1,"")</f>
        <v/>
      </c>
      <c r="DT589" s="58">
        <f>IFERROR($O590/$O589-1,"")</f>
        <v/>
      </c>
      <c r="DU589" s="58">
        <f>IFERROR($P590/$P589-1,"")</f>
        <v/>
      </c>
      <c r="DV589" s="58">
        <f>IFERROR($Q590/$Q589-1,"")</f>
        <v/>
      </c>
      <c r="DW589" s="58">
        <f>IFERROR($R590/$R589-1,"")</f>
        <v/>
      </c>
      <c r="DX589" s="58">
        <f>IFERROR($S590/$S589-1,"")</f>
        <v/>
      </c>
      <c r="DY589" s="58">
        <f>IFERROR($T590/$T589-1,"")</f>
        <v/>
      </c>
      <c r="DZ589" s="58">
        <f>IFERROR($U590/$U589-1,"")</f>
        <v/>
      </c>
      <c r="EA589" s="58">
        <f>IFERROR($V590/$V589-1,"")</f>
        <v/>
      </c>
      <c r="EB589" s="58">
        <f>IFERROR($W590/$W589-1,"")</f>
        <v/>
      </c>
      <c r="EC589" s="58">
        <f>IFERROR($X590/$X589-1,"")</f>
        <v/>
      </c>
      <c r="ED589" s="58">
        <f>IFERROR($Y590/$Y589-1,"")</f>
        <v/>
      </c>
      <c r="EE589" s="58">
        <f>IFERROR($Z590/$Z589-1,"")</f>
        <v/>
      </c>
      <c r="EF589" s="58">
        <f>IFERROR($AA590/$AA589-1,"")</f>
        <v/>
      </c>
      <c r="EG589" s="58">
        <f>IFERROR($AB590/$AB589-1,"")</f>
        <v/>
      </c>
      <c r="EH589" s="58">
        <f>IFERROR($AC590/$AC589-1,"")</f>
        <v/>
      </c>
      <c r="EI589" s="58">
        <f>IFERROR($AD590/$AD589-1,"")</f>
        <v/>
      </c>
      <c r="EJ589" s="58">
        <f>IFERROR($AE590/$AE589-1,"")</f>
        <v/>
      </c>
      <c r="EK589" s="58">
        <f>IFERROR($AF590/$AF589-1,"")</f>
        <v/>
      </c>
      <c r="EL589" s="58">
        <f>IFERROR($AG590/$AG589-1,"")</f>
        <v/>
      </c>
      <c r="EM589" s="58">
        <f>IFERROR($BB589/$BB590-1,"")</f>
        <v/>
      </c>
      <c r="EN589" s="58">
        <f>IFERROR($BC589/$BC590-1,"")</f>
        <v/>
      </c>
      <c r="EO589" s="58">
        <f>IFERROR($BD589/$BD590-1,"")</f>
        <v/>
      </c>
      <c r="EP589" s="58">
        <f>IFERROR($BE589/$BE590-1,"")</f>
        <v/>
      </c>
      <c r="EQ589" s="58">
        <f>IFERROR($BF589/$BF590-1,"")</f>
        <v/>
      </c>
      <c r="ER589" s="58">
        <f>IFERROR($BG589/$BG590-1,"")</f>
        <v/>
      </c>
      <c r="ES589" s="58">
        <f>IFERROR($BH589/$BH590-1,"")</f>
        <v/>
      </c>
      <c r="ET589" s="58">
        <f>IFERROR($BI589/$BI590-1,"")</f>
        <v/>
      </c>
      <c r="EU589" s="58">
        <f>IFERROR($BJ589/$BJ590-1,"")</f>
        <v/>
      </c>
      <c r="EV589" s="58">
        <f>IFERROR($BK589/$BK590-1,"")</f>
        <v/>
      </c>
      <c r="EW589" s="58">
        <f>IFERROR($BL589/$BL590-1,"")</f>
        <v/>
      </c>
      <c r="EX589" s="58">
        <f>IFERROR($BM589/$BM590-1,"")</f>
        <v/>
      </c>
      <c r="EY589" s="58">
        <f>IFERROR($BN589/$BN590-1,"")</f>
        <v/>
      </c>
      <c r="EZ589" s="58">
        <f>IFERROR($BO589/$BO590-1,"")</f>
        <v/>
      </c>
      <c r="FA589" s="58">
        <f>IFERROR($BP589/$BP590-1,"")</f>
        <v/>
      </c>
      <c r="FB589" s="58">
        <f>IFERROR($BQ589/$BQ590-1,"")</f>
        <v/>
      </c>
      <c r="FC589" s="58">
        <f>IFERROR($BR589/$BR590-1,"")</f>
        <v/>
      </c>
      <c r="FD589" s="58">
        <f>IFERROR($BS589/$BS590-1,"")</f>
        <v/>
      </c>
      <c r="FE589" s="58">
        <f>IFERROR($BT589/$BT590-1,"")</f>
        <v/>
      </c>
      <c r="FF589" s="58">
        <f>IFERROR($BU589/$BU590-1,"")</f>
        <v/>
      </c>
      <c r="FG589" s="58">
        <f>IFERROR($BV589/$BV590-1,"")</f>
        <v/>
      </c>
      <c r="FH589" s="58">
        <f>IFERROR($BW589/$BW590-1,"")</f>
        <v/>
      </c>
      <c r="FI589" s="58">
        <f>IFERROR($BX589/$BX590-1,"")</f>
        <v/>
      </c>
      <c r="FJ589" s="59">
        <f>$BY589-$BY590</f>
        <v/>
      </c>
      <c r="FK589" s="59">
        <f>$BZ589-$BZ590</f>
        <v/>
      </c>
      <c r="FL589" s="59">
        <f>$CA589-$CA590</f>
        <v/>
      </c>
      <c r="FM589" s="59">
        <f>$CB589-$CB590</f>
        <v/>
      </c>
      <c r="FN589" s="59">
        <f>$CC589-$CC590</f>
        <v/>
      </c>
      <c r="FO589" s="59">
        <f>$CD589-$CD590</f>
        <v/>
      </c>
      <c r="FP589" s="59">
        <f>$CE589-$CE590</f>
        <v/>
      </c>
      <c r="FQ589" s="59">
        <f>$CF589-$CF590</f>
        <v/>
      </c>
      <c r="FR589" s="59">
        <f>$CG589-$CG590</f>
        <v/>
      </c>
      <c r="FS589" s="59">
        <f>$CH589-$CH590</f>
        <v/>
      </c>
      <c r="FT589" s="59">
        <f>$CI589-$CI590</f>
        <v/>
      </c>
      <c r="FU589" s="59">
        <f>$CJ589-$CJ590</f>
        <v/>
      </c>
      <c r="FV589" s="59">
        <f>$CK589-$CK590</f>
        <v/>
      </c>
      <c r="FW589" s="59">
        <f>$CL589-$CL590</f>
        <v/>
      </c>
      <c r="FX589" s="59">
        <f>$CM589-$CM590</f>
        <v/>
      </c>
      <c r="FY589" s="59">
        <f>$CN589-$CN590</f>
        <v/>
      </c>
      <c r="FZ589" s="59">
        <f>$CO589-$CO590</f>
        <v/>
      </c>
      <c r="GA589" s="59">
        <f>$CP589-$CP590</f>
        <v/>
      </c>
      <c r="GB589" s="59">
        <f>$CQ589-$CQ590</f>
        <v/>
      </c>
      <c r="GC589" s="59">
        <f>$CR589-$CR590</f>
        <v/>
      </c>
      <c r="GD589" s="59">
        <f>$CS589-$CS590</f>
        <v/>
      </c>
      <c r="GE589" s="59">
        <f>$CT589-$CT590</f>
        <v/>
      </c>
    </row>
    <row r="590">
      <c r="CU590" s="58">
        <f>IFERROR($B590/$B591-1,"")</f>
        <v/>
      </c>
      <c r="CV590" s="59">
        <f>($F590-$F591)*100</f>
        <v/>
      </c>
      <c r="CW590" s="59">
        <f>($E590-$E591)*100</f>
        <v/>
      </c>
      <c r="CX590" s="58">
        <f>IFERROR($K590/$K591-1,"")</f>
        <v/>
      </c>
      <c r="CY590" s="59">
        <f>($AH590-$AH591)*100</f>
        <v/>
      </c>
      <c r="CZ590" s="59">
        <f>($AI590-$AI591)*100</f>
        <v/>
      </c>
      <c r="DA590" s="59">
        <f>($AJ590-$AJ591)*100</f>
        <v/>
      </c>
      <c r="DB590" s="59">
        <f>($AK590-$AK591)*100</f>
        <v/>
      </c>
      <c r="DC590" s="59">
        <f>($AL590-$AL591)*100</f>
        <v/>
      </c>
      <c r="DD590" s="59">
        <f>($AM590-$AM591)*100</f>
        <v/>
      </c>
      <c r="DE590" s="59">
        <f>($AN590-$AN591)*100</f>
        <v/>
      </c>
      <c r="DF590" s="59">
        <f>($AO590-$AO591)*100</f>
        <v/>
      </c>
      <c r="DG590" s="59">
        <f>($AP590-$AP591)*100</f>
        <v/>
      </c>
      <c r="DH590" s="59">
        <f>($AQ590-$AQ591)*100</f>
        <v/>
      </c>
      <c r="DI590" s="59">
        <f>($AR590-$AR591)*100</f>
        <v/>
      </c>
      <c r="DJ590" s="59">
        <f>($AS590-$AS591)*100</f>
        <v/>
      </c>
      <c r="DK590" s="59">
        <f>($AT590-$AT591)*100</f>
        <v/>
      </c>
      <c r="DL590" s="59">
        <f>($AU590-$AU591)*100</f>
        <v/>
      </c>
      <c r="DM590" s="59">
        <f>($AV590-$AV591)*100</f>
        <v/>
      </c>
      <c r="DN590" s="59">
        <f>($AW590-$AW591)*100</f>
        <v/>
      </c>
      <c r="DO590" s="59">
        <f>($AX590-$AX591)*100</f>
        <v/>
      </c>
      <c r="DP590" s="59">
        <f>($AY590-$AY591)*100</f>
        <v/>
      </c>
      <c r="DQ590" s="59">
        <f>($AZ590-$AZ591)*100</f>
        <v/>
      </c>
      <c r="DR590" s="59">
        <f>($BA590-$BA591)*100</f>
        <v/>
      </c>
      <c r="DS590" s="58">
        <f>IFERROR($N591/$N590-1,"")</f>
        <v/>
      </c>
      <c r="DT590" s="58">
        <f>IFERROR($O591/$O590-1,"")</f>
        <v/>
      </c>
      <c r="DU590" s="58">
        <f>IFERROR($P591/$P590-1,"")</f>
        <v/>
      </c>
      <c r="DV590" s="58">
        <f>IFERROR($Q591/$Q590-1,"")</f>
        <v/>
      </c>
      <c r="DW590" s="58">
        <f>IFERROR($R591/$R590-1,"")</f>
        <v/>
      </c>
      <c r="DX590" s="58">
        <f>IFERROR($S591/$S590-1,"")</f>
        <v/>
      </c>
      <c r="DY590" s="58">
        <f>IFERROR($T591/$T590-1,"")</f>
        <v/>
      </c>
      <c r="DZ590" s="58">
        <f>IFERROR($U591/$U590-1,"")</f>
        <v/>
      </c>
      <c r="EA590" s="58">
        <f>IFERROR($V591/$V590-1,"")</f>
        <v/>
      </c>
      <c r="EB590" s="58">
        <f>IFERROR($W591/$W590-1,"")</f>
        <v/>
      </c>
      <c r="EC590" s="58">
        <f>IFERROR($X591/$X590-1,"")</f>
        <v/>
      </c>
      <c r="ED590" s="58">
        <f>IFERROR($Y591/$Y590-1,"")</f>
        <v/>
      </c>
      <c r="EE590" s="58">
        <f>IFERROR($Z591/$Z590-1,"")</f>
        <v/>
      </c>
      <c r="EF590" s="58">
        <f>IFERROR($AA591/$AA590-1,"")</f>
        <v/>
      </c>
      <c r="EG590" s="58">
        <f>IFERROR($AB591/$AB590-1,"")</f>
        <v/>
      </c>
      <c r="EH590" s="58">
        <f>IFERROR($AC591/$AC590-1,"")</f>
        <v/>
      </c>
      <c r="EI590" s="58">
        <f>IFERROR($AD591/$AD590-1,"")</f>
        <v/>
      </c>
      <c r="EJ590" s="58">
        <f>IFERROR($AE591/$AE590-1,"")</f>
        <v/>
      </c>
      <c r="EK590" s="58">
        <f>IFERROR($AF591/$AF590-1,"")</f>
        <v/>
      </c>
      <c r="EL590" s="58">
        <f>IFERROR($AG591/$AG590-1,"")</f>
        <v/>
      </c>
      <c r="EM590" s="58">
        <f>IFERROR($BB590/$BB591-1,"")</f>
        <v/>
      </c>
      <c r="EN590" s="58">
        <f>IFERROR($BC590/$BC591-1,"")</f>
        <v/>
      </c>
      <c r="EO590" s="58">
        <f>IFERROR($BD590/$BD591-1,"")</f>
        <v/>
      </c>
      <c r="EP590" s="58">
        <f>IFERROR($BE590/$BE591-1,"")</f>
        <v/>
      </c>
      <c r="EQ590" s="58">
        <f>IFERROR($BF590/$BF591-1,"")</f>
        <v/>
      </c>
      <c r="ER590" s="58">
        <f>IFERROR($BG590/$BG591-1,"")</f>
        <v/>
      </c>
      <c r="ES590" s="58">
        <f>IFERROR($BH590/$BH591-1,"")</f>
        <v/>
      </c>
      <c r="ET590" s="58">
        <f>IFERROR($BI590/$BI591-1,"")</f>
        <v/>
      </c>
      <c r="EU590" s="58">
        <f>IFERROR($BJ590/$BJ591-1,"")</f>
        <v/>
      </c>
      <c r="EV590" s="58">
        <f>IFERROR($BK590/$BK591-1,"")</f>
        <v/>
      </c>
      <c r="EW590" s="58">
        <f>IFERROR($BL590/$BL591-1,"")</f>
        <v/>
      </c>
      <c r="EX590" s="58">
        <f>IFERROR($BM590/$BM591-1,"")</f>
        <v/>
      </c>
      <c r="EY590" s="58">
        <f>IFERROR($BN590/$BN591-1,"")</f>
        <v/>
      </c>
      <c r="EZ590" s="58">
        <f>IFERROR($BO590/$BO591-1,"")</f>
        <v/>
      </c>
      <c r="FA590" s="58">
        <f>IFERROR($BP590/$BP591-1,"")</f>
        <v/>
      </c>
      <c r="FB590" s="58">
        <f>IFERROR($BQ590/$BQ591-1,"")</f>
        <v/>
      </c>
      <c r="FC590" s="58">
        <f>IFERROR($BR590/$BR591-1,"")</f>
        <v/>
      </c>
      <c r="FD590" s="58">
        <f>IFERROR($BS590/$BS591-1,"")</f>
        <v/>
      </c>
      <c r="FE590" s="58">
        <f>IFERROR($BT590/$BT591-1,"")</f>
        <v/>
      </c>
      <c r="FF590" s="58">
        <f>IFERROR($BU590/$BU591-1,"")</f>
        <v/>
      </c>
      <c r="FG590" s="58">
        <f>IFERROR($BV590/$BV591-1,"")</f>
        <v/>
      </c>
      <c r="FH590" s="58">
        <f>IFERROR($BW590/$BW591-1,"")</f>
        <v/>
      </c>
      <c r="FI590" s="58">
        <f>IFERROR($BX590/$BX591-1,"")</f>
        <v/>
      </c>
      <c r="FJ590" s="59">
        <f>$BY590-$BY591</f>
        <v/>
      </c>
      <c r="FK590" s="59">
        <f>$BZ590-$BZ591</f>
        <v/>
      </c>
      <c r="FL590" s="59">
        <f>$CA590-$CA591</f>
        <v/>
      </c>
      <c r="FM590" s="59">
        <f>$CB590-$CB591</f>
        <v/>
      </c>
      <c r="FN590" s="59">
        <f>$CC590-$CC591</f>
        <v/>
      </c>
      <c r="FO590" s="59">
        <f>$CD590-$CD591</f>
        <v/>
      </c>
      <c r="FP590" s="59">
        <f>$CE590-$CE591</f>
        <v/>
      </c>
      <c r="FQ590" s="59">
        <f>$CF590-$CF591</f>
        <v/>
      </c>
      <c r="FR590" s="59">
        <f>$CG590-$CG591</f>
        <v/>
      </c>
      <c r="FS590" s="59">
        <f>$CH590-$CH591</f>
        <v/>
      </c>
      <c r="FT590" s="59">
        <f>$CI590-$CI591</f>
        <v/>
      </c>
      <c r="FU590" s="59">
        <f>$CJ590-$CJ591</f>
        <v/>
      </c>
      <c r="FV590" s="59">
        <f>$CK590-$CK591</f>
        <v/>
      </c>
      <c r="FW590" s="59">
        <f>$CL590-$CL591</f>
        <v/>
      </c>
      <c r="FX590" s="59">
        <f>$CM590-$CM591</f>
        <v/>
      </c>
      <c r="FY590" s="59">
        <f>$CN590-$CN591</f>
        <v/>
      </c>
      <c r="FZ590" s="59">
        <f>$CO590-$CO591</f>
        <v/>
      </c>
      <c r="GA590" s="59">
        <f>$CP590-$CP591</f>
        <v/>
      </c>
      <c r="GB590" s="59">
        <f>$CQ590-$CQ591</f>
        <v/>
      </c>
      <c r="GC590" s="59">
        <f>$CR590-$CR591</f>
        <v/>
      </c>
      <c r="GD590" s="59">
        <f>$CS590-$CS591</f>
        <v/>
      </c>
      <c r="GE590" s="59">
        <f>$CT590-$CT591</f>
        <v/>
      </c>
    </row>
    <row r="591">
      <c r="CU591" s="58">
        <f>IFERROR($B591/$B592-1,"")</f>
        <v/>
      </c>
      <c r="CV591" s="59">
        <f>($F591-$F592)*100</f>
        <v/>
      </c>
      <c r="CW591" s="59">
        <f>($E591-$E592)*100</f>
        <v/>
      </c>
      <c r="CX591" s="58">
        <f>IFERROR($K591/$K592-1,"")</f>
        <v/>
      </c>
      <c r="CY591" s="59">
        <f>($AH591-$AH592)*100</f>
        <v/>
      </c>
      <c r="CZ591" s="59">
        <f>($AI591-$AI592)*100</f>
        <v/>
      </c>
      <c r="DA591" s="59">
        <f>($AJ591-$AJ592)*100</f>
        <v/>
      </c>
      <c r="DB591" s="59">
        <f>($AK591-$AK592)*100</f>
        <v/>
      </c>
      <c r="DC591" s="59">
        <f>($AL591-$AL592)*100</f>
        <v/>
      </c>
      <c r="DD591" s="59">
        <f>($AM591-$AM592)*100</f>
        <v/>
      </c>
      <c r="DE591" s="59">
        <f>($AN591-$AN592)*100</f>
        <v/>
      </c>
      <c r="DF591" s="59">
        <f>($AO591-$AO592)*100</f>
        <v/>
      </c>
      <c r="DG591" s="59">
        <f>($AP591-$AP592)*100</f>
        <v/>
      </c>
      <c r="DH591" s="59">
        <f>($AQ591-$AQ592)*100</f>
        <v/>
      </c>
      <c r="DI591" s="59">
        <f>($AR591-$AR592)*100</f>
        <v/>
      </c>
      <c r="DJ591" s="59">
        <f>($AS591-$AS592)*100</f>
        <v/>
      </c>
      <c r="DK591" s="59">
        <f>($AT591-$AT592)*100</f>
        <v/>
      </c>
      <c r="DL591" s="59">
        <f>($AU591-$AU592)*100</f>
        <v/>
      </c>
      <c r="DM591" s="59">
        <f>($AV591-$AV592)*100</f>
        <v/>
      </c>
      <c r="DN591" s="59">
        <f>($AW591-$AW592)*100</f>
        <v/>
      </c>
      <c r="DO591" s="59">
        <f>($AX591-$AX592)*100</f>
        <v/>
      </c>
      <c r="DP591" s="59">
        <f>($AY591-$AY592)*100</f>
        <v/>
      </c>
      <c r="DQ591" s="59">
        <f>($AZ591-$AZ592)*100</f>
        <v/>
      </c>
      <c r="DR591" s="59">
        <f>($BA591-$BA592)*100</f>
        <v/>
      </c>
      <c r="DS591" s="58">
        <f>IFERROR($N592/$N591-1,"")</f>
        <v/>
      </c>
      <c r="DT591" s="58">
        <f>IFERROR($O592/$O591-1,"")</f>
        <v/>
      </c>
      <c r="DU591" s="58">
        <f>IFERROR($P592/$P591-1,"")</f>
        <v/>
      </c>
      <c r="DV591" s="58">
        <f>IFERROR($Q592/$Q591-1,"")</f>
        <v/>
      </c>
      <c r="DW591" s="58">
        <f>IFERROR($R592/$R591-1,"")</f>
        <v/>
      </c>
      <c r="DX591" s="58">
        <f>IFERROR($S592/$S591-1,"")</f>
        <v/>
      </c>
      <c r="DY591" s="58">
        <f>IFERROR($T592/$T591-1,"")</f>
        <v/>
      </c>
      <c r="DZ591" s="58">
        <f>IFERROR($U592/$U591-1,"")</f>
        <v/>
      </c>
      <c r="EA591" s="58">
        <f>IFERROR($V592/$V591-1,"")</f>
        <v/>
      </c>
      <c r="EB591" s="58">
        <f>IFERROR($W592/$W591-1,"")</f>
        <v/>
      </c>
      <c r="EC591" s="58">
        <f>IFERROR($X592/$X591-1,"")</f>
        <v/>
      </c>
      <c r="ED591" s="58">
        <f>IFERROR($Y592/$Y591-1,"")</f>
        <v/>
      </c>
      <c r="EE591" s="58">
        <f>IFERROR($Z592/$Z591-1,"")</f>
        <v/>
      </c>
      <c r="EF591" s="58">
        <f>IFERROR($AA592/$AA591-1,"")</f>
        <v/>
      </c>
      <c r="EG591" s="58">
        <f>IFERROR($AB592/$AB591-1,"")</f>
        <v/>
      </c>
      <c r="EH591" s="58">
        <f>IFERROR($AC592/$AC591-1,"")</f>
        <v/>
      </c>
      <c r="EI591" s="58">
        <f>IFERROR($AD592/$AD591-1,"")</f>
        <v/>
      </c>
      <c r="EJ591" s="58">
        <f>IFERROR($AE592/$AE591-1,"")</f>
        <v/>
      </c>
      <c r="EK591" s="58">
        <f>IFERROR($AF592/$AF591-1,"")</f>
        <v/>
      </c>
      <c r="EL591" s="58">
        <f>IFERROR($AG592/$AG591-1,"")</f>
        <v/>
      </c>
      <c r="EM591" s="58">
        <f>IFERROR($BB591/$BB592-1,"")</f>
        <v/>
      </c>
      <c r="EN591" s="58">
        <f>IFERROR($BC591/$BC592-1,"")</f>
        <v/>
      </c>
      <c r="EO591" s="58">
        <f>IFERROR($BD591/$BD592-1,"")</f>
        <v/>
      </c>
      <c r="EP591" s="58">
        <f>IFERROR($BE591/$BE592-1,"")</f>
        <v/>
      </c>
      <c r="EQ591" s="58">
        <f>IFERROR($BF591/$BF592-1,"")</f>
        <v/>
      </c>
      <c r="ER591" s="58">
        <f>IFERROR($BG591/$BG592-1,"")</f>
        <v/>
      </c>
      <c r="ES591" s="58">
        <f>IFERROR($BH591/$BH592-1,"")</f>
        <v/>
      </c>
      <c r="ET591" s="58">
        <f>IFERROR($BI591/$BI592-1,"")</f>
        <v/>
      </c>
      <c r="EU591" s="58">
        <f>IFERROR($BJ591/$BJ592-1,"")</f>
        <v/>
      </c>
      <c r="EV591" s="58">
        <f>IFERROR($BK591/$BK592-1,"")</f>
        <v/>
      </c>
      <c r="EW591" s="58">
        <f>IFERROR($BL591/$BL592-1,"")</f>
        <v/>
      </c>
      <c r="EX591" s="58">
        <f>IFERROR($BM591/$BM592-1,"")</f>
        <v/>
      </c>
      <c r="EY591" s="58">
        <f>IFERROR($BN591/$BN592-1,"")</f>
        <v/>
      </c>
      <c r="EZ591" s="58">
        <f>IFERROR($BO591/$BO592-1,"")</f>
        <v/>
      </c>
      <c r="FA591" s="58">
        <f>IFERROR($BP591/$BP592-1,"")</f>
        <v/>
      </c>
      <c r="FB591" s="58">
        <f>IFERROR($BQ591/$BQ592-1,"")</f>
        <v/>
      </c>
      <c r="FC591" s="58">
        <f>IFERROR($BR591/$BR592-1,"")</f>
        <v/>
      </c>
      <c r="FD591" s="58">
        <f>IFERROR($BS591/$BS592-1,"")</f>
        <v/>
      </c>
      <c r="FE591" s="58">
        <f>IFERROR($BT591/$BT592-1,"")</f>
        <v/>
      </c>
      <c r="FF591" s="58">
        <f>IFERROR($BU591/$BU592-1,"")</f>
        <v/>
      </c>
      <c r="FG591" s="58">
        <f>IFERROR($BV591/$BV592-1,"")</f>
        <v/>
      </c>
      <c r="FH591" s="58">
        <f>IFERROR($BW591/$BW592-1,"")</f>
        <v/>
      </c>
      <c r="FI591" s="58">
        <f>IFERROR($BX591/$BX592-1,"")</f>
        <v/>
      </c>
      <c r="FJ591" s="59">
        <f>$BY591-$BY592</f>
        <v/>
      </c>
      <c r="FK591" s="59">
        <f>$BZ591-$BZ592</f>
        <v/>
      </c>
      <c r="FL591" s="59">
        <f>$CA591-$CA592</f>
        <v/>
      </c>
      <c r="FM591" s="59">
        <f>$CB591-$CB592</f>
        <v/>
      </c>
      <c r="FN591" s="59">
        <f>$CC591-$CC592</f>
        <v/>
      </c>
      <c r="FO591" s="59">
        <f>$CD591-$CD592</f>
        <v/>
      </c>
      <c r="FP591" s="59">
        <f>$CE591-$CE592</f>
        <v/>
      </c>
      <c r="FQ591" s="59">
        <f>$CF591-$CF592</f>
        <v/>
      </c>
      <c r="FR591" s="59">
        <f>$CG591-$CG592</f>
        <v/>
      </c>
      <c r="FS591" s="59">
        <f>$CH591-$CH592</f>
        <v/>
      </c>
      <c r="FT591" s="59">
        <f>$CI591-$CI592</f>
        <v/>
      </c>
      <c r="FU591" s="59">
        <f>$CJ591-$CJ592</f>
        <v/>
      </c>
      <c r="FV591" s="59">
        <f>$CK591-$CK592</f>
        <v/>
      </c>
      <c r="FW591" s="59">
        <f>$CL591-$CL592</f>
        <v/>
      </c>
      <c r="FX591" s="59">
        <f>$CM591-$CM592</f>
        <v/>
      </c>
      <c r="FY591" s="59">
        <f>$CN591-$CN592</f>
        <v/>
      </c>
      <c r="FZ591" s="59">
        <f>$CO591-$CO592</f>
        <v/>
      </c>
      <c r="GA591" s="59">
        <f>$CP591-$CP592</f>
        <v/>
      </c>
      <c r="GB591" s="59">
        <f>$CQ591-$CQ592</f>
        <v/>
      </c>
      <c r="GC591" s="59">
        <f>$CR591-$CR592</f>
        <v/>
      </c>
      <c r="GD591" s="59">
        <f>$CS591-$CS592</f>
        <v/>
      </c>
      <c r="GE591" s="59">
        <f>$CT591-$CT592</f>
        <v/>
      </c>
    </row>
    <row r="592">
      <c r="CU592" s="58">
        <f>IFERROR($B592/$B593-1,"")</f>
        <v/>
      </c>
      <c r="CV592" s="59">
        <f>($F592-$F593)*100</f>
        <v/>
      </c>
      <c r="CW592" s="59">
        <f>($E592-$E593)*100</f>
        <v/>
      </c>
      <c r="CX592" s="58">
        <f>IFERROR($K592/$K593-1,"")</f>
        <v/>
      </c>
      <c r="CY592" s="59">
        <f>($AH592-$AH593)*100</f>
        <v/>
      </c>
      <c r="CZ592" s="59">
        <f>($AI592-$AI593)*100</f>
        <v/>
      </c>
      <c r="DA592" s="59">
        <f>($AJ592-$AJ593)*100</f>
        <v/>
      </c>
      <c r="DB592" s="59">
        <f>($AK592-$AK593)*100</f>
        <v/>
      </c>
      <c r="DC592" s="59">
        <f>($AL592-$AL593)*100</f>
        <v/>
      </c>
      <c r="DD592" s="59">
        <f>($AM592-$AM593)*100</f>
        <v/>
      </c>
      <c r="DE592" s="59">
        <f>($AN592-$AN593)*100</f>
        <v/>
      </c>
      <c r="DF592" s="59">
        <f>($AO592-$AO593)*100</f>
        <v/>
      </c>
      <c r="DG592" s="59">
        <f>($AP592-$AP593)*100</f>
        <v/>
      </c>
      <c r="DH592" s="59">
        <f>($AQ592-$AQ593)*100</f>
        <v/>
      </c>
      <c r="DI592" s="59">
        <f>($AR592-$AR593)*100</f>
        <v/>
      </c>
      <c r="DJ592" s="59">
        <f>($AS592-$AS593)*100</f>
        <v/>
      </c>
      <c r="DK592" s="59">
        <f>($AT592-$AT593)*100</f>
        <v/>
      </c>
      <c r="DL592" s="59">
        <f>($AU592-$AU593)*100</f>
        <v/>
      </c>
      <c r="DM592" s="59">
        <f>($AV592-$AV593)*100</f>
        <v/>
      </c>
      <c r="DN592" s="59">
        <f>($AW592-$AW593)*100</f>
        <v/>
      </c>
      <c r="DO592" s="59">
        <f>($AX592-$AX593)*100</f>
        <v/>
      </c>
      <c r="DP592" s="59">
        <f>($AY592-$AY593)*100</f>
        <v/>
      </c>
      <c r="DQ592" s="59">
        <f>($AZ592-$AZ593)*100</f>
        <v/>
      </c>
      <c r="DR592" s="59">
        <f>($BA592-$BA593)*100</f>
        <v/>
      </c>
      <c r="DS592" s="58">
        <f>IFERROR($N593/$N592-1,"")</f>
        <v/>
      </c>
      <c r="DT592" s="58">
        <f>IFERROR($O593/$O592-1,"")</f>
        <v/>
      </c>
      <c r="DU592" s="58">
        <f>IFERROR($P593/$P592-1,"")</f>
        <v/>
      </c>
      <c r="DV592" s="58">
        <f>IFERROR($Q593/$Q592-1,"")</f>
        <v/>
      </c>
      <c r="DW592" s="58">
        <f>IFERROR($R593/$R592-1,"")</f>
        <v/>
      </c>
      <c r="DX592" s="58">
        <f>IFERROR($S593/$S592-1,"")</f>
        <v/>
      </c>
      <c r="DY592" s="58">
        <f>IFERROR($T593/$T592-1,"")</f>
        <v/>
      </c>
      <c r="DZ592" s="58">
        <f>IFERROR($U593/$U592-1,"")</f>
        <v/>
      </c>
      <c r="EA592" s="58">
        <f>IFERROR($V593/$V592-1,"")</f>
        <v/>
      </c>
      <c r="EB592" s="58">
        <f>IFERROR($W593/$W592-1,"")</f>
        <v/>
      </c>
      <c r="EC592" s="58">
        <f>IFERROR($X593/$X592-1,"")</f>
        <v/>
      </c>
      <c r="ED592" s="58">
        <f>IFERROR($Y593/$Y592-1,"")</f>
        <v/>
      </c>
      <c r="EE592" s="58">
        <f>IFERROR($Z593/$Z592-1,"")</f>
        <v/>
      </c>
      <c r="EF592" s="58">
        <f>IFERROR($AA593/$AA592-1,"")</f>
        <v/>
      </c>
      <c r="EG592" s="58">
        <f>IFERROR($AB593/$AB592-1,"")</f>
        <v/>
      </c>
      <c r="EH592" s="58">
        <f>IFERROR($AC593/$AC592-1,"")</f>
        <v/>
      </c>
      <c r="EI592" s="58">
        <f>IFERROR($AD593/$AD592-1,"")</f>
        <v/>
      </c>
      <c r="EJ592" s="58">
        <f>IFERROR($AE593/$AE592-1,"")</f>
        <v/>
      </c>
      <c r="EK592" s="58">
        <f>IFERROR($AF593/$AF592-1,"")</f>
        <v/>
      </c>
      <c r="EL592" s="58">
        <f>IFERROR($AG593/$AG592-1,"")</f>
        <v/>
      </c>
      <c r="EM592" s="58">
        <f>IFERROR($BB592/$BB593-1,"")</f>
        <v/>
      </c>
      <c r="EN592" s="58">
        <f>IFERROR($BC592/$BC593-1,"")</f>
        <v/>
      </c>
      <c r="EO592" s="58">
        <f>IFERROR($BD592/$BD593-1,"")</f>
        <v/>
      </c>
      <c r="EP592" s="58">
        <f>IFERROR($BE592/$BE593-1,"")</f>
        <v/>
      </c>
      <c r="EQ592" s="58">
        <f>IFERROR($BF592/$BF593-1,"")</f>
        <v/>
      </c>
      <c r="ER592" s="58">
        <f>IFERROR($BG592/$BG593-1,"")</f>
        <v/>
      </c>
      <c r="ES592" s="58">
        <f>IFERROR($BH592/$BH593-1,"")</f>
        <v/>
      </c>
      <c r="ET592" s="58">
        <f>IFERROR($BI592/$BI593-1,"")</f>
        <v/>
      </c>
      <c r="EU592" s="58">
        <f>IFERROR($BJ592/$BJ593-1,"")</f>
        <v/>
      </c>
      <c r="EV592" s="58">
        <f>IFERROR($BK592/$BK593-1,"")</f>
        <v/>
      </c>
      <c r="EW592" s="58">
        <f>IFERROR($BL592/$BL593-1,"")</f>
        <v/>
      </c>
      <c r="EX592" s="58">
        <f>IFERROR($BM592/$BM593-1,"")</f>
        <v/>
      </c>
      <c r="EY592" s="58">
        <f>IFERROR($BN592/$BN593-1,"")</f>
        <v/>
      </c>
      <c r="EZ592" s="58">
        <f>IFERROR($BO592/$BO593-1,"")</f>
        <v/>
      </c>
      <c r="FA592" s="58">
        <f>IFERROR($BP592/$BP593-1,"")</f>
        <v/>
      </c>
      <c r="FB592" s="58">
        <f>IFERROR($BQ592/$BQ593-1,"")</f>
        <v/>
      </c>
      <c r="FC592" s="58">
        <f>IFERROR($BR592/$BR593-1,"")</f>
        <v/>
      </c>
      <c r="FD592" s="58">
        <f>IFERROR($BS592/$BS593-1,"")</f>
        <v/>
      </c>
      <c r="FE592" s="58">
        <f>IFERROR($BT592/$BT593-1,"")</f>
        <v/>
      </c>
      <c r="FF592" s="58">
        <f>IFERROR($BU592/$BU593-1,"")</f>
        <v/>
      </c>
      <c r="FG592" s="58">
        <f>IFERROR($BV592/$BV593-1,"")</f>
        <v/>
      </c>
      <c r="FH592" s="58">
        <f>IFERROR($BW592/$BW593-1,"")</f>
        <v/>
      </c>
      <c r="FI592" s="58">
        <f>IFERROR($BX592/$BX593-1,"")</f>
        <v/>
      </c>
      <c r="FJ592" s="59">
        <f>$BY592-$BY593</f>
        <v/>
      </c>
      <c r="FK592" s="59">
        <f>$BZ592-$BZ593</f>
        <v/>
      </c>
      <c r="FL592" s="59">
        <f>$CA592-$CA593</f>
        <v/>
      </c>
      <c r="FM592" s="59">
        <f>$CB592-$CB593</f>
        <v/>
      </c>
      <c r="FN592" s="59">
        <f>$CC592-$CC593</f>
        <v/>
      </c>
      <c r="FO592" s="59">
        <f>$CD592-$CD593</f>
        <v/>
      </c>
      <c r="FP592" s="59">
        <f>$CE592-$CE593</f>
        <v/>
      </c>
      <c r="FQ592" s="59">
        <f>$CF592-$CF593</f>
        <v/>
      </c>
      <c r="FR592" s="59">
        <f>$CG592-$CG593</f>
        <v/>
      </c>
      <c r="FS592" s="59">
        <f>$CH592-$CH593</f>
        <v/>
      </c>
      <c r="FT592" s="59">
        <f>$CI592-$CI593</f>
        <v/>
      </c>
      <c r="FU592" s="59">
        <f>$CJ592-$CJ593</f>
        <v/>
      </c>
      <c r="FV592" s="59">
        <f>$CK592-$CK593</f>
        <v/>
      </c>
      <c r="FW592" s="59">
        <f>$CL592-$CL593</f>
        <v/>
      </c>
      <c r="FX592" s="59">
        <f>$CM592-$CM593</f>
        <v/>
      </c>
      <c r="FY592" s="59">
        <f>$CN592-$CN593</f>
        <v/>
      </c>
      <c r="FZ592" s="59">
        <f>$CO592-$CO593</f>
        <v/>
      </c>
      <c r="GA592" s="59">
        <f>$CP592-$CP593</f>
        <v/>
      </c>
      <c r="GB592" s="59">
        <f>$CQ592-$CQ593</f>
        <v/>
      </c>
      <c r="GC592" s="59">
        <f>$CR592-$CR593</f>
        <v/>
      </c>
      <c r="GD592" s="59">
        <f>$CS592-$CS593</f>
        <v/>
      </c>
      <c r="GE592" s="59">
        <f>$CT592-$CT593</f>
        <v/>
      </c>
    </row>
    <row r="593">
      <c r="CU593" s="58">
        <f>IFERROR($B593/$B594-1,"")</f>
        <v/>
      </c>
      <c r="CV593" s="59">
        <f>($F593-$F594)*100</f>
        <v/>
      </c>
      <c r="CW593" s="59">
        <f>($E593-$E594)*100</f>
        <v/>
      </c>
      <c r="CX593" s="58">
        <f>IFERROR($K593/$K594-1,"")</f>
        <v/>
      </c>
      <c r="CY593" s="59">
        <f>($AH593-$AH594)*100</f>
        <v/>
      </c>
      <c r="CZ593" s="59">
        <f>($AI593-$AI594)*100</f>
        <v/>
      </c>
      <c r="DA593" s="59">
        <f>($AJ593-$AJ594)*100</f>
        <v/>
      </c>
      <c r="DB593" s="59">
        <f>($AK593-$AK594)*100</f>
        <v/>
      </c>
      <c r="DC593" s="59">
        <f>($AL593-$AL594)*100</f>
        <v/>
      </c>
      <c r="DD593" s="59">
        <f>($AM593-$AM594)*100</f>
        <v/>
      </c>
      <c r="DE593" s="59">
        <f>($AN593-$AN594)*100</f>
        <v/>
      </c>
      <c r="DF593" s="59">
        <f>($AO593-$AO594)*100</f>
        <v/>
      </c>
      <c r="DG593" s="59">
        <f>($AP593-$AP594)*100</f>
        <v/>
      </c>
      <c r="DH593" s="59">
        <f>($AQ593-$AQ594)*100</f>
        <v/>
      </c>
      <c r="DI593" s="59">
        <f>($AR593-$AR594)*100</f>
        <v/>
      </c>
      <c r="DJ593" s="59">
        <f>($AS593-$AS594)*100</f>
        <v/>
      </c>
      <c r="DK593" s="59">
        <f>($AT593-$AT594)*100</f>
        <v/>
      </c>
      <c r="DL593" s="59">
        <f>($AU593-$AU594)*100</f>
        <v/>
      </c>
      <c r="DM593" s="59">
        <f>($AV593-$AV594)*100</f>
        <v/>
      </c>
      <c r="DN593" s="59">
        <f>($AW593-$AW594)*100</f>
        <v/>
      </c>
      <c r="DO593" s="59">
        <f>($AX593-$AX594)*100</f>
        <v/>
      </c>
      <c r="DP593" s="59">
        <f>($AY593-$AY594)*100</f>
        <v/>
      </c>
      <c r="DQ593" s="59">
        <f>($AZ593-$AZ594)*100</f>
        <v/>
      </c>
      <c r="DR593" s="59">
        <f>($BA593-$BA594)*100</f>
        <v/>
      </c>
      <c r="DS593" s="58">
        <f>IFERROR($N594/$N593-1,"")</f>
        <v/>
      </c>
      <c r="DT593" s="58">
        <f>IFERROR($O594/$O593-1,"")</f>
        <v/>
      </c>
      <c r="DU593" s="58">
        <f>IFERROR($P594/$P593-1,"")</f>
        <v/>
      </c>
      <c r="DV593" s="58">
        <f>IFERROR($Q594/$Q593-1,"")</f>
        <v/>
      </c>
      <c r="DW593" s="58">
        <f>IFERROR($R594/$R593-1,"")</f>
        <v/>
      </c>
      <c r="DX593" s="58">
        <f>IFERROR($S594/$S593-1,"")</f>
        <v/>
      </c>
      <c r="DY593" s="58">
        <f>IFERROR($T594/$T593-1,"")</f>
        <v/>
      </c>
      <c r="DZ593" s="58">
        <f>IFERROR($U594/$U593-1,"")</f>
        <v/>
      </c>
      <c r="EA593" s="58">
        <f>IFERROR($V594/$V593-1,"")</f>
        <v/>
      </c>
      <c r="EB593" s="58">
        <f>IFERROR($W594/$W593-1,"")</f>
        <v/>
      </c>
      <c r="EC593" s="58">
        <f>IFERROR($X594/$X593-1,"")</f>
        <v/>
      </c>
      <c r="ED593" s="58">
        <f>IFERROR($Y594/$Y593-1,"")</f>
        <v/>
      </c>
      <c r="EE593" s="58">
        <f>IFERROR($Z594/$Z593-1,"")</f>
        <v/>
      </c>
      <c r="EF593" s="58">
        <f>IFERROR($AA594/$AA593-1,"")</f>
        <v/>
      </c>
      <c r="EG593" s="58">
        <f>IFERROR($AB594/$AB593-1,"")</f>
        <v/>
      </c>
      <c r="EH593" s="58">
        <f>IFERROR($AC594/$AC593-1,"")</f>
        <v/>
      </c>
      <c r="EI593" s="58">
        <f>IFERROR($AD594/$AD593-1,"")</f>
        <v/>
      </c>
      <c r="EJ593" s="58">
        <f>IFERROR($AE594/$AE593-1,"")</f>
        <v/>
      </c>
      <c r="EK593" s="58">
        <f>IFERROR($AF594/$AF593-1,"")</f>
        <v/>
      </c>
      <c r="EL593" s="58">
        <f>IFERROR($AG594/$AG593-1,"")</f>
        <v/>
      </c>
      <c r="EM593" s="58">
        <f>IFERROR($BB593/$BB594-1,"")</f>
        <v/>
      </c>
      <c r="EN593" s="58">
        <f>IFERROR($BC593/$BC594-1,"")</f>
        <v/>
      </c>
      <c r="EO593" s="58">
        <f>IFERROR($BD593/$BD594-1,"")</f>
        <v/>
      </c>
      <c r="EP593" s="58">
        <f>IFERROR($BE593/$BE594-1,"")</f>
        <v/>
      </c>
      <c r="EQ593" s="58">
        <f>IFERROR($BF593/$BF594-1,"")</f>
        <v/>
      </c>
      <c r="ER593" s="58">
        <f>IFERROR($BG593/$BG594-1,"")</f>
        <v/>
      </c>
      <c r="ES593" s="58">
        <f>IFERROR($BH593/$BH594-1,"")</f>
        <v/>
      </c>
      <c r="ET593" s="58">
        <f>IFERROR($BI593/$BI594-1,"")</f>
        <v/>
      </c>
      <c r="EU593" s="58">
        <f>IFERROR($BJ593/$BJ594-1,"")</f>
        <v/>
      </c>
      <c r="EV593" s="58">
        <f>IFERROR($BK593/$BK594-1,"")</f>
        <v/>
      </c>
      <c r="EW593" s="58">
        <f>IFERROR($BL593/$BL594-1,"")</f>
        <v/>
      </c>
      <c r="EX593" s="58">
        <f>IFERROR($BM593/$BM594-1,"")</f>
        <v/>
      </c>
      <c r="EY593" s="58">
        <f>IFERROR($BN593/$BN594-1,"")</f>
        <v/>
      </c>
      <c r="EZ593" s="58">
        <f>IFERROR($BO593/$BO594-1,"")</f>
        <v/>
      </c>
      <c r="FA593" s="58">
        <f>IFERROR($BP593/$BP594-1,"")</f>
        <v/>
      </c>
      <c r="FB593" s="58">
        <f>IFERROR($BQ593/$BQ594-1,"")</f>
        <v/>
      </c>
      <c r="FC593" s="58">
        <f>IFERROR($BR593/$BR594-1,"")</f>
        <v/>
      </c>
      <c r="FD593" s="58">
        <f>IFERROR($BS593/$BS594-1,"")</f>
        <v/>
      </c>
      <c r="FE593" s="58">
        <f>IFERROR($BT593/$BT594-1,"")</f>
        <v/>
      </c>
      <c r="FF593" s="58">
        <f>IFERROR($BU593/$BU594-1,"")</f>
        <v/>
      </c>
      <c r="FG593" s="58">
        <f>IFERROR($BV593/$BV594-1,"")</f>
        <v/>
      </c>
      <c r="FH593" s="58">
        <f>IFERROR($BW593/$BW594-1,"")</f>
        <v/>
      </c>
      <c r="FI593" s="58">
        <f>IFERROR($BX593/$BX594-1,"")</f>
        <v/>
      </c>
      <c r="FJ593" s="59">
        <f>$BY593-$BY594</f>
        <v/>
      </c>
      <c r="FK593" s="59">
        <f>$BZ593-$BZ594</f>
        <v/>
      </c>
      <c r="FL593" s="59">
        <f>$CA593-$CA594</f>
        <v/>
      </c>
      <c r="FM593" s="59">
        <f>$CB593-$CB594</f>
        <v/>
      </c>
      <c r="FN593" s="59">
        <f>$CC593-$CC594</f>
        <v/>
      </c>
      <c r="FO593" s="59">
        <f>$CD593-$CD594</f>
        <v/>
      </c>
      <c r="FP593" s="59">
        <f>$CE593-$CE594</f>
        <v/>
      </c>
      <c r="FQ593" s="59">
        <f>$CF593-$CF594</f>
        <v/>
      </c>
      <c r="FR593" s="59">
        <f>$CG593-$CG594</f>
        <v/>
      </c>
      <c r="FS593" s="59">
        <f>$CH593-$CH594</f>
        <v/>
      </c>
      <c r="FT593" s="59">
        <f>$CI593-$CI594</f>
        <v/>
      </c>
      <c r="FU593" s="59">
        <f>$CJ593-$CJ594</f>
        <v/>
      </c>
      <c r="FV593" s="59">
        <f>$CK593-$CK594</f>
        <v/>
      </c>
      <c r="FW593" s="59">
        <f>$CL593-$CL594</f>
        <v/>
      </c>
      <c r="FX593" s="59">
        <f>$CM593-$CM594</f>
        <v/>
      </c>
      <c r="FY593" s="59">
        <f>$CN593-$CN594</f>
        <v/>
      </c>
      <c r="FZ593" s="59">
        <f>$CO593-$CO594</f>
        <v/>
      </c>
      <c r="GA593" s="59">
        <f>$CP593-$CP594</f>
        <v/>
      </c>
      <c r="GB593" s="59">
        <f>$CQ593-$CQ594</f>
        <v/>
      </c>
      <c r="GC593" s="59">
        <f>$CR593-$CR594</f>
        <v/>
      </c>
      <c r="GD593" s="59">
        <f>$CS593-$CS594</f>
        <v/>
      </c>
      <c r="GE593" s="59">
        <f>$CT593-$CT594</f>
        <v/>
      </c>
    </row>
    <row r="594">
      <c r="CU594" s="58">
        <f>IFERROR($B594/$B595-1,"")</f>
        <v/>
      </c>
      <c r="CV594" s="59">
        <f>($F594-$F595)*100</f>
        <v/>
      </c>
      <c r="CW594" s="59">
        <f>($E594-$E595)*100</f>
        <v/>
      </c>
      <c r="CX594" s="58">
        <f>IFERROR($K594/$K595-1,"")</f>
        <v/>
      </c>
      <c r="CY594" s="59">
        <f>($AH594-$AH595)*100</f>
        <v/>
      </c>
      <c r="CZ594" s="59">
        <f>($AI594-$AI595)*100</f>
        <v/>
      </c>
      <c r="DA594" s="59">
        <f>($AJ594-$AJ595)*100</f>
        <v/>
      </c>
      <c r="DB594" s="59">
        <f>($AK594-$AK595)*100</f>
        <v/>
      </c>
      <c r="DC594" s="59">
        <f>($AL594-$AL595)*100</f>
        <v/>
      </c>
      <c r="DD594" s="59">
        <f>($AM594-$AM595)*100</f>
        <v/>
      </c>
      <c r="DE594" s="59">
        <f>($AN594-$AN595)*100</f>
        <v/>
      </c>
      <c r="DF594" s="59">
        <f>($AO594-$AO595)*100</f>
        <v/>
      </c>
      <c r="DG594" s="59">
        <f>($AP594-$AP595)*100</f>
        <v/>
      </c>
      <c r="DH594" s="59">
        <f>($AQ594-$AQ595)*100</f>
        <v/>
      </c>
      <c r="DI594" s="59">
        <f>($AR594-$AR595)*100</f>
        <v/>
      </c>
      <c r="DJ594" s="59">
        <f>($AS594-$AS595)*100</f>
        <v/>
      </c>
      <c r="DK594" s="59">
        <f>($AT594-$AT595)*100</f>
        <v/>
      </c>
      <c r="DL594" s="59">
        <f>($AU594-$AU595)*100</f>
        <v/>
      </c>
      <c r="DM594" s="59">
        <f>($AV594-$AV595)*100</f>
        <v/>
      </c>
      <c r="DN594" s="59">
        <f>($AW594-$AW595)*100</f>
        <v/>
      </c>
      <c r="DO594" s="59">
        <f>($AX594-$AX595)*100</f>
        <v/>
      </c>
      <c r="DP594" s="59">
        <f>($AY594-$AY595)*100</f>
        <v/>
      </c>
      <c r="DQ594" s="59">
        <f>($AZ594-$AZ595)*100</f>
        <v/>
      </c>
      <c r="DR594" s="59">
        <f>($BA594-$BA595)*100</f>
        <v/>
      </c>
      <c r="DS594" s="58">
        <f>IFERROR($N595/$N594-1,"")</f>
        <v/>
      </c>
      <c r="DT594" s="58">
        <f>IFERROR($O595/$O594-1,"")</f>
        <v/>
      </c>
      <c r="DU594" s="58">
        <f>IFERROR($P595/$P594-1,"")</f>
        <v/>
      </c>
      <c r="DV594" s="58">
        <f>IFERROR($Q595/$Q594-1,"")</f>
        <v/>
      </c>
      <c r="DW594" s="58">
        <f>IFERROR($R595/$R594-1,"")</f>
        <v/>
      </c>
      <c r="DX594" s="58">
        <f>IFERROR($S595/$S594-1,"")</f>
        <v/>
      </c>
      <c r="DY594" s="58">
        <f>IFERROR($T595/$T594-1,"")</f>
        <v/>
      </c>
      <c r="DZ594" s="58">
        <f>IFERROR($U595/$U594-1,"")</f>
        <v/>
      </c>
      <c r="EA594" s="58">
        <f>IFERROR($V595/$V594-1,"")</f>
        <v/>
      </c>
      <c r="EB594" s="58">
        <f>IFERROR($W595/$W594-1,"")</f>
        <v/>
      </c>
      <c r="EC594" s="58">
        <f>IFERROR($X595/$X594-1,"")</f>
        <v/>
      </c>
      <c r="ED594" s="58">
        <f>IFERROR($Y595/$Y594-1,"")</f>
        <v/>
      </c>
      <c r="EE594" s="58">
        <f>IFERROR($Z595/$Z594-1,"")</f>
        <v/>
      </c>
      <c r="EF594" s="58">
        <f>IFERROR($AA595/$AA594-1,"")</f>
        <v/>
      </c>
      <c r="EG594" s="58">
        <f>IFERROR($AB595/$AB594-1,"")</f>
        <v/>
      </c>
      <c r="EH594" s="58">
        <f>IFERROR($AC595/$AC594-1,"")</f>
        <v/>
      </c>
      <c r="EI594" s="58">
        <f>IFERROR($AD595/$AD594-1,"")</f>
        <v/>
      </c>
      <c r="EJ594" s="58">
        <f>IFERROR($AE595/$AE594-1,"")</f>
        <v/>
      </c>
      <c r="EK594" s="58">
        <f>IFERROR($AF595/$AF594-1,"")</f>
        <v/>
      </c>
      <c r="EL594" s="58">
        <f>IFERROR($AG595/$AG594-1,"")</f>
        <v/>
      </c>
      <c r="EM594" s="58">
        <f>IFERROR($BB594/$BB595-1,"")</f>
        <v/>
      </c>
      <c r="EN594" s="58">
        <f>IFERROR($BC594/$BC595-1,"")</f>
        <v/>
      </c>
      <c r="EO594" s="58">
        <f>IFERROR($BD594/$BD595-1,"")</f>
        <v/>
      </c>
      <c r="EP594" s="58">
        <f>IFERROR($BE594/$BE595-1,"")</f>
        <v/>
      </c>
      <c r="EQ594" s="58">
        <f>IFERROR($BF594/$BF595-1,"")</f>
        <v/>
      </c>
      <c r="ER594" s="58">
        <f>IFERROR($BG594/$BG595-1,"")</f>
        <v/>
      </c>
      <c r="ES594" s="58">
        <f>IFERROR($BH594/$BH595-1,"")</f>
        <v/>
      </c>
      <c r="ET594" s="58">
        <f>IFERROR($BI594/$BI595-1,"")</f>
        <v/>
      </c>
      <c r="EU594" s="58">
        <f>IFERROR($BJ594/$BJ595-1,"")</f>
        <v/>
      </c>
      <c r="EV594" s="58">
        <f>IFERROR($BK594/$BK595-1,"")</f>
        <v/>
      </c>
      <c r="EW594" s="58">
        <f>IFERROR($BL594/$BL595-1,"")</f>
        <v/>
      </c>
      <c r="EX594" s="58">
        <f>IFERROR($BM594/$BM595-1,"")</f>
        <v/>
      </c>
      <c r="EY594" s="58">
        <f>IFERROR($BN594/$BN595-1,"")</f>
        <v/>
      </c>
      <c r="EZ594" s="58">
        <f>IFERROR($BO594/$BO595-1,"")</f>
        <v/>
      </c>
      <c r="FA594" s="58">
        <f>IFERROR($BP594/$BP595-1,"")</f>
        <v/>
      </c>
      <c r="FB594" s="58">
        <f>IFERROR($BQ594/$BQ595-1,"")</f>
        <v/>
      </c>
      <c r="FC594" s="58">
        <f>IFERROR($BR594/$BR595-1,"")</f>
        <v/>
      </c>
      <c r="FD594" s="58">
        <f>IFERROR($BS594/$BS595-1,"")</f>
        <v/>
      </c>
      <c r="FE594" s="58">
        <f>IFERROR($BT594/$BT595-1,"")</f>
        <v/>
      </c>
      <c r="FF594" s="58">
        <f>IFERROR($BU594/$BU595-1,"")</f>
        <v/>
      </c>
      <c r="FG594" s="58">
        <f>IFERROR($BV594/$BV595-1,"")</f>
        <v/>
      </c>
      <c r="FH594" s="58">
        <f>IFERROR($BW594/$BW595-1,"")</f>
        <v/>
      </c>
      <c r="FI594" s="58">
        <f>IFERROR($BX594/$BX595-1,"")</f>
        <v/>
      </c>
      <c r="FJ594" s="59">
        <f>$BY594-$BY595</f>
        <v/>
      </c>
      <c r="FK594" s="59">
        <f>$BZ594-$BZ595</f>
        <v/>
      </c>
      <c r="FL594" s="59">
        <f>$CA594-$CA595</f>
        <v/>
      </c>
      <c r="FM594" s="59">
        <f>$CB594-$CB595</f>
        <v/>
      </c>
      <c r="FN594" s="59">
        <f>$CC594-$CC595</f>
        <v/>
      </c>
      <c r="FO594" s="59">
        <f>$CD594-$CD595</f>
        <v/>
      </c>
      <c r="FP594" s="59">
        <f>$CE594-$CE595</f>
        <v/>
      </c>
      <c r="FQ594" s="59">
        <f>$CF594-$CF595</f>
        <v/>
      </c>
      <c r="FR594" s="59">
        <f>$CG594-$CG595</f>
        <v/>
      </c>
      <c r="FS594" s="59">
        <f>$CH594-$CH595</f>
        <v/>
      </c>
      <c r="FT594" s="59">
        <f>$CI594-$CI595</f>
        <v/>
      </c>
      <c r="FU594" s="59">
        <f>$CJ594-$CJ595</f>
        <v/>
      </c>
      <c r="FV594" s="59">
        <f>$CK594-$CK595</f>
        <v/>
      </c>
      <c r="FW594" s="59">
        <f>$CL594-$CL595</f>
        <v/>
      </c>
      <c r="FX594" s="59">
        <f>$CM594-$CM595</f>
        <v/>
      </c>
      <c r="FY594" s="59">
        <f>$CN594-$CN595</f>
        <v/>
      </c>
      <c r="FZ594" s="59">
        <f>$CO594-$CO595</f>
        <v/>
      </c>
      <c r="GA594" s="59">
        <f>$CP594-$CP595</f>
        <v/>
      </c>
      <c r="GB594" s="59">
        <f>$CQ594-$CQ595</f>
        <v/>
      </c>
      <c r="GC594" s="59">
        <f>$CR594-$CR595</f>
        <v/>
      </c>
      <c r="GD594" s="59">
        <f>$CS594-$CS595</f>
        <v/>
      </c>
      <c r="GE594" s="59">
        <f>$CT594-$CT595</f>
        <v/>
      </c>
    </row>
    <row r="595">
      <c r="CU595" s="58">
        <f>IFERROR($B595/$B596-1,"")</f>
        <v/>
      </c>
      <c r="CV595" s="59">
        <f>($F595-$F596)*100</f>
        <v/>
      </c>
      <c r="CW595" s="59">
        <f>($E595-$E596)*100</f>
        <v/>
      </c>
      <c r="CX595" s="58">
        <f>IFERROR($K595/$K596-1,"")</f>
        <v/>
      </c>
      <c r="CY595" s="59">
        <f>($AH595-$AH596)*100</f>
        <v/>
      </c>
      <c r="CZ595" s="59">
        <f>($AI595-$AI596)*100</f>
        <v/>
      </c>
      <c r="DA595" s="59">
        <f>($AJ595-$AJ596)*100</f>
        <v/>
      </c>
      <c r="DB595" s="59">
        <f>($AK595-$AK596)*100</f>
        <v/>
      </c>
      <c r="DC595" s="59">
        <f>($AL595-$AL596)*100</f>
        <v/>
      </c>
      <c r="DD595" s="59">
        <f>($AM595-$AM596)*100</f>
        <v/>
      </c>
      <c r="DE595" s="59">
        <f>($AN595-$AN596)*100</f>
        <v/>
      </c>
      <c r="DF595" s="59">
        <f>($AO595-$AO596)*100</f>
        <v/>
      </c>
      <c r="DG595" s="59">
        <f>($AP595-$AP596)*100</f>
        <v/>
      </c>
      <c r="DH595" s="59">
        <f>($AQ595-$AQ596)*100</f>
        <v/>
      </c>
      <c r="DI595" s="59">
        <f>($AR595-$AR596)*100</f>
        <v/>
      </c>
      <c r="DJ595" s="59">
        <f>($AS595-$AS596)*100</f>
        <v/>
      </c>
      <c r="DK595" s="59">
        <f>($AT595-$AT596)*100</f>
        <v/>
      </c>
      <c r="DL595" s="59">
        <f>($AU595-$AU596)*100</f>
        <v/>
      </c>
      <c r="DM595" s="59">
        <f>($AV595-$AV596)*100</f>
        <v/>
      </c>
      <c r="DN595" s="59">
        <f>($AW595-$AW596)*100</f>
        <v/>
      </c>
      <c r="DO595" s="59">
        <f>($AX595-$AX596)*100</f>
        <v/>
      </c>
      <c r="DP595" s="59">
        <f>($AY595-$AY596)*100</f>
        <v/>
      </c>
      <c r="DQ595" s="59">
        <f>($AZ595-$AZ596)*100</f>
        <v/>
      </c>
      <c r="DR595" s="59">
        <f>($BA595-$BA596)*100</f>
        <v/>
      </c>
      <c r="DS595" s="58">
        <f>IFERROR($N596/$N595-1,"")</f>
        <v/>
      </c>
      <c r="DT595" s="58">
        <f>IFERROR($O596/$O595-1,"")</f>
        <v/>
      </c>
      <c r="DU595" s="58">
        <f>IFERROR($P596/$P595-1,"")</f>
        <v/>
      </c>
      <c r="DV595" s="58">
        <f>IFERROR($Q596/$Q595-1,"")</f>
        <v/>
      </c>
      <c r="DW595" s="58">
        <f>IFERROR($R596/$R595-1,"")</f>
        <v/>
      </c>
      <c r="DX595" s="58">
        <f>IFERROR($S596/$S595-1,"")</f>
        <v/>
      </c>
      <c r="DY595" s="58">
        <f>IFERROR($T596/$T595-1,"")</f>
        <v/>
      </c>
      <c r="DZ595" s="58">
        <f>IFERROR($U596/$U595-1,"")</f>
        <v/>
      </c>
      <c r="EA595" s="58">
        <f>IFERROR($V596/$V595-1,"")</f>
        <v/>
      </c>
      <c r="EB595" s="58">
        <f>IFERROR($W596/$W595-1,"")</f>
        <v/>
      </c>
      <c r="EC595" s="58">
        <f>IFERROR($X596/$X595-1,"")</f>
        <v/>
      </c>
      <c r="ED595" s="58">
        <f>IFERROR($Y596/$Y595-1,"")</f>
        <v/>
      </c>
      <c r="EE595" s="58">
        <f>IFERROR($Z596/$Z595-1,"")</f>
        <v/>
      </c>
      <c r="EF595" s="58">
        <f>IFERROR($AA596/$AA595-1,"")</f>
        <v/>
      </c>
      <c r="EG595" s="58">
        <f>IFERROR($AB596/$AB595-1,"")</f>
        <v/>
      </c>
      <c r="EH595" s="58">
        <f>IFERROR($AC596/$AC595-1,"")</f>
        <v/>
      </c>
      <c r="EI595" s="58">
        <f>IFERROR($AD596/$AD595-1,"")</f>
        <v/>
      </c>
      <c r="EJ595" s="58">
        <f>IFERROR($AE596/$AE595-1,"")</f>
        <v/>
      </c>
      <c r="EK595" s="58">
        <f>IFERROR($AF596/$AF595-1,"")</f>
        <v/>
      </c>
      <c r="EL595" s="58">
        <f>IFERROR($AG596/$AG595-1,"")</f>
        <v/>
      </c>
      <c r="EM595" s="58">
        <f>IFERROR($BB595/$BB596-1,"")</f>
        <v/>
      </c>
      <c r="EN595" s="58">
        <f>IFERROR($BC595/$BC596-1,"")</f>
        <v/>
      </c>
      <c r="EO595" s="58">
        <f>IFERROR($BD595/$BD596-1,"")</f>
        <v/>
      </c>
      <c r="EP595" s="58">
        <f>IFERROR($BE595/$BE596-1,"")</f>
        <v/>
      </c>
      <c r="EQ595" s="58">
        <f>IFERROR($BF595/$BF596-1,"")</f>
        <v/>
      </c>
      <c r="ER595" s="58">
        <f>IFERROR($BG595/$BG596-1,"")</f>
        <v/>
      </c>
      <c r="ES595" s="58">
        <f>IFERROR($BH595/$BH596-1,"")</f>
        <v/>
      </c>
      <c r="ET595" s="58">
        <f>IFERROR($BI595/$BI596-1,"")</f>
        <v/>
      </c>
      <c r="EU595" s="58">
        <f>IFERROR($BJ595/$BJ596-1,"")</f>
        <v/>
      </c>
      <c r="EV595" s="58">
        <f>IFERROR($BK595/$BK596-1,"")</f>
        <v/>
      </c>
      <c r="EW595" s="58">
        <f>IFERROR($BL595/$BL596-1,"")</f>
        <v/>
      </c>
      <c r="EX595" s="58">
        <f>IFERROR($BM595/$BM596-1,"")</f>
        <v/>
      </c>
      <c r="EY595" s="58">
        <f>IFERROR($BN595/$BN596-1,"")</f>
        <v/>
      </c>
      <c r="EZ595" s="58">
        <f>IFERROR($BO595/$BO596-1,"")</f>
        <v/>
      </c>
      <c r="FA595" s="58">
        <f>IFERROR($BP595/$BP596-1,"")</f>
        <v/>
      </c>
      <c r="FB595" s="58">
        <f>IFERROR($BQ595/$BQ596-1,"")</f>
        <v/>
      </c>
      <c r="FC595" s="58">
        <f>IFERROR($BR595/$BR596-1,"")</f>
        <v/>
      </c>
      <c r="FD595" s="58">
        <f>IFERROR($BS595/$BS596-1,"")</f>
        <v/>
      </c>
      <c r="FE595" s="58">
        <f>IFERROR($BT595/$BT596-1,"")</f>
        <v/>
      </c>
      <c r="FF595" s="58">
        <f>IFERROR($BU595/$BU596-1,"")</f>
        <v/>
      </c>
      <c r="FG595" s="58">
        <f>IFERROR($BV595/$BV596-1,"")</f>
        <v/>
      </c>
      <c r="FH595" s="58">
        <f>IFERROR($BW595/$BW596-1,"")</f>
        <v/>
      </c>
      <c r="FI595" s="58">
        <f>IFERROR($BX595/$BX596-1,"")</f>
        <v/>
      </c>
      <c r="FJ595" s="59">
        <f>$BY595-$BY596</f>
        <v/>
      </c>
      <c r="FK595" s="59">
        <f>$BZ595-$BZ596</f>
        <v/>
      </c>
      <c r="FL595" s="59">
        <f>$CA595-$CA596</f>
        <v/>
      </c>
      <c r="FM595" s="59">
        <f>$CB595-$CB596</f>
        <v/>
      </c>
      <c r="FN595" s="59">
        <f>$CC595-$CC596</f>
        <v/>
      </c>
      <c r="FO595" s="59">
        <f>$CD595-$CD596</f>
        <v/>
      </c>
      <c r="FP595" s="59">
        <f>$CE595-$CE596</f>
        <v/>
      </c>
      <c r="FQ595" s="59">
        <f>$CF595-$CF596</f>
        <v/>
      </c>
      <c r="FR595" s="59">
        <f>$CG595-$CG596</f>
        <v/>
      </c>
      <c r="FS595" s="59">
        <f>$CH595-$CH596</f>
        <v/>
      </c>
      <c r="FT595" s="59">
        <f>$CI595-$CI596</f>
        <v/>
      </c>
      <c r="FU595" s="59">
        <f>$CJ595-$CJ596</f>
        <v/>
      </c>
      <c r="FV595" s="59">
        <f>$CK595-$CK596</f>
        <v/>
      </c>
      <c r="FW595" s="59">
        <f>$CL595-$CL596</f>
        <v/>
      </c>
      <c r="FX595" s="59">
        <f>$CM595-$CM596</f>
        <v/>
      </c>
      <c r="FY595" s="59">
        <f>$CN595-$CN596</f>
        <v/>
      </c>
      <c r="FZ595" s="59">
        <f>$CO595-$CO596</f>
        <v/>
      </c>
      <c r="GA595" s="59">
        <f>$CP595-$CP596</f>
        <v/>
      </c>
      <c r="GB595" s="59">
        <f>$CQ595-$CQ596</f>
        <v/>
      </c>
      <c r="GC595" s="59">
        <f>$CR595-$CR596</f>
        <v/>
      </c>
      <c r="GD595" s="59">
        <f>$CS595-$CS596</f>
        <v/>
      </c>
      <c r="GE595" s="59">
        <f>$CT595-$CT596</f>
        <v/>
      </c>
    </row>
    <row r="596">
      <c r="CU596" s="58">
        <f>IFERROR($B596/$B597-1,"")</f>
        <v/>
      </c>
      <c r="CV596" s="59">
        <f>($F596-$F597)*100</f>
        <v/>
      </c>
      <c r="CW596" s="59">
        <f>($E596-$E597)*100</f>
        <v/>
      </c>
      <c r="CX596" s="58">
        <f>IFERROR($K596/$K597-1,"")</f>
        <v/>
      </c>
      <c r="CY596" s="59">
        <f>($AH596-$AH597)*100</f>
        <v/>
      </c>
      <c r="CZ596" s="59">
        <f>($AI596-$AI597)*100</f>
        <v/>
      </c>
      <c r="DA596" s="59">
        <f>($AJ596-$AJ597)*100</f>
        <v/>
      </c>
      <c r="DB596" s="59">
        <f>($AK596-$AK597)*100</f>
        <v/>
      </c>
      <c r="DC596" s="59">
        <f>($AL596-$AL597)*100</f>
        <v/>
      </c>
      <c r="DD596" s="59">
        <f>($AM596-$AM597)*100</f>
        <v/>
      </c>
      <c r="DE596" s="59">
        <f>($AN596-$AN597)*100</f>
        <v/>
      </c>
      <c r="DF596" s="59">
        <f>($AO596-$AO597)*100</f>
        <v/>
      </c>
      <c r="DG596" s="59">
        <f>($AP596-$AP597)*100</f>
        <v/>
      </c>
      <c r="DH596" s="59">
        <f>($AQ596-$AQ597)*100</f>
        <v/>
      </c>
      <c r="DI596" s="59">
        <f>($AR596-$AR597)*100</f>
        <v/>
      </c>
      <c r="DJ596" s="59">
        <f>($AS596-$AS597)*100</f>
        <v/>
      </c>
      <c r="DK596" s="59">
        <f>($AT596-$AT597)*100</f>
        <v/>
      </c>
      <c r="DL596" s="59">
        <f>($AU596-$AU597)*100</f>
        <v/>
      </c>
      <c r="DM596" s="59">
        <f>($AV596-$AV597)*100</f>
        <v/>
      </c>
      <c r="DN596" s="59">
        <f>($AW596-$AW597)*100</f>
        <v/>
      </c>
      <c r="DO596" s="59">
        <f>($AX596-$AX597)*100</f>
        <v/>
      </c>
      <c r="DP596" s="59">
        <f>($AY596-$AY597)*100</f>
        <v/>
      </c>
      <c r="DQ596" s="59">
        <f>($AZ596-$AZ597)*100</f>
        <v/>
      </c>
      <c r="DR596" s="59">
        <f>($BA596-$BA597)*100</f>
        <v/>
      </c>
      <c r="DS596" s="58">
        <f>IFERROR($N597/$N596-1,"")</f>
        <v/>
      </c>
      <c r="DT596" s="58">
        <f>IFERROR($O597/$O596-1,"")</f>
        <v/>
      </c>
      <c r="DU596" s="58">
        <f>IFERROR($P597/$P596-1,"")</f>
        <v/>
      </c>
      <c r="DV596" s="58">
        <f>IFERROR($Q597/$Q596-1,"")</f>
        <v/>
      </c>
      <c r="DW596" s="58">
        <f>IFERROR($R597/$R596-1,"")</f>
        <v/>
      </c>
      <c r="DX596" s="58">
        <f>IFERROR($S597/$S596-1,"")</f>
        <v/>
      </c>
      <c r="DY596" s="58">
        <f>IFERROR($T597/$T596-1,"")</f>
        <v/>
      </c>
      <c r="DZ596" s="58">
        <f>IFERROR($U597/$U596-1,"")</f>
        <v/>
      </c>
      <c r="EA596" s="58">
        <f>IFERROR($V597/$V596-1,"")</f>
        <v/>
      </c>
      <c r="EB596" s="58">
        <f>IFERROR($W597/$W596-1,"")</f>
        <v/>
      </c>
      <c r="EC596" s="58">
        <f>IFERROR($X597/$X596-1,"")</f>
        <v/>
      </c>
      <c r="ED596" s="58">
        <f>IFERROR($Y597/$Y596-1,"")</f>
        <v/>
      </c>
      <c r="EE596" s="58">
        <f>IFERROR($Z597/$Z596-1,"")</f>
        <v/>
      </c>
      <c r="EF596" s="58">
        <f>IFERROR($AA597/$AA596-1,"")</f>
        <v/>
      </c>
      <c r="EG596" s="58">
        <f>IFERROR($AB597/$AB596-1,"")</f>
        <v/>
      </c>
      <c r="EH596" s="58">
        <f>IFERROR($AC597/$AC596-1,"")</f>
        <v/>
      </c>
      <c r="EI596" s="58">
        <f>IFERROR($AD597/$AD596-1,"")</f>
        <v/>
      </c>
      <c r="EJ596" s="58">
        <f>IFERROR($AE597/$AE596-1,"")</f>
        <v/>
      </c>
      <c r="EK596" s="58">
        <f>IFERROR($AF597/$AF596-1,"")</f>
        <v/>
      </c>
      <c r="EL596" s="58">
        <f>IFERROR($AG597/$AG596-1,"")</f>
        <v/>
      </c>
      <c r="EM596" s="58">
        <f>IFERROR($BB596/$BB597-1,"")</f>
        <v/>
      </c>
      <c r="EN596" s="58">
        <f>IFERROR($BC596/$BC597-1,"")</f>
        <v/>
      </c>
      <c r="EO596" s="58">
        <f>IFERROR($BD596/$BD597-1,"")</f>
        <v/>
      </c>
      <c r="EP596" s="58">
        <f>IFERROR($BE596/$BE597-1,"")</f>
        <v/>
      </c>
      <c r="EQ596" s="58">
        <f>IFERROR($BF596/$BF597-1,"")</f>
        <v/>
      </c>
      <c r="ER596" s="58">
        <f>IFERROR($BG596/$BG597-1,"")</f>
        <v/>
      </c>
      <c r="ES596" s="58">
        <f>IFERROR($BH596/$BH597-1,"")</f>
        <v/>
      </c>
      <c r="ET596" s="58">
        <f>IFERROR($BI596/$BI597-1,"")</f>
        <v/>
      </c>
      <c r="EU596" s="58">
        <f>IFERROR($BJ596/$BJ597-1,"")</f>
        <v/>
      </c>
      <c r="EV596" s="58">
        <f>IFERROR($BK596/$BK597-1,"")</f>
        <v/>
      </c>
      <c r="EW596" s="58">
        <f>IFERROR($BL596/$BL597-1,"")</f>
        <v/>
      </c>
      <c r="EX596" s="58">
        <f>IFERROR($BM596/$BM597-1,"")</f>
        <v/>
      </c>
      <c r="EY596" s="58">
        <f>IFERROR($BN596/$BN597-1,"")</f>
        <v/>
      </c>
      <c r="EZ596" s="58">
        <f>IFERROR($BO596/$BO597-1,"")</f>
        <v/>
      </c>
      <c r="FA596" s="58">
        <f>IFERROR($BP596/$BP597-1,"")</f>
        <v/>
      </c>
      <c r="FB596" s="58">
        <f>IFERROR($BQ596/$BQ597-1,"")</f>
        <v/>
      </c>
      <c r="FC596" s="58">
        <f>IFERROR($BR596/$BR597-1,"")</f>
        <v/>
      </c>
      <c r="FD596" s="58">
        <f>IFERROR($BS596/$BS597-1,"")</f>
        <v/>
      </c>
      <c r="FE596" s="58">
        <f>IFERROR($BT596/$BT597-1,"")</f>
        <v/>
      </c>
      <c r="FF596" s="58">
        <f>IFERROR($BU596/$BU597-1,"")</f>
        <v/>
      </c>
      <c r="FG596" s="58">
        <f>IFERROR($BV596/$BV597-1,"")</f>
        <v/>
      </c>
      <c r="FH596" s="58">
        <f>IFERROR($BW596/$BW597-1,"")</f>
        <v/>
      </c>
      <c r="FI596" s="58">
        <f>IFERROR($BX596/$BX597-1,"")</f>
        <v/>
      </c>
      <c r="FJ596" s="59">
        <f>$BY596-$BY597</f>
        <v/>
      </c>
      <c r="FK596" s="59">
        <f>$BZ596-$BZ597</f>
        <v/>
      </c>
      <c r="FL596" s="59">
        <f>$CA596-$CA597</f>
        <v/>
      </c>
      <c r="FM596" s="59">
        <f>$CB596-$CB597</f>
        <v/>
      </c>
      <c r="FN596" s="59">
        <f>$CC596-$CC597</f>
        <v/>
      </c>
      <c r="FO596" s="59">
        <f>$CD596-$CD597</f>
        <v/>
      </c>
      <c r="FP596" s="59">
        <f>$CE596-$CE597</f>
        <v/>
      </c>
      <c r="FQ596" s="59">
        <f>$CF596-$CF597</f>
        <v/>
      </c>
      <c r="FR596" s="59">
        <f>$CG596-$CG597</f>
        <v/>
      </c>
      <c r="FS596" s="59">
        <f>$CH596-$CH597</f>
        <v/>
      </c>
      <c r="FT596" s="59">
        <f>$CI596-$CI597</f>
        <v/>
      </c>
      <c r="FU596" s="59">
        <f>$CJ596-$CJ597</f>
        <v/>
      </c>
      <c r="FV596" s="59">
        <f>$CK596-$CK597</f>
        <v/>
      </c>
      <c r="FW596" s="59">
        <f>$CL596-$CL597</f>
        <v/>
      </c>
      <c r="FX596" s="59">
        <f>$CM596-$CM597</f>
        <v/>
      </c>
      <c r="FY596" s="59">
        <f>$CN596-$CN597</f>
        <v/>
      </c>
      <c r="FZ596" s="59">
        <f>$CO596-$CO597</f>
        <v/>
      </c>
      <c r="GA596" s="59">
        <f>$CP596-$CP597</f>
        <v/>
      </c>
      <c r="GB596" s="59">
        <f>$CQ596-$CQ597</f>
        <v/>
      </c>
      <c r="GC596" s="59">
        <f>$CR596-$CR597</f>
        <v/>
      </c>
      <c r="GD596" s="59">
        <f>$CS596-$CS597</f>
        <v/>
      </c>
      <c r="GE596" s="59">
        <f>$CT596-$CT597</f>
        <v/>
      </c>
    </row>
    <row r="597">
      <c r="CU597" s="58">
        <f>IFERROR($B597/$B598-1,"")</f>
        <v/>
      </c>
      <c r="CV597" s="59">
        <f>($F597-$F598)*100</f>
        <v/>
      </c>
      <c r="CW597" s="59">
        <f>($E597-$E598)*100</f>
        <v/>
      </c>
      <c r="CX597" s="58">
        <f>IFERROR($K597/$K598-1,"")</f>
        <v/>
      </c>
      <c r="CY597" s="59">
        <f>($AH597-$AH598)*100</f>
        <v/>
      </c>
      <c r="CZ597" s="59">
        <f>($AI597-$AI598)*100</f>
        <v/>
      </c>
      <c r="DA597" s="59">
        <f>($AJ597-$AJ598)*100</f>
        <v/>
      </c>
      <c r="DB597" s="59">
        <f>($AK597-$AK598)*100</f>
        <v/>
      </c>
      <c r="DC597" s="59">
        <f>($AL597-$AL598)*100</f>
        <v/>
      </c>
      <c r="DD597" s="59">
        <f>($AM597-$AM598)*100</f>
        <v/>
      </c>
      <c r="DE597" s="59">
        <f>($AN597-$AN598)*100</f>
        <v/>
      </c>
      <c r="DF597" s="59">
        <f>($AO597-$AO598)*100</f>
        <v/>
      </c>
      <c r="DG597" s="59">
        <f>($AP597-$AP598)*100</f>
        <v/>
      </c>
      <c r="DH597" s="59">
        <f>($AQ597-$AQ598)*100</f>
        <v/>
      </c>
      <c r="DI597" s="59">
        <f>($AR597-$AR598)*100</f>
        <v/>
      </c>
      <c r="DJ597" s="59">
        <f>($AS597-$AS598)*100</f>
        <v/>
      </c>
      <c r="DK597" s="59">
        <f>($AT597-$AT598)*100</f>
        <v/>
      </c>
      <c r="DL597" s="59">
        <f>($AU597-$AU598)*100</f>
        <v/>
      </c>
      <c r="DM597" s="59">
        <f>($AV597-$AV598)*100</f>
        <v/>
      </c>
      <c r="DN597" s="59">
        <f>($AW597-$AW598)*100</f>
        <v/>
      </c>
      <c r="DO597" s="59">
        <f>($AX597-$AX598)*100</f>
        <v/>
      </c>
      <c r="DP597" s="59">
        <f>($AY597-$AY598)*100</f>
        <v/>
      </c>
      <c r="DQ597" s="59">
        <f>($AZ597-$AZ598)*100</f>
        <v/>
      </c>
      <c r="DR597" s="59">
        <f>($BA597-$BA598)*100</f>
        <v/>
      </c>
      <c r="DS597" s="58">
        <f>IFERROR($N598/$N597-1,"")</f>
        <v/>
      </c>
      <c r="DT597" s="58">
        <f>IFERROR($O598/$O597-1,"")</f>
        <v/>
      </c>
      <c r="DU597" s="58">
        <f>IFERROR($P598/$P597-1,"")</f>
        <v/>
      </c>
      <c r="DV597" s="58">
        <f>IFERROR($Q598/$Q597-1,"")</f>
        <v/>
      </c>
      <c r="DW597" s="58">
        <f>IFERROR($R598/$R597-1,"")</f>
        <v/>
      </c>
      <c r="DX597" s="58">
        <f>IFERROR($S598/$S597-1,"")</f>
        <v/>
      </c>
      <c r="DY597" s="58">
        <f>IFERROR($T598/$T597-1,"")</f>
        <v/>
      </c>
      <c r="DZ597" s="58">
        <f>IFERROR($U598/$U597-1,"")</f>
        <v/>
      </c>
      <c r="EA597" s="58">
        <f>IFERROR($V598/$V597-1,"")</f>
        <v/>
      </c>
      <c r="EB597" s="58">
        <f>IFERROR($W598/$W597-1,"")</f>
        <v/>
      </c>
      <c r="EC597" s="58">
        <f>IFERROR($X598/$X597-1,"")</f>
        <v/>
      </c>
      <c r="ED597" s="58">
        <f>IFERROR($Y598/$Y597-1,"")</f>
        <v/>
      </c>
      <c r="EE597" s="58">
        <f>IFERROR($Z598/$Z597-1,"")</f>
        <v/>
      </c>
      <c r="EF597" s="58">
        <f>IFERROR($AA598/$AA597-1,"")</f>
        <v/>
      </c>
      <c r="EG597" s="58">
        <f>IFERROR($AB598/$AB597-1,"")</f>
        <v/>
      </c>
      <c r="EH597" s="58">
        <f>IFERROR($AC598/$AC597-1,"")</f>
        <v/>
      </c>
      <c r="EI597" s="58">
        <f>IFERROR($AD598/$AD597-1,"")</f>
        <v/>
      </c>
      <c r="EJ597" s="58">
        <f>IFERROR($AE598/$AE597-1,"")</f>
        <v/>
      </c>
      <c r="EK597" s="58">
        <f>IFERROR($AF598/$AF597-1,"")</f>
        <v/>
      </c>
      <c r="EL597" s="58">
        <f>IFERROR($AG598/$AG597-1,"")</f>
        <v/>
      </c>
      <c r="EM597" s="58">
        <f>IFERROR($BB597/$BB598-1,"")</f>
        <v/>
      </c>
      <c r="EN597" s="58">
        <f>IFERROR($BC597/$BC598-1,"")</f>
        <v/>
      </c>
      <c r="EO597" s="58">
        <f>IFERROR($BD597/$BD598-1,"")</f>
        <v/>
      </c>
      <c r="EP597" s="58">
        <f>IFERROR($BE597/$BE598-1,"")</f>
        <v/>
      </c>
      <c r="EQ597" s="58">
        <f>IFERROR($BF597/$BF598-1,"")</f>
        <v/>
      </c>
      <c r="ER597" s="58">
        <f>IFERROR($BG597/$BG598-1,"")</f>
        <v/>
      </c>
      <c r="ES597" s="58">
        <f>IFERROR($BH597/$BH598-1,"")</f>
        <v/>
      </c>
      <c r="ET597" s="58">
        <f>IFERROR($BI597/$BI598-1,"")</f>
        <v/>
      </c>
      <c r="EU597" s="58">
        <f>IFERROR($BJ597/$BJ598-1,"")</f>
        <v/>
      </c>
      <c r="EV597" s="58">
        <f>IFERROR($BK597/$BK598-1,"")</f>
        <v/>
      </c>
      <c r="EW597" s="58">
        <f>IFERROR($BL597/$BL598-1,"")</f>
        <v/>
      </c>
      <c r="EX597" s="58">
        <f>IFERROR($BM597/$BM598-1,"")</f>
        <v/>
      </c>
      <c r="EY597" s="58">
        <f>IFERROR($BN597/$BN598-1,"")</f>
        <v/>
      </c>
      <c r="EZ597" s="58">
        <f>IFERROR($BO597/$BO598-1,"")</f>
        <v/>
      </c>
      <c r="FA597" s="58">
        <f>IFERROR($BP597/$BP598-1,"")</f>
        <v/>
      </c>
      <c r="FB597" s="58">
        <f>IFERROR($BQ597/$BQ598-1,"")</f>
        <v/>
      </c>
      <c r="FC597" s="58">
        <f>IFERROR($BR597/$BR598-1,"")</f>
        <v/>
      </c>
      <c r="FD597" s="58">
        <f>IFERROR($BS597/$BS598-1,"")</f>
        <v/>
      </c>
      <c r="FE597" s="58">
        <f>IFERROR($BT597/$BT598-1,"")</f>
        <v/>
      </c>
      <c r="FF597" s="58">
        <f>IFERROR($BU597/$BU598-1,"")</f>
        <v/>
      </c>
      <c r="FG597" s="58">
        <f>IFERROR($BV597/$BV598-1,"")</f>
        <v/>
      </c>
      <c r="FH597" s="58">
        <f>IFERROR($BW597/$BW598-1,"")</f>
        <v/>
      </c>
      <c r="FI597" s="58">
        <f>IFERROR($BX597/$BX598-1,"")</f>
        <v/>
      </c>
      <c r="FJ597" s="59">
        <f>$BY597-$BY598</f>
        <v/>
      </c>
      <c r="FK597" s="59">
        <f>$BZ597-$BZ598</f>
        <v/>
      </c>
      <c r="FL597" s="59">
        <f>$CA597-$CA598</f>
        <v/>
      </c>
      <c r="FM597" s="59">
        <f>$CB597-$CB598</f>
        <v/>
      </c>
      <c r="FN597" s="59">
        <f>$CC597-$CC598</f>
        <v/>
      </c>
      <c r="FO597" s="59">
        <f>$CD597-$CD598</f>
        <v/>
      </c>
      <c r="FP597" s="59">
        <f>$CE597-$CE598</f>
        <v/>
      </c>
      <c r="FQ597" s="59">
        <f>$CF597-$CF598</f>
        <v/>
      </c>
      <c r="FR597" s="59">
        <f>$CG597-$CG598</f>
        <v/>
      </c>
      <c r="FS597" s="59">
        <f>$CH597-$CH598</f>
        <v/>
      </c>
      <c r="FT597" s="59">
        <f>$CI597-$CI598</f>
        <v/>
      </c>
      <c r="FU597" s="59">
        <f>$CJ597-$CJ598</f>
        <v/>
      </c>
      <c r="FV597" s="59">
        <f>$CK597-$CK598</f>
        <v/>
      </c>
      <c r="FW597" s="59">
        <f>$CL597-$CL598</f>
        <v/>
      </c>
      <c r="FX597" s="59">
        <f>$CM597-$CM598</f>
        <v/>
      </c>
      <c r="FY597" s="59">
        <f>$CN597-$CN598</f>
        <v/>
      </c>
      <c r="FZ597" s="59">
        <f>$CO597-$CO598</f>
        <v/>
      </c>
      <c r="GA597" s="59">
        <f>$CP597-$CP598</f>
        <v/>
      </c>
      <c r="GB597" s="59">
        <f>$CQ597-$CQ598</f>
        <v/>
      </c>
      <c r="GC597" s="59">
        <f>$CR597-$CR598</f>
        <v/>
      </c>
      <c r="GD597" s="59">
        <f>$CS597-$CS598</f>
        <v/>
      </c>
      <c r="GE597" s="59">
        <f>$CT597-$CT598</f>
        <v/>
      </c>
    </row>
    <row r="598">
      <c r="CU598" s="58">
        <f>IFERROR($B598/$B599-1,"")</f>
        <v/>
      </c>
      <c r="CV598" s="59">
        <f>($F598-$F599)*100</f>
        <v/>
      </c>
      <c r="CW598" s="59">
        <f>($E598-$E599)*100</f>
        <v/>
      </c>
      <c r="CX598" s="58">
        <f>IFERROR($K598/$K599-1,"")</f>
        <v/>
      </c>
      <c r="CY598" s="59">
        <f>($AH598-$AH599)*100</f>
        <v/>
      </c>
      <c r="CZ598" s="59">
        <f>($AI598-$AI599)*100</f>
        <v/>
      </c>
      <c r="DA598" s="59">
        <f>($AJ598-$AJ599)*100</f>
        <v/>
      </c>
      <c r="DB598" s="59">
        <f>($AK598-$AK599)*100</f>
        <v/>
      </c>
      <c r="DC598" s="59">
        <f>($AL598-$AL599)*100</f>
        <v/>
      </c>
      <c r="DD598" s="59">
        <f>($AM598-$AM599)*100</f>
        <v/>
      </c>
      <c r="DE598" s="59">
        <f>($AN598-$AN599)*100</f>
        <v/>
      </c>
      <c r="DF598" s="59">
        <f>($AO598-$AO599)*100</f>
        <v/>
      </c>
      <c r="DG598" s="59">
        <f>($AP598-$AP599)*100</f>
        <v/>
      </c>
      <c r="DH598" s="59">
        <f>($AQ598-$AQ599)*100</f>
        <v/>
      </c>
      <c r="DI598" s="59">
        <f>($AR598-$AR599)*100</f>
        <v/>
      </c>
      <c r="DJ598" s="59">
        <f>($AS598-$AS599)*100</f>
        <v/>
      </c>
      <c r="DK598" s="59">
        <f>($AT598-$AT599)*100</f>
        <v/>
      </c>
      <c r="DL598" s="59">
        <f>($AU598-$AU599)*100</f>
        <v/>
      </c>
      <c r="DM598" s="59">
        <f>($AV598-$AV599)*100</f>
        <v/>
      </c>
      <c r="DN598" s="59">
        <f>($AW598-$AW599)*100</f>
        <v/>
      </c>
      <c r="DO598" s="59">
        <f>($AX598-$AX599)*100</f>
        <v/>
      </c>
      <c r="DP598" s="59">
        <f>($AY598-$AY599)*100</f>
        <v/>
      </c>
      <c r="DQ598" s="59">
        <f>($AZ598-$AZ599)*100</f>
        <v/>
      </c>
      <c r="DR598" s="59">
        <f>($BA598-$BA599)*100</f>
        <v/>
      </c>
      <c r="DS598" s="58">
        <f>IFERROR($N599/$N598-1,"")</f>
        <v/>
      </c>
      <c r="DT598" s="58">
        <f>IFERROR($O599/$O598-1,"")</f>
        <v/>
      </c>
      <c r="DU598" s="58">
        <f>IFERROR($P599/$P598-1,"")</f>
        <v/>
      </c>
      <c r="DV598" s="58">
        <f>IFERROR($Q599/$Q598-1,"")</f>
        <v/>
      </c>
      <c r="DW598" s="58">
        <f>IFERROR($R599/$R598-1,"")</f>
        <v/>
      </c>
      <c r="DX598" s="58">
        <f>IFERROR($S599/$S598-1,"")</f>
        <v/>
      </c>
      <c r="DY598" s="58">
        <f>IFERROR($T599/$T598-1,"")</f>
        <v/>
      </c>
      <c r="DZ598" s="58">
        <f>IFERROR($U599/$U598-1,"")</f>
        <v/>
      </c>
      <c r="EA598" s="58">
        <f>IFERROR($V599/$V598-1,"")</f>
        <v/>
      </c>
      <c r="EB598" s="58">
        <f>IFERROR($W599/$W598-1,"")</f>
        <v/>
      </c>
      <c r="EC598" s="58">
        <f>IFERROR($X599/$X598-1,"")</f>
        <v/>
      </c>
      <c r="ED598" s="58">
        <f>IFERROR($Y599/$Y598-1,"")</f>
        <v/>
      </c>
      <c r="EE598" s="58">
        <f>IFERROR($Z599/$Z598-1,"")</f>
        <v/>
      </c>
      <c r="EF598" s="58">
        <f>IFERROR($AA599/$AA598-1,"")</f>
        <v/>
      </c>
      <c r="EG598" s="58">
        <f>IFERROR($AB599/$AB598-1,"")</f>
        <v/>
      </c>
      <c r="EH598" s="58">
        <f>IFERROR($AC599/$AC598-1,"")</f>
        <v/>
      </c>
      <c r="EI598" s="58">
        <f>IFERROR($AD599/$AD598-1,"")</f>
        <v/>
      </c>
      <c r="EJ598" s="58">
        <f>IFERROR($AE599/$AE598-1,"")</f>
        <v/>
      </c>
      <c r="EK598" s="58">
        <f>IFERROR($AF599/$AF598-1,"")</f>
        <v/>
      </c>
      <c r="EL598" s="58">
        <f>IFERROR($AG599/$AG598-1,"")</f>
        <v/>
      </c>
      <c r="EM598" s="58">
        <f>IFERROR($BB598/$BB599-1,"")</f>
        <v/>
      </c>
      <c r="EN598" s="58">
        <f>IFERROR($BC598/$BC599-1,"")</f>
        <v/>
      </c>
      <c r="EO598" s="58">
        <f>IFERROR($BD598/$BD599-1,"")</f>
        <v/>
      </c>
      <c r="EP598" s="58">
        <f>IFERROR($BE598/$BE599-1,"")</f>
        <v/>
      </c>
      <c r="EQ598" s="58">
        <f>IFERROR($BF598/$BF599-1,"")</f>
        <v/>
      </c>
      <c r="ER598" s="58">
        <f>IFERROR($BG598/$BG599-1,"")</f>
        <v/>
      </c>
      <c r="ES598" s="58">
        <f>IFERROR($BH598/$BH599-1,"")</f>
        <v/>
      </c>
      <c r="ET598" s="58">
        <f>IFERROR($BI598/$BI599-1,"")</f>
        <v/>
      </c>
      <c r="EU598" s="58">
        <f>IFERROR($BJ598/$BJ599-1,"")</f>
        <v/>
      </c>
      <c r="EV598" s="58">
        <f>IFERROR($BK598/$BK599-1,"")</f>
        <v/>
      </c>
      <c r="EW598" s="58">
        <f>IFERROR($BL598/$BL599-1,"")</f>
        <v/>
      </c>
      <c r="EX598" s="58">
        <f>IFERROR($BM598/$BM599-1,"")</f>
        <v/>
      </c>
      <c r="EY598" s="58">
        <f>IFERROR($BN598/$BN599-1,"")</f>
        <v/>
      </c>
      <c r="EZ598" s="58">
        <f>IFERROR($BO598/$BO599-1,"")</f>
        <v/>
      </c>
      <c r="FA598" s="58">
        <f>IFERROR($BP598/$BP599-1,"")</f>
        <v/>
      </c>
      <c r="FB598" s="58">
        <f>IFERROR($BQ598/$BQ599-1,"")</f>
        <v/>
      </c>
      <c r="FC598" s="58">
        <f>IFERROR($BR598/$BR599-1,"")</f>
        <v/>
      </c>
      <c r="FD598" s="58">
        <f>IFERROR($BS598/$BS599-1,"")</f>
        <v/>
      </c>
      <c r="FE598" s="58">
        <f>IFERROR($BT598/$BT599-1,"")</f>
        <v/>
      </c>
      <c r="FF598" s="58">
        <f>IFERROR($BU598/$BU599-1,"")</f>
        <v/>
      </c>
      <c r="FG598" s="58">
        <f>IFERROR($BV598/$BV599-1,"")</f>
        <v/>
      </c>
      <c r="FH598" s="58">
        <f>IFERROR($BW598/$BW599-1,"")</f>
        <v/>
      </c>
      <c r="FI598" s="58">
        <f>IFERROR($BX598/$BX599-1,"")</f>
        <v/>
      </c>
      <c r="FJ598" s="59">
        <f>$BY598-$BY599</f>
        <v/>
      </c>
      <c r="FK598" s="59">
        <f>$BZ598-$BZ599</f>
        <v/>
      </c>
      <c r="FL598" s="59">
        <f>$CA598-$CA599</f>
        <v/>
      </c>
      <c r="FM598" s="59">
        <f>$CB598-$CB599</f>
        <v/>
      </c>
      <c r="FN598" s="59">
        <f>$CC598-$CC599</f>
        <v/>
      </c>
      <c r="FO598" s="59">
        <f>$CD598-$CD599</f>
        <v/>
      </c>
      <c r="FP598" s="59">
        <f>$CE598-$CE599</f>
        <v/>
      </c>
      <c r="FQ598" s="59">
        <f>$CF598-$CF599</f>
        <v/>
      </c>
      <c r="FR598" s="59">
        <f>$CG598-$CG599</f>
        <v/>
      </c>
      <c r="FS598" s="59">
        <f>$CH598-$CH599</f>
        <v/>
      </c>
      <c r="FT598" s="59">
        <f>$CI598-$CI599</f>
        <v/>
      </c>
      <c r="FU598" s="59">
        <f>$CJ598-$CJ599</f>
        <v/>
      </c>
      <c r="FV598" s="59">
        <f>$CK598-$CK599</f>
        <v/>
      </c>
      <c r="FW598" s="59">
        <f>$CL598-$CL599</f>
        <v/>
      </c>
      <c r="FX598" s="59">
        <f>$CM598-$CM599</f>
        <v/>
      </c>
      <c r="FY598" s="59">
        <f>$CN598-$CN599</f>
        <v/>
      </c>
      <c r="FZ598" s="59">
        <f>$CO598-$CO599</f>
        <v/>
      </c>
      <c r="GA598" s="59">
        <f>$CP598-$CP599</f>
        <v/>
      </c>
      <c r="GB598" s="59">
        <f>$CQ598-$CQ599</f>
        <v/>
      </c>
      <c r="GC598" s="59">
        <f>$CR598-$CR599</f>
        <v/>
      </c>
      <c r="GD598" s="59">
        <f>$CS598-$CS599</f>
        <v/>
      </c>
      <c r="GE598" s="59">
        <f>$CT598-$CT599</f>
        <v/>
      </c>
    </row>
    <row r="599">
      <c r="CU599" s="58">
        <f>IFERROR($B599/$B600-1,"")</f>
        <v/>
      </c>
      <c r="CV599" s="59">
        <f>($F599-$F600)*100</f>
        <v/>
      </c>
      <c r="CW599" s="59">
        <f>($E599-$E600)*100</f>
        <v/>
      </c>
      <c r="CX599" s="58">
        <f>IFERROR($K599/$K600-1,"")</f>
        <v/>
      </c>
      <c r="CY599" s="59">
        <f>($AH599-$AH600)*100</f>
        <v/>
      </c>
      <c r="CZ599" s="59">
        <f>($AI599-$AI600)*100</f>
        <v/>
      </c>
      <c r="DA599" s="59">
        <f>($AJ599-$AJ600)*100</f>
        <v/>
      </c>
      <c r="DB599" s="59">
        <f>($AK599-$AK600)*100</f>
        <v/>
      </c>
      <c r="DC599" s="59">
        <f>($AL599-$AL600)*100</f>
        <v/>
      </c>
      <c r="DD599" s="59">
        <f>($AM599-$AM600)*100</f>
        <v/>
      </c>
      <c r="DE599" s="59">
        <f>($AN599-$AN600)*100</f>
        <v/>
      </c>
      <c r="DF599" s="59">
        <f>($AO599-$AO600)*100</f>
        <v/>
      </c>
      <c r="DG599" s="59">
        <f>($AP599-$AP600)*100</f>
        <v/>
      </c>
      <c r="DH599" s="59">
        <f>($AQ599-$AQ600)*100</f>
        <v/>
      </c>
      <c r="DI599" s="59">
        <f>($AR599-$AR600)*100</f>
        <v/>
      </c>
      <c r="DJ599" s="59">
        <f>($AS599-$AS600)*100</f>
        <v/>
      </c>
      <c r="DK599" s="59">
        <f>($AT599-$AT600)*100</f>
        <v/>
      </c>
      <c r="DL599" s="59">
        <f>($AU599-$AU600)*100</f>
        <v/>
      </c>
      <c r="DM599" s="59">
        <f>($AV599-$AV600)*100</f>
        <v/>
      </c>
      <c r="DN599" s="59">
        <f>($AW599-$AW600)*100</f>
        <v/>
      </c>
      <c r="DO599" s="59">
        <f>($AX599-$AX600)*100</f>
        <v/>
      </c>
      <c r="DP599" s="59">
        <f>($AY599-$AY600)*100</f>
        <v/>
      </c>
      <c r="DQ599" s="59">
        <f>($AZ599-$AZ600)*100</f>
        <v/>
      </c>
      <c r="DR599" s="59">
        <f>($BA599-$BA600)*100</f>
        <v/>
      </c>
      <c r="DS599" s="58">
        <f>IFERROR($N600/$N599-1,"")</f>
        <v/>
      </c>
      <c r="DT599" s="58">
        <f>IFERROR($O600/$O599-1,"")</f>
        <v/>
      </c>
      <c r="DU599" s="58">
        <f>IFERROR($P600/$P599-1,"")</f>
        <v/>
      </c>
      <c r="DV599" s="58">
        <f>IFERROR($Q600/$Q599-1,"")</f>
        <v/>
      </c>
      <c r="DW599" s="58">
        <f>IFERROR($R600/$R599-1,"")</f>
        <v/>
      </c>
      <c r="DX599" s="58">
        <f>IFERROR($S600/$S599-1,"")</f>
        <v/>
      </c>
      <c r="DY599" s="58">
        <f>IFERROR($T600/$T599-1,"")</f>
        <v/>
      </c>
      <c r="DZ599" s="58">
        <f>IFERROR($U600/$U599-1,"")</f>
        <v/>
      </c>
      <c r="EA599" s="58">
        <f>IFERROR($V600/$V599-1,"")</f>
        <v/>
      </c>
      <c r="EB599" s="58">
        <f>IFERROR($W600/$W599-1,"")</f>
        <v/>
      </c>
      <c r="EC599" s="58">
        <f>IFERROR($X600/$X599-1,"")</f>
        <v/>
      </c>
      <c r="ED599" s="58">
        <f>IFERROR($Y600/$Y599-1,"")</f>
        <v/>
      </c>
      <c r="EE599" s="58">
        <f>IFERROR($Z600/$Z599-1,"")</f>
        <v/>
      </c>
      <c r="EF599" s="58">
        <f>IFERROR($AA600/$AA599-1,"")</f>
        <v/>
      </c>
      <c r="EG599" s="58">
        <f>IFERROR($AB600/$AB599-1,"")</f>
        <v/>
      </c>
      <c r="EH599" s="58">
        <f>IFERROR($AC600/$AC599-1,"")</f>
        <v/>
      </c>
      <c r="EI599" s="58">
        <f>IFERROR($AD600/$AD599-1,"")</f>
        <v/>
      </c>
      <c r="EJ599" s="58">
        <f>IFERROR($AE600/$AE599-1,"")</f>
        <v/>
      </c>
      <c r="EK599" s="58">
        <f>IFERROR($AF600/$AF599-1,"")</f>
        <v/>
      </c>
      <c r="EL599" s="58">
        <f>IFERROR($AG600/$AG599-1,"")</f>
        <v/>
      </c>
      <c r="EM599" s="58">
        <f>IFERROR($BB599/$BB600-1,"")</f>
        <v/>
      </c>
      <c r="EN599" s="58">
        <f>IFERROR($BC599/$BC600-1,"")</f>
        <v/>
      </c>
      <c r="EO599" s="58">
        <f>IFERROR($BD599/$BD600-1,"")</f>
        <v/>
      </c>
      <c r="EP599" s="58">
        <f>IFERROR($BE599/$BE600-1,"")</f>
        <v/>
      </c>
      <c r="EQ599" s="58">
        <f>IFERROR($BF599/$BF600-1,"")</f>
        <v/>
      </c>
      <c r="ER599" s="58">
        <f>IFERROR($BG599/$BG600-1,"")</f>
        <v/>
      </c>
      <c r="ES599" s="58">
        <f>IFERROR($BH599/$BH600-1,"")</f>
        <v/>
      </c>
      <c r="ET599" s="58">
        <f>IFERROR($BI599/$BI600-1,"")</f>
        <v/>
      </c>
      <c r="EU599" s="58">
        <f>IFERROR($BJ599/$BJ600-1,"")</f>
        <v/>
      </c>
      <c r="EV599" s="58">
        <f>IFERROR($BK599/$BK600-1,"")</f>
        <v/>
      </c>
      <c r="EW599" s="58">
        <f>IFERROR($BL599/$BL600-1,"")</f>
        <v/>
      </c>
      <c r="EX599" s="58">
        <f>IFERROR($BM599/$BM600-1,"")</f>
        <v/>
      </c>
      <c r="EY599" s="58">
        <f>IFERROR($BN599/$BN600-1,"")</f>
        <v/>
      </c>
      <c r="EZ599" s="58">
        <f>IFERROR($BO599/$BO600-1,"")</f>
        <v/>
      </c>
      <c r="FA599" s="58">
        <f>IFERROR($BP599/$BP600-1,"")</f>
        <v/>
      </c>
      <c r="FB599" s="58">
        <f>IFERROR($BQ599/$BQ600-1,"")</f>
        <v/>
      </c>
      <c r="FC599" s="58">
        <f>IFERROR($BR599/$BR600-1,"")</f>
        <v/>
      </c>
      <c r="FD599" s="58">
        <f>IFERROR($BS599/$BS600-1,"")</f>
        <v/>
      </c>
      <c r="FE599" s="58">
        <f>IFERROR($BT599/$BT600-1,"")</f>
        <v/>
      </c>
      <c r="FF599" s="58">
        <f>IFERROR($BU599/$BU600-1,"")</f>
        <v/>
      </c>
      <c r="FG599" s="58">
        <f>IFERROR($BV599/$BV600-1,"")</f>
        <v/>
      </c>
      <c r="FH599" s="58">
        <f>IFERROR($BW599/$BW600-1,"")</f>
        <v/>
      </c>
      <c r="FI599" s="58">
        <f>IFERROR($BX599/$BX600-1,"")</f>
        <v/>
      </c>
      <c r="FJ599" s="59">
        <f>$BY599-$BY600</f>
        <v/>
      </c>
      <c r="FK599" s="59">
        <f>$BZ599-$BZ600</f>
        <v/>
      </c>
      <c r="FL599" s="59">
        <f>$CA599-$CA600</f>
        <v/>
      </c>
      <c r="FM599" s="59">
        <f>$CB599-$CB600</f>
        <v/>
      </c>
      <c r="FN599" s="59">
        <f>$CC599-$CC600</f>
        <v/>
      </c>
      <c r="FO599" s="59">
        <f>$CD599-$CD600</f>
        <v/>
      </c>
      <c r="FP599" s="59">
        <f>$CE599-$CE600</f>
        <v/>
      </c>
      <c r="FQ599" s="59">
        <f>$CF599-$CF600</f>
        <v/>
      </c>
      <c r="FR599" s="59">
        <f>$CG599-$CG600</f>
        <v/>
      </c>
      <c r="FS599" s="59">
        <f>$CH599-$CH600</f>
        <v/>
      </c>
      <c r="FT599" s="59">
        <f>$CI599-$CI600</f>
        <v/>
      </c>
      <c r="FU599" s="59">
        <f>$CJ599-$CJ600</f>
        <v/>
      </c>
      <c r="FV599" s="59">
        <f>$CK599-$CK600</f>
        <v/>
      </c>
      <c r="FW599" s="59">
        <f>$CL599-$CL600</f>
        <v/>
      </c>
      <c r="FX599" s="59">
        <f>$CM599-$CM600</f>
        <v/>
      </c>
      <c r="FY599" s="59">
        <f>$CN599-$CN600</f>
        <v/>
      </c>
      <c r="FZ599" s="59">
        <f>$CO599-$CO600</f>
        <v/>
      </c>
      <c r="GA599" s="59">
        <f>$CP599-$CP600</f>
        <v/>
      </c>
      <c r="GB599" s="59">
        <f>$CQ599-$CQ600</f>
        <v/>
      </c>
      <c r="GC599" s="59">
        <f>$CR599-$CR600</f>
        <v/>
      </c>
      <c r="GD599" s="59">
        <f>$CS599-$CS600</f>
        <v/>
      </c>
      <c r="GE599" s="59">
        <f>$CT599-$CT600</f>
        <v/>
      </c>
    </row>
    <row r="600">
      <c r="CU600" s="58">
        <f>IFERROR($B600/$B601-1,"")</f>
        <v/>
      </c>
      <c r="CV600" s="59">
        <f>($F600-$F601)*100</f>
        <v/>
      </c>
      <c r="CW600" s="59">
        <f>($E600-$E601)*100</f>
        <v/>
      </c>
      <c r="CX600" s="58">
        <f>IFERROR($K600/$K601-1,"")</f>
        <v/>
      </c>
      <c r="CY600" s="59">
        <f>($AH600-$AH601)*100</f>
        <v/>
      </c>
      <c r="CZ600" s="59">
        <f>($AI600-$AI601)*100</f>
        <v/>
      </c>
      <c r="DA600" s="59">
        <f>($AJ600-$AJ601)*100</f>
        <v/>
      </c>
      <c r="DB600" s="59">
        <f>($AK600-$AK601)*100</f>
        <v/>
      </c>
      <c r="DC600" s="59">
        <f>($AL600-$AL601)*100</f>
        <v/>
      </c>
      <c r="DD600" s="59">
        <f>($AM600-$AM601)*100</f>
        <v/>
      </c>
      <c r="DE600" s="59">
        <f>($AN600-$AN601)*100</f>
        <v/>
      </c>
      <c r="DF600" s="59">
        <f>($AO600-$AO601)*100</f>
        <v/>
      </c>
      <c r="DG600" s="59">
        <f>($AP600-$AP601)*100</f>
        <v/>
      </c>
      <c r="DH600" s="59">
        <f>($AQ600-$AQ601)*100</f>
        <v/>
      </c>
      <c r="DI600" s="59">
        <f>($AR600-$AR601)*100</f>
        <v/>
      </c>
      <c r="DJ600" s="59">
        <f>($AS600-$AS601)*100</f>
        <v/>
      </c>
      <c r="DK600" s="59">
        <f>($AT600-$AT601)*100</f>
        <v/>
      </c>
      <c r="DL600" s="59">
        <f>($AU600-$AU601)*100</f>
        <v/>
      </c>
      <c r="DM600" s="59">
        <f>($AV600-$AV601)*100</f>
        <v/>
      </c>
      <c r="DN600" s="59">
        <f>($AW600-$AW601)*100</f>
        <v/>
      </c>
      <c r="DO600" s="59">
        <f>($AX600-$AX601)*100</f>
        <v/>
      </c>
      <c r="DP600" s="59">
        <f>($AY600-$AY601)*100</f>
        <v/>
      </c>
      <c r="DQ600" s="59">
        <f>($AZ600-$AZ601)*100</f>
        <v/>
      </c>
      <c r="DR600" s="59">
        <f>($BA600-$BA601)*100</f>
        <v/>
      </c>
      <c r="DS600" s="58">
        <f>IFERROR($N601/$N600-1,"")</f>
        <v/>
      </c>
      <c r="DT600" s="58">
        <f>IFERROR($O601/$O600-1,"")</f>
        <v/>
      </c>
      <c r="DU600" s="58">
        <f>IFERROR($P601/$P600-1,"")</f>
        <v/>
      </c>
      <c r="DV600" s="58">
        <f>IFERROR($Q601/$Q600-1,"")</f>
        <v/>
      </c>
      <c r="DW600" s="58">
        <f>IFERROR($R601/$R600-1,"")</f>
        <v/>
      </c>
      <c r="DX600" s="58">
        <f>IFERROR($S601/$S600-1,"")</f>
        <v/>
      </c>
      <c r="DY600" s="58">
        <f>IFERROR($T601/$T600-1,"")</f>
        <v/>
      </c>
      <c r="DZ600" s="58">
        <f>IFERROR($U601/$U600-1,"")</f>
        <v/>
      </c>
      <c r="EA600" s="58">
        <f>IFERROR($V601/$V600-1,"")</f>
        <v/>
      </c>
      <c r="EB600" s="58">
        <f>IFERROR($W601/$W600-1,"")</f>
        <v/>
      </c>
      <c r="EC600" s="58">
        <f>IFERROR($X601/$X600-1,"")</f>
        <v/>
      </c>
      <c r="ED600" s="58">
        <f>IFERROR($Y601/$Y600-1,"")</f>
        <v/>
      </c>
      <c r="EE600" s="58">
        <f>IFERROR($Z601/$Z600-1,"")</f>
        <v/>
      </c>
      <c r="EF600" s="58">
        <f>IFERROR($AA601/$AA600-1,"")</f>
        <v/>
      </c>
      <c r="EG600" s="58">
        <f>IFERROR($AB601/$AB600-1,"")</f>
        <v/>
      </c>
      <c r="EH600" s="58">
        <f>IFERROR($AC601/$AC600-1,"")</f>
        <v/>
      </c>
      <c r="EI600" s="58">
        <f>IFERROR($AD601/$AD600-1,"")</f>
        <v/>
      </c>
      <c r="EJ600" s="58">
        <f>IFERROR($AE601/$AE600-1,"")</f>
        <v/>
      </c>
      <c r="EK600" s="58">
        <f>IFERROR($AF601/$AF600-1,"")</f>
        <v/>
      </c>
      <c r="EL600" s="58">
        <f>IFERROR($AG601/$AG600-1,"")</f>
        <v/>
      </c>
      <c r="EM600" s="58">
        <f>IFERROR($BB600/$BB601-1,"")</f>
        <v/>
      </c>
      <c r="EN600" s="58">
        <f>IFERROR($BC600/$BC601-1,"")</f>
        <v/>
      </c>
      <c r="EO600" s="58">
        <f>IFERROR($BD600/$BD601-1,"")</f>
        <v/>
      </c>
      <c r="EP600" s="58">
        <f>IFERROR($BE600/$BE601-1,"")</f>
        <v/>
      </c>
      <c r="EQ600" s="58">
        <f>IFERROR($BF600/$BF601-1,"")</f>
        <v/>
      </c>
      <c r="ER600" s="58">
        <f>IFERROR($BG600/$BG601-1,"")</f>
        <v/>
      </c>
      <c r="ES600" s="58">
        <f>IFERROR($BH600/$BH601-1,"")</f>
        <v/>
      </c>
      <c r="ET600" s="58">
        <f>IFERROR($BI600/$BI601-1,"")</f>
        <v/>
      </c>
      <c r="EU600" s="58">
        <f>IFERROR($BJ600/$BJ601-1,"")</f>
        <v/>
      </c>
      <c r="EV600" s="58">
        <f>IFERROR($BK600/$BK601-1,"")</f>
        <v/>
      </c>
      <c r="EW600" s="58">
        <f>IFERROR($BL600/$BL601-1,"")</f>
        <v/>
      </c>
      <c r="EX600" s="58">
        <f>IFERROR($BM600/$BM601-1,"")</f>
        <v/>
      </c>
      <c r="EY600" s="58">
        <f>IFERROR($BN600/$BN601-1,"")</f>
        <v/>
      </c>
      <c r="EZ600" s="58">
        <f>IFERROR($BO600/$BO601-1,"")</f>
        <v/>
      </c>
      <c r="FA600" s="58">
        <f>IFERROR($BP600/$BP601-1,"")</f>
        <v/>
      </c>
      <c r="FB600" s="58">
        <f>IFERROR($BQ600/$BQ601-1,"")</f>
        <v/>
      </c>
      <c r="FC600" s="58">
        <f>IFERROR($BR600/$BR601-1,"")</f>
        <v/>
      </c>
      <c r="FD600" s="58">
        <f>IFERROR($BS600/$BS601-1,"")</f>
        <v/>
      </c>
      <c r="FE600" s="58">
        <f>IFERROR($BT600/$BT601-1,"")</f>
        <v/>
      </c>
      <c r="FF600" s="58">
        <f>IFERROR($BU600/$BU601-1,"")</f>
        <v/>
      </c>
      <c r="FG600" s="58">
        <f>IFERROR($BV600/$BV601-1,"")</f>
        <v/>
      </c>
      <c r="FH600" s="58">
        <f>IFERROR($BW600/$BW601-1,"")</f>
        <v/>
      </c>
      <c r="FI600" s="58">
        <f>IFERROR($BX600/$BX601-1,"")</f>
        <v/>
      </c>
      <c r="FJ600" s="59">
        <f>$BY600-$BY601</f>
        <v/>
      </c>
      <c r="FK600" s="59">
        <f>$BZ600-$BZ601</f>
        <v/>
      </c>
      <c r="FL600" s="59">
        <f>$CA600-$CA601</f>
        <v/>
      </c>
      <c r="FM600" s="59">
        <f>$CB600-$CB601</f>
        <v/>
      </c>
      <c r="FN600" s="59">
        <f>$CC600-$CC601</f>
        <v/>
      </c>
      <c r="FO600" s="59">
        <f>$CD600-$CD601</f>
        <v/>
      </c>
      <c r="FP600" s="59">
        <f>$CE600-$CE601</f>
        <v/>
      </c>
      <c r="FQ600" s="59">
        <f>$CF600-$CF601</f>
        <v/>
      </c>
      <c r="FR600" s="59">
        <f>$CG600-$CG601</f>
        <v/>
      </c>
      <c r="FS600" s="59">
        <f>$CH600-$CH601</f>
        <v/>
      </c>
      <c r="FT600" s="59">
        <f>$CI600-$CI601</f>
        <v/>
      </c>
      <c r="FU600" s="59">
        <f>$CJ600-$CJ601</f>
        <v/>
      </c>
      <c r="FV600" s="59">
        <f>$CK600-$CK601</f>
        <v/>
      </c>
      <c r="FW600" s="59">
        <f>$CL600-$CL601</f>
        <v/>
      </c>
      <c r="FX600" s="59">
        <f>$CM600-$CM601</f>
        <v/>
      </c>
      <c r="FY600" s="59">
        <f>$CN600-$CN601</f>
        <v/>
      </c>
      <c r="FZ600" s="59">
        <f>$CO600-$CO601</f>
        <v/>
      </c>
      <c r="GA600" s="59">
        <f>$CP600-$CP601</f>
        <v/>
      </c>
      <c r="GB600" s="59">
        <f>$CQ600-$CQ601</f>
        <v/>
      </c>
      <c r="GC600" s="59">
        <f>$CR600-$CR601</f>
        <v/>
      </c>
      <c r="GD600" s="59">
        <f>$CS600-$CS601</f>
        <v/>
      </c>
      <c r="GE600" s="59">
        <f>$CT600-$CT601</f>
        <v/>
      </c>
    </row>
    <row r="601">
      <c r="CU601" s="58">
        <f>IFERROR($B601/$B602-1,"")</f>
        <v/>
      </c>
      <c r="CV601" s="59">
        <f>($F601-$F602)*100</f>
        <v/>
      </c>
      <c r="CW601" s="59">
        <f>($E601-$E602)*100</f>
        <v/>
      </c>
      <c r="CX601" s="58">
        <f>IFERROR($K601/$K602-1,"")</f>
        <v/>
      </c>
      <c r="CY601" s="59">
        <f>($AH601-$AH602)*100</f>
        <v/>
      </c>
      <c r="CZ601" s="59">
        <f>($AI601-$AI602)*100</f>
        <v/>
      </c>
      <c r="DA601" s="59">
        <f>($AJ601-$AJ602)*100</f>
        <v/>
      </c>
      <c r="DB601" s="59">
        <f>($AK601-$AK602)*100</f>
        <v/>
      </c>
      <c r="DC601" s="59">
        <f>($AL601-$AL602)*100</f>
        <v/>
      </c>
      <c r="DD601" s="59">
        <f>($AM601-$AM602)*100</f>
        <v/>
      </c>
      <c r="DE601" s="59">
        <f>($AN601-$AN602)*100</f>
        <v/>
      </c>
      <c r="DF601" s="59">
        <f>($AO601-$AO602)*100</f>
        <v/>
      </c>
      <c r="DG601" s="59">
        <f>($AP601-$AP602)*100</f>
        <v/>
      </c>
      <c r="DH601" s="59">
        <f>($AQ601-$AQ602)*100</f>
        <v/>
      </c>
      <c r="DI601" s="59">
        <f>($AR601-$AR602)*100</f>
        <v/>
      </c>
      <c r="DJ601" s="59">
        <f>($AS601-$AS602)*100</f>
        <v/>
      </c>
      <c r="DK601" s="59">
        <f>($AT601-$AT602)*100</f>
        <v/>
      </c>
      <c r="DL601" s="59">
        <f>($AU601-$AU602)*100</f>
        <v/>
      </c>
      <c r="DM601" s="59">
        <f>($AV601-$AV602)*100</f>
        <v/>
      </c>
      <c r="DN601" s="59">
        <f>($AW601-$AW602)*100</f>
        <v/>
      </c>
      <c r="DO601" s="59">
        <f>($AX601-$AX602)*100</f>
        <v/>
      </c>
      <c r="DP601" s="59">
        <f>($AY601-$AY602)*100</f>
        <v/>
      </c>
      <c r="DQ601" s="59">
        <f>($AZ601-$AZ602)*100</f>
        <v/>
      </c>
      <c r="DR601" s="59">
        <f>($BA601-$BA602)*100</f>
        <v/>
      </c>
      <c r="DS601" s="58">
        <f>IFERROR($N602/$N601-1,"")</f>
        <v/>
      </c>
      <c r="DT601" s="58">
        <f>IFERROR($O602/$O601-1,"")</f>
        <v/>
      </c>
      <c r="DU601" s="58">
        <f>IFERROR($P602/$P601-1,"")</f>
        <v/>
      </c>
      <c r="DV601" s="58">
        <f>IFERROR($Q602/$Q601-1,"")</f>
        <v/>
      </c>
      <c r="DW601" s="58">
        <f>IFERROR($R602/$R601-1,"")</f>
        <v/>
      </c>
      <c r="DX601" s="58">
        <f>IFERROR($S602/$S601-1,"")</f>
        <v/>
      </c>
      <c r="DY601" s="58">
        <f>IFERROR($T602/$T601-1,"")</f>
        <v/>
      </c>
      <c r="DZ601" s="58">
        <f>IFERROR($U602/$U601-1,"")</f>
        <v/>
      </c>
      <c r="EA601" s="58">
        <f>IFERROR($V602/$V601-1,"")</f>
        <v/>
      </c>
      <c r="EB601" s="58">
        <f>IFERROR($W602/$W601-1,"")</f>
        <v/>
      </c>
      <c r="EC601" s="58">
        <f>IFERROR($X602/$X601-1,"")</f>
        <v/>
      </c>
      <c r="ED601" s="58">
        <f>IFERROR($Y602/$Y601-1,"")</f>
        <v/>
      </c>
      <c r="EE601" s="58">
        <f>IFERROR($Z602/$Z601-1,"")</f>
        <v/>
      </c>
      <c r="EF601" s="58">
        <f>IFERROR($AA602/$AA601-1,"")</f>
        <v/>
      </c>
      <c r="EG601" s="58">
        <f>IFERROR($AB602/$AB601-1,"")</f>
        <v/>
      </c>
      <c r="EH601" s="58">
        <f>IFERROR($AC602/$AC601-1,"")</f>
        <v/>
      </c>
      <c r="EI601" s="58">
        <f>IFERROR($AD602/$AD601-1,"")</f>
        <v/>
      </c>
      <c r="EJ601" s="58">
        <f>IFERROR($AE602/$AE601-1,"")</f>
        <v/>
      </c>
      <c r="EK601" s="58">
        <f>IFERROR($AF602/$AF601-1,"")</f>
        <v/>
      </c>
      <c r="EL601" s="58">
        <f>IFERROR($AG602/$AG601-1,"")</f>
        <v/>
      </c>
      <c r="EM601" s="58">
        <f>IFERROR($BB601/$BB602-1,"")</f>
        <v/>
      </c>
      <c r="EN601" s="58">
        <f>IFERROR($BC601/$BC602-1,"")</f>
        <v/>
      </c>
      <c r="EO601" s="58">
        <f>IFERROR($BD601/$BD602-1,"")</f>
        <v/>
      </c>
      <c r="EP601" s="58">
        <f>IFERROR($BE601/$BE602-1,"")</f>
        <v/>
      </c>
      <c r="EQ601" s="58">
        <f>IFERROR($BF601/$BF602-1,"")</f>
        <v/>
      </c>
      <c r="ER601" s="58">
        <f>IFERROR($BG601/$BG602-1,"")</f>
        <v/>
      </c>
      <c r="ES601" s="58">
        <f>IFERROR($BH601/$BH602-1,"")</f>
        <v/>
      </c>
      <c r="ET601" s="58">
        <f>IFERROR($BI601/$BI602-1,"")</f>
        <v/>
      </c>
      <c r="EU601" s="58">
        <f>IFERROR($BJ601/$BJ602-1,"")</f>
        <v/>
      </c>
      <c r="EV601" s="58">
        <f>IFERROR($BK601/$BK602-1,"")</f>
        <v/>
      </c>
      <c r="EW601" s="58">
        <f>IFERROR($BL601/$BL602-1,"")</f>
        <v/>
      </c>
      <c r="EX601" s="58">
        <f>IFERROR($BM601/$BM602-1,"")</f>
        <v/>
      </c>
      <c r="EY601" s="58">
        <f>IFERROR($BN601/$BN602-1,"")</f>
        <v/>
      </c>
      <c r="EZ601" s="58">
        <f>IFERROR($BO601/$BO602-1,"")</f>
        <v/>
      </c>
      <c r="FA601" s="58">
        <f>IFERROR($BP601/$BP602-1,"")</f>
        <v/>
      </c>
      <c r="FB601" s="58">
        <f>IFERROR($BQ601/$BQ602-1,"")</f>
        <v/>
      </c>
      <c r="FC601" s="58">
        <f>IFERROR($BR601/$BR602-1,"")</f>
        <v/>
      </c>
      <c r="FD601" s="58">
        <f>IFERROR($BS601/$BS602-1,"")</f>
        <v/>
      </c>
      <c r="FE601" s="58">
        <f>IFERROR($BT601/$BT602-1,"")</f>
        <v/>
      </c>
      <c r="FF601" s="58">
        <f>IFERROR($BU601/$BU602-1,"")</f>
        <v/>
      </c>
      <c r="FG601" s="58">
        <f>IFERROR($BV601/$BV602-1,"")</f>
        <v/>
      </c>
      <c r="FH601" s="58">
        <f>IFERROR($BW601/$BW602-1,"")</f>
        <v/>
      </c>
      <c r="FI601" s="58">
        <f>IFERROR($BX601/$BX602-1,"")</f>
        <v/>
      </c>
      <c r="FJ601" s="59">
        <f>$BY601-$BY602</f>
        <v/>
      </c>
      <c r="FK601" s="59">
        <f>$BZ601-$BZ602</f>
        <v/>
      </c>
      <c r="FL601" s="59">
        <f>$CA601-$CA602</f>
        <v/>
      </c>
      <c r="FM601" s="59">
        <f>$CB601-$CB602</f>
        <v/>
      </c>
      <c r="FN601" s="59">
        <f>$CC601-$CC602</f>
        <v/>
      </c>
      <c r="FO601" s="59">
        <f>$CD601-$CD602</f>
        <v/>
      </c>
      <c r="FP601" s="59">
        <f>$CE601-$CE602</f>
        <v/>
      </c>
      <c r="FQ601" s="59">
        <f>$CF601-$CF602</f>
        <v/>
      </c>
      <c r="FR601" s="59">
        <f>$CG601-$CG602</f>
        <v/>
      </c>
      <c r="FS601" s="59">
        <f>$CH601-$CH602</f>
        <v/>
      </c>
      <c r="FT601" s="59">
        <f>$CI601-$CI602</f>
        <v/>
      </c>
      <c r="FU601" s="59">
        <f>$CJ601-$CJ602</f>
        <v/>
      </c>
      <c r="FV601" s="59">
        <f>$CK601-$CK602</f>
        <v/>
      </c>
      <c r="FW601" s="59">
        <f>$CL601-$CL602</f>
        <v/>
      </c>
      <c r="FX601" s="59">
        <f>$CM601-$CM602</f>
        <v/>
      </c>
      <c r="FY601" s="59">
        <f>$CN601-$CN602</f>
        <v/>
      </c>
      <c r="FZ601" s="59">
        <f>$CO601-$CO602</f>
        <v/>
      </c>
      <c r="GA601" s="59">
        <f>$CP601-$CP602</f>
        <v/>
      </c>
      <c r="GB601" s="59">
        <f>$CQ601-$CQ602</f>
        <v/>
      </c>
      <c r="GC601" s="59">
        <f>$CR601-$CR602</f>
        <v/>
      </c>
      <c r="GD601" s="59">
        <f>$CS601-$CS602</f>
        <v/>
      </c>
      <c r="GE601" s="59">
        <f>$CT601-$CT602</f>
        <v/>
      </c>
    </row>
    <row r="602">
      <c r="CU602" s="58">
        <f>IFERROR($B602/$B603-1,"")</f>
        <v/>
      </c>
      <c r="CV602" s="59">
        <f>($F602-$F603)*100</f>
        <v/>
      </c>
      <c r="CW602" s="59">
        <f>($E602-$E603)*100</f>
        <v/>
      </c>
      <c r="CX602" s="58">
        <f>IFERROR($K602/$K603-1,"")</f>
        <v/>
      </c>
      <c r="CY602" s="59">
        <f>($AH602-$AH603)*100</f>
        <v/>
      </c>
      <c r="CZ602" s="59">
        <f>($AI602-$AI603)*100</f>
        <v/>
      </c>
      <c r="DA602" s="59">
        <f>($AJ602-$AJ603)*100</f>
        <v/>
      </c>
      <c r="DB602" s="59">
        <f>($AK602-$AK603)*100</f>
        <v/>
      </c>
      <c r="DC602" s="59">
        <f>($AL602-$AL603)*100</f>
        <v/>
      </c>
      <c r="DD602" s="59">
        <f>($AM602-$AM603)*100</f>
        <v/>
      </c>
      <c r="DE602" s="59">
        <f>($AN602-$AN603)*100</f>
        <v/>
      </c>
      <c r="DF602" s="59">
        <f>($AO602-$AO603)*100</f>
        <v/>
      </c>
      <c r="DG602" s="59">
        <f>($AP602-$AP603)*100</f>
        <v/>
      </c>
      <c r="DH602" s="59">
        <f>($AQ602-$AQ603)*100</f>
        <v/>
      </c>
      <c r="DI602" s="59">
        <f>($AR602-$AR603)*100</f>
        <v/>
      </c>
      <c r="DJ602" s="59">
        <f>($AS602-$AS603)*100</f>
        <v/>
      </c>
      <c r="DK602" s="59">
        <f>($AT602-$AT603)*100</f>
        <v/>
      </c>
      <c r="DL602" s="59">
        <f>($AU602-$AU603)*100</f>
        <v/>
      </c>
      <c r="DM602" s="59">
        <f>($AV602-$AV603)*100</f>
        <v/>
      </c>
      <c r="DN602" s="59">
        <f>($AW602-$AW603)*100</f>
        <v/>
      </c>
      <c r="DO602" s="59">
        <f>($AX602-$AX603)*100</f>
        <v/>
      </c>
      <c r="DP602" s="59">
        <f>($AY602-$AY603)*100</f>
        <v/>
      </c>
      <c r="DQ602" s="59">
        <f>($AZ602-$AZ603)*100</f>
        <v/>
      </c>
      <c r="DR602" s="59">
        <f>($BA602-$BA603)*100</f>
        <v/>
      </c>
      <c r="DS602" s="58">
        <f>IFERROR($N603/$N602-1,"")</f>
        <v/>
      </c>
      <c r="DT602" s="58">
        <f>IFERROR($O603/$O602-1,"")</f>
        <v/>
      </c>
      <c r="DU602" s="58">
        <f>IFERROR($P603/$P602-1,"")</f>
        <v/>
      </c>
      <c r="DV602" s="58">
        <f>IFERROR($Q603/$Q602-1,"")</f>
        <v/>
      </c>
      <c r="DW602" s="58">
        <f>IFERROR($R603/$R602-1,"")</f>
        <v/>
      </c>
      <c r="DX602" s="58">
        <f>IFERROR($S603/$S602-1,"")</f>
        <v/>
      </c>
      <c r="DY602" s="58">
        <f>IFERROR($T603/$T602-1,"")</f>
        <v/>
      </c>
      <c r="DZ602" s="58">
        <f>IFERROR($U603/$U602-1,"")</f>
        <v/>
      </c>
      <c r="EA602" s="58">
        <f>IFERROR($V603/$V602-1,"")</f>
        <v/>
      </c>
      <c r="EB602" s="58">
        <f>IFERROR($W603/$W602-1,"")</f>
        <v/>
      </c>
      <c r="EC602" s="58">
        <f>IFERROR($X603/$X602-1,"")</f>
        <v/>
      </c>
      <c r="ED602" s="58">
        <f>IFERROR($Y603/$Y602-1,"")</f>
        <v/>
      </c>
      <c r="EE602" s="58">
        <f>IFERROR($Z603/$Z602-1,"")</f>
        <v/>
      </c>
      <c r="EF602" s="58">
        <f>IFERROR($AA603/$AA602-1,"")</f>
        <v/>
      </c>
      <c r="EG602" s="58">
        <f>IFERROR($AB603/$AB602-1,"")</f>
        <v/>
      </c>
      <c r="EH602" s="58">
        <f>IFERROR($AC603/$AC602-1,"")</f>
        <v/>
      </c>
      <c r="EI602" s="58">
        <f>IFERROR($AD603/$AD602-1,"")</f>
        <v/>
      </c>
      <c r="EJ602" s="58">
        <f>IFERROR($AE603/$AE602-1,"")</f>
        <v/>
      </c>
      <c r="EK602" s="58">
        <f>IFERROR($AF603/$AF602-1,"")</f>
        <v/>
      </c>
      <c r="EL602" s="58">
        <f>IFERROR($AG603/$AG602-1,"")</f>
        <v/>
      </c>
      <c r="EM602" s="58">
        <f>IFERROR($BB602/$BB603-1,"")</f>
        <v/>
      </c>
      <c r="EN602" s="58">
        <f>IFERROR($BC602/$BC603-1,"")</f>
        <v/>
      </c>
      <c r="EO602" s="58">
        <f>IFERROR($BD602/$BD603-1,"")</f>
        <v/>
      </c>
      <c r="EP602" s="58">
        <f>IFERROR($BE602/$BE603-1,"")</f>
        <v/>
      </c>
      <c r="EQ602" s="58">
        <f>IFERROR($BF602/$BF603-1,"")</f>
        <v/>
      </c>
      <c r="ER602" s="58">
        <f>IFERROR($BG602/$BG603-1,"")</f>
        <v/>
      </c>
      <c r="ES602" s="58">
        <f>IFERROR($BH602/$BH603-1,"")</f>
        <v/>
      </c>
      <c r="ET602" s="58">
        <f>IFERROR($BI602/$BI603-1,"")</f>
        <v/>
      </c>
      <c r="EU602" s="58">
        <f>IFERROR($BJ602/$BJ603-1,"")</f>
        <v/>
      </c>
      <c r="EV602" s="58">
        <f>IFERROR($BK602/$BK603-1,"")</f>
        <v/>
      </c>
      <c r="EW602" s="58">
        <f>IFERROR($BL602/$BL603-1,"")</f>
        <v/>
      </c>
      <c r="EX602" s="58">
        <f>IFERROR($BM602/$BM603-1,"")</f>
        <v/>
      </c>
      <c r="EY602" s="58">
        <f>IFERROR($BN602/$BN603-1,"")</f>
        <v/>
      </c>
      <c r="EZ602" s="58">
        <f>IFERROR($BO602/$BO603-1,"")</f>
        <v/>
      </c>
      <c r="FA602" s="58">
        <f>IFERROR($BP602/$BP603-1,"")</f>
        <v/>
      </c>
      <c r="FB602" s="58">
        <f>IFERROR($BQ602/$BQ603-1,"")</f>
        <v/>
      </c>
      <c r="FC602" s="58">
        <f>IFERROR($BR602/$BR603-1,"")</f>
        <v/>
      </c>
      <c r="FD602" s="58">
        <f>IFERROR($BS602/$BS603-1,"")</f>
        <v/>
      </c>
      <c r="FE602" s="58">
        <f>IFERROR($BT602/$BT603-1,"")</f>
        <v/>
      </c>
      <c r="FF602" s="58">
        <f>IFERROR($BU602/$BU603-1,"")</f>
        <v/>
      </c>
      <c r="FG602" s="58">
        <f>IFERROR($BV602/$BV603-1,"")</f>
        <v/>
      </c>
      <c r="FH602" s="58">
        <f>IFERROR($BW602/$BW603-1,"")</f>
        <v/>
      </c>
      <c r="FI602" s="58">
        <f>IFERROR($BX602/$BX603-1,"")</f>
        <v/>
      </c>
      <c r="FJ602" s="59">
        <f>$BY602-$BY603</f>
        <v/>
      </c>
      <c r="FK602" s="59">
        <f>$BZ602-$BZ603</f>
        <v/>
      </c>
      <c r="FL602" s="59">
        <f>$CA602-$CA603</f>
        <v/>
      </c>
      <c r="FM602" s="59">
        <f>$CB602-$CB603</f>
        <v/>
      </c>
      <c r="FN602" s="59">
        <f>$CC602-$CC603</f>
        <v/>
      </c>
      <c r="FO602" s="59">
        <f>$CD602-$CD603</f>
        <v/>
      </c>
      <c r="FP602" s="59">
        <f>$CE602-$CE603</f>
        <v/>
      </c>
      <c r="FQ602" s="59">
        <f>$CF602-$CF603</f>
        <v/>
      </c>
      <c r="FR602" s="59">
        <f>$CG602-$CG603</f>
        <v/>
      </c>
      <c r="FS602" s="59">
        <f>$CH602-$CH603</f>
        <v/>
      </c>
      <c r="FT602" s="59">
        <f>$CI602-$CI603</f>
        <v/>
      </c>
      <c r="FU602" s="59">
        <f>$CJ602-$CJ603</f>
        <v/>
      </c>
      <c r="FV602" s="59">
        <f>$CK602-$CK603</f>
        <v/>
      </c>
      <c r="FW602" s="59">
        <f>$CL602-$CL603</f>
        <v/>
      </c>
      <c r="FX602" s="59">
        <f>$CM602-$CM603</f>
        <v/>
      </c>
      <c r="FY602" s="59">
        <f>$CN602-$CN603</f>
        <v/>
      </c>
      <c r="FZ602" s="59">
        <f>$CO602-$CO603</f>
        <v/>
      </c>
      <c r="GA602" s="59">
        <f>$CP602-$CP603</f>
        <v/>
      </c>
      <c r="GB602" s="59">
        <f>$CQ602-$CQ603</f>
        <v/>
      </c>
      <c r="GC602" s="59">
        <f>$CR602-$CR603</f>
        <v/>
      </c>
      <c r="GD602" s="59">
        <f>$CS602-$CS603</f>
        <v/>
      </c>
      <c r="GE602" s="59">
        <f>$CT602-$CT603</f>
        <v/>
      </c>
    </row>
    <row r="603">
      <c r="CU603" s="58">
        <f>IFERROR($B603/$B604-1,"")</f>
        <v/>
      </c>
      <c r="CV603" s="59">
        <f>($F603-$F604)*100</f>
        <v/>
      </c>
      <c r="CW603" s="59">
        <f>($E603-$E604)*100</f>
        <v/>
      </c>
      <c r="CX603" s="58">
        <f>IFERROR($K603/$K604-1,"")</f>
        <v/>
      </c>
      <c r="CY603" s="59">
        <f>($AH603-$AH604)*100</f>
        <v/>
      </c>
      <c r="CZ603" s="59">
        <f>($AI603-$AI604)*100</f>
        <v/>
      </c>
      <c r="DA603" s="59">
        <f>($AJ603-$AJ604)*100</f>
        <v/>
      </c>
      <c r="DB603" s="59">
        <f>($AK603-$AK604)*100</f>
        <v/>
      </c>
      <c r="DC603" s="59">
        <f>($AL603-$AL604)*100</f>
        <v/>
      </c>
      <c r="DD603" s="59">
        <f>($AM603-$AM604)*100</f>
        <v/>
      </c>
      <c r="DE603" s="59">
        <f>($AN603-$AN604)*100</f>
        <v/>
      </c>
      <c r="DF603" s="59">
        <f>($AO603-$AO604)*100</f>
        <v/>
      </c>
      <c r="DG603" s="59">
        <f>($AP603-$AP604)*100</f>
        <v/>
      </c>
      <c r="DH603" s="59">
        <f>($AQ603-$AQ604)*100</f>
        <v/>
      </c>
      <c r="DI603" s="59">
        <f>($AR603-$AR604)*100</f>
        <v/>
      </c>
      <c r="DJ603" s="59">
        <f>($AS603-$AS604)*100</f>
        <v/>
      </c>
      <c r="DK603" s="59">
        <f>($AT603-$AT604)*100</f>
        <v/>
      </c>
      <c r="DL603" s="59">
        <f>($AU603-$AU604)*100</f>
        <v/>
      </c>
      <c r="DM603" s="59">
        <f>($AV603-$AV604)*100</f>
        <v/>
      </c>
      <c r="DN603" s="59">
        <f>($AW603-$AW604)*100</f>
        <v/>
      </c>
      <c r="DO603" s="59">
        <f>($AX603-$AX604)*100</f>
        <v/>
      </c>
      <c r="DP603" s="59">
        <f>($AY603-$AY604)*100</f>
        <v/>
      </c>
      <c r="DQ603" s="59">
        <f>($AZ603-$AZ604)*100</f>
        <v/>
      </c>
      <c r="DR603" s="59">
        <f>($BA603-$BA604)*100</f>
        <v/>
      </c>
      <c r="DS603" s="58">
        <f>IFERROR($N604/$N603-1,"")</f>
        <v/>
      </c>
      <c r="DT603" s="58">
        <f>IFERROR($O604/$O603-1,"")</f>
        <v/>
      </c>
      <c r="DU603" s="58">
        <f>IFERROR($P604/$P603-1,"")</f>
        <v/>
      </c>
      <c r="DV603" s="58">
        <f>IFERROR($Q604/$Q603-1,"")</f>
        <v/>
      </c>
      <c r="DW603" s="58">
        <f>IFERROR($R604/$R603-1,"")</f>
        <v/>
      </c>
      <c r="DX603" s="58">
        <f>IFERROR($S604/$S603-1,"")</f>
        <v/>
      </c>
      <c r="DY603" s="58">
        <f>IFERROR($T604/$T603-1,"")</f>
        <v/>
      </c>
      <c r="DZ603" s="58">
        <f>IFERROR($U604/$U603-1,"")</f>
        <v/>
      </c>
      <c r="EA603" s="58">
        <f>IFERROR($V604/$V603-1,"")</f>
        <v/>
      </c>
      <c r="EB603" s="58">
        <f>IFERROR($W604/$W603-1,"")</f>
        <v/>
      </c>
      <c r="EC603" s="58">
        <f>IFERROR($X604/$X603-1,"")</f>
        <v/>
      </c>
      <c r="ED603" s="58">
        <f>IFERROR($Y604/$Y603-1,"")</f>
        <v/>
      </c>
      <c r="EE603" s="58">
        <f>IFERROR($Z604/$Z603-1,"")</f>
        <v/>
      </c>
      <c r="EF603" s="58">
        <f>IFERROR($AA604/$AA603-1,"")</f>
        <v/>
      </c>
      <c r="EG603" s="58">
        <f>IFERROR($AB604/$AB603-1,"")</f>
        <v/>
      </c>
      <c r="EH603" s="58">
        <f>IFERROR($AC604/$AC603-1,"")</f>
        <v/>
      </c>
      <c r="EI603" s="58">
        <f>IFERROR($AD604/$AD603-1,"")</f>
        <v/>
      </c>
      <c r="EJ603" s="58">
        <f>IFERROR($AE604/$AE603-1,"")</f>
        <v/>
      </c>
      <c r="EK603" s="58">
        <f>IFERROR($AF604/$AF603-1,"")</f>
        <v/>
      </c>
      <c r="EL603" s="58">
        <f>IFERROR($AG604/$AG603-1,"")</f>
        <v/>
      </c>
      <c r="EM603" s="58">
        <f>IFERROR($BB603/$BB604-1,"")</f>
        <v/>
      </c>
      <c r="EN603" s="58">
        <f>IFERROR($BC603/$BC604-1,"")</f>
        <v/>
      </c>
      <c r="EO603" s="58">
        <f>IFERROR($BD603/$BD604-1,"")</f>
        <v/>
      </c>
      <c r="EP603" s="58">
        <f>IFERROR($BE603/$BE604-1,"")</f>
        <v/>
      </c>
      <c r="EQ603" s="58">
        <f>IFERROR($BF603/$BF604-1,"")</f>
        <v/>
      </c>
      <c r="ER603" s="58">
        <f>IFERROR($BG603/$BG604-1,"")</f>
        <v/>
      </c>
      <c r="ES603" s="58">
        <f>IFERROR($BH603/$BH604-1,"")</f>
        <v/>
      </c>
      <c r="ET603" s="58">
        <f>IFERROR($BI603/$BI604-1,"")</f>
        <v/>
      </c>
      <c r="EU603" s="58">
        <f>IFERROR($BJ603/$BJ604-1,"")</f>
        <v/>
      </c>
      <c r="EV603" s="58">
        <f>IFERROR($BK603/$BK604-1,"")</f>
        <v/>
      </c>
      <c r="EW603" s="58">
        <f>IFERROR($BL603/$BL604-1,"")</f>
        <v/>
      </c>
      <c r="EX603" s="58">
        <f>IFERROR($BM603/$BM604-1,"")</f>
        <v/>
      </c>
      <c r="EY603" s="58">
        <f>IFERROR($BN603/$BN604-1,"")</f>
        <v/>
      </c>
      <c r="EZ603" s="58">
        <f>IFERROR($BO603/$BO604-1,"")</f>
        <v/>
      </c>
      <c r="FA603" s="58">
        <f>IFERROR($BP603/$BP604-1,"")</f>
        <v/>
      </c>
      <c r="FB603" s="58">
        <f>IFERROR($BQ603/$BQ604-1,"")</f>
        <v/>
      </c>
      <c r="FC603" s="58">
        <f>IFERROR($BR603/$BR604-1,"")</f>
        <v/>
      </c>
      <c r="FD603" s="58">
        <f>IFERROR($BS603/$BS604-1,"")</f>
        <v/>
      </c>
      <c r="FE603" s="58">
        <f>IFERROR($BT603/$BT604-1,"")</f>
        <v/>
      </c>
      <c r="FF603" s="58">
        <f>IFERROR($BU603/$BU604-1,"")</f>
        <v/>
      </c>
      <c r="FG603" s="58">
        <f>IFERROR($BV603/$BV604-1,"")</f>
        <v/>
      </c>
      <c r="FH603" s="58">
        <f>IFERROR($BW603/$BW604-1,"")</f>
        <v/>
      </c>
      <c r="FI603" s="58">
        <f>IFERROR($BX603/$BX604-1,"")</f>
        <v/>
      </c>
      <c r="FJ603" s="59">
        <f>$BY603-$BY604</f>
        <v/>
      </c>
      <c r="FK603" s="59">
        <f>$BZ603-$BZ604</f>
        <v/>
      </c>
      <c r="FL603" s="59">
        <f>$CA603-$CA604</f>
        <v/>
      </c>
      <c r="FM603" s="59">
        <f>$CB603-$CB604</f>
        <v/>
      </c>
      <c r="FN603" s="59">
        <f>$CC603-$CC604</f>
        <v/>
      </c>
      <c r="FO603" s="59">
        <f>$CD603-$CD604</f>
        <v/>
      </c>
      <c r="FP603" s="59">
        <f>$CE603-$CE604</f>
        <v/>
      </c>
      <c r="FQ603" s="59">
        <f>$CF603-$CF604</f>
        <v/>
      </c>
      <c r="FR603" s="59">
        <f>$CG603-$CG604</f>
        <v/>
      </c>
      <c r="FS603" s="59">
        <f>$CH603-$CH604</f>
        <v/>
      </c>
      <c r="FT603" s="59">
        <f>$CI603-$CI604</f>
        <v/>
      </c>
      <c r="FU603" s="59">
        <f>$CJ603-$CJ604</f>
        <v/>
      </c>
      <c r="FV603" s="59">
        <f>$CK603-$CK604</f>
        <v/>
      </c>
      <c r="FW603" s="59">
        <f>$CL603-$CL604</f>
        <v/>
      </c>
      <c r="FX603" s="59">
        <f>$CM603-$CM604</f>
        <v/>
      </c>
      <c r="FY603" s="59">
        <f>$CN603-$CN604</f>
        <v/>
      </c>
      <c r="FZ603" s="59">
        <f>$CO603-$CO604</f>
        <v/>
      </c>
      <c r="GA603" s="59">
        <f>$CP603-$CP604</f>
        <v/>
      </c>
      <c r="GB603" s="59">
        <f>$CQ603-$CQ604</f>
        <v/>
      </c>
      <c r="GC603" s="59">
        <f>$CR603-$CR604</f>
        <v/>
      </c>
      <c r="GD603" s="59">
        <f>$CS603-$CS604</f>
        <v/>
      </c>
      <c r="GE603" s="59">
        <f>$CT603-$CT604</f>
        <v/>
      </c>
    </row>
    <row r="604">
      <c r="CU604" s="58">
        <f>IFERROR($B604/$B605-1,"")</f>
        <v/>
      </c>
      <c r="CV604" s="59">
        <f>($F604-$F605)*100</f>
        <v/>
      </c>
      <c r="CW604" s="59">
        <f>($E604-$E605)*100</f>
        <v/>
      </c>
      <c r="CX604" s="58">
        <f>IFERROR($K604/$K605-1,"")</f>
        <v/>
      </c>
      <c r="CY604" s="59">
        <f>($AH604-$AH605)*100</f>
        <v/>
      </c>
      <c r="CZ604" s="59">
        <f>($AI604-$AI605)*100</f>
        <v/>
      </c>
      <c r="DA604" s="59">
        <f>($AJ604-$AJ605)*100</f>
        <v/>
      </c>
      <c r="DB604" s="59">
        <f>($AK604-$AK605)*100</f>
        <v/>
      </c>
      <c r="DC604" s="59">
        <f>($AL604-$AL605)*100</f>
        <v/>
      </c>
      <c r="DD604" s="59">
        <f>($AM604-$AM605)*100</f>
        <v/>
      </c>
      <c r="DE604" s="59">
        <f>($AN604-$AN605)*100</f>
        <v/>
      </c>
      <c r="DF604" s="59">
        <f>($AO604-$AO605)*100</f>
        <v/>
      </c>
      <c r="DG604" s="59">
        <f>($AP604-$AP605)*100</f>
        <v/>
      </c>
      <c r="DH604" s="59">
        <f>($AQ604-$AQ605)*100</f>
        <v/>
      </c>
      <c r="DI604" s="59">
        <f>($AR604-$AR605)*100</f>
        <v/>
      </c>
      <c r="DJ604" s="59">
        <f>($AS604-$AS605)*100</f>
        <v/>
      </c>
      <c r="DK604" s="59">
        <f>($AT604-$AT605)*100</f>
        <v/>
      </c>
      <c r="DL604" s="59">
        <f>($AU604-$AU605)*100</f>
        <v/>
      </c>
      <c r="DM604" s="59">
        <f>($AV604-$AV605)*100</f>
        <v/>
      </c>
      <c r="DN604" s="59">
        <f>($AW604-$AW605)*100</f>
        <v/>
      </c>
      <c r="DO604" s="59">
        <f>($AX604-$AX605)*100</f>
        <v/>
      </c>
      <c r="DP604" s="59">
        <f>($AY604-$AY605)*100</f>
        <v/>
      </c>
      <c r="DQ604" s="59">
        <f>($AZ604-$AZ605)*100</f>
        <v/>
      </c>
      <c r="DR604" s="59">
        <f>($BA604-$BA605)*100</f>
        <v/>
      </c>
      <c r="DS604" s="58">
        <f>IFERROR($N605/$N604-1,"")</f>
        <v/>
      </c>
      <c r="DT604" s="58">
        <f>IFERROR($O605/$O604-1,"")</f>
        <v/>
      </c>
      <c r="DU604" s="58">
        <f>IFERROR($P605/$P604-1,"")</f>
        <v/>
      </c>
      <c r="DV604" s="58">
        <f>IFERROR($Q605/$Q604-1,"")</f>
        <v/>
      </c>
      <c r="DW604" s="58">
        <f>IFERROR($R605/$R604-1,"")</f>
        <v/>
      </c>
      <c r="DX604" s="58">
        <f>IFERROR($S605/$S604-1,"")</f>
        <v/>
      </c>
      <c r="DY604" s="58">
        <f>IFERROR($T605/$T604-1,"")</f>
        <v/>
      </c>
      <c r="DZ604" s="58">
        <f>IFERROR($U605/$U604-1,"")</f>
        <v/>
      </c>
      <c r="EA604" s="58">
        <f>IFERROR($V605/$V604-1,"")</f>
        <v/>
      </c>
      <c r="EB604" s="58">
        <f>IFERROR($W605/$W604-1,"")</f>
        <v/>
      </c>
      <c r="EC604" s="58">
        <f>IFERROR($X605/$X604-1,"")</f>
        <v/>
      </c>
      <c r="ED604" s="58">
        <f>IFERROR($Y605/$Y604-1,"")</f>
        <v/>
      </c>
      <c r="EE604" s="58">
        <f>IFERROR($Z605/$Z604-1,"")</f>
        <v/>
      </c>
      <c r="EF604" s="58">
        <f>IFERROR($AA605/$AA604-1,"")</f>
        <v/>
      </c>
      <c r="EG604" s="58">
        <f>IFERROR($AB605/$AB604-1,"")</f>
        <v/>
      </c>
      <c r="EH604" s="58">
        <f>IFERROR($AC605/$AC604-1,"")</f>
        <v/>
      </c>
      <c r="EI604" s="58">
        <f>IFERROR($AD605/$AD604-1,"")</f>
        <v/>
      </c>
      <c r="EJ604" s="58">
        <f>IFERROR($AE605/$AE604-1,"")</f>
        <v/>
      </c>
      <c r="EK604" s="58">
        <f>IFERROR($AF605/$AF604-1,"")</f>
        <v/>
      </c>
      <c r="EL604" s="58">
        <f>IFERROR($AG605/$AG604-1,"")</f>
        <v/>
      </c>
      <c r="EM604" s="58">
        <f>IFERROR($BB604/$BB605-1,"")</f>
        <v/>
      </c>
      <c r="EN604" s="58">
        <f>IFERROR($BC604/$BC605-1,"")</f>
        <v/>
      </c>
      <c r="EO604" s="58">
        <f>IFERROR($BD604/$BD605-1,"")</f>
        <v/>
      </c>
      <c r="EP604" s="58">
        <f>IFERROR($BE604/$BE605-1,"")</f>
        <v/>
      </c>
      <c r="EQ604" s="58">
        <f>IFERROR($BF604/$BF605-1,"")</f>
        <v/>
      </c>
      <c r="ER604" s="58">
        <f>IFERROR($BG604/$BG605-1,"")</f>
        <v/>
      </c>
      <c r="ES604" s="58">
        <f>IFERROR($BH604/$BH605-1,"")</f>
        <v/>
      </c>
      <c r="ET604" s="58">
        <f>IFERROR($BI604/$BI605-1,"")</f>
        <v/>
      </c>
      <c r="EU604" s="58">
        <f>IFERROR($BJ604/$BJ605-1,"")</f>
        <v/>
      </c>
      <c r="EV604" s="58">
        <f>IFERROR($BK604/$BK605-1,"")</f>
        <v/>
      </c>
      <c r="EW604" s="58">
        <f>IFERROR($BL604/$BL605-1,"")</f>
        <v/>
      </c>
      <c r="EX604" s="58">
        <f>IFERROR($BM604/$BM605-1,"")</f>
        <v/>
      </c>
      <c r="EY604" s="58">
        <f>IFERROR($BN604/$BN605-1,"")</f>
        <v/>
      </c>
      <c r="EZ604" s="58">
        <f>IFERROR($BO604/$BO605-1,"")</f>
        <v/>
      </c>
      <c r="FA604" s="58">
        <f>IFERROR($BP604/$BP605-1,"")</f>
        <v/>
      </c>
      <c r="FB604" s="58">
        <f>IFERROR($BQ604/$BQ605-1,"")</f>
        <v/>
      </c>
      <c r="FC604" s="58">
        <f>IFERROR($BR604/$BR605-1,"")</f>
        <v/>
      </c>
      <c r="FD604" s="58">
        <f>IFERROR($BS604/$BS605-1,"")</f>
        <v/>
      </c>
      <c r="FE604" s="58">
        <f>IFERROR($BT604/$BT605-1,"")</f>
        <v/>
      </c>
      <c r="FF604" s="58">
        <f>IFERROR($BU604/$BU605-1,"")</f>
        <v/>
      </c>
      <c r="FG604" s="58">
        <f>IFERROR($BV604/$BV605-1,"")</f>
        <v/>
      </c>
      <c r="FH604" s="58">
        <f>IFERROR($BW604/$BW605-1,"")</f>
        <v/>
      </c>
      <c r="FI604" s="58">
        <f>IFERROR($BX604/$BX605-1,"")</f>
        <v/>
      </c>
      <c r="FJ604" s="59">
        <f>$BY604-$BY605</f>
        <v/>
      </c>
      <c r="FK604" s="59">
        <f>$BZ604-$BZ605</f>
        <v/>
      </c>
      <c r="FL604" s="59">
        <f>$CA604-$CA605</f>
        <v/>
      </c>
      <c r="FM604" s="59">
        <f>$CB604-$CB605</f>
        <v/>
      </c>
      <c r="FN604" s="59">
        <f>$CC604-$CC605</f>
        <v/>
      </c>
      <c r="FO604" s="59">
        <f>$CD604-$CD605</f>
        <v/>
      </c>
      <c r="FP604" s="59">
        <f>$CE604-$CE605</f>
        <v/>
      </c>
      <c r="FQ604" s="59">
        <f>$CF604-$CF605</f>
        <v/>
      </c>
      <c r="FR604" s="59">
        <f>$CG604-$CG605</f>
        <v/>
      </c>
      <c r="FS604" s="59">
        <f>$CH604-$CH605</f>
        <v/>
      </c>
      <c r="FT604" s="59">
        <f>$CI604-$CI605</f>
        <v/>
      </c>
      <c r="FU604" s="59">
        <f>$CJ604-$CJ605</f>
        <v/>
      </c>
      <c r="FV604" s="59">
        <f>$CK604-$CK605</f>
        <v/>
      </c>
      <c r="FW604" s="59">
        <f>$CL604-$CL605</f>
        <v/>
      </c>
      <c r="FX604" s="59">
        <f>$CM604-$CM605</f>
        <v/>
      </c>
      <c r="FY604" s="59">
        <f>$CN604-$CN605</f>
        <v/>
      </c>
      <c r="FZ604" s="59">
        <f>$CO604-$CO605</f>
        <v/>
      </c>
      <c r="GA604" s="59">
        <f>$CP604-$CP605</f>
        <v/>
      </c>
      <c r="GB604" s="59">
        <f>$CQ604-$CQ605</f>
        <v/>
      </c>
      <c r="GC604" s="59">
        <f>$CR604-$CR605</f>
        <v/>
      </c>
      <c r="GD604" s="59">
        <f>$CS604-$CS605</f>
        <v/>
      </c>
      <c r="GE604" s="59">
        <f>$CT604-$CT605</f>
        <v/>
      </c>
    </row>
    <row r="605">
      <c r="CU605" s="58">
        <f>IFERROR($B605/$B606-1,"")</f>
        <v/>
      </c>
      <c r="CV605" s="59">
        <f>($F605-$F606)*100</f>
        <v/>
      </c>
      <c r="CW605" s="59">
        <f>($E605-$E606)*100</f>
        <v/>
      </c>
      <c r="CX605" s="58">
        <f>IFERROR($K605/$K606-1,"")</f>
        <v/>
      </c>
      <c r="CY605" s="59">
        <f>($AH605-$AH606)*100</f>
        <v/>
      </c>
      <c r="CZ605" s="59">
        <f>($AI605-$AI606)*100</f>
        <v/>
      </c>
      <c r="DA605" s="59">
        <f>($AJ605-$AJ606)*100</f>
        <v/>
      </c>
      <c r="DB605" s="59">
        <f>($AK605-$AK606)*100</f>
        <v/>
      </c>
      <c r="DC605" s="59">
        <f>($AL605-$AL606)*100</f>
        <v/>
      </c>
      <c r="DD605" s="59">
        <f>($AM605-$AM606)*100</f>
        <v/>
      </c>
      <c r="DE605" s="59">
        <f>($AN605-$AN606)*100</f>
        <v/>
      </c>
      <c r="DF605" s="59">
        <f>($AO605-$AO606)*100</f>
        <v/>
      </c>
      <c r="DG605" s="59">
        <f>($AP605-$AP606)*100</f>
        <v/>
      </c>
      <c r="DH605" s="59">
        <f>($AQ605-$AQ606)*100</f>
        <v/>
      </c>
      <c r="DI605" s="59">
        <f>($AR605-$AR606)*100</f>
        <v/>
      </c>
      <c r="DJ605" s="59">
        <f>($AS605-$AS606)*100</f>
        <v/>
      </c>
      <c r="DK605" s="59">
        <f>($AT605-$AT606)*100</f>
        <v/>
      </c>
      <c r="DL605" s="59">
        <f>($AU605-$AU606)*100</f>
        <v/>
      </c>
      <c r="DM605" s="59">
        <f>($AV605-$AV606)*100</f>
        <v/>
      </c>
      <c r="DN605" s="59">
        <f>($AW605-$AW606)*100</f>
        <v/>
      </c>
      <c r="DO605" s="59">
        <f>($AX605-$AX606)*100</f>
        <v/>
      </c>
      <c r="DP605" s="59">
        <f>($AY605-$AY606)*100</f>
        <v/>
      </c>
      <c r="DQ605" s="59">
        <f>($AZ605-$AZ606)*100</f>
        <v/>
      </c>
      <c r="DR605" s="59">
        <f>($BA605-$BA606)*100</f>
        <v/>
      </c>
      <c r="DS605" s="58">
        <f>IFERROR($N606/$N605-1,"")</f>
        <v/>
      </c>
      <c r="DT605" s="58">
        <f>IFERROR($O606/$O605-1,"")</f>
        <v/>
      </c>
      <c r="DU605" s="58">
        <f>IFERROR($P606/$P605-1,"")</f>
        <v/>
      </c>
      <c r="DV605" s="58">
        <f>IFERROR($Q606/$Q605-1,"")</f>
        <v/>
      </c>
      <c r="DW605" s="58">
        <f>IFERROR($R606/$R605-1,"")</f>
        <v/>
      </c>
      <c r="DX605" s="58">
        <f>IFERROR($S606/$S605-1,"")</f>
        <v/>
      </c>
      <c r="DY605" s="58">
        <f>IFERROR($T606/$T605-1,"")</f>
        <v/>
      </c>
      <c r="DZ605" s="58">
        <f>IFERROR($U606/$U605-1,"")</f>
        <v/>
      </c>
      <c r="EA605" s="58">
        <f>IFERROR($V606/$V605-1,"")</f>
        <v/>
      </c>
      <c r="EB605" s="58">
        <f>IFERROR($W606/$W605-1,"")</f>
        <v/>
      </c>
      <c r="EC605" s="58">
        <f>IFERROR($X606/$X605-1,"")</f>
        <v/>
      </c>
      <c r="ED605" s="58">
        <f>IFERROR($Y606/$Y605-1,"")</f>
        <v/>
      </c>
      <c r="EE605" s="58">
        <f>IFERROR($Z606/$Z605-1,"")</f>
        <v/>
      </c>
      <c r="EF605" s="58">
        <f>IFERROR($AA606/$AA605-1,"")</f>
        <v/>
      </c>
      <c r="EG605" s="58">
        <f>IFERROR($AB606/$AB605-1,"")</f>
        <v/>
      </c>
      <c r="EH605" s="58">
        <f>IFERROR($AC606/$AC605-1,"")</f>
        <v/>
      </c>
      <c r="EI605" s="58">
        <f>IFERROR($AD606/$AD605-1,"")</f>
        <v/>
      </c>
      <c r="EJ605" s="58">
        <f>IFERROR($AE606/$AE605-1,"")</f>
        <v/>
      </c>
      <c r="EK605" s="58">
        <f>IFERROR($AF606/$AF605-1,"")</f>
        <v/>
      </c>
      <c r="EL605" s="58">
        <f>IFERROR($AG606/$AG605-1,"")</f>
        <v/>
      </c>
      <c r="EM605" s="58">
        <f>IFERROR($BB605/$BB606-1,"")</f>
        <v/>
      </c>
      <c r="EN605" s="58">
        <f>IFERROR($BC605/$BC606-1,"")</f>
        <v/>
      </c>
      <c r="EO605" s="58">
        <f>IFERROR($BD605/$BD606-1,"")</f>
        <v/>
      </c>
      <c r="EP605" s="58">
        <f>IFERROR($BE605/$BE606-1,"")</f>
        <v/>
      </c>
      <c r="EQ605" s="58">
        <f>IFERROR($BF605/$BF606-1,"")</f>
        <v/>
      </c>
      <c r="ER605" s="58">
        <f>IFERROR($BG605/$BG606-1,"")</f>
        <v/>
      </c>
      <c r="ES605" s="58">
        <f>IFERROR($BH605/$BH606-1,"")</f>
        <v/>
      </c>
      <c r="ET605" s="58">
        <f>IFERROR($BI605/$BI606-1,"")</f>
        <v/>
      </c>
      <c r="EU605" s="58">
        <f>IFERROR($BJ605/$BJ606-1,"")</f>
        <v/>
      </c>
      <c r="EV605" s="58">
        <f>IFERROR($BK605/$BK606-1,"")</f>
        <v/>
      </c>
      <c r="EW605" s="58">
        <f>IFERROR($BL605/$BL606-1,"")</f>
        <v/>
      </c>
      <c r="EX605" s="58">
        <f>IFERROR($BM605/$BM606-1,"")</f>
        <v/>
      </c>
      <c r="EY605" s="58">
        <f>IFERROR($BN605/$BN606-1,"")</f>
        <v/>
      </c>
      <c r="EZ605" s="58">
        <f>IFERROR($BO605/$BO606-1,"")</f>
        <v/>
      </c>
      <c r="FA605" s="58">
        <f>IFERROR($BP605/$BP606-1,"")</f>
        <v/>
      </c>
      <c r="FB605" s="58">
        <f>IFERROR($BQ605/$BQ606-1,"")</f>
        <v/>
      </c>
      <c r="FC605" s="58">
        <f>IFERROR($BR605/$BR606-1,"")</f>
        <v/>
      </c>
      <c r="FD605" s="58">
        <f>IFERROR($BS605/$BS606-1,"")</f>
        <v/>
      </c>
      <c r="FE605" s="58">
        <f>IFERROR($BT605/$BT606-1,"")</f>
        <v/>
      </c>
      <c r="FF605" s="58">
        <f>IFERROR($BU605/$BU606-1,"")</f>
        <v/>
      </c>
      <c r="FG605" s="58">
        <f>IFERROR($BV605/$BV606-1,"")</f>
        <v/>
      </c>
      <c r="FH605" s="58">
        <f>IFERROR($BW605/$BW606-1,"")</f>
        <v/>
      </c>
      <c r="FI605" s="58">
        <f>IFERROR($BX605/$BX606-1,"")</f>
        <v/>
      </c>
      <c r="FJ605" s="59">
        <f>$BY605-$BY606</f>
        <v/>
      </c>
      <c r="FK605" s="59">
        <f>$BZ605-$BZ606</f>
        <v/>
      </c>
      <c r="FL605" s="59">
        <f>$CA605-$CA606</f>
        <v/>
      </c>
      <c r="FM605" s="59">
        <f>$CB605-$CB606</f>
        <v/>
      </c>
      <c r="FN605" s="59">
        <f>$CC605-$CC606</f>
        <v/>
      </c>
      <c r="FO605" s="59">
        <f>$CD605-$CD606</f>
        <v/>
      </c>
      <c r="FP605" s="59">
        <f>$CE605-$CE606</f>
        <v/>
      </c>
      <c r="FQ605" s="59">
        <f>$CF605-$CF606</f>
        <v/>
      </c>
      <c r="FR605" s="59">
        <f>$CG605-$CG606</f>
        <v/>
      </c>
      <c r="FS605" s="59">
        <f>$CH605-$CH606</f>
        <v/>
      </c>
      <c r="FT605" s="59">
        <f>$CI605-$CI606</f>
        <v/>
      </c>
      <c r="FU605" s="59">
        <f>$CJ605-$CJ606</f>
        <v/>
      </c>
      <c r="FV605" s="59">
        <f>$CK605-$CK606</f>
        <v/>
      </c>
      <c r="FW605" s="59">
        <f>$CL605-$CL606</f>
        <v/>
      </c>
      <c r="FX605" s="59">
        <f>$CM605-$CM606</f>
        <v/>
      </c>
      <c r="FY605" s="59">
        <f>$CN605-$CN606</f>
        <v/>
      </c>
      <c r="FZ605" s="59">
        <f>$CO605-$CO606</f>
        <v/>
      </c>
      <c r="GA605" s="59">
        <f>$CP605-$CP606</f>
        <v/>
      </c>
      <c r="GB605" s="59">
        <f>$CQ605-$CQ606</f>
        <v/>
      </c>
      <c r="GC605" s="59">
        <f>$CR605-$CR606</f>
        <v/>
      </c>
      <c r="GD605" s="59">
        <f>$CS605-$CS606</f>
        <v/>
      </c>
      <c r="GE605" s="59">
        <f>$CT605-$CT606</f>
        <v/>
      </c>
    </row>
    <row r="606">
      <c r="CU606" s="58">
        <f>IFERROR($B606/$B607-1,"")</f>
        <v/>
      </c>
      <c r="CV606" s="59">
        <f>($F606-$F607)*100</f>
        <v/>
      </c>
      <c r="CW606" s="59">
        <f>($E606-$E607)*100</f>
        <v/>
      </c>
      <c r="CX606" s="58">
        <f>IFERROR($K606/$K607-1,"")</f>
        <v/>
      </c>
      <c r="CY606" s="59">
        <f>($AH606-$AH607)*100</f>
        <v/>
      </c>
      <c r="CZ606" s="59">
        <f>($AI606-$AI607)*100</f>
        <v/>
      </c>
      <c r="DA606" s="59">
        <f>($AJ606-$AJ607)*100</f>
        <v/>
      </c>
      <c r="DB606" s="59">
        <f>($AK606-$AK607)*100</f>
        <v/>
      </c>
      <c r="DC606" s="59">
        <f>($AL606-$AL607)*100</f>
        <v/>
      </c>
      <c r="DD606" s="59">
        <f>($AM606-$AM607)*100</f>
        <v/>
      </c>
      <c r="DE606" s="59">
        <f>($AN606-$AN607)*100</f>
        <v/>
      </c>
      <c r="DF606" s="59">
        <f>($AO606-$AO607)*100</f>
        <v/>
      </c>
      <c r="DG606" s="59">
        <f>($AP606-$AP607)*100</f>
        <v/>
      </c>
      <c r="DH606" s="59">
        <f>($AQ606-$AQ607)*100</f>
        <v/>
      </c>
      <c r="DI606" s="59">
        <f>($AR606-$AR607)*100</f>
        <v/>
      </c>
      <c r="DJ606" s="59">
        <f>($AS606-$AS607)*100</f>
        <v/>
      </c>
      <c r="DK606" s="59">
        <f>($AT606-$AT607)*100</f>
        <v/>
      </c>
      <c r="DL606" s="59">
        <f>($AU606-$AU607)*100</f>
        <v/>
      </c>
      <c r="DM606" s="59">
        <f>($AV606-$AV607)*100</f>
        <v/>
      </c>
      <c r="DN606" s="59">
        <f>($AW606-$AW607)*100</f>
        <v/>
      </c>
      <c r="DO606" s="59">
        <f>($AX606-$AX607)*100</f>
        <v/>
      </c>
      <c r="DP606" s="59">
        <f>($AY606-$AY607)*100</f>
        <v/>
      </c>
      <c r="DQ606" s="59">
        <f>($AZ606-$AZ607)*100</f>
        <v/>
      </c>
      <c r="DR606" s="59">
        <f>($BA606-$BA607)*100</f>
        <v/>
      </c>
      <c r="DS606" s="58">
        <f>IFERROR($N607/$N606-1,"")</f>
        <v/>
      </c>
      <c r="DT606" s="58">
        <f>IFERROR($O607/$O606-1,"")</f>
        <v/>
      </c>
      <c r="DU606" s="58">
        <f>IFERROR($P607/$P606-1,"")</f>
        <v/>
      </c>
      <c r="DV606" s="58">
        <f>IFERROR($Q607/$Q606-1,"")</f>
        <v/>
      </c>
      <c r="DW606" s="58">
        <f>IFERROR($R607/$R606-1,"")</f>
        <v/>
      </c>
      <c r="DX606" s="58">
        <f>IFERROR($S607/$S606-1,"")</f>
        <v/>
      </c>
      <c r="DY606" s="58">
        <f>IFERROR($T607/$T606-1,"")</f>
        <v/>
      </c>
      <c r="DZ606" s="58">
        <f>IFERROR($U607/$U606-1,"")</f>
        <v/>
      </c>
      <c r="EA606" s="58">
        <f>IFERROR($V607/$V606-1,"")</f>
        <v/>
      </c>
      <c r="EB606" s="58">
        <f>IFERROR($W607/$W606-1,"")</f>
        <v/>
      </c>
      <c r="EC606" s="58">
        <f>IFERROR($X607/$X606-1,"")</f>
        <v/>
      </c>
      <c r="ED606" s="58">
        <f>IFERROR($Y607/$Y606-1,"")</f>
        <v/>
      </c>
      <c r="EE606" s="58">
        <f>IFERROR($Z607/$Z606-1,"")</f>
        <v/>
      </c>
      <c r="EF606" s="58">
        <f>IFERROR($AA607/$AA606-1,"")</f>
        <v/>
      </c>
      <c r="EG606" s="58">
        <f>IFERROR($AB607/$AB606-1,"")</f>
        <v/>
      </c>
      <c r="EH606" s="58">
        <f>IFERROR($AC607/$AC606-1,"")</f>
        <v/>
      </c>
      <c r="EI606" s="58">
        <f>IFERROR($AD607/$AD606-1,"")</f>
        <v/>
      </c>
      <c r="EJ606" s="58">
        <f>IFERROR($AE607/$AE606-1,"")</f>
        <v/>
      </c>
      <c r="EK606" s="58">
        <f>IFERROR($AF607/$AF606-1,"")</f>
        <v/>
      </c>
      <c r="EL606" s="58">
        <f>IFERROR($AG607/$AG606-1,"")</f>
        <v/>
      </c>
      <c r="EM606" s="58">
        <f>IFERROR($BB606/$BB607-1,"")</f>
        <v/>
      </c>
      <c r="EN606" s="58">
        <f>IFERROR($BC606/$BC607-1,"")</f>
        <v/>
      </c>
      <c r="EO606" s="58">
        <f>IFERROR($BD606/$BD607-1,"")</f>
        <v/>
      </c>
      <c r="EP606" s="58">
        <f>IFERROR($BE606/$BE607-1,"")</f>
        <v/>
      </c>
      <c r="EQ606" s="58">
        <f>IFERROR($BF606/$BF607-1,"")</f>
        <v/>
      </c>
      <c r="ER606" s="58">
        <f>IFERROR($BG606/$BG607-1,"")</f>
        <v/>
      </c>
      <c r="ES606" s="58">
        <f>IFERROR($BH606/$BH607-1,"")</f>
        <v/>
      </c>
      <c r="ET606" s="58">
        <f>IFERROR($BI606/$BI607-1,"")</f>
        <v/>
      </c>
      <c r="EU606" s="58">
        <f>IFERROR($BJ606/$BJ607-1,"")</f>
        <v/>
      </c>
      <c r="EV606" s="58">
        <f>IFERROR($BK606/$BK607-1,"")</f>
        <v/>
      </c>
      <c r="EW606" s="58">
        <f>IFERROR($BL606/$BL607-1,"")</f>
        <v/>
      </c>
      <c r="EX606" s="58">
        <f>IFERROR($BM606/$BM607-1,"")</f>
        <v/>
      </c>
      <c r="EY606" s="58">
        <f>IFERROR($BN606/$BN607-1,"")</f>
        <v/>
      </c>
      <c r="EZ606" s="58">
        <f>IFERROR($BO606/$BO607-1,"")</f>
        <v/>
      </c>
      <c r="FA606" s="58">
        <f>IFERROR($BP606/$BP607-1,"")</f>
        <v/>
      </c>
      <c r="FB606" s="58">
        <f>IFERROR($BQ606/$BQ607-1,"")</f>
        <v/>
      </c>
      <c r="FC606" s="58">
        <f>IFERROR($BR606/$BR607-1,"")</f>
        <v/>
      </c>
      <c r="FD606" s="58">
        <f>IFERROR($BS606/$BS607-1,"")</f>
        <v/>
      </c>
      <c r="FE606" s="58">
        <f>IFERROR($BT606/$BT607-1,"")</f>
        <v/>
      </c>
      <c r="FF606" s="58">
        <f>IFERROR($BU606/$BU607-1,"")</f>
        <v/>
      </c>
      <c r="FG606" s="58">
        <f>IFERROR($BV606/$BV607-1,"")</f>
        <v/>
      </c>
      <c r="FH606" s="58">
        <f>IFERROR($BW606/$BW607-1,"")</f>
        <v/>
      </c>
      <c r="FI606" s="58">
        <f>IFERROR($BX606/$BX607-1,"")</f>
        <v/>
      </c>
      <c r="FJ606" s="59">
        <f>$BY606-$BY607</f>
        <v/>
      </c>
      <c r="FK606" s="59">
        <f>$BZ606-$BZ607</f>
        <v/>
      </c>
      <c r="FL606" s="59">
        <f>$CA606-$CA607</f>
        <v/>
      </c>
      <c r="FM606" s="59">
        <f>$CB606-$CB607</f>
        <v/>
      </c>
      <c r="FN606" s="59">
        <f>$CC606-$CC607</f>
        <v/>
      </c>
      <c r="FO606" s="59">
        <f>$CD606-$CD607</f>
        <v/>
      </c>
      <c r="FP606" s="59">
        <f>$CE606-$CE607</f>
        <v/>
      </c>
      <c r="FQ606" s="59">
        <f>$CF606-$CF607</f>
        <v/>
      </c>
      <c r="FR606" s="59">
        <f>$CG606-$CG607</f>
        <v/>
      </c>
      <c r="FS606" s="59">
        <f>$CH606-$CH607</f>
        <v/>
      </c>
      <c r="FT606" s="59">
        <f>$CI606-$CI607</f>
        <v/>
      </c>
      <c r="FU606" s="59">
        <f>$CJ606-$CJ607</f>
        <v/>
      </c>
      <c r="FV606" s="59">
        <f>$CK606-$CK607</f>
        <v/>
      </c>
      <c r="FW606" s="59">
        <f>$CL606-$CL607</f>
        <v/>
      </c>
      <c r="FX606" s="59">
        <f>$CM606-$CM607</f>
        <v/>
      </c>
      <c r="FY606" s="59">
        <f>$CN606-$CN607</f>
        <v/>
      </c>
      <c r="FZ606" s="59">
        <f>$CO606-$CO607</f>
        <v/>
      </c>
      <c r="GA606" s="59">
        <f>$CP606-$CP607</f>
        <v/>
      </c>
      <c r="GB606" s="59">
        <f>$CQ606-$CQ607</f>
        <v/>
      </c>
      <c r="GC606" s="59">
        <f>$CR606-$CR607</f>
        <v/>
      </c>
      <c r="GD606" s="59">
        <f>$CS606-$CS607</f>
        <v/>
      </c>
      <c r="GE606" s="59">
        <f>$CT606-$CT607</f>
        <v/>
      </c>
    </row>
    <row r="607">
      <c r="CU607" s="58">
        <f>IFERROR($B607/$B608-1,"")</f>
        <v/>
      </c>
      <c r="CV607" s="59">
        <f>($F607-$F608)*100</f>
        <v/>
      </c>
      <c r="CW607" s="59">
        <f>($E607-$E608)*100</f>
        <v/>
      </c>
      <c r="CX607" s="58">
        <f>IFERROR($K607/$K608-1,"")</f>
        <v/>
      </c>
      <c r="CY607" s="59">
        <f>($AH607-$AH608)*100</f>
        <v/>
      </c>
      <c r="CZ607" s="59">
        <f>($AI607-$AI608)*100</f>
        <v/>
      </c>
      <c r="DA607" s="59">
        <f>($AJ607-$AJ608)*100</f>
        <v/>
      </c>
      <c r="DB607" s="59">
        <f>($AK607-$AK608)*100</f>
        <v/>
      </c>
      <c r="DC607" s="59">
        <f>($AL607-$AL608)*100</f>
        <v/>
      </c>
      <c r="DD607" s="59">
        <f>($AM607-$AM608)*100</f>
        <v/>
      </c>
      <c r="DE607" s="59">
        <f>($AN607-$AN608)*100</f>
        <v/>
      </c>
      <c r="DF607" s="59">
        <f>($AO607-$AO608)*100</f>
        <v/>
      </c>
      <c r="DG607" s="59">
        <f>($AP607-$AP608)*100</f>
        <v/>
      </c>
      <c r="DH607" s="59">
        <f>($AQ607-$AQ608)*100</f>
        <v/>
      </c>
      <c r="DI607" s="59">
        <f>($AR607-$AR608)*100</f>
        <v/>
      </c>
      <c r="DJ607" s="59">
        <f>($AS607-$AS608)*100</f>
        <v/>
      </c>
      <c r="DK607" s="59">
        <f>($AT607-$AT608)*100</f>
        <v/>
      </c>
      <c r="DL607" s="59">
        <f>($AU607-$AU608)*100</f>
        <v/>
      </c>
      <c r="DM607" s="59">
        <f>($AV607-$AV608)*100</f>
        <v/>
      </c>
      <c r="DN607" s="59">
        <f>($AW607-$AW608)*100</f>
        <v/>
      </c>
      <c r="DO607" s="59">
        <f>($AX607-$AX608)*100</f>
        <v/>
      </c>
      <c r="DP607" s="59">
        <f>($AY607-$AY608)*100</f>
        <v/>
      </c>
      <c r="DQ607" s="59">
        <f>($AZ607-$AZ608)*100</f>
        <v/>
      </c>
      <c r="DR607" s="59">
        <f>($BA607-$BA608)*100</f>
        <v/>
      </c>
      <c r="DS607" s="58">
        <f>IFERROR($N608/$N607-1,"")</f>
        <v/>
      </c>
      <c r="DT607" s="58">
        <f>IFERROR($O608/$O607-1,"")</f>
        <v/>
      </c>
      <c r="DU607" s="58">
        <f>IFERROR($P608/$P607-1,"")</f>
        <v/>
      </c>
      <c r="DV607" s="58">
        <f>IFERROR($Q608/$Q607-1,"")</f>
        <v/>
      </c>
      <c r="DW607" s="58">
        <f>IFERROR($R608/$R607-1,"")</f>
        <v/>
      </c>
      <c r="DX607" s="58">
        <f>IFERROR($S608/$S607-1,"")</f>
        <v/>
      </c>
      <c r="DY607" s="58">
        <f>IFERROR($T608/$T607-1,"")</f>
        <v/>
      </c>
      <c r="DZ607" s="58">
        <f>IFERROR($U608/$U607-1,"")</f>
        <v/>
      </c>
      <c r="EA607" s="58">
        <f>IFERROR($V608/$V607-1,"")</f>
        <v/>
      </c>
      <c r="EB607" s="58">
        <f>IFERROR($W608/$W607-1,"")</f>
        <v/>
      </c>
      <c r="EC607" s="58">
        <f>IFERROR($X608/$X607-1,"")</f>
        <v/>
      </c>
      <c r="ED607" s="58">
        <f>IFERROR($Y608/$Y607-1,"")</f>
        <v/>
      </c>
      <c r="EE607" s="58">
        <f>IFERROR($Z608/$Z607-1,"")</f>
        <v/>
      </c>
      <c r="EF607" s="58">
        <f>IFERROR($AA608/$AA607-1,"")</f>
        <v/>
      </c>
      <c r="EG607" s="58">
        <f>IFERROR($AB608/$AB607-1,"")</f>
        <v/>
      </c>
      <c r="EH607" s="58">
        <f>IFERROR($AC608/$AC607-1,"")</f>
        <v/>
      </c>
      <c r="EI607" s="58">
        <f>IFERROR($AD608/$AD607-1,"")</f>
        <v/>
      </c>
      <c r="EJ607" s="58">
        <f>IFERROR($AE608/$AE607-1,"")</f>
        <v/>
      </c>
      <c r="EK607" s="58">
        <f>IFERROR($AF608/$AF607-1,"")</f>
        <v/>
      </c>
      <c r="EL607" s="58">
        <f>IFERROR($AG608/$AG607-1,"")</f>
        <v/>
      </c>
      <c r="EM607" s="58">
        <f>IFERROR($BB607/$BB608-1,"")</f>
        <v/>
      </c>
      <c r="EN607" s="58">
        <f>IFERROR($BC607/$BC608-1,"")</f>
        <v/>
      </c>
      <c r="EO607" s="58">
        <f>IFERROR($BD607/$BD608-1,"")</f>
        <v/>
      </c>
      <c r="EP607" s="58">
        <f>IFERROR($BE607/$BE608-1,"")</f>
        <v/>
      </c>
      <c r="EQ607" s="58">
        <f>IFERROR($BF607/$BF608-1,"")</f>
        <v/>
      </c>
      <c r="ER607" s="58">
        <f>IFERROR($BG607/$BG608-1,"")</f>
        <v/>
      </c>
      <c r="ES607" s="58">
        <f>IFERROR($BH607/$BH608-1,"")</f>
        <v/>
      </c>
      <c r="ET607" s="58">
        <f>IFERROR($BI607/$BI608-1,"")</f>
        <v/>
      </c>
      <c r="EU607" s="58">
        <f>IFERROR($BJ607/$BJ608-1,"")</f>
        <v/>
      </c>
      <c r="EV607" s="58">
        <f>IFERROR($BK607/$BK608-1,"")</f>
        <v/>
      </c>
      <c r="EW607" s="58">
        <f>IFERROR($BL607/$BL608-1,"")</f>
        <v/>
      </c>
      <c r="EX607" s="58">
        <f>IFERROR($BM607/$BM608-1,"")</f>
        <v/>
      </c>
      <c r="EY607" s="58">
        <f>IFERROR($BN607/$BN608-1,"")</f>
        <v/>
      </c>
      <c r="EZ607" s="58">
        <f>IFERROR($BO607/$BO608-1,"")</f>
        <v/>
      </c>
      <c r="FA607" s="58">
        <f>IFERROR($BP607/$BP608-1,"")</f>
        <v/>
      </c>
      <c r="FB607" s="58">
        <f>IFERROR($BQ607/$BQ608-1,"")</f>
        <v/>
      </c>
      <c r="FC607" s="58">
        <f>IFERROR($BR607/$BR608-1,"")</f>
        <v/>
      </c>
      <c r="FD607" s="58">
        <f>IFERROR($BS607/$BS608-1,"")</f>
        <v/>
      </c>
      <c r="FE607" s="58">
        <f>IFERROR($BT607/$BT608-1,"")</f>
        <v/>
      </c>
      <c r="FF607" s="58">
        <f>IFERROR($BU607/$BU608-1,"")</f>
        <v/>
      </c>
      <c r="FG607" s="58">
        <f>IFERROR($BV607/$BV608-1,"")</f>
        <v/>
      </c>
      <c r="FH607" s="58">
        <f>IFERROR($BW607/$BW608-1,"")</f>
        <v/>
      </c>
      <c r="FI607" s="58">
        <f>IFERROR($BX607/$BX608-1,"")</f>
        <v/>
      </c>
      <c r="FJ607" s="59">
        <f>$BY607-$BY608</f>
        <v/>
      </c>
      <c r="FK607" s="59">
        <f>$BZ607-$BZ608</f>
        <v/>
      </c>
      <c r="FL607" s="59">
        <f>$CA607-$CA608</f>
        <v/>
      </c>
      <c r="FM607" s="59">
        <f>$CB607-$CB608</f>
        <v/>
      </c>
      <c r="FN607" s="59">
        <f>$CC607-$CC608</f>
        <v/>
      </c>
      <c r="FO607" s="59">
        <f>$CD607-$CD608</f>
        <v/>
      </c>
      <c r="FP607" s="59">
        <f>$CE607-$CE608</f>
        <v/>
      </c>
      <c r="FQ607" s="59">
        <f>$CF607-$CF608</f>
        <v/>
      </c>
      <c r="FR607" s="59">
        <f>$CG607-$CG608</f>
        <v/>
      </c>
      <c r="FS607" s="59">
        <f>$CH607-$CH608</f>
        <v/>
      </c>
      <c r="FT607" s="59">
        <f>$CI607-$CI608</f>
        <v/>
      </c>
      <c r="FU607" s="59">
        <f>$CJ607-$CJ608</f>
        <v/>
      </c>
      <c r="FV607" s="59">
        <f>$CK607-$CK608</f>
        <v/>
      </c>
      <c r="FW607" s="59">
        <f>$CL607-$CL608</f>
        <v/>
      </c>
      <c r="FX607" s="59">
        <f>$CM607-$CM608</f>
        <v/>
      </c>
      <c r="FY607" s="59">
        <f>$CN607-$CN608</f>
        <v/>
      </c>
      <c r="FZ607" s="59">
        <f>$CO607-$CO608</f>
        <v/>
      </c>
      <c r="GA607" s="59">
        <f>$CP607-$CP608</f>
        <v/>
      </c>
      <c r="GB607" s="59">
        <f>$CQ607-$CQ608</f>
        <v/>
      </c>
      <c r="GC607" s="59">
        <f>$CR607-$CR608</f>
        <v/>
      </c>
      <c r="GD607" s="59">
        <f>$CS607-$CS608</f>
        <v/>
      </c>
      <c r="GE607" s="59">
        <f>$CT607-$CT608</f>
        <v/>
      </c>
    </row>
    <row r="608">
      <c r="CU608" s="58">
        <f>IFERROR($B608/$B609-1,"")</f>
        <v/>
      </c>
      <c r="CV608" s="59">
        <f>($F608-$F609)*100</f>
        <v/>
      </c>
      <c r="CW608" s="59">
        <f>($E608-$E609)*100</f>
        <v/>
      </c>
      <c r="CX608" s="58">
        <f>IFERROR($K608/$K609-1,"")</f>
        <v/>
      </c>
      <c r="CY608" s="59">
        <f>($AH608-$AH609)*100</f>
        <v/>
      </c>
      <c r="CZ608" s="59">
        <f>($AI608-$AI609)*100</f>
        <v/>
      </c>
      <c r="DA608" s="59">
        <f>($AJ608-$AJ609)*100</f>
        <v/>
      </c>
      <c r="DB608" s="59">
        <f>($AK608-$AK609)*100</f>
        <v/>
      </c>
      <c r="DC608" s="59">
        <f>($AL608-$AL609)*100</f>
        <v/>
      </c>
      <c r="DD608" s="59">
        <f>($AM608-$AM609)*100</f>
        <v/>
      </c>
      <c r="DE608" s="59">
        <f>($AN608-$AN609)*100</f>
        <v/>
      </c>
      <c r="DF608" s="59">
        <f>($AO608-$AO609)*100</f>
        <v/>
      </c>
      <c r="DG608" s="59">
        <f>($AP608-$AP609)*100</f>
        <v/>
      </c>
      <c r="DH608" s="59">
        <f>($AQ608-$AQ609)*100</f>
        <v/>
      </c>
      <c r="DI608" s="59">
        <f>($AR608-$AR609)*100</f>
        <v/>
      </c>
      <c r="DJ608" s="59">
        <f>($AS608-$AS609)*100</f>
        <v/>
      </c>
      <c r="DK608" s="59">
        <f>($AT608-$AT609)*100</f>
        <v/>
      </c>
      <c r="DL608" s="59">
        <f>($AU608-$AU609)*100</f>
        <v/>
      </c>
      <c r="DM608" s="59">
        <f>($AV608-$AV609)*100</f>
        <v/>
      </c>
      <c r="DN608" s="59">
        <f>($AW608-$AW609)*100</f>
        <v/>
      </c>
      <c r="DO608" s="59">
        <f>($AX608-$AX609)*100</f>
        <v/>
      </c>
      <c r="DP608" s="59">
        <f>($AY608-$AY609)*100</f>
        <v/>
      </c>
      <c r="DQ608" s="59">
        <f>($AZ608-$AZ609)*100</f>
        <v/>
      </c>
      <c r="DR608" s="59">
        <f>($BA608-$BA609)*100</f>
        <v/>
      </c>
      <c r="DS608" s="58">
        <f>IFERROR($N609/$N608-1,"")</f>
        <v/>
      </c>
      <c r="DT608" s="58">
        <f>IFERROR($O609/$O608-1,"")</f>
        <v/>
      </c>
      <c r="DU608" s="58">
        <f>IFERROR($P609/$P608-1,"")</f>
        <v/>
      </c>
      <c r="DV608" s="58">
        <f>IFERROR($Q609/$Q608-1,"")</f>
        <v/>
      </c>
      <c r="DW608" s="58">
        <f>IFERROR($R609/$R608-1,"")</f>
        <v/>
      </c>
      <c r="DX608" s="58">
        <f>IFERROR($S609/$S608-1,"")</f>
        <v/>
      </c>
      <c r="DY608" s="58">
        <f>IFERROR($T609/$T608-1,"")</f>
        <v/>
      </c>
      <c r="DZ608" s="58">
        <f>IFERROR($U609/$U608-1,"")</f>
        <v/>
      </c>
      <c r="EA608" s="58">
        <f>IFERROR($V609/$V608-1,"")</f>
        <v/>
      </c>
      <c r="EB608" s="58">
        <f>IFERROR($W609/$W608-1,"")</f>
        <v/>
      </c>
      <c r="EC608" s="58">
        <f>IFERROR($X609/$X608-1,"")</f>
        <v/>
      </c>
      <c r="ED608" s="58">
        <f>IFERROR($Y609/$Y608-1,"")</f>
        <v/>
      </c>
      <c r="EE608" s="58">
        <f>IFERROR($Z609/$Z608-1,"")</f>
        <v/>
      </c>
      <c r="EF608" s="58">
        <f>IFERROR($AA609/$AA608-1,"")</f>
        <v/>
      </c>
      <c r="EG608" s="58">
        <f>IFERROR($AB609/$AB608-1,"")</f>
        <v/>
      </c>
      <c r="EH608" s="58">
        <f>IFERROR($AC609/$AC608-1,"")</f>
        <v/>
      </c>
      <c r="EI608" s="58">
        <f>IFERROR($AD609/$AD608-1,"")</f>
        <v/>
      </c>
      <c r="EJ608" s="58">
        <f>IFERROR($AE609/$AE608-1,"")</f>
        <v/>
      </c>
      <c r="EK608" s="58">
        <f>IFERROR($AF609/$AF608-1,"")</f>
        <v/>
      </c>
      <c r="EL608" s="58">
        <f>IFERROR($AG609/$AG608-1,"")</f>
        <v/>
      </c>
      <c r="EM608" s="58">
        <f>IFERROR($BB608/$BB609-1,"")</f>
        <v/>
      </c>
      <c r="EN608" s="58">
        <f>IFERROR($BC608/$BC609-1,"")</f>
        <v/>
      </c>
      <c r="EO608" s="58">
        <f>IFERROR($BD608/$BD609-1,"")</f>
        <v/>
      </c>
      <c r="EP608" s="58">
        <f>IFERROR($BE608/$BE609-1,"")</f>
        <v/>
      </c>
      <c r="EQ608" s="58">
        <f>IFERROR($BF608/$BF609-1,"")</f>
        <v/>
      </c>
      <c r="ER608" s="58">
        <f>IFERROR($BG608/$BG609-1,"")</f>
        <v/>
      </c>
      <c r="ES608" s="58">
        <f>IFERROR($BH608/$BH609-1,"")</f>
        <v/>
      </c>
      <c r="ET608" s="58">
        <f>IFERROR($BI608/$BI609-1,"")</f>
        <v/>
      </c>
      <c r="EU608" s="58">
        <f>IFERROR($BJ608/$BJ609-1,"")</f>
        <v/>
      </c>
      <c r="EV608" s="58">
        <f>IFERROR($BK608/$BK609-1,"")</f>
        <v/>
      </c>
      <c r="EW608" s="58">
        <f>IFERROR($BL608/$BL609-1,"")</f>
        <v/>
      </c>
      <c r="EX608" s="58">
        <f>IFERROR($BM608/$BM609-1,"")</f>
        <v/>
      </c>
      <c r="EY608" s="58">
        <f>IFERROR($BN608/$BN609-1,"")</f>
        <v/>
      </c>
      <c r="EZ608" s="58">
        <f>IFERROR($BO608/$BO609-1,"")</f>
        <v/>
      </c>
      <c r="FA608" s="58">
        <f>IFERROR($BP608/$BP609-1,"")</f>
        <v/>
      </c>
      <c r="FB608" s="58">
        <f>IFERROR($BQ608/$BQ609-1,"")</f>
        <v/>
      </c>
      <c r="FC608" s="58">
        <f>IFERROR($BR608/$BR609-1,"")</f>
        <v/>
      </c>
      <c r="FD608" s="58">
        <f>IFERROR($BS608/$BS609-1,"")</f>
        <v/>
      </c>
      <c r="FE608" s="58">
        <f>IFERROR($BT608/$BT609-1,"")</f>
        <v/>
      </c>
      <c r="FF608" s="58">
        <f>IFERROR($BU608/$BU609-1,"")</f>
        <v/>
      </c>
      <c r="FG608" s="58">
        <f>IFERROR($BV608/$BV609-1,"")</f>
        <v/>
      </c>
      <c r="FH608" s="58">
        <f>IFERROR($BW608/$BW609-1,"")</f>
        <v/>
      </c>
      <c r="FI608" s="58">
        <f>IFERROR($BX608/$BX609-1,"")</f>
        <v/>
      </c>
      <c r="FJ608" s="59">
        <f>$BY608-$BY609</f>
        <v/>
      </c>
      <c r="FK608" s="59">
        <f>$BZ608-$BZ609</f>
        <v/>
      </c>
      <c r="FL608" s="59">
        <f>$CA608-$CA609</f>
        <v/>
      </c>
      <c r="FM608" s="59">
        <f>$CB608-$CB609</f>
        <v/>
      </c>
      <c r="FN608" s="59">
        <f>$CC608-$CC609</f>
        <v/>
      </c>
      <c r="FO608" s="59">
        <f>$CD608-$CD609</f>
        <v/>
      </c>
      <c r="FP608" s="59">
        <f>$CE608-$CE609</f>
        <v/>
      </c>
      <c r="FQ608" s="59">
        <f>$CF608-$CF609</f>
        <v/>
      </c>
      <c r="FR608" s="59">
        <f>$CG608-$CG609</f>
        <v/>
      </c>
      <c r="FS608" s="59">
        <f>$CH608-$CH609</f>
        <v/>
      </c>
      <c r="FT608" s="59">
        <f>$CI608-$CI609</f>
        <v/>
      </c>
      <c r="FU608" s="59">
        <f>$CJ608-$CJ609</f>
        <v/>
      </c>
      <c r="FV608" s="59">
        <f>$CK608-$CK609</f>
        <v/>
      </c>
      <c r="FW608" s="59">
        <f>$CL608-$CL609</f>
        <v/>
      </c>
      <c r="FX608" s="59">
        <f>$CM608-$CM609</f>
        <v/>
      </c>
      <c r="FY608" s="59">
        <f>$CN608-$CN609</f>
        <v/>
      </c>
      <c r="FZ608" s="59">
        <f>$CO608-$CO609</f>
        <v/>
      </c>
      <c r="GA608" s="59">
        <f>$CP608-$CP609</f>
        <v/>
      </c>
      <c r="GB608" s="59">
        <f>$CQ608-$CQ609</f>
        <v/>
      </c>
      <c r="GC608" s="59">
        <f>$CR608-$CR609</f>
        <v/>
      </c>
      <c r="GD608" s="59">
        <f>$CS608-$CS609</f>
        <v/>
      </c>
      <c r="GE608" s="59">
        <f>$CT608-$CT609</f>
        <v/>
      </c>
    </row>
    <row r="609">
      <c r="CU609" s="58">
        <f>IFERROR($B609/$B610-1,"")</f>
        <v/>
      </c>
      <c r="CV609" s="59">
        <f>($F609-$F610)*100</f>
        <v/>
      </c>
      <c r="CW609" s="59">
        <f>($E609-$E610)*100</f>
        <v/>
      </c>
      <c r="CX609" s="58">
        <f>IFERROR($K609/$K610-1,"")</f>
        <v/>
      </c>
      <c r="CY609" s="59">
        <f>($AH609-$AH610)*100</f>
        <v/>
      </c>
      <c r="CZ609" s="59">
        <f>($AI609-$AI610)*100</f>
        <v/>
      </c>
      <c r="DA609" s="59">
        <f>($AJ609-$AJ610)*100</f>
        <v/>
      </c>
      <c r="DB609" s="59">
        <f>($AK609-$AK610)*100</f>
        <v/>
      </c>
      <c r="DC609" s="59">
        <f>($AL609-$AL610)*100</f>
        <v/>
      </c>
      <c r="DD609" s="59">
        <f>($AM609-$AM610)*100</f>
        <v/>
      </c>
      <c r="DE609" s="59">
        <f>($AN609-$AN610)*100</f>
        <v/>
      </c>
      <c r="DF609" s="59">
        <f>($AO609-$AO610)*100</f>
        <v/>
      </c>
      <c r="DG609" s="59">
        <f>($AP609-$AP610)*100</f>
        <v/>
      </c>
      <c r="DH609" s="59">
        <f>($AQ609-$AQ610)*100</f>
        <v/>
      </c>
      <c r="DI609" s="59">
        <f>($AR609-$AR610)*100</f>
        <v/>
      </c>
      <c r="DJ609" s="59">
        <f>($AS609-$AS610)*100</f>
        <v/>
      </c>
      <c r="DK609" s="59">
        <f>($AT609-$AT610)*100</f>
        <v/>
      </c>
      <c r="DL609" s="59">
        <f>($AU609-$AU610)*100</f>
        <v/>
      </c>
      <c r="DM609" s="59">
        <f>($AV609-$AV610)*100</f>
        <v/>
      </c>
      <c r="DN609" s="59">
        <f>($AW609-$AW610)*100</f>
        <v/>
      </c>
      <c r="DO609" s="59">
        <f>($AX609-$AX610)*100</f>
        <v/>
      </c>
      <c r="DP609" s="59">
        <f>($AY609-$AY610)*100</f>
        <v/>
      </c>
      <c r="DQ609" s="59">
        <f>($AZ609-$AZ610)*100</f>
        <v/>
      </c>
      <c r="DR609" s="59">
        <f>($BA609-$BA610)*100</f>
        <v/>
      </c>
      <c r="DS609" s="58">
        <f>IFERROR($N610/$N609-1,"")</f>
        <v/>
      </c>
      <c r="DT609" s="58">
        <f>IFERROR($O610/$O609-1,"")</f>
        <v/>
      </c>
      <c r="DU609" s="58">
        <f>IFERROR($P610/$P609-1,"")</f>
        <v/>
      </c>
      <c r="DV609" s="58">
        <f>IFERROR($Q610/$Q609-1,"")</f>
        <v/>
      </c>
      <c r="DW609" s="58">
        <f>IFERROR($R610/$R609-1,"")</f>
        <v/>
      </c>
      <c r="DX609" s="58">
        <f>IFERROR($S610/$S609-1,"")</f>
        <v/>
      </c>
      <c r="DY609" s="58">
        <f>IFERROR($T610/$T609-1,"")</f>
        <v/>
      </c>
      <c r="DZ609" s="58">
        <f>IFERROR($U610/$U609-1,"")</f>
        <v/>
      </c>
      <c r="EA609" s="58">
        <f>IFERROR($V610/$V609-1,"")</f>
        <v/>
      </c>
      <c r="EB609" s="58">
        <f>IFERROR($W610/$W609-1,"")</f>
        <v/>
      </c>
      <c r="EC609" s="58">
        <f>IFERROR($X610/$X609-1,"")</f>
        <v/>
      </c>
      <c r="ED609" s="58">
        <f>IFERROR($Y610/$Y609-1,"")</f>
        <v/>
      </c>
      <c r="EE609" s="58">
        <f>IFERROR($Z610/$Z609-1,"")</f>
        <v/>
      </c>
      <c r="EF609" s="58">
        <f>IFERROR($AA610/$AA609-1,"")</f>
        <v/>
      </c>
      <c r="EG609" s="58">
        <f>IFERROR($AB610/$AB609-1,"")</f>
        <v/>
      </c>
      <c r="EH609" s="58">
        <f>IFERROR($AC610/$AC609-1,"")</f>
        <v/>
      </c>
      <c r="EI609" s="58">
        <f>IFERROR($AD610/$AD609-1,"")</f>
        <v/>
      </c>
      <c r="EJ609" s="58">
        <f>IFERROR($AE610/$AE609-1,"")</f>
        <v/>
      </c>
      <c r="EK609" s="58">
        <f>IFERROR($AF610/$AF609-1,"")</f>
        <v/>
      </c>
      <c r="EL609" s="58">
        <f>IFERROR($AG610/$AG609-1,"")</f>
        <v/>
      </c>
      <c r="EM609" s="58">
        <f>IFERROR($BB609/$BB610-1,"")</f>
        <v/>
      </c>
      <c r="EN609" s="58">
        <f>IFERROR($BC609/$BC610-1,"")</f>
        <v/>
      </c>
      <c r="EO609" s="58">
        <f>IFERROR($BD609/$BD610-1,"")</f>
        <v/>
      </c>
      <c r="EP609" s="58">
        <f>IFERROR($BE609/$BE610-1,"")</f>
        <v/>
      </c>
      <c r="EQ609" s="58">
        <f>IFERROR($BF609/$BF610-1,"")</f>
        <v/>
      </c>
      <c r="ER609" s="58">
        <f>IFERROR($BG609/$BG610-1,"")</f>
        <v/>
      </c>
      <c r="ES609" s="58">
        <f>IFERROR($BH609/$BH610-1,"")</f>
        <v/>
      </c>
      <c r="ET609" s="58">
        <f>IFERROR($BI609/$BI610-1,"")</f>
        <v/>
      </c>
      <c r="EU609" s="58">
        <f>IFERROR($BJ609/$BJ610-1,"")</f>
        <v/>
      </c>
      <c r="EV609" s="58">
        <f>IFERROR($BK609/$BK610-1,"")</f>
        <v/>
      </c>
      <c r="EW609" s="58">
        <f>IFERROR($BL609/$BL610-1,"")</f>
        <v/>
      </c>
      <c r="EX609" s="58">
        <f>IFERROR($BM609/$BM610-1,"")</f>
        <v/>
      </c>
      <c r="EY609" s="58">
        <f>IFERROR($BN609/$BN610-1,"")</f>
        <v/>
      </c>
      <c r="EZ609" s="58">
        <f>IFERROR($BO609/$BO610-1,"")</f>
        <v/>
      </c>
      <c r="FA609" s="58">
        <f>IFERROR($BP609/$BP610-1,"")</f>
        <v/>
      </c>
      <c r="FB609" s="58">
        <f>IFERROR($BQ609/$BQ610-1,"")</f>
        <v/>
      </c>
      <c r="FC609" s="58">
        <f>IFERROR($BR609/$BR610-1,"")</f>
        <v/>
      </c>
      <c r="FD609" s="58">
        <f>IFERROR($BS609/$BS610-1,"")</f>
        <v/>
      </c>
      <c r="FE609" s="58">
        <f>IFERROR($BT609/$BT610-1,"")</f>
        <v/>
      </c>
      <c r="FF609" s="58">
        <f>IFERROR($BU609/$BU610-1,"")</f>
        <v/>
      </c>
      <c r="FG609" s="58">
        <f>IFERROR($BV609/$BV610-1,"")</f>
        <v/>
      </c>
      <c r="FH609" s="58">
        <f>IFERROR($BW609/$BW610-1,"")</f>
        <v/>
      </c>
      <c r="FI609" s="58">
        <f>IFERROR($BX609/$BX610-1,"")</f>
        <v/>
      </c>
      <c r="FJ609" s="59">
        <f>$BY609-$BY610</f>
        <v/>
      </c>
      <c r="FK609" s="59">
        <f>$BZ609-$BZ610</f>
        <v/>
      </c>
      <c r="FL609" s="59">
        <f>$CA609-$CA610</f>
        <v/>
      </c>
      <c r="FM609" s="59">
        <f>$CB609-$CB610</f>
        <v/>
      </c>
      <c r="FN609" s="59">
        <f>$CC609-$CC610</f>
        <v/>
      </c>
      <c r="FO609" s="59">
        <f>$CD609-$CD610</f>
        <v/>
      </c>
      <c r="FP609" s="59">
        <f>$CE609-$CE610</f>
        <v/>
      </c>
      <c r="FQ609" s="59">
        <f>$CF609-$CF610</f>
        <v/>
      </c>
      <c r="FR609" s="59">
        <f>$CG609-$CG610</f>
        <v/>
      </c>
      <c r="FS609" s="59">
        <f>$CH609-$CH610</f>
        <v/>
      </c>
      <c r="FT609" s="59">
        <f>$CI609-$CI610</f>
        <v/>
      </c>
      <c r="FU609" s="59">
        <f>$CJ609-$CJ610</f>
        <v/>
      </c>
      <c r="FV609" s="59">
        <f>$CK609-$CK610</f>
        <v/>
      </c>
      <c r="FW609" s="59">
        <f>$CL609-$CL610</f>
        <v/>
      </c>
      <c r="FX609" s="59">
        <f>$CM609-$CM610</f>
        <v/>
      </c>
      <c r="FY609" s="59">
        <f>$CN609-$CN610</f>
        <v/>
      </c>
      <c r="FZ609" s="59">
        <f>$CO609-$CO610</f>
        <v/>
      </c>
      <c r="GA609" s="59">
        <f>$CP609-$CP610</f>
        <v/>
      </c>
      <c r="GB609" s="59">
        <f>$CQ609-$CQ610</f>
        <v/>
      </c>
      <c r="GC609" s="59">
        <f>$CR609-$CR610</f>
        <v/>
      </c>
      <c r="GD609" s="59">
        <f>$CS609-$CS610</f>
        <v/>
      </c>
      <c r="GE609" s="59">
        <f>$CT609-$CT610</f>
        <v/>
      </c>
    </row>
    <row r="610">
      <c r="CU610" s="58">
        <f>IFERROR($B610/$B611-1,"")</f>
        <v/>
      </c>
      <c r="CV610" s="59">
        <f>($F610-$F611)*100</f>
        <v/>
      </c>
      <c r="CW610" s="59">
        <f>($E610-$E611)*100</f>
        <v/>
      </c>
      <c r="CX610" s="58">
        <f>IFERROR($K610/$K611-1,"")</f>
        <v/>
      </c>
      <c r="CY610" s="59">
        <f>($AH610-$AH611)*100</f>
        <v/>
      </c>
      <c r="CZ610" s="59">
        <f>($AI610-$AI611)*100</f>
        <v/>
      </c>
      <c r="DA610" s="59">
        <f>($AJ610-$AJ611)*100</f>
        <v/>
      </c>
      <c r="DB610" s="59">
        <f>($AK610-$AK611)*100</f>
        <v/>
      </c>
      <c r="DC610" s="59">
        <f>($AL610-$AL611)*100</f>
        <v/>
      </c>
      <c r="DD610" s="59">
        <f>($AM610-$AM611)*100</f>
        <v/>
      </c>
      <c r="DE610" s="59">
        <f>($AN610-$AN611)*100</f>
        <v/>
      </c>
      <c r="DF610" s="59">
        <f>($AO610-$AO611)*100</f>
        <v/>
      </c>
      <c r="DG610" s="59">
        <f>($AP610-$AP611)*100</f>
        <v/>
      </c>
      <c r="DH610" s="59">
        <f>($AQ610-$AQ611)*100</f>
        <v/>
      </c>
      <c r="DI610" s="59">
        <f>($AR610-$AR611)*100</f>
        <v/>
      </c>
      <c r="DJ610" s="59">
        <f>($AS610-$AS611)*100</f>
        <v/>
      </c>
      <c r="DK610" s="59">
        <f>($AT610-$AT611)*100</f>
        <v/>
      </c>
      <c r="DL610" s="59">
        <f>($AU610-$AU611)*100</f>
        <v/>
      </c>
      <c r="DM610" s="59">
        <f>($AV610-$AV611)*100</f>
        <v/>
      </c>
      <c r="DN610" s="59">
        <f>($AW610-$AW611)*100</f>
        <v/>
      </c>
      <c r="DO610" s="59">
        <f>($AX610-$AX611)*100</f>
        <v/>
      </c>
      <c r="DP610" s="59">
        <f>($AY610-$AY611)*100</f>
        <v/>
      </c>
      <c r="DQ610" s="59">
        <f>($AZ610-$AZ611)*100</f>
        <v/>
      </c>
      <c r="DR610" s="59">
        <f>($BA610-$BA611)*100</f>
        <v/>
      </c>
      <c r="DS610" s="58">
        <f>IFERROR($N611/$N610-1,"")</f>
        <v/>
      </c>
      <c r="DT610" s="58">
        <f>IFERROR($O611/$O610-1,"")</f>
        <v/>
      </c>
      <c r="DU610" s="58">
        <f>IFERROR($P611/$P610-1,"")</f>
        <v/>
      </c>
      <c r="DV610" s="58">
        <f>IFERROR($Q611/$Q610-1,"")</f>
        <v/>
      </c>
      <c r="DW610" s="58">
        <f>IFERROR($R611/$R610-1,"")</f>
        <v/>
      </c>
      <c r="DX610" s="58">
        <f>IFERROR($S611/$S610-1,"")</f>
        <v/>
      </c>
      <c r="DY610" s="58">
        <f>IFERROR($T611/$T610-1,"")</f>
        <v/>
      </c>
      <c r="DZ610" s="58">
        <f>IFERROR($U611/$U610-1,"")</f>
        <v/>
      </c>
      <c r="EA610" s="58">
        <f>IFERROR($V611/$V610-1,"")</f>
        <v/>
      </c>
      <c r="EB610" s="58">
        <f>IFERROR($W611/$W610-1,"")</f>
        <v/>
      </c>
      <c r="EC610" s="58">
        <f>IFERROR($X611/$X610-1,"")</f>
        <v/>
      </c>
      <c r="ED610" s="58">
        <f>IFERROR($Y611/$Y610-1,"")</f>
        <v/>
      </c>
      <c r="EE610" s="58">
        <f>IFERROR($Z611/$Z610-1,"")</f>
        <v/>
      </c>
      <c r="EF610" s="58">
        <f>IFERROR($AA611/$AA610-1,"")</f>
        <v/>
      </c>
      <c r="EG610" s="58">
        <f>IFERROR($AB611/$AB610-1,"")</f>
        <v/>
      </c>
      <c r="EH610" s="58">
        <f>IFERROR($AC611/$AC610-1,"")</f>
        <v/>
      </c>
      <c r="EI610" s="58">
        <f>IFERROR($AD611/$AD610-1,"")</f>
        <v/>
      </c>
      <c r="EJ610" s="58">
        <f>IFERROR($AE611/$AE610-1,"")</f>
        <v/>
      </c>
      <c r="EK610" s="58">
        <f>IFERROR($AF611/$AF610-1,"")</f>
        <v/>
      </c>
      <c r="EL610" s="58">
        <f>IFERROR($AG611/$AG610-1,"")</f>
        <v/>
      </c>
      <c r="EM610" s="58">
        <f>IFERROR($BB610/$BB611-1,"")</f>
        <v/>
      </c>
      <c r="EN610" s="58">
        <f>IFERROR($BC610/$BC611-1,"")</f>
        <v/>
      </c>
      <c r="EO610" s="58">
        <f>IFERROR($BD610/$BD611-1,"")</f>
        <v/>
      </c>
      <c r="EP610" s="58">
        <f>IFERROR($BE610/$BE611-1,"")</f>
        <v/>
      </c>
      <c r="EQ610" s="58">
        <f>IFERROR($BF610/$BF611-1,"")</f>
        <v/>
      </c>
      <c r="ER610" s="58">
        <f>IFERROR($BG610/$BG611-1,"")</f>
        <v/>
      </c>
      <c r="ES610" s="58">
        <f>IFERROR($BH610/$BH611-1,"")</f>
        <v/>
      </c>
      <c r="ET610" s="58">
        <f>IFERROR($BI610/$BI611-1,"")</f>
        <v/>
      </c>
      <c r="EU610" s="58">
        <f>IFERROR($BJ610/$BJ611-1,"")</f>
        <v/>
      </c>
      <c r="EV610" s="58">
        <f>IFERROR($BK610/$BK611-1,"")</f>
        <v/>
      </c>
      <c r="EW610" s="58">
        <f>IFERROR($BL610/$BL611-1,"")</f>
        <v/>
      </c>
      <c r="EX610" s="58">
        <f>IFERROR($BM610/$BM611-1,"")</f>
        <v/>
      </c>
      <c r="EY610" s="58">
        <f>IFERROR($BN610/$BN611-1,"")</f>
        <v/>
      </c>
      <c r="EZ610" s="58">
        <f>IFERROR($BO610/$BO611-1,"")</f>
        <v/>
      </c>
      <c r="FA610" s="58">
        <f>IFERROR($BP610/$BP611-1,"")</f>
        <v/>
      </c>
      <c r="FB610" s="58">
        <f>IFERROR($BQ610/$BQ611-1,"")</f>
        <v/>
      </c>
      <c r="FC610" s="58">
        <f>IFERROR($BR610/$BR611-1,"")</f>
        <v/>
      </c>
      <c r="FD610" s="58">
        <f>IFERROR($BS610/$BS611-1,"")</f>
        <v/>
      </c>
      <c r="FE610" s="58">
        <f>IFERROR($BT610/$BT611-1,"")</f>
        <v/>
      </c>
      <c r="FF610" s="58">
        <f>IFERROR($BU610/$BU611-1,"")</f>
        <v/>
      </c>
      <c r="FG610" s="58">
        <f>IFERROR($BV610/$BV611-1,"")</f>
        <v/>
      </c>
      <c r="FH610" s="58">
        <f>IFERROR($BW610/$BW611-1,"")</f>
        <v/>
      </c>
      <c r="FI610" s="58">
        <f>IFERROR($BX610/$BX611-1,"")</f>
        <v/>
      </c>
      <c r="FJ610" s="59">
        <f>$BY610-$BY611</f>
        <v/>
      </c>
      <c r="FK610" s="59">
        <f>$BZ610-$BZ611</f>
        <v/>
      </c>
      <c r="FL610" s="59">
        <f>$CA610-$CA611</f>
        <v/>
      </c>
      <c r="FM610" s="59">
        <f>$CB610-$CB611</f>
        <v/>
      </c>
      <c r="FN610" s="59">
        <f>$CC610-$CC611</f>
        <v/>
      </c>
      <c r="FO610" s="59">
        <f>$CD610-$CD611</f>
        <v/>
      </c>
      <c r="FP610" s="59">
        <f>$CE610-$CE611</f>
        <v/>
      </c>
      <c r="FQ610" s="59">
        <f>$CF610-$CF611</f>
        <v/>
      </c>
      <c r="FR610" s="59">
        <f>$CG610-$CG611</f>
        <v/>
      </c>
      <c r="FS610" s="59">
        <f>$CH610-$CH611</f>
        <v/>
      </c>
      <c r="FT610" s="59">
        <f>$CI610-$CI611</f>
        <v/>
      </c>
      <c r="FU610" s="59">
        <f>$CJ610-$CJ611</f>
        <v/>
      </c>
      <c r="FV610" s="59">
        <f>$CK610-$CK611</f>
        <v/>
      </c>
      <c r="FW610" s="59">
        <f>$CL610-$CL611</f>
        <v/>
      </c>
      <c r="FX610" s="59">
        <f>$CM610-$CM611</f>
        <v/>
      </c>
      <c r="FY610" s="59">
        <f>$CN610-$CN611</f>
        <v/>
      </c>
      <c r="FZ610" s="59">
        <f>$CO610-$CO611</f>
        <v/>
      </c>
      <c r="GA610" s="59">
        <f>$CP610-$CP611</f>
        <v/>
      </c>
      <c r="GB610" s="59">
        <f>$CQ610-$CQ611</f>
        <v/>
      </c>
      <c r="GC610" s="59">
        <f>$CR610-$CR611</f>
        <v/>
      </c>
      <c r="GD610" s="59">
        <f>$CS610-$CS611</f>
        <v/>
      </c>
      <c r="GE610" s="59">
        <f>$CT610-$CT611</f>
        <v/>
      </c>
    </row>
    <row r="611">
      <c r="CU611" s="58">
        <f>IFERROR($B611/$B612-1,"")</f>
        <v/>
      </c>
      <c r="CV611" s="59">
        <f>($F611-$F612)*100</f>
        <v/>
      </c>
      <c r="CW611" s="59">
        <f>($E611-$E612)*100</f>
        <v/>
      </c>
      <c r="CX611" s="58">
        <f>IFERROR($K611/$K612-1,"")</f>
        <v/>
      </c>
      <c r="CY611" s="59">
        <f>($AH611-$AH612)*100</f>
        <v/>
      </c>
      <c r="CZ611" s="59">
        <f>($AI611-$AI612)*100</f>
        <v/>
      </c>
      <c r="DA611" s="59">
        <f>($AJ611-$AJ612)*100</f>
        <v/>
      </c>
      <c r="DB611" s="59">
        <f>($AK611-$AK612)*100</f>
        <v/>
      </c>
      <c r="DC611" s="59">
        <f>($AL611-$AL612)*100</f>
        <v/>
      </c>
      <c r="DD611" s="59">
        <f>($AM611-$AM612)*100</f>
        <v/>
      </c>
      <c r="DE611" s="59">
        <f>($AN611-$AN612)*100</f>
        <v/>
      </c>
      <c r="DF611" s="59">
        <f>($AO611-$AO612)*100</f>
        <v/>
      </c>
      <c r="DG611" s="59">
        <f>($AP611-$AP612)*100</f>
        <v/>
      </c>
      <c r="DH611" s="59">
        <f>($AQ611-$AQ612)*100</f>
        <v/>
      </c>
      <c r="DI611" s="59">
        <f>($AR611-$AR612)*100</f>
        <v/>
      </c>
      <c r="DJ611" s="59">
        <f>($AS611-$AS612)*100</f>
        <v/>
      </c>
      <c r="DK611" s="59">
        <f>($AT611-$AT612)*100</f>
        <v/>
      </c>
      <c r="DL611" s="59">
        <f>($AU611-$AU612)*100</f>
        <v/>
      </c>
      <c r="DM611" s="59">
        <f>($AV611-$AV612)*100</f>
        <v/>
      </c>
      <c r="DN611" s="59">
        <f>($AW611-$AW612)*100</f>
        <v/>
      </c>
      <c r="DO611" s="59">
        <f>($AX611-$AX612)*100</f>
        <v/>
      </c>
      <c r="DP611" s="59">
        <f>($AY611-$AY612)*100</f>
        <v/>
      </c>
      <c r="DQ611" s="59">
        <f>($AZ611-$AZ612)*100</f>
        <v/>
      </c>
      <c r="DR611" s="59">
        <f>($BA611-$BA612)*100</f>
        <v/>
      </c>
      <c r="DS611" s="58">
        <f>IFERROR($N612/$N611-1,"")</f>
        <v/>
      </c>
      <c r="DT611" s="58">
        <f>IFERROR($O612/$O611-1,"")</f>
        <v/>
      </c>
      <c r="DU611" s="58">
        <f>IFERROR($P612/$P611-1,"")</f>
        <v/>
      </c>
      <c r="DV611" s="58">
        <f>IFERROR($Q612/$Q611-1,"")</f>
        <v/>
      </c>
      <c r="DW611" s="58">
        <f>IFERROR($R612/$R611-1,"")</f>
        <v/>
      </c>
      <c r="DX611" s="58">
        <f>IFERROR($S612/$S611-1,"")</f>
        <v/>
      </c>
      <c r="DY611" s="58">
        <f>IFERROR($T612/$T611-1,"")</f>
        <v/>
      </c>
      <c r="DZ611" s="58">
        <f>IFERROR($U612/$U611-1,"")</f>
        <v/>
      </c>
      <c r="EA611" s="58">
        <f>IFERROR($V612/$V611-1,"")</f>
        <v/>
      </c>
      <c r="EB611" s="58">
        <f>IFERROR($W612/$W611-1,"")</f>
        <v/>
      </c>
      <c r="EC611" s="58">
        <f>IFERROR($X612/$X611-1,"")</f>
        <v/>
      </c>
      <c r="ED611" s="58">
        <f>IFERROR($Y612/$Y611-1,"")</f>
        <v/>
      </c>
      <c r="EE611" s="58">
        <f>IFERROR($Z612/$Z611-1,"")</f>
        <v/>
      </c>
      <c r="EF611" s="58">
        <f>IFERROR($AA612/$AA611-1,"")</f>
        <v/>
      </c>
      <c r="EG611" s="58">
        <f>IFERROR($AB612/$AB611-1,"")</f>
        <v/>
      </c>
      <c r="EH611" s="58">
        <f>IFERROR($AC612/$AC611-1,"")</f>
        <v/>
      </c>
      <c r="EI611" s="58">
        <f>IFERROR($AD612/$AD611-1,"")</f>
        <v/>
      </c>
      <c r="EJ611" s="58">
        <f>IFERROR($AE612/$AE611-1,"")</f>
        <v/>
      </c>
      <c r="EK611" s="58">
        <f>IFERROR($AF612/$AF611-1,"")</f>
        <v/>
      </c>
      <c r="EL611" s="58">
        <f>IFERROR($AG612/$AG611-1,"")</f>
        <v/>
      </c>
      <c r="EM611" s="58">
        <f>IFERROR($BB611/$BB612-1,"")</f>
        <v/>
      </c>
      <c r="EN611" s="58">
        <f>IFERROR($BC611/$BC612-1,"")</f>
        <v/>
      </c>
      <c r="EO611" s="58">
        <f>IFERROR($BD611/$BD612-1,"")</f>
        <v/>
      </c>
      <c r="EP611" s="58">
        <f>IFERROR($BE611/$BE612-1,"")</f>
        <v/>
      </c>
      <c r="EQ611" s="58">
        <f>IFERROR($BF611/$BF612-1,"")</f>
        <v/>
      </c>
      <c r="ER611" s="58">
        <f>IFERROR($BG611/$BG612-1,"")</f>
        <v/>
      </c>
      <c r="ES611" s="58">
        <f>IFERROR($BH611/$BH612-1,"")</f>
        <v/>
      </c>
      <c r="ET611" s="58">
        <f>IFERROR($BI611/$BI612-1,"")</f>
        <v/>
      </c>
      <c r="EU611" s="58">
        <f>IFERROR($BJ611/$BJ612-1,"")</f>
        <v/>
      </c>
      <c r="EV611" s="58">
        <f>IFERROR($BK611/$BK612-1,"")</f>
        <v/>
      </c>
      <c r="EW611" s="58">
        <f>IFERROR($BL611/$BL612-1,"")</f>
        <v/>
      </c>
      <c r="EX611" s="58">
        <f>IFERROR($BM611/$BM612-1,"")</f>
        <v/>
      </c>
      <c r="EY611" s="58">
        <f>IFERROR($BN611/$BN612-1,"")</f>
        <v/>
      </c>
      <c r="EZ611" s="58">
        <f>IFERROR($BO611/$BO612-1,"")</f>
        <v/>
      </c>
      <c r="FA611" s="58">
        <f>IFERROR($BP611/$BP612-1,"")</f>
        <v/>
      </c>
      <c r="FB611" s="58">
        <f>IFERROR($BQ611/$BQ612-1,"")</f>
        <v/>
      </c>
      <c r="FC611" s="58">
        <f>IFERROR($BR611/$BR612-1,"")</f>
        <v/>
      </c>
      <c r="FD611" s="58">
        <f>IFERROR($BS611/$BS612-1,"")</f>
        <v/>
      </c>
      <c r="FE611" s="58">
        <f>IFERROR($BT611/$BT612-1,"")</f>
        <v/>
      </c>
      <c r="FF611" s="58">
        <f>IFERROR($BU611/$BU612-1,"")</f>
        <v/>
      </c>
      <c r="FG611" s="58">
        <f>IFERROR($BV611/$BV612-1,"")</f>
        <v/>
      </c>
      <c r="FH611" s="58">
        <f>IFERROR($BW611/$BW612-1,"")</f>
        <v/>
      </c>
      <c r="FI611" s="58">
        <f>IFERROR($BX611/$BX612-1,"")</f>
        <v/>
      </c>
      <c r="FJ611" s="59">
        <f>$BY611-$BY612</f>
        <v/>
      </c>
      <c r="FK611" s="59">
        <f>$BZ611-$BZ612</f>
        <v/>
      </c>
      <c r="FL611" s="59">
        <f>$CA611-$CA612</f>
        <v/>
      </c>
      <c r="FM611" s="59">
        <f>$CB611-$CB612</f>
        <v/>
      </c>
      <c r="FN611" s="59">
        <f>$CC611-$CC612</f>
        <v/>
      </c>
      <c r="FO611" s="59">
        <f>$CD611-$CD612</f>
        <v/>
      </c>
      <c r="FP611" s="59">
        <f>$CE611-$CE612</f>
        <v/>
      </c>
      <c r="FQ611" s="59">
        <f>$CF611-$CF612</f>
        <v/>
      </c>
      <c r="FR611" s="59">
        <f>$CG611-$CG612</f>
        <v/>
      </c>
      <c r="FS611" s="59">
        <f>$CH611-$CH612</f>
        <v/>
      </c>
      <c r="FT611" s="59">
        <f>$CI611-$CI612</f>
        <v/>
      </c>
      <c r="FU611" s="59">
        <f>$CJ611-$CJ612</f>
        <v/>
      </c>
      <c r="FV611" s="59">
        <f>$CK611-$CK612</f>
        <v/>
      </c>
      <c r="FW611" s="59">
        <f>$CL611-$CL612</f>
        <v/>
      </c>
      <c r="FX611" s="59">
        <f>$CM611-$CM612</f>
        <v/>
      </c>
      <c r="FY611" s="59">
        <f>$CN611-$CN612</f>
        <v/>
      </c>
      <c r="FZ611" s="59">
        <f>$CO611-$CO612</f>
        <v/>
      </c>
      <c r="GA611" s="59">
        <f>$CP611-$CP612</f>
        <v/>
      </c>
      <c r="GB611" s="59">
        <f>$CQ611-$CQ612</f>
        <v/>
      </c>
      <c r="GC611" s="59">
        <f>$CR611-$CR612</f>
        <v/>
      </c>
      <c r="GD611" s="59">
        <f>$CS611-$CS612</f>
        <v/>
      </c>
      <c r="GE611" s="59">
        <f>$CT611-$CT612</f>
        <v/>
      </c>
    </row>
    <row r="612">
      <c r="CU612" s="58">
        <f>IFERROR($B612/$B613-1,"")</f>
        <v/>
      </c>
      <c r="CV612" s="59">
        <f>($F612-$F613)*100</f>
        <v/>
      </c>
      <c r="CW612" s="59">
        <f>($E612-$E613)*100</f>
        <v/>
      </c>
      <c r="CX612" s="58">
        <f>IFERROR($K612/$K613-1,"")</f>
        <v/>
      </c>
      <c r="CY612" s="59">
        <f>($AH612-$AH613)*100</f>
        <v/>
      </c>
      <c r="CZ612" s="59">
        <f>($AI612-$AI613)*100</f>
        <v/>
      </c>
      <c r="DA612" s="59">
        <f>($AJ612-$AJ613)*100</f>
        <v/>
      </c>
      <c r="DB612" s="59">
        <f>($AK612-$AK613)*100</f>
        <v/>
      </c>
      <c r="DC612" s="59">
        <f>($AL612-$AL613)*100</f>
        <v/>
      </c>
      <c r="DD612" s="59">
        <f>($AM612-$AM613)*100</f>
        <v/>
      </c>
      <c r="DE612" s="59">
        <f>($AN612-$AN613)*100</f>
        <v/>
      </c>
      <c r="DF612" s="59">
        <f>($AO612-$AO613)*100</f>
        <v/>
      </c>
      <c r="DG612" s="59">
        <f>($AP612-$AP613)*100</f>
        <v/>
      </c>
      <c r="DH612" s="59">
        <f>($AQ612-$AQ613)*100</f>
        <v/>
      </c>
      <c r="DI612" s="59">
        <f>($AR612-$AR613)*100</f>
        <v/>
      </c>
      <c r="DJ612" s="59">
        <f>($AS612-$AS613)*100</f>
        <v/>
      </c>
      <c r="DK612" s="59">
        <f>($AT612-$AT613)*100</f>
        <v/>
      </c>
      <c r="DL612" s="59">
        <f>($AU612-$AU613)*100</f>
        <v/>
      </c>
      <c r="DM612" s="59">
        <f>($AV612-$AV613)*100</f>
        <v/>
      </c>
      <c r="DN612" s="59">
        <f>($AW612-$AW613)*100</f>
        <v/>
      </c>
      <c r="DO612" s="59">
        <f>($AX612-$AX613)*100</f>
        <v/>
      </c>
      <c r="DP612" s="59">
        <f>($AY612-$AY613)*100</f>
        <v/>
      </c>
      <c r="DQ612" s="59">
        <f>($AZ612-$AZ613)*100</f>
        <v/>
      </c>
      <c r="DR612" s="59">
        <f>($BA612-$BA613)*100</f>
        <v/>
      </c>
      <c r="DS612" s="58">
        <f>IFERROR($N613/$N612-1,"")</f>
        <v/>
      </c>
      <c r="DT612" s="58">
        <f>IFERROR($O613/$O612-1,"")</f>
        <v/>
      </c>
      <c r="DU612" s="58">
        <f>IFERROR($P613/$P612-1,"")</f>
        <v/>
      </c>
      <c r="DV612" s="58">
        <f>IFERROR($Q613/$Q612-1,"")</f>
        <v/>
      </c>
      <c r="DW612" s="58">
        <f>IFERROR($R613/$R612-1,"")</f>
        <v/>
      </c>
      <c r="DX612" s="58">
        <f>IFERROR($S613/$S612-1,"")</f>
        <v/>
      </c>
      <c r="DY612" s="58">
        <f>IFERROR($T613/$T612-1,"")</f>
        <v/>
      </c>
      <c r="DZ612" s="58">
        <f>IFERROR($U613/$U612-1,"")</f>
        <v/>
      </c>
      <c r="EA612" s="58">
        <f>IFERROR($V613/$V612-1,"")</f>
        <v/>
      </c>
      <c r="EB612" s="58">
        <f>IFERROR($W613/$W612-1,"")</f>
        <v/>
      </c>
      <c r="EC612" s="58">
        <f>IFERROR($X613/$X612-1,"")</f>
        <v/>
      </c>
      <c r="ED612" s="58">
        <f>IFERROR($Y613/$Y612-1,"")</f>
        <v/>
      </c>
      <c r="EE612" s="58">
        <f>IFERROR($Z613/$Z612-1,"")</f>
        <v/>
      </c>
      <c r="EF612" s="58">
        <f>IFERROR($AA613/$AA612-1,"")</f>
        <v/>
      </c>
      <c r="EG612" s="58">
        <f>IFERROR($AB613/$AB612-1,"")</f>
        <v/>
      </c>
      <c r="EH612" s="58">
        <f>IFERROR($AC613/$AC612-1,"")</f>
        <v/>
      </c>
      <c r="EI612" s="58">
        <f>IFERROR($AD613/$AD612-1,"")</f>
        <v/>
      </c>
      <c r="EJ612" s="58">
        <f>IFERROR($AE613/$AE612-1,"")</f>
        <v/>
      </c>
      <c r="EK612" s="58">
        <f>IFERROR($AF613/$AF612-1,"")</f>
        <v/>
      </c>
      <c r="EL612" s="58">
        <f>IFERROR($AG613/$AG612-1,"")</f>
        <v/>
      </c>
      <c r="EM612" s="58">
        <f>IFERROR($BB612/$BB613-1,"")</f>
        <v/>
      </c>
      <c r="EN612" s="58">
        <f>IFERROR($BC612/$BC613-1,"")</f>
        <v/>
      </c>
      <c r="EO612" s="58">
        <f>IFERROR($BD612/$BD613-1,"")</f>
        <v/>
      </c>
      <c r="EP612" s="58">
        <f>IFERROR($BE612/$BE613-1,"")</f>
        <v/>
      </c>
      <c r="EQ612" s="58">
        <f>IFERROR($BF612/$BF613-1,"")</f>
        <v/>
      </c>
      <c r="ER612" s="58">
        <f>IFERROR($BG612/$BG613-1,"")</f>
        <v/>
      </c>
      <c r="ES612" s="58">
        <f>IFERROR($BH612/$BH613-1,"")</f>
        <v/>
      </c>
      <c r="ET612" s="58">
        <f>IFERROR($BI612/$BI613-1,"")</f>
        <v/>
      </c>
      <c r="EU612" s="58">
        <f>IFERROR($BJ612/$BJ613-1,"")</f>
        <v/>
      </c>
      <c r="EV612" s="58">
        <f>IFERROR($BK612/$BK613-1,"")</f>
        <v/>
      </c>
      <c r="EW612" s="58">
        <f>IFERROR($BL612/$BL613-1,"")</f>
        <v/>
      </c>
      <c r="EX612" s="58">
        <f>IFERROR($BM612/$BM613-1,"")</f>
        <v/>
      </c>
      <c r="EY612" s="58">
        <f>IFERROR($BN612/$BN613-1,"")</f>
        <v/>
      </c>
      <c r="EZ612" s="58">
        <f>IFERROR($BO612/$BO613-1,"")</f>
        <v/>
      </c>
      <c r="FA612" s="58">
        <f>IFERROR($BP612/$BP613-1,"")</f>
        <v/>
      </c>
      <c r="FB612" s="58">
        <f>IFERROR($BQ612/$BQ613-1,"")</f>
        <v/>
      </c>
      <c r="FC612" s="58">
        <f>IFERROR($BR612/$BR613-1,"")</f>
        <v/>
      </c>
      <c r="FD612" s="58">
        <f>IFERROR($BS612/$BS613-1,"")</f>
        <v/>
      </c>
      <c r="FE612" s="58">
        <f>IFERROR($BT612/$BT613-1,"")</f>
        <v/>
      </c>
      <c r="FF612" s="58">
        <f>IFERROR($BU612/$BU613-1,"")</f>
        <v/>
      </c>
      <c r="FG612" s="58">
        <f>IFERROR($BV612/$BV613-1,"")</f>
        <v/>
      </c>
      <c r="FH612" s="58">
        <f>IFERROR($BW612/$BW613-1,"")</f>
        <v/>
      </c>
      <c r="FI612" s="58">
        <f>IFERROR($BX612/$BX613-1,"")</f>
        <v/>
      </c>
      <c r="FJ612" s="59">
        <f>$BY612-$BY613</f>
        <v/>
      </c>
      <c r="FK612" s="59">
        <f>$BZ612-$BZ613</f>
        <v/>
      </c>
      <c r="FL612" s="59">
        <f>$CA612-$CA613</f>
        <v/>
      </c>
      <c r="FM612" s="59">
        <f>$CB612-$CB613</f>
        <v/>
      </c>
      <c r="FN612" s="59">
        <f>$CC612-$CC613</f>
        <v/>
      </c>
      <c r="FO612" s="59">
        <f>$CD612-$CD613</f>
        <v/>
      </c>
      <c r="FP612" s="59">
        <f>$CE612-$CE613</f>
        <v/>
      </c>
      <c r="FQ612" s="59">
        <f>$CF612-$CF613</f>
        <v/>
      </c>
      <c r="FR612" s="59">
        <f>$CG612-$CG613</f>
        <v/>
      </c>
      <c r="FS612" s="59">
        <f>$CH612-$CH613</f>
        <v/>
      </c>
      <c r="FT612" s="59">
        <f>$CI612-$CI613</f>
        <v/>
      </c>
      <c r="FU612" s="59">
        <f>$CJ612-$CJ613</f>
        <v/>
      </c>
      <c r="FV612" s="59">
        <f>$CK612-$CK613</f>
        <v/>
      </c>
      <c r="FW612" s="59">
        <f>$CL612-$CL613</f>
        <v/>
      </c>
      <c r="FX612" s="59">
        <f>$CM612-$CM613</f>
        <v/>
      </c>
      <c r="FY612" s="59">
        <f>$CN612-$CN613</f>
        <v/>
      </c>
      <c r="FZ612" s="59">
        <f>$CO612-$CO613</f>
        <v/>
      </c>
      <c r="GA612" s="59">
        <f>$CP612-$CP613</f>
        <v/>
      </c>
      <c r="GB612" s="59">
        <f>$CQ612-$CQ613</f>
        <v/>
      </c>
      <c r="GC612" s="59">
        <f>$CR612-$CR613</f>
        <v/>
      </c>
      <c r="GD612" s="59">
        <f>$CS612-$CS613</f>
        <v/>
      </c>
      <c r="GE612" s="59">
        <f>$CT612-$CT613</f>
        <v/>
      </c>
    </row>
    <row r="613">
      <c r="CU613" s="58">
        <f>IFERROR($B613/$B614-1,"")</f>
        <v/>
      </c>
      <c r="CV613" s="59">
        <f>($F613-$F614)*100</f>
        <v/>
      </c>
      <c r="CW613" s="59">
        <f>($E613-$E614)*100</f>
        <v/>
      </c>
      <c r="CX613" s="58">
        <f>IFERROR($K613/$K614-1,"")</f>
        <v/>
      </c>
      <c r="CY613" s="59">
        <f>($AH613-$AH614)*100</f>
        <v/>
      </c>
      <c r="CZ613" s="59">
        <f>($AI613-$AI614)*100</f>
        <v/>
      </c>
      <c r="DA613" s="59">
        <f>($AJ613-$AJ614)*100</f>
        <v/>
      </c>
      <c r="DB613" s="59">
        <f>($AK613-$AK614)*100</f>
        <v/>
      </c>
      <c r="DC613" s="59">
        <f>($AL613-$AL614)*100</f>
        <v/>
      </c>
      <c r="DD613" s="59">
        <f>($AM613-$AM614)*100</f>
        <v/>
      </c>
      <c r="DE613" s="59">
        <f>($AN613-$AN614)*100</f>
        <v/>
      </c>
      <c r="DF613" s="59">
        <f>($AO613-$AO614)*100</f>
        <v/>
      </c>
      <c r="DG613" s="59">
        <f>($AP613-$AP614)*100</f>
        <v/>
      </c>
      <c r="DH613" s="59">
        <f>($AQ613-$AQ614)*100</f>
        <v/>
      </c>
      <c r="DI613" s="59">
        <f>($AR613-$AR614)*100</f>
        <v/>
      </c>
      <c r="DJ613" s="59">
        <f>($AS613-$AS614)*100</f>
        <v/>
      </c>
      <c r="DK613" s="59">
        <f>($AT613-$AT614)*100</f>
        <v/>
      </c>
      <c r="DL613" s="59">
        <f>($AU613-$AU614)*100</f>
        <v/>
      </c>
      <c r="DM613" s="59">
        <f>($AV613-$AV614)*100</f>
        <v/>
      </c>
      <c r="DN613" s="59">
        <f>($AW613-$AW614)*100</f>
        <v/>
      </c>
      <c r="DO613" s="59">
        <f>($AX613-$AX614)*100</f>
        <v/>
      </c>
      <c r="DP613" s="59">
        <f>($AY613-$AY614)*100</f>
        <v/>
      </c>
      <c r="DQ613" s="59">
        <f>($AZ613-$AZ614)*100</f>
        <v/>
      </c>
      <c r="DR613" s="59">
        <f>($BA613-$BA614)*100</f>
        <v/>
      </c>
      <c r="DS613" s="58">
        <f>IFERROR($N614/$N613-1,"")</f>
        <v/>
      </c>
      <c r="DT613" s="58">
        <f>IFERROR($O614/$O613-1,"")</f>
        <v/>
      </c>
      <c r="DU613" s="58">
        <f>IFERROR($P614/$P613-1,"")</f>
        <v/>
      </c>
      <c r="DV613" s="58">
        <f>IFERROR($Q614/$Q613-1,"")</f>
        <v/>
      </c>
      <c r="DW613" s="58">
        <f>IFERROR($R614/$R613-1,"")</f>
        <v/>
      </c>
      <c r="DX613" s="58">
        <f>IFERROR($S614/$S613-1,"")</f>
        <v/>
      </c>
      <c r="DY613" s="58">
        <f>IFERROR($T614/$T613-1,"")</f>
        <v/>
      </c>
      <c r="DZ613" s="58">
        <f>IFERROR($U614/$U613-1,"")</f>
        <v/>
      </c>
      <c r="EA613" s="58">
        <f>IFERROR($V614/$V613-1,"")</f>
        <v/>
      </c>
      <c r="EB613" s="58">
        <f>IFERROR($W614/$W613-1,"")</f>
        <v/>
      </c>
      <c r="EC613" s="58">
        <f>IFERROR($X614/$X613-1,"")</f>
        <v/>
      </c>
      <c r="ED613" s="58">
        <f>IFERROR($Y614/$Y613-1,"")</f>
        <v/>
      </c>
      <c r="EE613" s="58">
        <f>IFERROR($Z614/$Z613-1,"")</f>
        <v/>
      </c>
      <c r="EF613" s="58">
        <f>IFERROR($AA614/$AA613-1,"")</f>
        <v/>
      </c>
      <c r="EG613" s="58">
        <f>IFERROR($AB614/$AB613-1,"")</f>
        <v/>
      </c>
      <c r="EH613" s="58">
        <f>IFERROR($AC614/$AC613-1,"")</f>
        <v/>
      </c>
      <c r="EI613" s="58">
        <f>IFERROR($AD614/$AD613-1,"")</f>
        <v/>
      </c>
      <c r="EJ613" s="58">
        <f>IFERROR($AE614/$AE613-1,"")</f>
        <v/>
      </c>
      <c r="EK613" s="58">
        <f>IFERROR($AF614/$AF613-1,"")</f>
        <v/>
      </c>
      <c r="EL613" s="58">
        <f>IFERROR($AG614/$AG613-1,"")</f>
        <v/>
      </c>
      <c r="EM613" s="58">
        <f>IFERROR($BB613/$BB614-1,"")</f>
        <v/>
      </c>
      <c r="EN613" s="58">
        <f>IFERROR($BC613/$BC614-1,"")</f>
        <v/>
      </c>
      <c r="EO613" s="58">
        <f>IFERROR($BD613/$BD614-1,"")</f>
        <v/>
      </c>
      <c r="EP613" s="58">
        <f>IFERROR($BE613/$BE614-1,"")</f>
        <v/>
      </c>
      <c r="EQ613" s="58">
        <f>IFERROR($BF613/$BF614-1,"")</f>
        <v/>
      </c>
      <c r="ER613" s="58">
        <f>IFERROR($BG613/$BG614-1,"")</f>
        <v/>
      </c>
      <c r="ES613" s="58">
        <f>IFERROR($BH613/$BH614-1,"")</f>
        <v/>
      </c>
      <c r="ET613" s="58">
        <f>IFERROR($BI613/$BI614-1,"")</f>
        <v/>
      </c>
      <c r="EU613" s="58">
        <f>IFERROR($BJ613/$BJ614-1,"")</f>
        <v/>
      </c>
      <c r="EV613" s="58">
        <f>IFERROR($BK613/$BK614-1,"")</f>
        <v/>
      </c>
      <c r="EW613" s="58">
        <f>IFERROR($BL613/$BL614-1,"")</f>
        <v/>
      </c>
      <c r="EX613" s="58">
        <f>IFERROR($BM613/$BM614-1,"")</f>
        <v/>
      </c>
      <c r="EY613" s="58">
        <f>IFERROR($BN613/$BN614-1,"")</f>
        <v/>
      </c>
      <c r="EZ613" s="58">
        <f>IFERROR($BO613/$BO614-1,"")</f>
        <v/>
      </c>
      <c r="FA613" s="58">
        <f>IFERROR($BP613/$BP614-1,"")</f>
        <v/>
      </c>
      <c r="FB613" s="58">
        <f>IFERROR($BQ613/$BQ614-1,"")</f>
        <v/>
      </c>
      <c r="FC613" s="58">
        <f>IFERROR($BR613/$BR614-1,"")</f>
        <v/>
      </c>
      <c r="FD613" s="58">
        <f>IFERROR($BS613/$BS614-1,"")</f>
        <v/>
      </c>
      <c r="FE613" s="58">
        <f>IFERROR($BT613/$BT614-1,"")</f>
        <v/>
      </c>
      <c r="FF613" s="58">
        <f>IFERROR($BU613/$BU614-1,"")</f>
        <v/>
      </c>
      <c r="FG613" s="58">
        <f>IFERROR($BV613/$BV614-1,"")</f>
        <v/>
      </c>
      <c r="FH613" s="58">
        <f>IFERROR($BW613/$BW614-1,"")</f>
        <v/>
      </c>
      <c r="FI613" s="58">
        <f>IFERROR($BX613/$BX614-1,"")</f>
        <v/>
      </c>
      <c r="FJ613" s="59">
        <f>$BY613-$BY614</f>
        <v/>
      </c>
      <c r="FK613" s="59">
        <f>$BZ613-$BZ614</f>
        <v/>
      </c>
      <c r="FL613" s="59">
        <f>$CA613-$CA614</f>
        <v/>
      </c>
      <c r="FM613" s="59">
        <f>$CB613-$CB614</f>
        <v/>
      </c>
      <c r="FN613" s="59">
        <f>$CC613-$CC614</f>
        <v/>
      </c>
      <c r="FO613" s="59">
        <f>$CD613-$CD614</f>
        <v/>
      </c>
      <c r="FP613" s="59">
        <f>$CE613-$CE614</f>
        <v/>
      </c>
      <c r="FQ613" s="59">
        <f>$CF613-$CF614</f>
        <v/>
      </c>
      <c r="FR613" s="59">
        <f>$CG613-$CG614</f>
        <v/>
      </c>
      <c r="FS613" s="59">
        <f>$CH613-$CH614</f>
        <v/>
      </c>
      <c r="FT613" s="59">
        <f>$CI613-$CI614</f>
        <v/>
      </c>
      <c r="FU613" s="59">
        <f>$CJ613-$CJ614</f>
        <v/>
      </c>
      <c r="FV613" s="59">
        <f>$CK613-$CK614</f>
        <v/>
      </c>
      <c r="FW613" s="59">
        <f>$CL613-$CL614</f>
        <v/>
      </c>
      <c r="FX613" s="59">
        <f>$CM613-$CM614</f>
        <v/>
      </c>
      <c r="FY613" s="59">
        <f>$CN613-$CN614</f>
        <v/>
      </c>
      <c r="FZ613" s="59">
        <f>$CO613-$CO614</f>
        <v/>
      </c>
      <c r="GA613" s="59">
        <f>$CP613-$CP614</f>
        <v/>
      </c>
      <c r="GB613" s="59">
        <f>$CQ613-$CQ614</f>
        <v/>
      </c>
      <c r="GC613" s="59">
        <f>$CR613-$CR614</f>
        <v/>
      </c>
      <c r="GD613" s="59">
        <f>$CS613-$CS614</f>
        <v/>
      </c>
      <c r="GE613" s="59">
        <f>$CT613-$CT614</f>
        <v/>
      </c>
    </row>
    <row r="614">
      <c r="CU614" s="58">
        <f>IFERROR($B614/$B615-1,"")</f>
        <v/>
      </c>
      <c r="CV614" s="59">
        <f>($F614-$F615)*100</f>
        <v/>
      </c>
      <c r="CW614" s="59">
        <f>($E614-$E615)*100</f>
        <v/>
      </c>
      <c r="CX614" s="58">
        <f>IFERROR($K614/$K615-1,"")</f>
        <v/>
      </c>
      <c r="CY614" s="59">
        <f>($AH614-$AH615)*100</f>
        <v/>
      </c>
      <c r="CZ614" s="59">
        <f>($AI614-$AI615)*100</f>
        <v/>
      </c>
      <c r="DA614" s="59">
        <f>($AJ614-$AJ615)*100</f>
        <v/>
      </c>
      <c r="DB614" s="59">
        <f>($AK614-$AK615)*100</f>
        <v/>
      </c>
      <c r="DC614" s="59">
        <f>($AL614-$AL615)*100</f>
        <v/>
      </c>
      <c r="DD614" s="59">
        <f>($AM614-$AM615)*100</f>
        <v/>
      </c>
      <c r="DE614" s="59">
        <f>($AN614-$AN615)*100</f>
        <v/>
      </c>
      <c r="DF614" s="59">
        <f>($AO614-$AO615)*100</f>
        <v/>
      </c>
      <c r="DG614" s="59">
        <f>($AP614-$AP615)*100</f>
        <v/>
      </c>
      <c r="DH614" s="59">
        <f>($AQ614-$AQ615)*100</f>
        <v/>
      </c>
      <c r="DI614" s="59">
        <f>($AR614-$AR615)*100</f>
        <v/>
      </c>
      <c r="DJ614" s="59">
        <f>($AS614-$AS615)*100</f>
        <v/>
      </c>
      <c r="DK614" s="59">
        <f>($AT614-$AT615)*100</f>
        <v/>
      </c>
      <c r="DL614" s="59">
        <f>($AU614-$AU615)*100</f>
        <v/>
      </c>
      <c r="DM614" s="59">
        <f>($AV614-$AV615)*100</f>
        <v/>
      </c>
      <c r="DN614" s="59">
        <f>($AW614-$AW615)*100</f>
        <v/>
      </c>
      <c r="DO614" s="59">
        <f>($AX614-$AX615)*100</f>
        <v/>
      </c>
      <c r="DP614" s="59">
        <f>($AY614-$AY615)*100</f>
        <v/>
      </c>
      <c r="DQ614" s="59">
        <f>($AZ614-$AZ615)*100</f>
        <v/>
      </c>
      <c r="DR614" s="59">
        <f>($BA614-$BA615)*100</f>
        <v/>
      </c>
      <c r="DS614" s="58">
        <f>IFERROR($N615/$N614-1,"")</f>
        <v/>
      </c>
      <c r="DT614" s="58">
        <f>IFERROR($O615/$O614-1,"")</f>
        <v/>
      </c>
      <c r="DU614" s="58">
        <f>IFERROR($P615/$P614-1,"")</f>
        <v/>
      </c>
      <c r="DV614" s="58">
        <f>IFERROR($Q615/$Q614-1,"")</f>
        <v/>
      </c>
      <c r="DW614" s="58">
        <f>IFERROR($R615/$R614-1,"")</f>
        <v/>
      </c>
      <c r="DX614" s="58">
        <f>IFERROR($S615/$S614-1,"")</f>
        <v/>
      </c>
      <c r="DY614" s="58">
        <f>IFERROR($T615/$T614-1,"")</f>
        <v/>
      </c>
      <c r="DZ614" s="58">
        <f>IFERROR($U615/$U614-1,"")</f>
        <v/>
      </c>
      <c r="EA614" s="58">
        <f>IFERROR($V615/$V614-1,"")</f>
        <v/>
      </c>
      <c r="EB614" s="58">
        <f>IFERROR($W615/$W614-1,"")</f>
        <v/>
      </c>
      <c r="EC614" s="58">
        <f>IFERROR($X615/$X614-1,"")</f>
        <v/>
      </c>
      <c r="ED614" s="58">
        <f>IFERROR($Y615/$Y614-1,"")</f>
        <v/>
      </c>
      <c r="EE614" s="58">
        <f>IFERROR($Z615/$Z614-1,"")</f>
        <v/>
      </c>
      <c r="EF614" s="58">
        <f>IFERROR($AA615/$AA614-1,"")</f>
        <v/>
      </c>
      <c r="EG614" s="58">
        <f>IFERROR($AB615/$AB614-1,"")</f>
        <v/>
      </c>
      <c r="EH614" s="58">
        <f>IFERROR($AC615/$AC614-1,"")</f>
        <v/>
      </c>
      <c r="EI614" s="58">
        <f>IFERROR($AD615/$AD614-1,"")</f>
        <v/>
      </c>
      <c r="EJ614" s="58">
        <f>IFERROR($AE615/$AE614-1,"")</f>
        <v/>
      </c>
      <c r="EK614" s="58">
        <f>IFERROR($AF615/$AF614-1,"")</f>
        <v/>
      </c>
      <c r="EL614" s="58">
        <f>IFERROR($AG615/$AG614-1,"")</f>
        <v/>
      </c>
      <c r="EM614" s="58">
        <f>IFERROR($BB614/$BB615-1,"")</f>
        <v/>
      </c>
      <c r="EN614" s="58">
        <f>IFERROR($BC614/$BC615-1,"")</f>
        <v/>
      </c>
      <c r="EO614" s="58">
        <f>IFERROR($BD614/$BD615-1,"")</f>
        <v/>
      </c>
      <c r="EP614" s="58">
        <f>IFERROR($BE614/$BE615-1,"")</f>
        <v/>
      </c>
      <c r="EQ614" s="58">
        <f>IFERROR($BF614/$BF615-1,"")</f>
        <v/>
      </c>
      <c r="ER614" s="58">
        <f>IFERROR($BG614/$BG615-1,"")</f>
        <v/>
      </c>
      <c r="ES614" s="58">
        <f>IFERROR($BH614/$BH615-1,"")</f>
        <v/>
      </c>
      <c r="ET614" s="58">
        <f>IFERROR($BI614/$BI615-1,"")</f>
        <v/>
      </c>
      <c r="EU614" s="58">
        <f>IFERROR($BJ614/$BJ615-1,"")</f>
        <v/>
      </c>
      <c r="EV614" s="58">
        <f>IFERROR($BK614/$BK615-1,"")</f>
        <v/>
      </c>
      <c r="EW614" s="58">
        <f>IFERROR($BL614/$BL615-1,"")</f>
        <v/>
      </c>
      <c r="EX614" s="58">
        <f>IFERROR($BM614/$BM615-1,"")</f>
        <v/>
      </c>
      <c r="EY614" s="58">
        <f>IFERROR($BN614/$BN615-1,"")</f>
        <v/>
      </c>
      <c r="EZ614" s="58">
        <f>IFERROR($BO614/$BO615-1,"")</f>
        <v/>
      </c>
      <c r="FA614" s="58">
        <f>IFERROR($BP614/$BP615-1,"")</f>
        <v/>
      </c>
      <c r="FB614" s="58">
        <f>IFERROR($BQ614/$BQ615-1,"")</f>
        <v/>
      </c>
      <c r="FC614" s="58">
        <f>IFERROR($BR614/$BR615-1,"")</f>
        <v/>
      </c>
      <c r="FD614" s="58">
        <f>IFERROR($BS614/$BS615-1,"")</f>
        <v/>
      </c>
      <c r="FE614" s="58">
        <f>IFERROR($BT614/$BT615-1,"")</f>
        <v/>
      </c>
      <c r="FF614" s="58">
        <f>IFERROR($BU614/$BU615-1,"")</f>
        <v/>
      </c>
      <c r="FG614" s="58">
        <f>IFERROR($BV614/$BV615-1,"")</f>
        <v/>
      </c>
      <c r="FH614" s="58">
        <f>IFERROR($BW614/$BW615-1,"")</f>
        <v/>
      </c>
      <c r="FI614" s="58">
        <f>IFERROR($BX614/$BX615-1,"")</f>
        <v/>
      </c>
      <c r="FJ614" s="59">
        <f>$BY614-$BY615</f>
        <v/>
      </c>
      <c r="FK614" s="59">
        <f>$BZ614-$BZ615</f>
        <v/>
      </c>
      <c r="FL614" s="59">
        <f>$CA614-$CA615</f>
        <v/>
      </c>
      <c r="FM614" s="59">
        <f>$CB614-$CB615</f>
        <v/>
      </c>
      <c r="FN614" s="59">
        <f>$CC614-$CC615</f>
        <v/>
      </c>
      <c r="FO614" s="59">
        <f>$CD614-$CD615</f>
        <v/>
      </c>
      <c r="FP614" s="59">
        <f>$CE614-$CE615</f>
        <v/>
      </c>
      <c r="FQ614" s="59">
        <f>$CF614-$CF615</f>
        <v/>
      </c>
      <c r="FR614" s="59">
        <f>$CG614-$CG615</f>
        <v/>
      </c>
      <c r="FS614" s="59">
        <f>$CH614-$CH615</f>
        <v/>
      </c>
      <c r="FT614" s="59">
        <f>$CI614-$CI615</f>
        <v/>
      </c>
      <c r="FU614" s="59">
        <f>$CJ614-$CJ615</f>
        <v/>
      </c>
      <c r="FV614" s="59">
        <f>$CK614-$CK615</f>
        <v/>
      </c>
      <c r="FW614" s="59">
        <f>$CL614-$CL615</f>
        <v/>
      </c>
      <c r="FX614" s="59">
        <f>$CM614-$CM615</f>
        <v/>
      </c>
      <c r="FY614" s="59">
        <f>$CN614-$CN615</f>
        <v/>
      </c>
      <c r="FZ614" s="59">
        <f>$CO614-$CO615</f>
        <v/>
      </c>
      <c r="GA614" s="59">
        <f>$CP614-$CP615</f>
        <v/>
      </c>
      <c r="GB614" s="59">
        <f>$CQ614-$CQ615</f>
        <v/>
      </c>
      <c r="GC614" s="59">
        <f>$CR614-$CR615</f>
        <v/>
      </c>
      <c r="GD614" s="59">
        <f>$CS614-$CS615</f>
        <v/>
      </c>
      <c r="GE614" s="59">
        <f>$CT614-$CT615</f>
        <v/>
      </c>
    </row>
    <row r="615">
      <c r="CU615" s="58">
        <f>IFERROR($B615/$B616-1,"")</f>
        <v/>
      </c>
      <c r="CV615" s="59">
        <f>($F615-$F616)*100</f>
        <v/>
      </c>
      <c r="CW615" s="59">
        <f>($E615-$E616)*100</f>
        <v/>
      </c>
      <c r="CX615" s="58">
        <f>IFERROR($K615/$K616-1,"")</f>
        <v/>
      </c>
      <c r="CY615" s="59">
        <f>($AH615-$AH616)*100</f>
        <v/>
      </c>
      <c r="CZ615" s="59">
        <f>($AI615-$AI616)*100</f>
        <v/>
      </c>
      <c r="DA615" s="59">
        <f>($AJ615-$AJ616)*100</f>
        <v/>
      </c>
      <c r="DB615" s="59">
        <f>($AK615-$AK616)*100</f>
        <v/>
      </c>
      <c r="DC615" s="59">
        <f>($AL615-$AL616)*100</f>
        <v/>
      </c>
      <c r="DD615" s="59">
        <f>($AM615-$AM616)*100</f>
        <v/>
      </c>
      <c r="DE615" s="59">
        <f>($AN615-$AN616)*100</f>
        <v/>
      </c>
      <c r="DF615" s="59">
        <f>($AO615-$AO616)*100</f>
        <v/>
      </c>
      <c r="DG615" s="59">
        <f>($AP615-$AP616)*100</f>
        <v/>
      </c>
      <c r="DH615" s="59">
        <f>($AQ615-$AQ616)*100</f>
        <v/>
      </c>
      <c r="DI615" s="59">
        <f>($AR615-$AR616)*100</f>
        <v/>
      </c>
      <c r="DJ615" s="59">
        <f>($AS615-$AS616)*100</f>
        <v/>
      </c>
      <c r="DK615" s="59">
        <f>($AT615-$AT616)*100</f>
        <v/>
      </c>
      <c r="DL615" s="59">
        <f>($AU615-$AU616)*100</f>
        <v/>
      </c>
      <c r="DM615" s="59">
        <f>($AV615-$AV616)*100</f>
        <v/>
      </c>
      <c r="DN615" s="59">
        <f>($AW615-$AW616)*100</f>
        <v/>
      </c>
      <c r="DO615" s="59">
        <f>($AX615-$AX616)*100</f>
        <v/>
      </c>
      <c r="DP615" s="59">
        <f>($AY615-$AY616)*100</f>
        <v/>
      </c>
      <c r="DQ615" s="59">
        <f>($AZ615-$AZ616)*100</f>
        <v/>
      </c>
      <c r="DR615" s="59">
        <f>($BA615-$BA616)*100</f>
        <v/>
      </c>
      <c r="DS615" s="58">
        <f>IFERROR($N616/$N615-1,"")</f>
        <v/>
      </c>
      <c r="DT615" s="58">
        <f>IFERROR($O616/$O615-1,"")</f>
        <v/>
      </c>
      <c r="DU615" s="58">
        <f>IFERROR($P616/$P615-1,"")</f>
        <v/>
      </c>
      <c r="DV615" s="58">
        <f>IFERROR($Q616/$Q615-1,"")</f>
        <v/>
      </c>
      <c r="DW615" s="58">
        <f>IFERROR($R616/$R615-1,"")</f>
        <v/>
      </c>
      <c r="DX615" s="58">
        <f>IFERROR($S616/$S615-1,"")</f>
        <v/>
      </c>
      <c r="DY615" s="58">
        <f>IFERROR($T616/$T615-1,"")</f>
        <v/>
      </c>
      <c r="DZ615" s="58">
        <f>IFERROR($U616/$U615-1,"")</f>
        <v/>
      </c>
      <c r="EA615" s="58">
        <f>IFERROR($V616/$V615-1,"")</f>
        <v/>
      </c>
      <c r="EB615" s="58">
        <f>IFERROR($W616/$W615-1,"")</f>
        <v/>
      </c>
      <c r="EC615" s="58">
        <f>IFERROR($X616/$X615-1,"")</f>
        <v/>
      </c>
      <c r="ED615" s="58">
        <f>IFERROR($Y616/$Y615-1,"")</f>
        <v/>
      </c>
      <c r="EE615" s="58">
        <f>IFERROR($Z616/$Z615-1,"")</f>
        <v/>
      </c>
      <c r="EF615" s="58">
        <f>IFERROR($AA616/$AA615-1,"")</f>
        <v/>
      </c>
      <c r="EG615" s="58">
        <f>IFERROR($AB616/$AB615-1,"")</f>
        <v/>
      </c>
      <c r="EH615" s="58">
        <f>IFERROR($AC616/$AC615-1,"")</f>
        <v/>
      </c>
      <c r="EI615" s="58">
        <f>IFERROR($AD616/$AD615-1,"")</f>
        <v/>
      </c>
      <c r="EJ615" s="58">
        <f>IFERROR($AE616/$AE615-1,"")</f>
        <v/>
      </c>
      <c r="EK615" s="58">
        <f>IFERROR($AF616/$AF615-1,"")</f>
        <v/>
      </c>
      <c r="EL615" s="58">
        <f>IFERROR($AG616/$AG615-1,"")</f>
        <v/>
      </c>
      <c r="EM615" s="58">
        <f>IFERROR($BB615/$BB616-1,"")</f>
        <v/>
      </c>
      <c r="EN615" s="58">
        <f>IFERROR($BC615/$BC616-1,"")</f>
        <v/>
      </c>
      <c r="EO615" s="58">
        <f>IFERROR($BD615/$BD616-1,"")</f>
        <v/>
      </c>
      <c r="EP615" s="58">
        <f>IFERROR($BE615/$BE616-1,"")</f>
        <v/>
      </c>
      <c r="EQ615" s="58">
        <f>IFERROR($BF615/$BF616-1,"")</f>
        <v/>
      </c>
      <c r="ER615" s="58">
        <f>IFERROR($BG615/$BG616-1,"")</f>
        <v/>
      </c>
      <c r="ES615" s="58">
        <f>IFERROR($BH615/$BH616-1,"")</f>
        <v/>
      </c>
      <c r="ET615" s="58">
        <f>IFERROR($BI615/$BI616-1,"")</f>
        <v/>
      </c>
      <c r="EU615" s="58">
        <f>IFERROR($BJ615/$BJ616-1,"")</f>
        <v/>
      </c>
      <c r="EV615" s="58">
        <f>IFERROR($BK615/$BK616-1,"")</f>
        <v/>
      </c>
      <c r="EW615" s="58">
        <f>IFERROR($BL615/$BL616-1,"")</f>
        <v/>
      </c>
      <c r="EX615" s="58">
        <f>IFERROR($BM615/$BM616-1,"")</f>
        <v/>
      </c>
      <c r="EY615" s="58">
        <f>IFERROR($BN615/$BN616-1,"")</f>
        <v/>
      </c>
      <c r="EZ615" s="58">
        <f>IFERROR($BO615/$BO616-1,"")</f>
        <v/>
      </c>
      <c r="FA615" s="58">
        <f>IFERROR($BP615/$BP616-1,"")</f>
        <v/>
      </c>
      <c r="FB615" s="58">
        <f>IFERROR($BQ615/$BQ616-1,"")</f>
        <v/>
      </c>
      <c r="FC615" s="58">
        <f>IFERROR($BR615/$BR616-1,"")</f>
        <v/>
      </c>
      <c r="FD615" s="58">
        <f>IFERROR($BS615/$BS616-1,"")</f>
        <v/>
      </c>
      <c r="FE615" s="58">
        <f>IFERROR($BT615/$BT616-1,"")</f>
        <v/>
      </c>
      <c r="FF615" s="58">
        <f>IFERROR($BU615/$BU616-1,"")</f>
        <v/>
      </c>
      <c r="FG615" s="58">
        <f>IFERROR($BV615/$BV616-1,"")</f>
        <v/>
      </c>
      <c r="FH615" s="58">
        <f>IFERROR($BW615/$BW616-1,"")</f>
        <v/>
      </c>
      <c r="FI615" s="58">
        <f>IFERROR($BX615/$BX616-1,"")</f>
        <v/>
      </c>
      <c r="FJ615" s="59">
        <f>$BY615-$BY616</f>
        <v/>
      </c>
      <c r="FK615" s="59">
        <f>$BZ615-$BZ616</f>
        <v/>
      </c>
      <c r="FL615" s="59">
        <f>$CA615-$CA616</f>
        <v/>
      </c>
      <c r="FM615" s="59">
        <f>$CB615-$CB616</f>
        <v/>
      </c>
      <c r="FN615" s="59">
        <f>$CC615-$CC616</f>
        <v/>
      </c>
      <c r="FO615" s="59">
        <f>$CD615-$CD616</f>
        <v/>
      </c>
      <c r="FP615" s="59">
        <f>$CE615-$CE616</f>
        <v/>
      </c>
      <c r="FQ615" s="59">
        <f>$CF615-$CF616</f>
        <v/>
      </c>
      <c r="FR615" s="59">
        <f>$CG615-$CG616</f>
        <v/>
      </c>
      <c r="FS615" s="59">
        <f>$CH615-$CH616</f>
        <v/>
      </c>
      <c r="FT615" s="59">
        <f>$CI615-$CI616</f>
        <v/>
      </c>
      <c r="FU615" s="59">
        <f>$CJ615-$CJ616</f>
        <v/>
      </c>
      <c r="FV615" s="59">
        <f>$CK615-$CK616</f>
        <v/>
      </c>
      <c r="FW615" s="59">
        <f>$CL615-$CL616</f>
        <v/>
      </c>
      <c r="FX615" s="59">
        <f>$CM615-$CM616</f>
        <v/>
      </c>
      <c r="FY615" s="59">
        <f>$CN615-$CN616</f>
        <v/>
      </c>
      <c r="FZ615" s="59">
        <f>$CO615-$CO616</f>
        <v/>
      </c>
      <c r="GA615" s="59">
        <f>$CP615-$CP616</f>
        <v/>
      </c>
      <c r="GB615" s="59">
        <f>$CQ615-$CQ616</f>
        <v/>
      </c>
      <c r="GC615" s="59">
        <f>$CR615-$CR616</f>
        <v/>
      </c>
      <c r="GD615" s="59">
        <f>$CS615-$CS616</f>
        <v/>
      </c>
      <c r="GE615" s="59">
        <f>$CT615-$CT616</f>
        <v/>
      </c>
    </row>
    <row r="616">
      <c r="CU616" s="58">
        <f>IFERROR($B616/$B617-1,"")</f>
        <v/>
      </c>
      <c r="CV616" s="59">
        <f>($F616-$F617)*100</f>
        <v/>
      </c>
      <c r="CW616" s="59">
        <f>($E616-$E617)*100</f>
        <v/>
      </c>
      <c r="CX616" s="58">
        <f>IFERROR($K616/$K617-1,"")</f>
        <v/>
      </c>
      <c r="CY616" s="59">
        <f>($AH616-$AH617)*100</f>
        <v/>
      </c>
      <c r="CZ616" s="59">
        <f>($AI616-$AI617)*100</f>
        <v/>
      </c>
      <c r="DA616" s="59">
        <f>($AJ616-$AJ617)*100</f>
        <v/>
      </c>
      <c r="DB616" s="59">
        <f>($AK616-$AK617)*100</f>
        <v/>
      </c>
      <c r="DC616" s="59">
        <f>($AL616-$AL617)*100</f>
        <v/>
      </c>
      <c r="DD616" s="59">
        <f>($AM616-$AM617)*100</f>
        <v/>
      </c>
      <c r="DE616" s="59">
        <f>($AN616-$AN617)*100</f>
        <v/>
      </c>
      <c r="DF616" s="59">
        <f>($AO616-$AO617)*100</f>
        <v/>
      </c>
      <c r="DG616" s="59">
        <f>($AP616-$AP617)*100</f>
        <v/>
      </c>
      <c r="DH616" s="59">
        <f>($AQ616-$AQ617)*100</f>
        <v/>
      </c>
      <c r="DI616" s="59">
        <f>($AR616-$AR617)*100</f>
        <v/>
      </c>
      <c r="DJ616" s="59">
        <f>($AS616-$AS617)*100</f>
        <v/>
      </c>
      <c r="DK616" s="59">
        <f>($AT616-$AT617)*100</f>
        <v/>
      </c>
      <c r="DL616" s="59">
        <f>($AU616-$AU617)*100</f>
        <v/>
      </c>
      <c r="DM616" s="59">
        <f>($AV616-$AV617)*100</f>
        <v/>
      </c>
      <c r="DN616" s="59">
        <f>($AW616-$AW617)*100</f>
        <v/>
      </c>
      <c r="DO616" s="59">
        <f>($AX616-$AX617)*100</f>
        <v/>
      </c>
      <c r="DP616" s="59">
        <f>($AY616-$AY617)*100</f>
        <v/>
      </c>
      <c r="DQ616" s="59">
        <f>($AZ616-$AZ617)*100</f>
        <v/>
      </c>
      <c r="DR616" s="59">
        <f>($BA616-$BA617)*100</f>
        <v/>
      </c>
      <c r="DS616" s="58">
        <f>IFERROR($N617/$N616-1,"")</f>
        <v/>
      </c>
      <c r="DT616" s="58">
        <f>IFERROR($O617/$O616-1,"")</f>
        <v/>
      </c>
      <c r="DU616" s="58">
        <f>IFERROR($P617/$P616-1,"")</f>
        <v/>
      </c>
      <c r="DV616" s="58">
        <f>IFERROR($Q617/$Q616-1,"")</f>
        <v/>
      </c>
      <c r="DW616" s="58">
        <f>IFERROR($R617/$R616-1,"")</f>
        <v/>
      </c>
      <c r="DX616" s="58">
        <f>IFERROR($S617/$S616-1,"")</f>
        <v/>
      </c>
      <c r="DY616" s="58">
        <f>IFERROR($T617/$T616-1,"")</f>
        <v/>
      </c>
      <c r="DZ616" s="58">
        <f>IFERROR($U617/$U616-1,"")</f>
        <v/>
      </c>
      <c r="EA616" s="58">
        <f>IFERROR($V617/$V616-1,"")</f>
        <v/>
      </c>
      <c r="EB616" s="58">
        <f>IFERROR($W617/$W616-1,"")</f>
        <v/>
      </c>
      <c r="EC616" s="58">
        <f>IFERROR($X617/$X616-1,"")</f>
        <v/>
      </c>
      <c r="ED616" s="58">
        <f>IFERROR($Y617/$Y616-1,"")</f>
        <v/>
      </c>
      <c r="EE616" s="58">
        <f>IFERROR($Z617/$Z616-1,"")</f>
        <v/>
      </c>
      <c r="EF616" s="58">
        <f>IFERROR($AA617/$AA616-1,"")</f>
        <v/>
      </c>
      <c r="EG616" s="58">
        <f>IFERROR($AB617/$AB616-1,"")</f>
        <v/>
      </c>
      <c r="EH616" s="58">
        <f>IFERROR($AC617/$AC616-1,"")</f>
        <v/>
      </c>
      <c r="EI616" s="58">
        <f>IFERROR($AD617/$AD616-1,"")</f>
        <v/>
      </c>
      <c r="EJ616" s="58">
        <f>IFERROR($AE617/$AE616-1,"")</f>
        <v/>
      </c>
      <c r="EK616" s="58">
        <f>IFERROR($AF617/$AF616-1,"")</f>
        <v/>
      </c>
      <c r="EL616" s="58">
        <f>IFERROR($AG617/$AG616-1,"")</f>
        <v/>
      </c>
      <c r="EM616" s="58">
        <f>IFERROR($BB616/$BB617-1,"")</f>
        <v/>
      </c>
      <c r="EN616" s="58">
        <f>IFERROR($BC616/$BC617-1,"")</f>
        <v/>
      </c>
      <c r="EO616" s="58">
        <f>IFERROR($BD616/$BD617-1,"")</f>
        <v/>
      </c>
      <c r="EP616" s="58">
        <f>IFERROR($BE616/$BE617-1,"")</f>
        <v/>
      </c>
      <c r="EQ616" s="58">
        <f>IFERROR($BF616/$BF617-1,"")</f>
        <v/>
      </c>
      <c r="ER616" s="58">
        <f>IFERROR($BG616/$BG617-1,"")</f>
        <v/>
      </c>
      <c r="ES616" s="58">
        <f>IFERROR($BH616/$BH617-1,"")</f>
        <v/>
      </c>
      <c r="ET616" s="58">
        <f>IFERROR($BI616/$BI617-1,"")</f>
        <v/>
      </c>
      <c r="EU616" s="58">
        <f>IFERROR($BJ616/$BJ617-1,"")</f>
        <v/>
      </c>
      <c r="EV616" s="58">
        <f>IFERROR($BK616/$BK617-1,"")</f>
        <v/>
      </c>
      <c r="EW616" s="58">
        <f>IFERROR($BL616/$BL617-1,"")</f>
        <v/>
      </c>
      <c r="EX616" s="58">
        <f>IFERROR($BM616/$BM617-1,"")</f>
        <v/>
      </c>
      <c r="EY616" s="58">
        <f>IFERROR($BN616/$BN617-1,"")</f>
        <v/>
      </c>
      <c r="EZ616" s="58">
        <f>IFERROR($BO616/$BO617-1,"")</f>
        <v/>
      </c>
      <c r="FA616" s="58">
        <f>IFERROR($BP616/$BP617-1,"")</f>
        <v/>
      </c>
      <c r="FB616" s="58">
        <f>IFERROR($BQ616/$BQ617-1,"")</f>
        <v/>
      </c>
      <c r="FC616" s="58">
        <f>IFERROR($BR616/$BR617-1,"")</f>
        <v/>
      </c>
      <c r="FD616" s="58">
        <f>IFERROR($BS616/$BS617-1,"")</f>
        <v/>
      </c>
      <c r="FE616" s="58">
        <f>IFERROR($BT616/$BT617-1,"")</f>
        <v/>
      </c>
      <c r="FF616" s="58">
        <f>IFERROR($BU616/$BU617-1,"")</f>
        <v/>
      </c>
      <c r="FG616" s="58">
        <f>IFERROR($BV616/$BV617-1,"")</f>
        <v/>
      </c>
      <c r="FH616" s="58">
        <f>IFERROR($BW616/$BW617-1,"")</f>
        <v/>
      </c>
      <c r="FI616" s="58">
        <f>IFERROR($BX616/$BX617-1,"")</f>
        <v/>
      </c>
      <c r="FJ616" s="59">
        <f>$BY616-$BY617</f>
        <v/>
      </c>
      <c r="FK616" s="59">
        <f>$BZ616-$BZ617</f>
        <v/>
      </c>
      <c r="FL616" s="59">
        <f>$CA616-$CA617</f>
        <v/>
      </c>
      <c r="FM616" s="59">
        <f>$CB616-$CB617</f>
        <v/>
      </c>
      <c r="FN616" s="59">
        <f>$CC616-$CC617</f>
        <v/>
      </c>
      <c r="FO616" s="59">
        <f>$CD616-$CD617</f>
        <v/>
      </c>
      <c r="FP616" s="59">
        <f>$CE616-$CE617</f>
        <v/>
      </c>
      <c r="FQ616" s="59">
        <f>$CF616-$CF617</f>
        <v/>
      </c>
      <c r="FR616" s="59">
        <f>$CG616-$CG617</f>
        <v/>
      </c>
      <c r="FS616" s="59">
        <f>$CH616-$CH617</f>
        <v/>
      </c>
      <c r="FT616" s="59">
        <f>$CI616-$CI617</f>
        <v/>
      </c>
      <c r="FU616" s="59">
        <f>$CJ616-$CJ617</f>
        <v/>
      </c>
      <c r="FV616" s="59">
        <f>$CK616-$CK617</f>
        <v/>
      </c>
      <c r="FW616" s="59">
        <f>$CL616-$CL617</f>
        <v/>
      </c>
      <c r="FX616" s="59">
        <f>$CM616-$CM617</f>
        <v/>
      </c>
      <c r="FY616" s="59">
        <f>$CN616-$CN617</f>
        <v/>
      </c>
      <c r="FZ616" s="59">
        <f>$CO616-$CO617</f>
        <v/>
      </c>
      <c r="GA616" s="59">
        <f>$CP616-$CP617</f>
        <v/>
      </c>
      <c r="GB616" s="59">
        <f>$CQ616-$CQ617</f>
        <v/>
      </c>
      <c r="GC616" s="59">
        <f>$CR616-$CR617</f>
        <v/>
      </c>
      <c r="GD616" s="59">
        <f>$CS616-$CS617</f>
        <v/>
      </c>
      <c r="GE616" s="59">
        <f>$CT616-$CT617</f>
        <v/>
      </c>
    </row>
    <row r="617">
      <c r="CU617" s="58">
        <f>IFERROR($B617/$B618-1,"")</f>
        <v/>
      </c>
      <c r="CV617" s="59">
        <f>($F617-$F618)*100</f>
        <v/>
      </c>
      <c r="CW617" s="59">
        <f>($E617-$E618)*100</f>
        <v/>
      </c>
      <c r="CX617" s="58">
        <f>IFERROR($K617/$K618-1,"")</f>
        <v/>
      </c>
      <c r="CY617" s="59">
        <f>($AH617-$AH618)*100</f>
        <v/>
      </c>
      <c r="CZ617" s="59">
        <f>($AI617-$AI618)*100</f>
        <v/>
      </c>
      <c r="DA617" s="59">
        <f>($AJ617-$AJ618)*100</f>
        <v/>
      </c>
      <c r="DB617" s="59">
        <f>($AK617-$AK618)*100</f>
        <v/>
      </c>
      <c r="DC617" s="59">
        <f>($AL617-$AL618)*100</f>
        <v/>
      </c>
      <c r="DD617" s="59">
        <f>($AM617-$AM618)*100</f>
        <v/>
      </c>
      <c r="DE617" s="59">
        <f>($AN617-$AN618)*100</f>
        <v/>
      </c>
      <c r="DF617" s="59">
        <f>($AO617-$AO618)*100</f>
        <v/>
      </c>
      <c r="DG617" s="59">
        <f>($AP617-$AP618)*100</f>
        <v/>
      </c>
      <c r="DH617" s="59">
        <f>($AQ617-$AQ618)*100</f>
        <v/>
      </c>
      <c r="DI617" s="59">
        <f>($AR617-$AR618)*100</f>
        <v/>
      </c>
      <c r="DJ617" s="59">
        <f>($AS617-$AS618)*100</f>
        <v/>
      </c>
      <c r="DK617" s="59">
        <f>($AT617-$AT618)*100</f>
        <v/>
      </c>
      <c r="DL617" s="59">
        <f>($AU617-$AU618)*100</f>
        <v/>
      </c>
      <c r="DM617" s="59">
        <f>($AV617-$AV618)*100</f>
        <v/>
      </c>
      <c r="DN617" s="59">
        <f>($AW617-$AW618)*100</f>
        <v/>
      </c>
      <c r="DO617" s="59">
        <f>($AX617-$AX618)*100</f>
        <v/>
      </c>
      <c r="DP617" s="59">
        <f>($AY617-$AY618)*100</f>
        <v/>
      </c>
      <c r="DQ617" s="59">
        <f>($AZ617-$AZ618)*100</f>
        <v/>
      </c>
      <c r="DR617" s="59">
        <f>($BA617-$BA618)*100</f>
        <v/>
      </c>
      <c r="DS617" s="58">
        <f>IFERROR($N618/$N617-1,"")</f>
        <v/>
      </c>
      <c r="DT617" s="58">
        <f>IFERROR($O618/$O617-1,"")</f>
        <v/>
      </c>
      <c r="DU617" s="58">
        <f>IFERROR($P618/$P617-1,"")</f>
        <v/>
      </c>
      <c r="DV617" s="58">
        <f>IFERROR($Q618/$Q617-1,"")</f>
        <v/>
      </c>
      <c r="DW617" s="58">
        <f>IFERROR($R618/$R617-1,"")</f>
        <v/>
      </c>
      <c r="DX617" s="58">
        <f>IFERROR($S618/$S617-1,"")</f>
        <v/>
      </c>
      <c r="DY617" s="58">
        <f>IFERROR($T618/$T617-1,"")</f>
        <v/>
      </c>
      <c r="DZ617" s="58">
        <f>IFERROR($U618/$U617-1,"")</f>
        <v/>
      </c>
      <c r="EA617" s="58">
        <f>IFERROR($V618/$V617-1,"")</f>
        <v/>
      </c>
      <c r="EB617" s="58">
        <f>IFERROR($W618/$W617-1,"")</f>
        <v/>
      </c>
      <c r="EC617" s="58">
        <f>IFERROR($X618/$X617-1,"")</f>
        <v/>
      </c>
      <c r="ED617" s="58">
        <f>IFERROR($Y618/$Y617-1,"")</f>
        <v/>
      </c>
      <c r="EE617" s="58">
        <f>IFERROR($Z618/$Z617-1,"")</f>
        <v/>
      </c>
      <c r="EF617" s="58">
        <f>IFERROR($AA618/$AA617-1,"")</f>
        <v/>
      </c>
      <c r="EG617" s="58">
        <f>IFERROR($AB618/$AB617-1,"")</f>
        <v/>
      </c>
      <c r="EH617" s="58">
        <f>IFERROR($AC618/$AC617-1,"")</f>
        <v/>
      </c>
      <c r="EI617" s="58">
        <f>IFERROR($AD618/$AD617-1,"")</f>
        <v/>
      </c>
      <c r="EJ617" s="58">
        <f>IFERROR($AE618/$AE617-1,"")</f>
        <v/>
      </c>
      <c r="EK617" s="58">
        <f>IFERROR($AF618/$AF617-1,"")</f>
        <v/>
      </c>
      <c r="EL617" s="58">
        <f>IFERROR($AG618/$AG617-1,"")</f>
        <v/>
      </c>
      <c r="EM617" s="58">
        <f>IFERROR($BB617/$BB618-1,"")</f>
        <v/>
      </c>
      <c r="EN617" s="58">
        <f>IFERROR($BC617/$BC618-1,"")</f>
        <v/>
      </c>
      <c r="EO617" s="58">
        <f>IFERROR($BD617/$BD618-1,"")</f>
        <v/>
      </c>
      <c r="EP617" s="58">
        <f>IFERROR($BE617/$BE618-1,"")</f>
        <v/>
      </c>
      <c r="EQ617" s="58">
        <f>IFERROR($BF617/$BF618-1,"")</f>
        <v/>
      </c>
      <c r="ER617" s="58">
        <f>IFERROR($BG617/$BG618-1,"")</f>
        <v/>
      </c>
      <c r="ES617" s="58">
        <f>IFERROR($BH617/$BH618-1,"")</f>
        <v/>
      </c>
      <c r="ET617" s="58">
        <f>IFERROR($BI617/$BI618-1,"")</f>
        <v/>
      </c>
      <c r="EU617" s="58">
        <f>IFERROR($BJ617/$BJ618-1,"")</f>
        <v/>
      </c>
      <c r="EV617" s="58">
        <f>IFERROR($BK617/$BK618-1,"")</f>
        <v/>
      </c>
      <c r="EW617" s="58">
        <f>IFERROR($BL617/$BL618-1,"")</f>
        <v/>
      </c>
      <c r="EX617" s="58">
        <f>IFERROR($BM617/$BM618-1,"")</f>
        <v/>
      </c>
      <c r="EY617" s="58">
        <f>IFERROR($BN617/$BN618-1,"")</f>
        <v/>
      </c>
      <c r="EZ617" s="58">
        <f>IFERROR($BO617/$BO618-1,"")</f>
        <v/>
      </c>
      <c r="FA617" s="58">
        <f>IFERROR($BP617/$BP618-1,"")</f>
        <v/>
      </c>
      <c r="FB617" s="58">
        <f>IFERROR($BQ617/$BQ618-1,"")</f>
        <v/>
      </c>
      <c r="FC617" s="58">
        <f>IFERROR($BR617/$BR618-1,"")</f>
        <v/>
      </c>
      <c r="FD617" s="58">
        <f>IFERROR($BS617/$BS618-1,"")</f>
        <v/>
      </c>
      <c r="FE617" s="58">
        <f>IFERROR($BT617/$BT618-1,"")</f>
        <v/>
      </c>
      <c r="FF617" s="58">
        <f>IFERROR($BU617/$BU618-1,"")</f>
        <v/>
      </c>
      <c r="FG617" s="58">
        <f>IFERROR($BV617/$BV618-1,"")</f>
        <v/>
      </c>
      <c r="FH617" s="58">
        <f>IFERROR($BW617/$BW618-1,"")</f>
        <v/>
      </c>
      <c r="FI617" s="58">
        <f>IFERROR($BX617/$BX618-1,"")</f>
        <v/>
      </c>
      <c r="FJ617" s="59">
        <f>$BY617-$BY618</f>
        <v/>
      </c>
      <c r="FK617" s="59">
        <f>$BZ617-$BZ618</f>
        <v/>
      </c>
      <c r="FL617" s="59">
        <f>$CA617-$CA618</f>
        <v/>
      </c>
      <c r="FM617" s="59">
        <f>$CB617-$CB618</f>
        <v/>
      </c>
      <c r="FN617" s="59">
        <f>$CC617-$CC618</f>
        <v/>
      </c>
      <c r="FO617" s="59">
        <f>$CD617-$CD618</f>
        <v/>
      </c>
      <c r="FP617" s="59">
        <f>$CE617-$CE618</f>
        <v/>
      </c>
      <c r="FQ617" s="59">
        <f>$CF617-$CF618</f>
        <v/>
      </c>
      <c r="FR617" s="59">
        <f>$CG617-$CG618</f>
        <v/>
      </c>
      <c r="FS617" s="59">
        <f>$CH617-$CH618</f>
        <v/>
      </c>
      <c r="FT617" s="59">
        <f>$CI617-$CI618</f>
        <v/>
      </c>
      <c r="FU617" s="59">
        <f>$CJ617-$CJ618</f>
        <v/>
      </c>
      <c r="FV617" s="59">
        <f>$CK617-$CK618</f>
        <v/>
      </c>
      <c r="FW617" s="59">
        <f>$CL617-$CL618</f>
        <v/>
      </c>
      <c r="FX617" s="59">
        <f>$CM617-$CM618</f>
        <v/>
      </c>
      <c r="FY617" s="59">
        <f>$CN617-$CN618</f>
        <v/>
      </c>
      <c r="FZ617" s="59">
        <f>$CO617-$CO618</f>
        <v/>
      </c>
      <c r="GA617" s="59">
        <f>$CP617-$CP618</f>
        <v/>
      </c>
      <c r="GB617" s="59">
        <f>$CQ617-$CQ618</f>
        <v/>
      </c>
      <c r="GC617" s="59">
        <f>$CR617-$CR618</f>
        <v/>
      </c>
      <c r="GD617" s="59">
        <f>$CS617-$CS618</f>
        <v/>
      </c>
      <c r="GE617" s="59">
        <f>$CT617-$CT618</f>
        <v/>
      </c>
    </row>
    <row r="618">
      <c r="CU618" s="58">
        <f>IFERROR($B618/$B619-1,"")</f>
        <v/>
      </c>
      <c r="CV618" s="59">
        <f>($F618-$F619)*100</f>
        <v/>
      </c>
      <c r="CW618" s="59">
        <f>($E618-$E619)*100</f>
        <v/>
      </c>
      <c r="CX618" s="58">
        <f>IFERROR($K618/$K619-1,"")</f>
        <v/>
      </c>
      <c r="CY618" s="59">
        <f>($AH618-$AH619)*100</f>
        <v/>
      </c>
      <c r="CZ618" s="59">
        <f>($AI618-$AI619)*100</f>
        <v/>
      </c>
      <c r="DA618" s="59">
        <f>($AJ618-$AJ619)*100</f>
        <v/>
      </c>
      <c r="DB618" s="59">
        <f>($AK618-$AK619)*100</f>
        <v/>
      </c>
      <c r="DC618" s="59">
        <f>($AL618-$AL619)*100</f>
        <v/>
      </c>
      <c r="DD618" s="59">
        <f>($AM618-$AM619)*100</f>
        <v/>
      </c>
      <c r="DE618" s="59">
        <f>($AN618-$AN619)*100</f>
        <v/>
      </c>
      <c r="DF618" s="59">
        <f>($AO618-$AO619)*100</f>
        <v/>
      </c>
      <c r="DG618" s="59">
        <f>($AP618-$AP619)*100</f>
        <v/>
      </c>
      <c r="DH618" s="59">
        <f>($AQ618-$AQ619)*100</f>
        <v/>
      </c>
      <c r="DI618" s="59">
        <f>($AR618-$AR619)*100</f>
        <v/>
      </c>
      <c r="DJ618" s="59">
        <f>($AS618-$AS619)*100</f>
        <v/>
      </c>
      <c r="DK618" s="59">
        <f>($AT618-$AT619)*100</f>
        <v/>
      </c>
      <c r="DL618" s="59">
        <f>($AU618-$AU619)*100</f>
        <v/>
      </c>
      <c r="DM618" s="59">
        <f>($AV618-$AV619)*100</f>
        <v/>
      </c>
      <c r="DN618" s="59">
        <f>($AW618-$AW619)*100</f>
        <v/>
      </c>
      <c r="DO618" s="59">
        <f>($AX618-$AX619)*100</f>
        <v/>
      </c>
      <c r="DP618" s="59">
        <f>($AY618-$AY619)*100</f>
        <v/>
      </c>
      <c r="DQ618" s="59">
        <f>($AZ618-$AZ619)*100</f>
        <v/>
      </c>
      <c r="DR618" s="59">
        <f>($BA618-$BA619)*100</f>
        <v/>
      </c>
      <c r="DS618" s="58">
        <f>IFERROR($N619/$N618-1,"")</f>
        <v/>
      </c>
      <c r="DT618" s="58">
        <f>IFERROR($O619/$O618-1,"")</f>
        <v/>
      </c>
      <c r="DU618" s="58">
        <f>IFERROR($P619/$P618-1,"")</f>
        <v/>
      </c>
      <c r="DV618" s="58">
        <f>IFERROR($Q619/$Q618-1,"")</f>
        <v/>
      </c>
      <c r="DW618" s="58">
        <f>IFERROR($R619/$R618-1,"")</f>
        <v/>
      </c>
      <c r="DX618" s="58">
        <f>IFERROR($S619/$S618-1,"")</f>
        <v/>
      </c>
      <c r="DY618" s="58">
        <f>IFERROR($T619/$T618-1,"")</f>
        <v/>
      </c>
      <c r="DZ618" s="58">
        <f>IFERROR($U619/$U618-1,"")</f>
        <v/>
      </c>
      <c r="EA618" s="58">
        <f>IFERROR($V619/$V618-1,"")</f>
        <v/>
      </c>
      <c r="EB618" s="58">
        <f>IFERROR($W619/$W618-1,"")</f>
        <v/>
      </c>
      <c r="EC618" s="58">
        <f>IFERROR($X619/$X618-1,"")</f>
        <v/>
      </c>
      <c r="ED618" s="58">
        <f>IFERROR($Y619/$Y618-1,"")</f>
        <v/>
      </c>
      <c r="EE618" s="58">
        <f>IFERROR($Z619/$Z618-1,"")</f>
        <v/>
      </c>
      <c r="EF618" s="58">
        <f>IFERROR($AA619/$AA618-1,"")</f>
        <v/>
      </c>
      <c r="EG618" s="58">
        <f>IFERROR($AB619/$AB618-1,"")</f>
        <v/>
      </c>
      <c r="EH618" s="58">
        <f>IFERROR($AC619/$AC618-1,"")</f>
        <v/>
      </c>
      <c r="EI618" s="58">
        <f>IFERROR($AD619/$AD618-1,"")</f>
        <v/>
      </c>
      <c r="EJ618" s="58">
        <f>IFERROR($AE619/$AE618-1,"")</f>
        <v/>
      </c>
      <c r="EK618" s="58">
        <f>IFERROR($AF619/$AF618-1,"")</f>
        <v/>
      </c>
      <c r="EL618" s="58">
        <f>IFERROR($AG619/$AG618-1,"")</f>
        <v/>
      </c>
      <c r="EM618" s="58">
        <f>IFERROR($BB618/$BB619-1,"")</f>
        <v/>
      </c>
      <c r="EN618" s="58">
        <f>IFERROR($BC618/$BC619-1,"")</f>
        <v/>
      </c>
      <c r="EO618" s="58">
        <f>IFERROR($BD618/$BD619-1,"")</f>
        <v/>
      </c>
      <c r="EP618" s="58">
        <f>IFERROR($BE618/$BE619-1,"")</f>
        <v/>
      </c>
      <c r="EQ618" s="58">
        <f>IFERROR($BF618/$BF619-1,"")</f>
        <v/>
      </c>
      <c r="ER618" s="58">
        <f>IFERROR($BG618/$BG619-1,"")</f>
        <v/>
      </c>
      <c r="ES618" s="58">
        <f>IFERROR($BH618/$BH619-1,"")</f>
        <v/>
      </c>
      <c r="ET618" s="58">
        <f>IFERROR($BI618/$BI619-1,"")</f>
        <v/>
      </c>
      <c r="EU618" s="58">
        <f>IFERROR($BJ618/$BJ619-1,"")</f>
        <v/>
      </c>
      <c r="EV618" s="58">
        <f>IFERROR($BK618/$BK619-1,"")</f>
        <v/>
      </c>
      <c r="EW618" s="58">
        <f>IFERROR($BL618/$BL619-1,"")</f>
        <v/>
      </c>
      <c r="EX618" s="58">
        <f>IFERROR($BM618/$BM619-1,"")</f>
        <v/>
      </c>
      <c r="EY618" s="58">
        <f>IFERROR($BN618/$BN619-1,"")</f>
        <v/>
      </c>
      <c r="EZ618" s="58">
        <f>IFERROR($BO618/$BO619-1,"")</f>
        <v/>
      </c>
      <c r="FA618" s="58">
        <f>IFERROR($BP618/$BP619-1,"")</f>
        <v/>
      </c>
      <c r="FB618" s="58">
        <f>IFERROR($BQ618/$BQ619-1,"")</f>
        <v/>
      </c>
      <c r="FC618" s="58">
        <f>IFERROR($BR618/$BR619-1,"")</f>
        <v/>
      </c>
      <c r="FD618" s="58">
        <f>IFERROR($BS618/$BS619-1,"")</f>
        <v/>
      </c>
      <c r="FE618" s="58">
        <f>IFERROR($BT618/$BT619-1,"")</f>
        <v/>
      </c>
      <c r="FF618" s="58">
        <f>IFERROR($BU618/$BU619-1,"")</f>
        <v/>
      </c>
      <c r="FG618" s="58">
        <f>IFERROR($BV618/$BV619-1,"")</f>
        <v/>
      </c>
      <c r="FH618" s="58">
        <f>IFERROR($BW618/$BW619-1,"")</f>
        <v/>
      </c>
      <c r="FI618" s="58">
        <f>IFERROR($BX618/$BX619-1,"")</f>
        <v/>
      </c>
      <c r="FJ618" s="59">
        <f>$BY618-$BY619</f>
        <v/>
      </c>
      <c r="FK618" s="59">
        <f>$BZ618-$BZ619</f>
        <v/>
      </c>
      <c r="FL618" s="59">
        <f>$CA618-$CA619</f>
        <v/>
      </c>
      <c r="FM618" s="59">
        <f>$CB618-$CB619</f>
        <v/>
      </c>
      <c r="FN618" s="59">
        <f>$CC618-$CC619</f>
        <v/>
      </c>
      <c r="FO618" s="59">
        <f>$CD618-$CD619</f>
        <v/>
      </c>
      <c r="FP618" s="59">
        <f>$CE618-$CE619</f>
        <v/>
      </c>
      <c r="FQ618" s="59">
        <f>$CF618-$CF619</f>
        <v/>
      </c>
      <c r="FR618" s="59">
        <f>$CG618-$CG619</f>
        <v/>
      </c>
      <c r="FS618" s="59">
        <f>$CH618-$CH619</f>
        <v/>
      </c>
      <c r="FT618" s="59">
        <f>$CI618-$CI619</f>
        <v/>
      </c>
      <c r="FU618" s="59">
        <f>$CJ618-$CJ619</f>
        <v/>
      </c>
      <c r="FV618" s="59">
        <f>$CK618-$CK619</f>
        <v/>
      </c>
      <c r="FW618" s="59">
        <f>$CL618-$CL619</f>
        <v/>
      </c>
      <c r="FX618" s="59">
        <f>$CM618-$CM619</f>
        <v/>
      </c>
      <c r="FY618" s="59">
        <f>$CN618-$CN619</f>
        <v/>
      </c>
      <c r="FZ618" s="59">
        <f>$CO618-$CO619</f>
        <v/>
      </c>
      <c r="GA618" s="59">
        <f>$CP618-$CP619</f>
        <v/>
      </c>
      <c r="GB618" s="59">
        <f>$CQ618-$CQ619</f>
        <v/>
      </c>
      <c r="GC618" s="59">
        <f>$CR618-$CR619</f>
        <v/>
      </c>
      <c r="GD618" s="59">
        <f>$CS618-$CS619</f>
        <v/>
      </c>
      <c r="GE618" s="59">
        <f>$CT618-$CT619</f>
        <v/>
      </c>
    </row>
    <row r="619">
      <c r="CU619" s="58">
        <f>IFERROR($B619/$B620-1,"")</f>
        <v/>
      </c>
      <c r="CV619" s="59">
        <f>($F619-$F620)*100</f>
        <v/>
      </c>
      <c r="CW619" s="59">
        <f>($E619-$E620)*100</f>
        <v/>
      </c>
      <c r="CX619" s="58">
        <f>IFERROR($K619/$K620-1,"")</f>
        <v/>
      </c>
      <c r="CY619" s="59">
        <f>($AH619-$AH620)*100</f>
        <v/>
      </c>
      <c r="CZ619" s="59">
        <f>($AI619-$AI620)*100</f>
        <v/>
      </c>
      <c r="DA619" s="59">
        <f>($AJ619-$AJ620)*100</f>
        <v/>
      </c>
      <c r="DB619" s="59">
        <f>($AK619-$AK620)*100</f>
        <v/>
      </c>
      <c r="DC619" s="59">
        <f>($AL619-$AL620)*100</f>
        <v/>
      </c>
      <c r="DD619" s="59">
        <f>($AM619-$AM620)*100</f>
        <v/>
      </c>
      <c r="DE619" s="59">
        <f>($AN619-$AN620)*100</f>
        <v/>
      </c>
      <c r="DF619" s="59">
        <f>($AO619-$AO620)*100</f>
        <v/>
      </c>
      <c r="DG619" s="59">
        <f>($AP619-$AP620)*100</f>
        <v/>
      </c>
      <c r="DH619" s="59">
        <f>($AQ619-$AQ620)*100</f>
        <v/>
      </c>
      <c r="DI619" s="59">
        <f>($AR619-$AR620)*100</f>
        <v/>
      </c>
      <c r="DJ619" s="59">
        <f>($AS619-$AS620)*100</f>
        <v/>
      </c>
      <c r="DK619" s="59">
        <f>($AT619-$AT620)*100</f>
        <v/>
      </c>
      <c r="DL619" s="59">
        <f>($AU619-$AU620)*100</f>
        <v/>
      </c>
      <c r="DM619" s="59">
        <f>($AV619-$AV620)*100</f>
        <v/>
      </c>
      <c r="DN619" s="59">
        <f>($AW619-$AW620)*100</f>
        <v/>
      </c>
      <c r="DO619" s="59">
        <f>($AX619-$AX620)*100</f>
        <v/>
      </c>
      <c r="DP619" s="59">
        <f>($AY619-$AY620)*100</f>
        <v/>
      </c>
      <c r="DQ619" s="59">
        <f>($AZ619-$AZ620)*100</f>
        <v/>
      </c>
      <c r="DR619" s="59">
        <f>($BA619-$BA620)*100</f>
        <v/>
      </c>
      <c r="DS619" s="58">
        <f>IFERROR($N620/$N619-1,"")</f>
        <v/>
      </c>
      <c r="DT619" s="58">
        <f>IFERROR($O620/$O619-1,"")</f>
        <v/>
      </c>
      <c r="DU619" s="58">
        <f>IFERROR($P620/$P619-1,"")</f>
        <v/>
      </c>
      <c r="DV619" s="58">
        <f>IFERROR($Q620/$Q619-1,"")</f>
        <v/>
      </c>
      <c r="DW619" s="58">
        <f>IFERROR($R620/$R619-1,"")</f>
        <v/>
      </c>
      <c r="DX619" s="58">
        <f>IFERROR($S620/$S619-1,"")</f>
        <v/>
      </c>
      <c r="DY619" s="58">
        <f>IFERROR($T620/$T619-1,"")</f>
        <v/>
      </c>
      <c r="DZ619" s="58">
        <f>IFERROR($U620/$U619-1,"")</f>
        <v/>
      </c>
      <c r="EA619" s="58">
        <f>IFERROR($V620/$V619-1,"")</f>
        <v/>
      </c>
      <c r="EB619" s="58">
        <f>IFERROR($W620/$W619-1,"")</f>
        <v/>
      </c>
      <c r="EC619" s="58">
        <f>IFERROR($X620/$X619-1,"")</f>
        <v/>
      </c>
      <c r="ED619" s="58">
        <f>IFERROR($Y620/$Y619-1,"")</f>
        <v/>
      </c>
      <c r="EE619" s="58">
        <f>IFERROR($Z620/$Z619-1,"")</f>
        <v/>
      </c>
      <c r="EF619" s="58">
        <f>IFERROR($AA620/$AA619-1,"")</f>
        <v/>
      </c>
      <c r="EG619" s="58">
        <f>IFERROR($AB620/$AB619-1,"")</f>
        <v/>
      </c>
      <c r="EH619" s="58">
        <f>IFERROR($AC620/$AC619-1,"")</f>
        <v/>
      </c>
      <c r="EI619" s="58">
        <f>IFERROR($AD620/$AD619-1,"")</f>
        <v/>
      </c>
      <c r="EJ619" s="58">
        <f>IFERROR($AE620/$AE619-1,"")</f>
        <v/>
      </c>
      <c r="EK619" s="58">
        <f>IFERROR($AF620/$AF619-1,"")</f>
        <v/>
      </c>
      <c r="EL619" s="58">
        <f>IFERROR($AG620/$AG619-1,"")</f>
        <v/>
      </c>
      <c r="EM619" s="58">
        <f>IFERROR($BB619/$BB620-1,"")</f>
        <v/>
      </c>
      <c r="EN619" s="58">
        <f>IFERROR($BC619/$BC620-1,"")</f>
        <v/>
      </c>
      <c r="EO619" s="58">
        <f>IFERROR($BD619/$BD620-1,"")</f>
        <v/>
      </c>
      <c r="EP619" s="58">
        <f>IFERROR($BE619/$BE620-1,"")</f>
        <v/>
      </c>
      <c r="EQ619" s="58">
        <f>IFERROR($BF619/$BF620-1,"")</f>
        <v/>
      </c>
      <c r="ER619" s="58">
        <f>IFERROR($BG619/$BG620-1,"")</f>
        <v/>
      </c>
      <c r="ES619" s="58">
        <f>IFERROR($BH619/$BH620-1,"")</f>
        <v/>
      </c>
      <c r="ET619" s="58">
        <f>IFERROR($BI619/$BI620-1,"")</f>
        <v/>
      </c>
      <c r="EU619" s="58">
        <f>IFERROR($BJ619/$BJ620-1,"")</f>
        <v/>
      </c>
      <c r="EV619" s="58">
        <f>IFERROR($BK619/$BK620-1,"")</f>
        <v/>
      </c>
      <c r="EW619" s="58">
        <f>IFERROR($BL619/$BL620-1,"")</f>
        <v/>
      </c>
      <c r="EX619" s="58">
        <f>IFERROR($BM619/$BM620-1,"")</f>
        <v/>
      </c>
      <c r="EY619" s="58">
        <f>IFERROR($BN619/$BN620-1,"")</f>
        <v/>
      </c>
      <c r="EZ619" s="58">
        <f>IFERROR($BO619/$BO620-1,"")</f>
        <v/>
      </c>
      <c r="FA619" s="58">
        <f>IFERROR($BP619/$BP620-1,"")</f>
        <v/>
      </c>
      <c r="FB619" s="58">
        <f>IFERROR($BQ619/$BQ620-1,"")</f>
        <v/>
      </c>
      <c r="FC619" s="58">
        <f>IFERROR($BR619/$BR620-1,"")</f>
        <v/>
      </c>
      <c r="FD619" s="58">
        <f>IFERROR($BS619/$BS620-1,"")</f>
        <v/>
      </c>
      <c r="FE619" s="58">
        <f>IFERROR($BT619/$BT620-1,"")</f>
        <v/>
      </c>
      <c r="FF619" s="58">
        <f>IFERROR($BU619/$BU620-1,"")</f>
        <v/>
      </c>
      <c r="FG619" s="58">
        <f>IFERROR($BV619/$BV620-1,"")</f>
        <v/>
      </c>
      <c r="FH619" s="58">
        <f>IFERROR($BW619/$BW620-1,"")</f>
        <v/>
      </c>
      <c r="FI619" s="58">
        <f>IFERROR($BX619/$BX620-1,"")</f>
        <v/>
      </c>
      <c r="FJ619" s="59">
        <f>$BY619-$BY620</f>
        <v/>
      </c>
      <c r="FK619" s="59">
        <f>$BZ619-$BZ620</f>
        <v/>
      </c>
      <c r="FL619" s="59">
        <f>$CA619-$CA620</f>
        <v/>
      </c>
      <c r="FM619" s="59">
        <f>$CB619-$CB620</f>
        <v/>
      </c>
      <c r="FN619" s="59">
        <f>$CC619-$CC620</f>
        <v/>
      </c>
      <c r="FO619" s="59">
        <f>$CD619-$CD620</f>
        <v/>
      </c>
      <c r="FP619" s="59">
        <f>$CE619-$CE620</f>
        <v/>
      </c>
      <c r="FQ619" s="59">
        <f>$CF619-$CF620</f>
        <v/>
      </c>
      <c r="FR619" s="59">
        <f>$CG619-$CG620</f>
        <v/>
      </c>
      <c r="FS619" s="59">
        <f>$CH619-$CH620</f>
        <v/>
      </c>
      <c r="FT619" s="59">
        <f>$CI619-$CI620</f>
        <v/>
      </c>
      <c r="FU619" s="59">
        <f>$CJ619-$CJ620</f>
        <v/>
      </c>
      <c r="FV619" s="59">
        <f>$CK619-$CK620</f>
        <v/>
      </c>
      <c r="FW619" s="59">
        <f>$CL619-$CL620</f>
        <v/>
      </c>
      <c r="FX619" s="59">
        <f>$CM619-$CM620</f>
        <v/>
      </c>
      <c r="FY619" s="59">
        <f>$CN619-$CN620</f>
        <v/>
      </c>
      <c r="FZ619" s="59">
        <f>$CO619-$CO620</f>
        <v/>
      </c>
      <c r="GA619" s="59">
        <f>$CP619-$CP620</f>
        <v/>
      </c>
      <c r="GB619" s="59">
        <f>$CQ619-$CQ620</f>
        <v/>
      </c>
      <c r="GC619" s="59">
        <f>$CR619-$CR620</f>
        <v/>
      </c>
      <c r="GD619" s="59">
        <f>$CS619-$CS620</f>
        <v/>
      </c>
      <c r="GE619" s="59">
        <f>$CT619-$CT620</f>
        <v/>
      </c>
    </row>
    <row r="620">
      <c r="CU620" s="58">
        <f>IFERROR($B620/$B621-1,"")</f>
        <v/>
      </c>
      <c r="CV620" s="59">
        <f>($F620-$F621)*100</f>
        <v/>
      </c>
      <c r="CW620" s="59">
        <f>($E620-$E621)*100</f>
        <v/>
      </c>
      <c r="CX620" s="58">
        <f>IFERROR($K620/$K621-1,"")</f>
        <v/>
      </c>
      <c r="CY620" s="59">
        <f>($AH620-$AH621)*100</f>
        <v/>
      </c>
      <c r="CZ620" s="59">
        <f>($AI620-$AI621)*100</f>
        <v/>
      </c>
      <c r="DA620" s="59">
        <f>($AJ620-$AJ621)*100</f>
        <v/>
      </c>
      <c r="DB620" s="59">
        <f>($AK620-$AK621)*100</f>
        <v/>
      </c>
      <c r="DC620" s="59">
        <f>($AL620-$AL621)*100</f>
        <v/>
      </c>
      <c r="DD620" s="59">
        <f>($AM620-$AM621)*100</f>
        <v/>
      </c>
      <c r="DE620" s="59">
        <f>($AN620-$AN621)*100</f>
        <v/>
      </c>
      <c r="DF620" s="59">
        <f>($AO620-$AO621)*100</f>
        <v/>
      </c>
      <c r="DG620" s="59">
        <f>($AP620-$AP621)*100</f>
        <v/>
      </c>
      <c r="DH620" s="59">
        <f>($AQ620-$AQ621)*100</f>
        <v/>
      </c>
      <c r="DI620" s="59">
        <f>($AR620-$AR621)*100</f>
        <v/>
      </c>
      <c r="DJ620" s="59">
        <f>($AS620-$AS621)*100</f>
        <v/>
      </c>
      <c r="DK620" s="59">
        <f>($AT620-$AT621)*100</f>
        <v/>
      </c>
      <c r="DL620" s="59">
        <f>($AU620-$AU621)*100</f>
        <v/>
      </c>
      <c r="DM620" s="59">
        <f>($AV620-$AV621)*100</f>
        <v/>
      </c>
      <c r="DN620" s="59">
        <f>($AW620-$AW621)*100</f>
        <v/>
      </c>
      <c r="DO620" s="59">
        <f>($AX620-$AX621)*100</f>
        <v/>
      </c>
      <c r="DP620" s="59">
        <f>($AY620-$AY621)*100</f>
        <v/>
      </c>
      <c r="DQ620" s="59">
        <f>($AZ620-$AZ621)*100</f>
        <v/>
      </c>
      <c r="DR620" s="59">
        <f>($BA620-$BA621)*100</f>
        <v/>
      </c>
      <c r="DS620" s="58">
        <f>IFERROR($N621/$N620-1,"")</f>
        <v/>
      </c>
      <c r="DT620" s="58">
        <f>IFERROR($O621/$O620-1,"")</f>
        <v/>
      </c>
      <c r="DU620" s="58">
        <f>IFERROR($P621/$P620-1,"")</f>
        <v/>
      </c>
      <c r="DV620" s="58">
        <f>IFERROR($Q621/$Q620-1,"")</f>
        <v/>
      </c>
      <c r="DW620" s="58">
        <f>IFERROR($R621/$R620-1,"")</f>
        <v/>
      </c>
      <c r="DX620" s="58">
        <f>IFERROR($S621/$S620-1,"")</f>
        <v/>
      </c>
      <c r="DY620" s="58">
        <f>IFERROR($T621/$T620-1,"")</f>
        <v/>
      </c>
      <c r="DZ620" s="58">
        <f>IFERROR($U621/$U620-1,"")</f>
        <v/>
      </c>
      <c r="EA620" s="58">
        <f>IFERROR($V621/$V620-1,"")</f>
        <v/>
      </c>
      <c r="EB620" s="58">
        <f>IFERROR($W621/$W620-1,"")</f>
        <v/>
      </c>
      <c r="EC620" s="58">
        <f>IFERROR($X621/$X620-1,"")</f>
        <v/>
      </c>
      <c r="ED620" s="58">
        <f>IFERROR($Y621/$Y620-1,"")</f>
        <v/>
      </c>
      <c r="EE620" s="58">
        <f>IFERROR($Z621/$Z620-1,"")</f>
        <v/>
      </c>
      <c r="EF620" s="58">
        <f>IFERROR($AA621/$AA620-1,"")</f>
        <v/>
      </c>
      <c r="EG620" s="58">
        <f>IFERROR($AB621/$AB620-1,"")</f>
        <v/>
      </c>
      <c r="EH620" s="58">
        <f>IFERROR($AC621/$AC620-1,"")</f>
        <v/>
      </c>
      <c r="EI620" s="58">
        <f>IFERROR($AD621/$AD620-1,"")</f>
        <v/>
      </c>
      <c r="EJ620" s="58">
        <f>IFERROR($AE621/$AE620-1,"")</f>
        <v/>
      </c>
      <c r="EK620" s="58">
        <f>IFERROR($AF621/$AF620-1,"")</f>
        <v/>
      </c>
      <c r="EL620" s="58">
        <f>IFERROR($AG621/$AG620-1,"")</f>
        <v/>
      </c>
      <c r="EM620" s="58">
        <f>IFERROR($BB620/$BB621-1,"")</f>
        <v/>
      </c>
      <c r="EN620" s="58">
        <f>IFERROR($BC620/$BC621-1,"")</f>
        <v/>
      </c>
      <c r="EO620" s="58">
        <f>IFERROR($BD620/$BD621-1,"")</f>
        <v/>
      </c>
      <c r="EP620" s="58">
        <f>IFERROR($BE620/$BE621-1,"")</f>
        <v/>
      </c>
      <c r="EQ620" s="58">
        <f>IFERROR($BF620/$BF621-1,"")</f>
        <v/>
      </c>
      <c r="ER620" s="58">
        <f>IFERROR($BG620/$BG621-1,"")</f>
        <v/>
      </c>
      <c r="ES620" s="58">
        <f>IFERROR($BH620/$BH621-1,"")</f>
        <v/>
      </c>
      <c r="ET620" s="58">
        <f>IFERROR($BI620/$BI621-1,"")</f>
        <v/>
      </c>
      <c r="EU620" s="58">
        <f>IFERROR($BJ620/$BJ621-1,"")</f>
        <v/>
      </c>
      <c r="EV620" s="58">
        <f>IFERROR($BK620/$BK621-1,"")</f>
        <v/>
      </c>
      <c r="EW620" s="58">
        <f>IFERROR($BL620/$BL621-1,"")</f>
        <v/>
      </c>
      <c r="EX620" s="58">
        <f>IFERROR($BM620/$BM621-1,"")</f>
        <v/>
      </c>
      <c r="EY620" s="58">
        <f>IFERROR($BN620/$BN621-1,"")</f>
        <v/>
      </c>
      <c r="EZ620" s="58">
        <f>IFERROR($BO620/$BO621-1,"")</f>
        <v/>
      </c>
      <c r="FA620" s="58">
        <f>IFERROR($BP620/$BP621-1,"")</f>
        <v/>
      </c>
      <c r="FB620" s="58">
        <f>IFERROR($BQ620/$BQ621-1,"")</f>
        <v/>
      </c>
      <c r="FC620" s="58">
        <f>IFERROR($BR620/$BR621-1,"")</f>
        <v/>
      </c>
      <c r="FD620" s="58">
        <f>IFERROR($BS620/$BS621-1,"")</f>
        <v/>
      </c>
      <c r="FE620" s="58">
        <f>IFERROR($BT620/$BT621-1,"")</f>
        <v/>
      </c>
      <c r="FF620" s="58">
        <f>IFERROR($BU620/$BU621-1,"")</f>
        <v/>
      </c>
      <c r="FG620" s="58">
        <f>IFERROR($BV620/$BV621-1,"")</f>
        <v/>
      </c>
      <c r="FH620" s="58">
        <f>IFERROR($BW620/$BW621-1,"")</f>
        <v/>
      </c>
      <c r="FI620" s="58">
        <f>IFERROR($BX620/$BX621-1,"")</f>
        <v/>
      </c>
      <c r="FJ620" s="59">
        <f>$BY620-$BY621</f>
        <v/>
      </c>
      <c r="FK620" s="59">
        <f>$BZ620-$BZ621</f>
        <v/>
      </c>
      <c r="FL620" s="59">
        <f>$CA620-$CA621</f>
        <v/>
      </c>
      <c r="FM620" s="59">
        <f>$CB620-$CB621</f>
        <v/>
      </c>
      <c r="FN620" s="59">
        <f>$CC620-$CC621</f>
        <v/>
      </c>
      <c r="FO620" s="59">
        <f>$CD620-$CD621</f>
        <v/>
      </c>
      <c r="FP620" s="59">
        <f>$CE620-$CE621</f>
        <v/>
      </c>
      <c r="FQ620" s="59">
        <f>$CF620-$CF621</f>
        <v/>
      </c>
      <c r="FR620" s="59">
        <f>$CG620-$CG621</f>
        <v/>
      </c>
      <c r="FS620" s="59">
        <f>$CH620-$CH621</f>
        <v/>
      </c>
      <c r="FT620" s="59">
        <f>$CI620-$CI621</f>
        <v/>
      </c>
      <c r="FU620" s="59">
        <f>$CJ620-$CJ621</f>
        <v/>
      </c>
      <c r="FV620" s="59">
        <f>$CK620-$CK621</f>
        <v/>
      </c>
      <c r="FW620" s="59">
        <f>$CL620-$CL621</f>
        <v/>
      </c>
      <c r="FX620" s="59">
        <f>$CM620-$CM621</f>
        <v/>
      </c>
      <c r="FY620" s="59">
        <f>$CN620-$CN621</f>
        <v/>
      </c>
      <c r="FZ620" s="59">
        <f>$CO620-$CO621</f>
        <v/>
      </c>
      <c r="GA620" s="59">
        <f>$CP620-$CP621</f>
        <v/>
      </c>
      <c r="GB620" s="59">
        <f>$CQ620-$CQ621</f>
        <v/>
      </c>
      <c r="GC620" s="59">
        <f>$CR620-$CR621</f>
        <v/>
      </c>
      <c r="GD620" s="59">
        <f>$CS620-$CS621</f>
        <v/>
      </c>
      <c r="GE620" s="59">
        <f>$CT620-$CT621</f>
        <v/>
      </c>
    </row>
    <row r="621">
      <c r="CU621" s="58">
        <f>IFERROR($B621/$B622-1,"")</f>
        <v/>
      </c>
      <c r="CV621" s="59">
        <f>($F621-$F622)*100</f>
        <v/>
      </c>
      <c r="CW621" s="59">
        <f>($E621-$E622)*100</f>
        <v/>
      </c>
      <c r="CX621" s="58">
        <f>IFERROR($K621/$K622-1,"")</f>
        <v/>
      </c>
      <c r="CY621" s="59">
        <f>($AH621-$AH622)*100</f>
        <v/>
      </c>
      <c r="CZ621" s="59">
        <f>($AI621-$AI622)*100</f>
        <v/>
      </c>
      <c r="DA621" s="59">
        <f>($AJ621-$AJ622)*100</f>
        <v/>
      </c>
      <c r="DB621" s="59">
        <f>($AK621-$AK622)*100</f>
        <v/>
      </c>
      <c r="DC621" s="59">
        <f>($AL621-$AL622)*100</f>
        <v/>
      </c>
      <c r="DD621" s="59">
        <f>($AM621-$AM622)*100</f>
        <v/>
      </c>
      <c r="DE621" s="59">
        <f>($AN621-$AN622)*100</f>
        <v/>
      </c>
      <c r="DF621" s="59">
        <f>($AO621-$AO622)*100</f>
        <v/>
      </c>
      <c r="DG621" s="59">
        <f>($AP621-$AP622)*100</f>
        <v/>
      </c>
      <c r="DH621" s="59">
        <f>($AQ621-$AQ622)*100</f>
        <v/>
      </c>
      <c r="DI621" s="59">
        <f>($AR621-$AR622)*100</f>
        <v/>
      </c>
      <c r="DJ621" s="59">
        <f>($AS621-$AS622)*100</f>
        <v/>
      </c>
      <c r="DK621" s="59">
        <f>($AT621-$AT622)*100</f>
        <v/>
      </c>
      <c r="DL621" s="59">
        <f>($AU621-$AU622)*100</f>
        <v/>
      </c>
      <c r="DM621" s="59">
        <f>($AV621-$AV622)*100</f>
        <v/>
      </c>
      <c r="DN621" s="59">
        <f>($AW621-$AW622)*100</f>
        <v/>
      </c>
      <c r="DO621" s="59">
        <f>($AX621-$AX622)*100</f>
        <v/>
      </c>
      <c r="DP621" s="59">
        <f>($AY621-$AY622)*100</f>
        <v/>
      </c>
      <c r="DQ621" s="59">
        <f>($AZ621-$AZ622)*100</f>
        <v/>
      </c>
      <c r="DR621" s="59">
        <f>($BA621-$BA622)*100</f>
        <v/>
      </c>
      <c r="DS621" s="58">
        <f>IFERROR($N622/$N621-1,"")</f>
        <v/>
      </c>
      <c r="DT621" s="58">
        <f>IFERROR($O622/$O621-1,"")</f>
        <v/>
      </c>
      <c r="DU621" s="58">
        <f>IFERROR($P622/$P621-1,"")</f>
        <v/>
      </c>
      <c r="DV621" s="58">
        <f>IFERROR($Q622/$Q621-1,"")</f>
        <v/>
      </c>
      <c r="DW621" s="58">
        <f>IFERROR($R622/$R621-1,"")</f>
        <v/>
      </c>
      <c r="DX621" s="58">
        <f>IFERROR($S622/$S621-1,"")</f>
        <v/>
      </c>
      <c r="DY621" s="58">
        <f>IFERROR($T622/$T621-1,"")</f>
        <v/>
      </c>
      <c r="DZ621" s="58">
        <f>IFERROR($U622/$U621-1,"")</f>
        <v/>
      </c>
      <c r="EA621" s="58">
        <f>IFERROR($V622/$V621-1,"")</f>
        <v/>
      </c>
      <c r="EB621" s="58">
        <f>IFERROR($W622/$W621-1,"")</f>
        <v/>
      </c>
      <c r="EC621" s="58">
        <f>IFERROR($X622/$X621-1,"")</f>
        <v/>
      </c>
      <c r="ED621" s="58">
        <f>IFERROR($Y622/$Y621-1,"")</f>
        <v/>
      </c>
      <c r="EE621" s="58">
        <f>IFERROR($Z622/$Z621-1,"")</f>
        <v/>
      </c>
      <c r="EF621" s="58">
        <f>IFERROR($AA622/$AA621-1,"")</f>
        <v/>
      </c>
      <c r="EG621" s="58">
        <f>IFERROR($AB622/$AB621-1,"")</f>
        <v/>
      </c>
      <c r="EH621" s="58">
        <f>IFERROR($AC622/$AC621-1,"")</f>
        <v/>
      </c>
      <c r="EI621" s="58">
        <f>IFERROR($AD622/$AD621-1,"")</f>
        <v/>
      </c>
      <c r="EJ621" s="58">
        <f>IFERROR($AE622/$AE621-1,"")</f>
        <v/>
      </c>
      <c r="EK621" s="58">
        <f>IFERROR($AF622/$AF621-1,"")</f>
        <v/>
      </c>
      <c r="EL621" s="58">
        <f>IFERROR($AG622/$AG621-1,"")</f>
        <v/>
      </c>
      <c r="EM621" s="58">
        <f>IFERROR($BB621/$BB622-1,"")</f>
        <v/>
      </c>
      <c r="EN621" s="58">
        <f>IFERROR($BC621/$BC622-1,"")</f>
        <v/>
      </c>
      <c r="EO621" s="58">
        <f>IFERROR($BD621/$BD622-1,"")</f>
        <v/>
      </c>
      <c r="EP621" s="58">
        <f>IFERROR($BE621/$BE622-1,"")</f>
        <v/>
      </c>
      <c r="EQ621" s="58">
        <f>IFERROR($BF621/$BF622-1,"")</f>
        <v/>
      </c>
      <c r="ER621" s="58">
        <f>IFERROR($BG621/$BG622-1,"")</f>
        <v/>
      </c>
      <c r="ES621" s="58">
        <f>IFERROR($BH621/$BH622-1,"")</f>
        <v/>
      </c>
      <c r="ET621" s="58">
        <f>IFERROR($BI621/$BI622-1,"")</f>
        <v/>
      </c>
      <c r="EU621" s="58">
        <f>IFERROR($BJ621/$BJ622-1,"")</f>
        <v/>
      </c>
      <c r="EV621" s="58">
        <f>IFERROR($BK621/$BK622-1,"")</f>
        <v/>
      </c>
      <c r="EW621" s="58">
        <f>IFERROR($BL621/$BL622-1,"")</f>
        <v/>
      </c>
      <c r="EX621" s="58">
        <f>IFERROR($BM621/$BM622-1,"")</f>
        <v/>
      </c>
      <c r="EY621" s="58">
        <f>IFERROR($BN621/$BN622-1,"")</f>
        <v/>
      </c>
      <c r="EZ621" s="58">
        <f>IFERROR($BO621/$BO622-1,"")</f>
        <v/>
      </c>
      <c r="FA621" s="58">
        <f>IFERROR($BP621/$BP622-1,"")</f>
        <v/>
      </c>
      <c r="FB621" s="58">
        <f>IFERROR($BQ621/$BQ622-1,"")</f>
        <v/>
      </c>
      <c r="FC621" s="58">
        <f>IFERROR($BR621/$BR622-1,"")</f>
        <v/>
      </c>
      <c r="FD621" s="58">
        <f>IFERROR($BS621/$BS622-1,"")</f>
        <v/>
      </c>
      <c r="FE621" s="58">
        <f>IFERROR($BT621/$BT622-1,"")</f>
        <v/>
      </c>
      <c r="FF621" s="58">
        <f>IFERROR($BU621/$BU622-1,"")</f>
        <v/>
      </c>
      <c r="FG621" s="58">
        <f>IFERROR($BV621/$BV622-1,"")</f>
        <v/>
      </c>
      <c r="FH621" s="58">
        <f>IFERROR($BW621/$BW622-1,"")</f>
        <v/>
      </c>
      <c r="FI621" s="58">
        <f>IFERROR($BX621/$BX622-1,"")</f>
        <v/>
      </c>
      <c r="FJ621" s="59">
        <f>$BY621-$BY622</f>
        <v/>
      </c>
      <c r="FK621" s="59">
        <f>$BZ621-$BZ622</f>
        <v/>
      </c>
      <c r="FL621" s="59">
        <f>$CA621-$CA622</f>
        <v/>
      </c>
      <c r="FM621" s="59">
        <f>$CB621-$CB622</f>
        <v/>
      </c>
      <c r="FN621" s="59">
        <f>$CC621-$CC622</f>
        <v/>
      </c>
      <c r="FO621" s="59">
        <f>$CD621-$CD622</f>
        <v/>
      </c>
      <c r="FP621" s="59">
        <f>$CE621-$CE622</f>
        <v/>
      </c>
      <c r="FQ621" s="59">
        <f>$CF621-$CF622</f>
        <v/>
      </c>
      <c r="FR621" s="59">
        <f>$CG621-$CG622</f>
        <v/>
      </c>
      <c r="FS621" s="59">
        <f>$CH621-$CH622</f>
        <v/>
      </c>
      <c r="FT621" s="59">
        <f>$CI621-$CI622</f>
        <v/>
      </c>
      <c r="FU621" s="59">
        <f>$CJ621-$CJ622</f>
        <v/>
      </c>
      <c r="FV621" s="59">
        <f>$CK621-$CK622</f>
        <v/>
      </c>
      <c r="FW621" s="59">
        <f>$CL621-$CL622</f>
        <v/>
      </c>
      <c r="FX621" s="59">
        <f>$CM621-$CM622</f>
        <v/>
      </c>
      <c r="FY621" s="59">
        <f>$CN621-$CN622</f>
        <v/>
      </c>
      <c r="FZ621" s="59">
        <f>$CO621-$CO622</f>
        <v/>
      </c>
      <c r="GA621" s="59">
        <f>$CP621-$CP622</f>
        <v/>
      </c>
      <c r="GB621" s="59">
        <f>$CQ621-$CQ622</f>
        <v/>
      </c>
      <c r="GC621" s="59">
        <f>$CR621-$CR622</f>
        <v/>
      </c>
      <c r="GD621" s="59">
        <f>$CS621-$CS622</f>
        <v/>
      </c>
      <c r="GE621" s="59">
        <f>$CT621-$CT622</f>
        <v/>
      </c>
    </row>
    <row r="622">
      <c r="CU622" s="58">
        <f>IFERROR($B622/$B623-1,"")</f>
        <v/>
      </c>
      <c r="CV622" s="59">
        <f>($F622-$F623)*100</f>
        <v/>
      </c>
      <c r="CW622" s="59">
        <f>($E622-$E623)*100</f>
        <v/>
      </c>
      <c r="CX622" s="58">
        <f>IFERROR($K622/$K623-1,"")</f>
        <v/>
      </c>
      <c r="CY622" s="59">
        <f>($AH622-$AH623)*100</f>
        <v/>
      </c>
      <c r="CZ622" s="59">
        <f>($AI622-$AI623)*100</f>
        <v/>
      </c>
      <c r="DA622" s="59">
        <f>($AJ622-$AJ623)*100</f>
        <v/>
      </c>
      <c r="DB622" s="59">
        <f>($AK622-$AK623)*100</f>
        <v/>
      </c>
      <c r="DC622" s="59">
        <f>($AL622-$AL623)*100</f>
        <v/>
      </c>
      <c r="DD622" s="59">
        <f>($AM622-$AM623)*100</f>
        <v/>
      </c>
      <c r="DE622" s="59">
        <f>($AN622-$AN623)*100</f>
        <v/>
      </c>
      <c r="DF622" s="59">
        <f>($AO622-$AO623)*100</f>
        <v/>
      </c>
      <c r="DG622" s="59">
        <f>($AP622-$AP623)*100</f>
        <v/>
      </c>
      <c r="DH622" s="59">
        <f>($AQ622-$AQ623)*100</f>
        <v/>
      </c>
      <c r="DI622" s="59">
        <f>($AR622-$AR623)*100</f>
        <v/>
      </c>
      <c r="DJ622" s="59">
        <f>($AS622-$AS623)*100</f>
        <v/>
      </c>
      <c r="DK622" s="59">
        <f>($AT622-$AT623)*100</f>
        <v/>
      </c>
      <c r="DL622" s="59">
        <f>($AU622-$AU623)*100</f>
        <v/>
      </c>
      <c r="DM622" s="59">
        <f>($AV622-$AV623)*100</f>
        <v/>
      </c>
      <c r="DN622" s="59">
        <f>($AW622-$AW623)*100</f>
        <v/>
      </c>
      <c r="DO622" s="59">
        <f>($AX622-$AX623)*100</f>
        <v/>
      </c>
      <c r="DP622" s="59">
        <f>($AY622-$AY623)*100</f>
        <v/>
      </c>
      <c r="DQ622" s="59">
        <f>($AZ622-$AZ623)*100</f>
        <v/>
      </c>
      <c r="DR622" s="59">
        <f>($BA622-$BA623)*100</f>
        <v/>
      </c>
      <c r="DS622" s="58">
        <f>IFERROR($N623/$N622-1,"")</f>
        <v/>
      </c>
      <c r="DT622" s="58">
        <f>IFERROR($O623/$O622-1,"")</f>
        <v/>
      </c>
      <c r="DU622" s="58">
        <f>IFERROR($P623/$P622-1,"")</f>
        <v/>
      </c>
      <c r="DV622" s="58">
        <f>IFERROR($Q623/$Q622-1,"")</f>
        <v/>
      </c>
      <c r="DW622" s="58">
        <f>IFERROR($R623/$R622-1,"")</f>
        <v/>
      </c>
      <c r="DX622" s="58">
        <f>IFERROR($S623/$S622-1,"")</f>
        <v/>
      </c>
      <c r="DY622" s="58">
        <f>IFERROR($T623/$T622-1,"")</f>
        <v/>
      </c>
      <c r="DZ622" s="58">
        <f>IFERROR($U623/$U622-1,"")</f>
        <v/>
      </c>
      <c r="EA622" s="58">
        <f>IFERROR($V623/$V622-1,"")</f>
        <v/>
      </c>
      <c r="EB622" s="58">
        <f>IFERROR($W623/$W622-1,"")</f>
        <v/>
      </c>
      <c r="EC622" s="58">
        <f>IFERROR($X623/$X622-1,"")</f>
        <v/>
      </c>
      <c r="ED622" s="58">
        <f>IFERROR($Y623/$Y622-1,"")</f>
        <v/>
      </c>
      <c r="EE622" s="58">
        <f>IFERROR($Z623/$Z622-1,"")</f>
        <v/>
      </c>
      <c r="EF622" s="58">
        <f>IFERROR($AA623/$AA622-1,"")</f>
        <v/>
      </c>
      <c r="EG622" s="58">
        <f>IFERROR($AB623/$AB622-1,"")</f>
        <v/>
      </c>
      <c r="EH622" s="58">
        <f>IFERROR($AC623/$AC622-1,"")</f>
        <v/>
      </c>
      <c r="EI622" s="58">
        <f>IFERROR($AD623/$AD622-1,"")</f>
        <v/>
      </c>
      <c r="EJ622" s="58">
        <f>IFERROR($AE623/$AE622-1,"")</f>
        <v/>
      </c>
      <c r="EK622" s="58">
        <f>IFERROR($AF623/$AF622-1,"")</f>
        <v/>
      </c>
      <c r="EL622" s="58">
        <f>IFERROR($AG623/$AG622-1,"")</f>
        <v/>
      </c>
      <c r="EM622" s="58">
        <f>IFERROR($BB622/$BB623-1,"")</f>
        <v/>
      </c>
      <c r="EN622" s="58">
        <f>IFERROR($BC622/$BC623-1,"")</f>
        <v/>
      </c>
      <c r="EO622" s="58">
        <f>IFERROR($BD622/$BD623-1,"")</f>
        <v/>
      </c>
      <c r="EP622" s="58">
        <f>IFERROR($BE622/$BE623-1,"")</f>
        <v/>
      </c>
      <c r="EQ622" s="58">
        <f>IFERROR($BF622/$BF623-1,"")</f>
        <v/>
      </c>
      <c r="ER622" s="58">
        <f>IFERROR($BG622/$BG623-1,"")</f>
        <v/>
      </c>
      <c r="ES622" s="58">
        <f>IFERROR($BH622/$BH623-1,"")</f>
        <v/>
      </c>
      <c r="ET622" s="58">
        <f>IFERROR($BI622/$BI623-1,"")</f>
        <v/>
      </c>
      <c r="EU622" s="58">
        <f>IFERROR($BJ622/$BJ623-1,"")</f>
        <v/>
      </c>
      <c r="EV622" s="58">
        <f>IFERROR($BK622/$BK623-1,"")</f>
        <v/>
      </c>
      <c r="EW622" s="58">
        <f>IFERROR($BL622/$BL623-1,"")</f>
        <v/>
      </c>
      <c r="EX622" s="58">
        <f>IFERROR($BM622/$BM623-1,"")</f>
        <v/>
      </c>
      <c r="EY622" s="58">
        <f>IFERROR($BN622/$BN623-1,"")</f>
        <v/>
      </c>
      <c r="EZ622" s="58">
        <f>IFERROR($BO622/$BO623-1,"")</f>
        <v/>
      </c>
      <c r="FA622" s="58">
        <f>IFERROR($BP622/$BP623-1,"")</f>
        <v/>
      </c>
      <c r="FB622" s="58">
        <f>IFERROR($BQ622/$BQ623-1,"")</f>
        <v/>
      </c>
      <c r="FC622" s="58">
        <f>IFERROR($BR622/$BR623-1,"")</f>
        <v/>
      </c>
      <c r="FD622" s="58">
        <f>IFERROR($BS622/$BS623-1,"")</f>
        <v/>
      </c>
      <c r="FE622" s="58">
        <f>IFERROR($BT622/$BT623-1,"")</f>
        <v/>
      </c>
      <c r="FF622" s="58">
        <f>IFERROR($BU622/$BU623-1,"")</f>
        <v/>
      </c>
      <c r="FG622" s="58">
        <f>IFERROR($BV622/$BV623-1,"")</f>
        <v/>
      </c>
      <c r="FH622" s="58">
        <f>IFERROR($BW622/$BW623-1,"")</f>
        <v/>
      </c>
      <c r="FI622" s="58">
        <f>IFERROR($BX622/$BX623-1,"")</f>
        <v/>
      </c>
      <c r="FJ622" s="59">
        <f>$BY622-$BY623</f>
        <v/>
      </c>
      <c r="FK622" s="59">
        <f>$BZ622-$BZ623</f>
        <v/>
      </c>
      <c r="FL622" s="59">
        <f>$CA622-$CA623</f>
        <v/>
      </c>
      <c r="FM622" s="59">
        <f>$CB622-$CB623</f>
        <v/>
      </c>
      <c r="FN622" s="59">
        <f>$CC622-$CC623</f>
        <v/>
      </c>
      <c r="FO622" s="59">
        <f>$CD622-$CD623</f>
        <v/>
      </c>
      <c r="FP622" s="59">
        <f>$CE622-$CE623</f>
        <v/>
      </c>
      <c r="FQ622" s="59">
        <f>$CF622-$CF623</f>
        <v/>
      </c>
      <c r="FR622" s="59">
        <f>$CG622-$CG623</f>
        <v/>
      </c>
      <c r="FS622" s="59">
        <f>$CH622-$CH623</f>
        <v/>
      </c>
      <c r="FT622" s="59">
        <f>$CI622-$CI623</f>
        <v/>
      </c>
      <c r="FU622" s="59">
        <f>$CJ622-$CJ623</f>
        <v/>
      </c>
      <c r="FV622" s="59">
        <f>$CK622-$CK623</f>
        <v/>
      </c>
      <c r="FW622" s="59">
        <f>$CL622-$CL623</f>
        <v/>
      </c>
      <c r="FX622" s="59">
        <f>$CM622-$CM623</f>
        <v/>
      </c>
      <c r="FY622" s="59">
        <f>$CN622-$CN623</f>
        <v/>
      </c>
      <c r="FZ622" s="59">
        <f>$CO622-$CO623</f>
        <v/>
      </c>
      <c r="GA622" s="59">
        <f>$CP622-$CP623</f>
        <v/>
      </c>
      <c r="GB622" s="59">
        <f>$CQ622-$CQ623</f>
        <v/>
      </c>
      <c r="GC622" s="59">
        <f>$CR622-$CR623</f>
        <v/>
      </c>
      <c r="GD622" s="59">
        <f>$CS622-$CS623</f>
        <v/>
      </c>
      <c r="GE622" s="59">
        <f>$CT622-$CT623</f>
        <v/>
      </c>
    </row>
    <row r="623">
      <c r="CU623" s="58">
        <f>IFERROR($B623/$B624-1,"")</f>
        <v/>
      </c>
      <c r="CV623" s="59">
        <f>($F623-$F624)*100</f>
        <v/>
      </c>
      <c r="CW623" s="59">
        <f>($E623-$E624)*100</f>
        <v/>
      </c>
      <c r="CX623" s="58">
        <f>IFERROR($K623/$K624-1,"")</f>
        <v/>
      </c>
      <c r="CY623" s="59">
        <f>($AH623-$AH624)*100</f>
        <v/>
      </c>
      <c r="CZ623" s="59">
        <f>($AI623-$AI624)*100</f>
        <v/>
      </c>
      <c r="DA623" s="59">
        <f>($AJ623-$AJ624)*100</f>
        <v/>
      </c>
      <c r="DB623" s="59">
        <f>($AK623-$AK624)*100</f>
        <v/>
      </c>
      <c r="DC623" s="59">
        <f>($AL623-$AL624)*100</f>
        <v/>
      </c>
      <c r="DD623" s="59">
        <f>($AM623-$AM624)*100</f>
        <v/>
      </c>
      <c r="DE623" s="59">
        <f>($AN623-$AN624)*100</f>
        <v/>
      </c>
      <c r="DF623" s="59">
        <f>($AO623-$AO624)*100</f>
        <v/>
      </c>
      <c r="DG623" s="59">
        <f>($AP623-$AP624)*100</f>
        <v/>
      </c>
      <c r="DH623" s="59">
        <f>($AQ623-$AQ624)*100</f>
        <v/>
      </c>
      <c r="DI623" s="59">
        <f>($AR623-$AR624)*100</f>
        <v/>
      </c>
      <c r="DJ623" s="59">
        <f>($AS623-$AS624)*100</f>
        <v/>
      </c>
      <c r="DK623" s="59">
        <f>($AT623-$AT624)*100</f>
        <v/>
      </c>
      <c r="DL623" s="59">
        <f>($AU623-$AU624)*100</f>
        <v/>
      </c>
      <c r="DM623" s="59">
        <f>($AV623-$AV624)*100</f>
        <v/>
      </c>
      <c r="DN623" s="59">
        <f>($AW623-$AW624)*100</f>
        <v/>
      </c>
      <c r="DO623" s="59">
        <f>($AX623-$AX624)*100</f>
        <v/>
      </c>
      <c r="DP623" s="59">
        <f>($AY623-$AY624)*100</f>
        <v/>
      </c>
      <c r="DQ623" s="59">
        <f>($AZ623-$AZ624)*100</f>
        <v/>
      </c>
      <c r="DR623" s="59">
        <f>($BA623-$BA624)*100</f>
        <v/>
      </c>
      <c r="DS623" s="58">
        <f>IFERROR($N624/$N623-1,"")</f>
        <v/>
      </c>
      <c r="DT623" s="58">
        <f>IFERROR($O624/$O623-1,"")</f>
        <v/>
      </c>
      <c r="DU623" s="58">
        <f>IFERROR($P624/$P623-1,"")</f>
        <v/>
      </c>
      <c r="DV623" s="58">
        <f>IFERROR($Q624/$Q623-1,"")</f>
        <v/>
      </c>
      <c r="DW623" s="58">
        <f>IFERROR($R624/$R623-1,"")</f>
        <v/>
      </c>
      <c r="DX623" s="58">
        <f>IFERROR($S624/$S623-1,"")</f>
        <v/>
      </c>
      <c r="DY623" s="58">
        <f>IFERROR($T624/$T623-1,"")</f>
        <v/>
      </c>
      <c r="DZ623" s="58">
        <f>IFERROR($U624/$U623-1,"")</f>
        <v/>
      </c>
      <c r="EA623" s="58">
        <f>IFERROR($V624/$V623-1,"")</f>
        <v/>
      </c>
      <c r="EB623" s="58">
        <f>IFERROR($W624/$W623-1,"")</f>
        <v/>
      </c>
      <c r="EC623" s="58">
        <f>IFERROR($X624/$X623-1,"")</f>
        <v/>
      </c>
      <c r="ED623" s="58">
        <f>IFERROR($Y624/$Y623-1,"")</f>
        <v/>
      </c>
      <c r="EE623" s="58">
        <f>IFERROR($Z624/$Z623-1,"")</f>
        <v/>
      </c>
      <c r="EF623" s="58">
        <f>IFERROR($AA624/$AA623-1,"")</f>
        <v/>
      </c>
      <c r="EG623" s="58">
        <f>IFERROR($AB624/$AB623-1,"")</f>
        <v/>
      </c>
      <c r="EH623" s="58">
        <f>IFERROR($AC624/$AC623-1,"")</f>
        <v/>
      </c>
      <c r="EI623" s="58">
        <f>IFERROR($AD624/$AD623-1,"")</f>
        <v/>
      </c>
      <c r="EJ623" s="58">
        <f>IFERROR($AE624/$AE623-1,"")</f>
        <v/>
      </c>
      <c r="EK623" s="58">
        <f>IFERROR($AF624/$AF623-1,"")</f>
        <v/>
      </c>
      <c r="EL623" s="58">
        <f>IFERROR($AG624/$AG623-1,"")</f>
        <v/>
      </c>
      <c r="EM623" s="58">
        <f>IFERROR($BB623/$BB624-1,"")</f>
        <v/>
      </c>
      <c r="EN623" s="58">
        <f>IFERROR($BC623/$BC624-1,"")</f>
        <v/>
      </c>
      <c r="EO623" s="58">
        <f>IFERROR($BD623/$BD624-1,"")</f>
        <v/>
      </c>
      <c r="EP623" s="58">
        <f>IFERROR($BE623/$BE624-1,"")</f>
        <v/>
      </c>
      <c r="EQ623" s="58">
        <f>IFERROR($BF623/$BF624-1,"")</f>
        <v/>
      </c>
      <c r="ER623" s="58">
        <f>IFERROR($BG623/$BG624-1,"")</f>
        <v/>
      </c>
      <c r="ES623" s="58">
        <f>IFERROR($BH623/$BH624-1,"")</f>
        <v/>
      </c>
      <c r="ET623" s="58">
        <f>IFERROR($BI623/$BI624-1,"")</f>
        <v/>
      </c>
      <c r="EU623" s="58">
        <f>IFERROR($BJ623/$BJ624-1,"")</f>
        <v/>
      </c>
      <c r="EV623" s="58">
        <f>IFERROR($BK623/$BK624-1,"")</f>
        <v/>
      </c>
      <c r="EW623" s="58">
        <f>IFERROR($BL623/$BL624-1,"")</f>
        <v/>
      </c>
      <c r="EX623" s="58">
        <f>IFERROR($BM623/$BM624-1,"")</f>
        <v/>
      </c>
      <c r="EY623" s="58">
        <f>IFERROR($BN623/$BN624-1,"")</f>
        <v/>
      </c>
      <c r="EZ623" s="58">
        <f>IFERROR($BO623/$BO624-1,"")</f>
        <v/>
      </c>
      <c r="FA623" s="58">
        <f>IFERROR($BP623/$BP624-1,"")</f>
        <v/>
      </c>
      <c r="FB623" s="58">
        <f>IFERROR($BQ623/$BQ624-1,"")</f>
        <v/>
      </c>
      <c r="FC623" s="58">
        <f>IFERROR($BR623/$BR624-1,"")</f>
        <v/>
      </c>
      <c r="FD623" s="58">
        <f>IFERROR($BS623/$BS624-1,"")</f>
        <v/>
      </c>
      <c r="FE623" s="58">
        <f>IFERROR($BT623/$BT624-1,"")</f>
        <v/>
      </c>
      <c r="FF623" s="58">
        <f>IFERROR($BU623/$BU624-1,"")</f>
        <v/>
      </c>
      <c r="FG623" s="58">
        <f>IFERROR($BV623/$BV624-1,"")</f>
        <v/>
      </c>
      <c r="FH623" s="58">
        <f>IFERROR($BW623/$BW624-1,"")</f>
        <v/>
      </c>
      <c r="FI623" s="58">
        <f>IFERROR($BX623/$BX624-1,"")</f>
        <v/>
      </c>
      <c r="FJ623" s="59">
        <f>$BY623-$BY624</f>
        <v/>
      </c>
      <c r="FK623" s="59">
        <f>$BZ623-$BZ624</f>
        <v/>
      </c>
      <c r="FL623" s="59">
        <f>$CA623-$CA624</f>
        <v/>
      </c>
      <c r="FM623" s="59">
        <f>$CB623-$CB624</f>
        <v/>
      </c>
      <c r="FN623" s="59">
        <f>$CC623-$CC624</f>
        <v/>
      </c>
      <c r="FO623" s="59">
        <f>$CD623-$CD624</f>
        <v/>
      </c>
      <c r="FP623" s="59">
        <f>$CE623-$CE624</f>
        <v/>
      </c>
      <c r="FQ623" s="59">
        <f>$CF623-$CF624</f>
        <v/>
      </c>
      <c r="FR623" s="59">
        <f>$CG623-$CG624</f>
        <v/>
      </c>
      <c r="FS623" s="59">
        <f>$CH623-$CH624</f>
        <v/>
      </c>
      <c r="FT623" s="59">
        <f>$CI623-$CI624</f>
        <v/>
      </c>
      <c r="FU623" s="59">
        <f>$CJ623-$CJ624</f>
        <v/>
      </c>
      <c r="FV623" s="59">
        <f>$CK623-$CK624</f>
        <v/>
      </c>
      <c r="FW623" s="59">
        <f>$CL623-$CL624</f>
        <v/>
      </c>
      <c r="FX623" s="59">
        <f>$CM623-$CM624</f>
        <v/>
      </c>
      <c r="FY623" s="59">
        <f>$CN623-$CN624</f>
        <v/>
      </c>
      <c r="FZ623" s="59">
        <f>$CO623-$CO624</f>
        <v/>
      </c>
      <c r="GA623" s="59">
        <f>$CP623-$CP624</f>
        <v/>
      </c>
      <c r="GB623" s="59">
        <f>$CQ623-$CQ624</f>
        <v/>
      </c>
      <c r="GC623" s="59">
        <f>$CR623-$CR624</f>
        <v/>
      </c>
      <c r="GD623" s="59">
        <f>$CS623-$CS624</f>
        <v/>
      </c>
      <c r="GE623" s="59">
        <f>$CT623-$CT624</f>
        <v/>
      </c>
    </row>
    <row r="624">
      <c r="CU624" s="58">
        <f>IFERROR($B624/$B625-1,"")</f>
        <v/>
      </c>
      <c r="CV624" s="59">
        <f>($F624-$F625)*100</f>
        <v/>
      </c>
      <c r="CW624" s="59">
        <f>($E624-$E625)*100</f>
        <v/>
      </c>
      <c r="CX624" s="58">
        <f>IFERROR($K624/$K625-1,"")</f>
        <v/>
      </c>
      <c r="CY624" s="59">
        <f>($AH624-$AH625)*100</f>
        <v/>
      </c>
      <c r="CZ624" s="59">
        <f>($AI624-$AI625)*100</f>
        <v/>
      </c>
      <c r="DA624" s="59">
        <f>($AJ624-$AJ625)*100</f>
        <v/>
      </c>
      <c r="DB624" s="59">
        <f>($AK624-$AK625)*100</f>
        <v/>
      </c>
      <c r="DC624" s="59">
        <f>($AL624-$AL625)*100</f>
        <v/>
      </c>
      <c r="DD624" s="59">
        <f>($AM624-$AM625)*100</f>
        <v/>
      </c>
      <c r="DE624" s="59">
        <f>($AN624-$AN625)*100</f>
        <v/>
      </c>
      <c r="DF624" s="59">
        <f>($AO624-$AO625)*100</f>
        <v/>
      </c>
      <c r="DG624" s="59">
        <f>($AP624-$AP625)*100</f>
        <v/>
      </c>
      <c r="DH624" s="59">
        <f>($AQ624-$AQ625)*100</f>
        <v/>
      </c>
      <c r="DI624" s="59">
        <f>($AR624-$AR625)*100</f>
        <v/>
      </c>
      <c r="DJ624" s="59">
        <f>($AS624-$AS625)*100</f>
        <v/>
      </c>
      <c r="DK624" s="59">
        <f>($AT624-$AT625)*100</f>
        <v/>
      </c>
      <c r="DL624" s="59">
        <f>($AU624-$AU625)*100</f>
        <v/>
      </c>
      <c r="DM624" s="59">
        <f>($AV624-$AV625)*100</f>
        <v/>
      </c>
      <c r="DN624" s="59">
        <f>($AW624-$AW625)*100</f>
        <v/>
      </c>
      <c r="DO624" s="59">
        <f>($AX624-$AX625)*100</f>
        <v/>
      </c>
      <c r="DP624" s="59">
        <f>($AY624-$AY625)*100</f>
        <v/>
      </c>
      <c r="DQ624" s="59">
        <f>($AZ624-$AZ625)*100</f>
        <v/>
      </c>
      <c r="DR624" s="59">
        <f>($BA624-$BA625)*100</f>
        <v/>
      </c>
      <c r="DS624" s="58">
        <f>IFERROR($N625/$N624-1,"")</f>
        <v/>
      </c>
      <c r="DT624" s="58">
        <f>IFERROR($O625/$O624-1,"")</f>
        <v/>
      </c>
      <c r="DU624" s="58">
        <f>IFERROR($P625/$P624-1,"")</f>
        <v/>
      </c>
      <c r="DV624" s="58">
        <f>IFERROR($Q625/$Q624-1,"")</f>
        <v/>
      </c>
      <c r="DW624" s="58">
        <f>IFERROR($R625/$R624-1,"")</f>
        <v/>
      </c>
      <c r="DX624" s="58">
        <f>IFERROR($S625/$S624-1,"")</f>
        <v/>
      </c>
      <c r="DY624" s="58">
        <f>IFERROR($T625/$T624-1,"")</f>
        <v/>
      </c>
      <c r="DZ624" s="58">
        <f>IFERROR($U625/$U624-1,"")</f>
        <v/>
      </c>
      <c r="EA624" s="58">
        <f>IFERROR($V625/$V624-1,"")</f>
        <v/>
      </c>
      <c r="EB624" s="58">
        <f>IFERROR($W625/$W624-1,"")</f>
        <v/>
      </c>
      <c r="EC624" s="58">
        <f>IFERROR($X625/$X624-1,"")</f>
        <v/>
      </c>
      <c r="ED624" s="58">
        <f>IFERROR($Y625/$Y624-1,"")</f>
        <v/>
      </c>
      <c r="EE624" s="58">
        <f>IFERROR($Z625/$Z624-1,"")</f>
        <v/>
      </c>
      <c r="EF624" s="58">
        <f>IFERROR($AA625/$AA624-1,"")</f>
        <v/>
      </c>
      <c r="EG624" s="58">
        <f>IFERROR($AB625/$AB624-1,"")</f>
        <v/>
      </c>
      <c r="EH624" s="58">
        <f>IFERROR($AC625/$AC624-1,"")</f>
        <v/>
      </c>
      <c r="EI624" s="58">
        <f>IFERROR($AD625/$AD624-1,"")</f>
        <v/>
      </c>
      <c r="EJ624" s="58">
        <f>IFERROR($AE625/$AE624-1,"")</f>
        <v/>
      </c>
      <c r="EK624" s="58">
        <f>IFERROR($AF625/$AF624-1,"")</f>
        <v/>
      </c>
      <c r="EL624" s="58">
        <f>IFERROR($AG625/$AG624-1,"")</f>
        <v/>
      </c>
      <c r="EM624" s="58">
        <f>IFERROR($BB624/$BB625-1,"")</f>
        <v/>
      </c>
      <c r="EN624" s="58">
        <f>IFERROR($BC624/$BC625-1,"")</f>
        <v/>
      </c>
      <c r="EO624" s="58">
        <f>IFERROR($BD624/$BD625-1,"")</f>
        <v/>
      </c>
      <c r="EP624" s="58">
        <f>IFERROR($BE624/$BE625-1,"")</f>
        <v/>
      </c>
      <c r="EQ624" s="58">
        <f>IFERROR($BF624/$BF625-1,"")</f>
        <v/>
      </c>
      <c r="ER624" s="58">
        <f>IFERROR($BG624/$BG625-1,"")</f>
        <v/>
      </c>
      <c r="ES624" s="58">
        <f>IFERROR($BH624/$BH625-1,"")</f>
        <v/>
      </c>
      <c r="ET624" s="58">
        <f>IFERROR($BI624/$BI625-1,"")</f>
        <v/>
      </c>
      <c r="EU624" s="58">
        <f>IFERROR($BJ624/$BJ625-1,"")</f>
        <v/>
      </c>
      <c r="EV624" s="58">
        <f>IFERROR($BK624/$BK625-1,"")</f>
        <v/>
      </c>
      <c r="EW624" s="58">
        <f>IFERROR($BL624/$BL625-1,"")</f>
        <v/>
      </c>
      <c r="EX624" s="58">
        <f>IFERROR($BM624/$BM625-1,"")</f>
        <v/>
      </c>
      <c r="EY624" s="58">
        <f>IFERROR($BN624/$BN625-1,"")</f>
        <v/>
      </c>
      <c r="EZ624" s="58">
        <f>IFERROR($BO624/$BO625-1,"")</f>
        <v/>
      </c>
      <c r="FA624" s="58">
        <f>IFERROR($BP624/$BP625-1,"")</f>
        <v/>
      </c>
      <c r="FB624" s="58">
        <f>IFERROR($BQ624/$BQ625-1,"")</f>
        <v/>
      </c>
      <c r="FC624" s="58">
        <f>IFERROR($BR624/$BR625-1,"")</f>
        <v/>
      </c>
      <c r="FD624" s="58">
        <f>IFERROR($BS624/$BS625-1,"")</f>
        <v/>
      </c>
      <c r="FE624" s="58">
        <f>IFERROR($BT624/$BT625-1,"")</f>
        <v/>
      </c>
      <c r="FF624" s="58">
        <f>IFERROR($BU624/$BU625-1,"")</f>
        <v/>
      </c>
      <c r="FG624" s="58">
        <f>IFERROR($BV624/$BV625-1,"")</f>
        <v/>
      </c>
      <c r="FH624" s="58">
        <f>IFERROR($BW624/$BW625-1,"")</f>
        <v/>
      </c>
      <c r="FI624" s="58">
        <f>IFERROR($BX624/$BX625-1,"")</f>
        <v/>
      </c>
      <c r="FJ624" s="59">
        <f>$BY624-$BY625</f>
        <v/>
      </c>
      <c r="FK624" s="59">
        <f>$BZ624-$BZ625</f>
        <v/>
      </c>
      <c r="FL624" s="59">
        <f>$CA624-$CA625</f>
        <v/>
      </c>
      <c r="FM624" s="59">
        <f>$CB624-$CB625</f>
        <v/>
      </c>
      <c r="FN624" s="59">
        <f>$CC624-$CC625</f>
        <v/>
      </c>
      <c r="FO624" s="59">
        <f>$CD624-$CD625</f>
        <v/>
      </c>
      <c r="FP624" s="59">
        <f>$CE624-$CE625</f>
        <v/>
      </c>
      <c r="FQ624" s="59">
        <f>$CF624-$CF625</f>
        <v/>
      </c>
      <c r="FR624" s="59">
        <f>$CG624-$CG625</f>
        <v/>
      </c>
      <c r="FS624" s="59">
        <f>$CH624-$CH625</f>
        <v/>
      </c>
      <c r="FT624" s="59">
        <f>$CI624-$CI625</f>
        <v/>
      </c>
      <c r="FU624" s="59">
        <f>$CJ624-$CJ625</f>
        <v/>
      </c>
      <c r="FV624" s="59">
        <f>$CK624-$CK625</f>
        <v/>
      </c>
      <c r="FW624" s="59">
        <f>$CL624-$CL625</f>
        <v/>
      </c>
      <c r="FX624" s="59">
        <f>$CM624-$CM625</f>
        <v/>
      </c>
      <c r="FY624" s="59">
        <f>$CN624-$CN625</f>
        <v/>
      </c>
      <c r="FZ624" s="59">
        <f>$CO624-$CO625</f>
        <v/>
      </c>
      <c r="GA624" s="59">
        <f>$CP624-$CP625</f>
        <v/>
      </c>
      <c r="GB624" s="59">
        <f>$CQ624-$CQ625</f>
        <v/>
      </c>
      <c r="GC624" s="59">
        <f>$CR624-$CR625</f>
        <v/>
      </c>
      <c r="GD624" s="59">
        <f>$CS624-$CS625</f>
        <v/>
      </c>
      <c r="GE624" s="59">
        <f>$CT624-$CT625</f>
        <v/>
      </c>
    </row>
    <row r="625">
      <c r="CU625" s="58">
        <f>IFERROR($B625/$B626-1,"")</f>
        <v/>
      </c>
      <c r="CV625" s="59">
        <f>($F625-$F626)*100</f>
        <v/>
      </c>
      <c r="CW625" s="59">
        <f>($E625-$E626)*100</f>
        <v/>
      </c>
      <c r="CX625" s="58">
        <f>IFERROR($K625/$K626-1,"")</f>
        <v/>
      </c>
      <c r="CY625" s="59">
        <f>($AH625-$AH626)*100</f>
        <v/>
      </c>
      <c r="CZ625" s="59">
        <f>($AI625-$AI626)*100</f>
        <v/>
      </c>
      <c r="DA625" s="59">
        <f>($AJ625-$AJ626)*100</f>
        <v/>
      </c>
      <c r="DB625" s="59">
        <f>($AK625-$AK626)*100</f>
        <v/>
      </c>
      <c r="DC625" s="59">
        <f>($AL625-$AL626)*100</f>
        <v/>
      </c>
      <c r="DD625" s="59">
        <f>($AM625-$AM626)*100</f>
        <v/>
      </c>
      <c r="DE625" s="59">
        <f>($AN625-$AN626)*100</f>
        <v/>
      </c>
      <c r="DF625" s="59">
        <f>($AO625-$AO626)*100</f>
        <v/>
      </c>
      <c r="DG625" s="59">
        <f>($AP625-$AP626)*100</f>
        <v/>
      </c>
      <c r="DH625" s="59">
        <f>($AQ625-$AQ626)*100</f>
        <v/>
      </c>
      <c r="DI625" s="59">
        <f>($AR625-$AR626)*100</f>
        <v/>
      </c>
      <c r="DJ625" s="59">
        <f>($AS625-$AS626)*100</f>
        <v/>
      </c>
      <c r="DK625" s="59">
        <f>($AT625-$AT626)*100</f>
        <v/>
      </c>
      <c r="DL625" s="59">
        <f>($AU625-$AU626)*100</f>
        <v/>
      </c>
      <c r="DM625" s="59">
        <f>($AV625-$AV626)*100</f>
        <v/>
      </c>
      <c r="DN625" s="59">
        <f>($AW625-$AW626)*100</f>
        <v/>
      </c>
      <c r="DO625" s="59">
        <f>($AX625-$AX626)*100</f>
        <v/>
      </c>
      <c r="DP625" s="59">
        <f>($AY625-$AY626)*100</f>
        <v/>
      </c>
      <c r="DQ625" s="59">
        <f>($AZ625-$AZ626)*100</f>
        <v/>
      </c>
      <c r="DR625" s="59">
        <f>($BA625-$BA626)*100</f>
        <v/>
      </c>
      <c r="DS625" s="58">
        <f>IFERROR($N626/$N625-1,"")</f>
        <v/>
      </c>
      <c r="DT625" s="58">
        <f>IFERROR($O626/$O625-1,"")</f>
        <v/>
      </c>
      <c r="DU625" s="58">
        <f>IFERROR($P626/$P625-1,"")</f>
        <v/>
      </c>
      <c r="DV625" s="58">
        <f>IFERROR($Q626/$Q625-1,"")</f>
        <v/>
      </c>
      <c r="DW625" s="58">
        <f>IFERROR($R626/$R625-1,"")</f>
        <v/>
      </c>
      <c r="DX625" s="58">
        <f>IFERROR($S626/$S625-1,"")</f>
        <v/>
      </c>
      <c r="DY625" s="58">
        <f>IFERROR($T626/$T625-1,"")</f>
        <v/>
      </c>
      <c r="DZ625" s="58">
        <f>IFERROR($U626/$U625-1,"")</f>
        <v/>
      </c>
      <c r="EA625" s="58">
        <f>IFERROR($V626/$V625-1,"")</f>
        <v/>
      </c>
      <c r="EB625" s="58">
        <f>IFERROR($W626/$W625-1,"")</f>
        <v/>
      </c>
      <c r="EC625" s="58">
        <f>IFERROR($X626/$X625-1,"")</f>
        <v/>
      </c>
      <c r="ED625" s="58">
        <f>IFERROR($Y626/$Y625-1,"")</f>
        <v/>
      </c>
      <c r="EE625" s="58">
        <f>IFERROR($Z626/$Z625-1,"")</f>
        <v/>
      </c>
      <c r="EF625" s="58">
        <f>IFERROR($AA626/$AA625-1,"")</f>
        <v/>
      </c>
      <c r="EG625" s="58">
        <f>IFERROR($AB626/$AB625-1,"")</f>
        <v/>
      </c>
      <c r="EH625" s="58">
        <f>IFERROR($AC626/$AC625-1,"")</f>
        <v/>
      </c>
      <c r="EI625" s="58">
        <f>IFERROR($AD626/$AD625-1,"")</f>
        <v/>
      </c>
      <c r="EJ625" s="58">
        <f>IFERROR($AE626/$AE625-1,"")</f>
        <v/>
      </c>
      <c r="EK625" s="58">
        <f>IFERROR($AF626/$AF625-1,"")</f>
        <v/>
      </c>
      <c r="EL625" s="58">
        <f>IFERROR($AG626/$AG625-1,"")</f>
        <v/>
      </c>
      <c r="EM625" s="58">
        <f>IFERROR($BB625/$BB626-1,"")</f>
        <v/>
      </c>
      <c r="EN625" s="58">
        <f>IFERROR($BC625/$BC626-1,"")</f>
        <v/>
      </c>
      <c r="EO625" s="58">
        <f>IFERROR($BD625/$BD626-1,"")</f>
        <v/>
      </c>
      <c r="EP625" s="58">
        <f>IFERROR($BE625/$BE626-1,"")</f>
        <v/>
      </c>
      <c r="EQ625" s="58">
        <f>IFERROR($BF625/$BF626-1,"")</f>
        <v/>
      </c>
      <c r="ER625" s="58">
        <f>IFERROR($BG625/$BG626-1,"")</f>
        <v/>
      </c>
      <c r="ES625" s="58">
        <f>IFERROR($BH625/$BH626-1,"")</f>
        <v/>
      </c>
      <c r="ET625" s="58">
        <f>IFERROR($BI625/$BI626-1,"")</f>
        <v/>
      </c>
      <c r="EU625" s="58">
        <f>IFERROR($BJ625/$BJ626-1,"")</f>
        <v/>
      </c>
      <c r="EV625" s="58">
        <f>IFERROR($BK625/$BK626-1,"")</f>
        <v/>
      </c>
      <c r="EW625" s="58">
        <f>IFERROR($BL625/$BL626-1,"")</f>
        <v/>
      </c>
      <c r="EX625" s="58">
        <f>IFERROR($BM625/$BM626-1,"")</f>
        <v/>
      </c>
      <c r="EY625" s="58">
        <f>IFERROR($BN625/$BN626-1,"")</f>
        <v/>
      </c>
      <c r="EZ625" s="58">
        <f>IFERROR($BO625/$BO626-1,"")</f>
        <v/>
      </c>
      <c r="FA625" s="58">
        <f>IFERROR($BP625/$BP626-1,"")</f>
        <v/>
      </c>
      <c r="FB625" s="58">
        <f>IFERROR($BQ625/$BQ626-1,"")</f>
        <v/>
      </c>
      <c r="FC625" s="58">
        <f>IFERROR($BR625/$BR626-1,"")</f>
        <v/>
      </c>
      <c r="FD625" s="58">
        <f>IFERROR($BS625/$BS626-1,"")</f>
        <v/>
      </c>
      <c r="FE625" s="58">
        <f>IFERROR($BT625/$BT626-1,"")</f>
        <v/>
      </c>
      <c r="FF625" s="58">
        <f>IFERROR($BU625/$BU626-1,"")</f>
        <v/>
      </c>
      <c r="FG625" s="58">
        <f>IFERROR($BV625/$BV626-1,"")</f>
        <v/>
      </c>
      <c r="FH625" s="58">
        <f>IFERROR($BW625/$BW626-1,"")</f>
        <v/>
      </c>
      <c r="FI625" s="58">
        <f>IFERROR($BX625/$BX626-1,"")</f>
        <v/>
      </c>
      <c r="FJ625" s="59">
        <f>$BY625-$BY626</f>
        <v/>
      </c>
      <c r="FK625" s="59">
        <f>$BZ625-$BZ626</f>
        <v/>
      </c>
      <c r="FL625" s="59">
        <f>$CA625-$CA626</f>
        <v/>
      </c>
      <c r="FM625" s="59">
        <f>$CB625-$CB626</f>
        <v/>
      </c>
      <c r="FN625" s="59">
        <f>$CC625-$CC626</f>
        <v/>
      </c>
      <c r="FO625" s="59">
        <f>$CD625-$CD626</f>
        <v/>
      </c>
      <c r="FP625" s="59">
        <f>$CE625-$CE626</f>
        <v/>
      </c>
      <c r="FQ625" s="59">
        <f>$CF625-$CF626</f>
        <v/>
      </c>
      <c r="FR625" s="59">
        <f>$CG625-$CG626</f>
        <v/>
      </c>
      <c r="FS625" s="59">
        <f>$CH625-$CH626</f>
        <v/>
      </c>
      <c r="FT625" s="59">
        <f>$CI625-$CI626</f>
        <v/>
      </c>
      <c r="FU625" s="59">
        <f>$CJ625-$CJ626</f>
        <v/>
      </c>
      <c r="FV625" s="59">
        <f>$CK625-$CK626</f>
        <v/>
      </c>
      <c r="FW625" s="59">
        <f>$CL625-$CL626</f>
        <v/>
      </c>
      <c r="FX625" s="59">
        <f>$CM625-$CM626</f>
        <v/>
      </c>
      <c r="FY625" s="59">
        <f>$CN625-$CN626</f>
        <v/>
      </c>
      <c r="FZ625" s="59">
        <f>$CO625-$CO626</f>
        <v/>
      </c>
      <c r="GA625" s="59">
        <f>$CP625-$CP626</f>
        <v/>
      </c>
      <c r="GB625" s="59">
        <f>$CQ625-$CQ626</f>
        <v/>
      </c>
      <c r="GC625" s="59">
        <f>$CR625-$CR626</f>
        <v/>
      </c>
      <c r="GD625" s="59">
        <f>$CS625-$CS626</f>
        <v/>
      </c>
      <c r="GE625" s="59">
        <f>$CT625-$CT626</f>
        <v/>
      </c>
    </row>
    <row r="626">
      <c r="CU626" s="58">
        <f>IFERROR($B626/$B627-1,"")</f>
        <v/>
      </c>
      <c r="CV626" s="59">
        <f>($F626-$F627)*100</f>
        <v/>
      </c>
      <c r="CW626" s="59">
        <f>($E626-$E627)*100</f>
        <v/>
      </c>
      <c r="CX626" s="58">
        <f>IFERROR($K626/$K627-1,"")</f>
        <v/>
      </c>
      <c r="CY626" s="59">
        <f>($AH626-$AH627)*100</f>
        <v/>
      </c>
      <c r="CZ626" s="59">
        <f>($AI626-$AI627)*100</f>
        <v/>
      </c>
      <c r="DA626" s="59">
        <f>($AJ626-$AJ627)*100</f>
        <v/>
      </c>
      <c r="DB626" s="59">
        <f>($AK626-$AK627)*100</f>
        <v/>
      </c>
      <c r="DC626" s="59">
        <f>($AL626-$AL627)*100</f>
        <v/>
      </c>
      <c r="DD626" s="59">
        <f>($AM626-$AM627)*100</f>
        <v/>
      </c>
      <c r="DE626" s="59">
        <f>($AN626-$AN627)*100</f>
        <v/>
      </c>
      <c r="DF626" s="59">
        <f>($AO626-$AO627)*100</f>
        <v/>
      </c>
      <c r="DG626" s="59">
        <f>($AP626-$AP627)*100</f>
        <v/>
      </c>
      <c r="DH626" s="59">
        <f>($AQ626-$AQ627)*100</f>
        <v/>
      </c>
      <c r="DI626" s="59">
        <f>($AR626-$AR627)*100</f>
        <v/>
      </c>
      <c r="DJ626" s="59">
        <f>($AS626-$AS627)*100</f>
        <v/>
      </c>
      <c r="DK626" s="59">
        <f>($AT626-$AT627)*100</f>
        <v/>
      </c>
      <c r="DL626" s="59">
        <f>($AU626-$AU627)*100</f>
        <v/>
      </c>
      <c r="DM626" s="59">
        <f>($AV626-$AV627)*100</f>
        <v/>
      </c>
      <c r="DN626" s="59">
        <f>($AW626-$AW627)*100</f>
        <v/>
      </c>
      <c r="DO626" s="59">
        <f>($AX626-$AX627)*100</f>
        <v/>
      </c>
      <c r="DP626" s="59">
        <f>($AY626-$AY627)*100</f>
        <v/>
      </c>
      <c r="DQ626" s="59">
        <f>($AZ626-$AZ627)*100</f>
        <v/>
      </c>
      <c r="DR626" s="59">
        <f>($BA626-$BA627)*100</f>
        <v/>
      </c>
      <c r="DS626" s="58">
        <f>IFERROR($N627/$N626-1,"")</f>
        <v/>
      </c>
      <c r="DT626" s="58">
        <f>IFERROR($O627/$O626-1,"")</f>
        <v/>
      </c>
      <c r="DU626" s="58">
        <f>IFERROR($P627/$P626-1,"")</f>
        <v/>
      </c>
      <c r="DV626" s="58">
        <f>IFERROR($Q627/$Q626-1,"")</f>
        <v/>
      </c>
      <c r="DW626" s="58">
        <f>IFERROR($R627/$R626-1,"")</f>
        <v/>
      </c>
      <c r="DX626" s="58">
        <f>IFERROR($S627/$S626-1,"")</f>
        <v/>
      </c>
      <c r="DY626" s="58">
        <f>IFERROR($T627/$T626-1,"")</f>
        <v/>
      </c>
      <c r="DZ626" s="58">
        <f>IFERROR($U627/$U626-1,"")</f>
        <v/>
      </c>
      <c r="EA626" s="58">
        <f>IFERROR($V627/$V626-1,"")</f>
        <v/>
      </c>
      <c r="EB626" s="58">
        <f>IFERROR($W627/$W626-1,"")</f>
        <v/>
      </c>
      <c r="EC626" s="58">
        <f>IFERROR($X627/$X626-1,"")</f>
        <v/>
      </c>
      <c r="ED626" s="58">
        <f>IFERROR($Y627/$Y626-1,"")</f>
        <v/>
      </c>
      <c r="EE626" s="58">
        <f>IFERROR($Z627/$Z626-1,"")</f>
        <v/>
      </c>
      <c r="EF626" s="58">
        <f>IFERROR($AA627/$AA626-1,"")</f>
        <v/>
      </c>
      <c r="EG626" s="58">
        <f>IFERROR($AB627/$AB626-1,"")</f>
        <v/>
      </c>
      <c r="EH626" s="58">
        <f>IFERROR($AC627/$AC626-1,"")</f>
        <v/>
      </c>
      <c r="EI626" s="58">
        <f>IFERROR($AD627/$AD626-1,"")</f>
        <v/>
      </c>
      <c r="EJ626" s="58">
        <f>IFERROR($AE627/$AE626-1,"")</f>
        <v/>
      </c>
      <c r="EK626" s="58">
        <f>IFERROR($AF627/$AF626-1,"")</f>
        <v/>
      </c>
      <c r="EL626" s="58">
        <f>IFERROR($AG627/$AG626-1,"")</f>
        <v/>
      </c>
      <c r="EM626" s="58">
        <f>IFERROR($BB626/$BB627-1,"")</f>
        <v/>
      </c>
      <c r="EN626" s="58">
        <f>IFERROR($BC626/$BC627-1,"")</f>
        <v/>
      </c>
      <c r="EO626" s="58">
        <f>IFERROR($BD626/$BD627-1,"")</f>
        <v/>
      </c>
      <c r="EP626" s="58">
        <f>IFERROR($BE626/$BE627-1,"")</f>
        <v/>
      </c>
      <c r="EQ626" s="58">
        <f>IFERROR($BF626/$BF627-1,"")</f>
        <v/>
      </c>
      <c r="ER626" s="58">
        <f>IFERROR($BG626/$BG627-1,"")</f>
        <v/>
      </c>
      <c r="ES626" s="58">
        <f>IFERROR($BH626/$BH627-1,"")</f>
        <v/>
      </c>
      <c r="ET626" s="58">
        <f>IFERROR($BI626/$BI627-1,"")</f>
        <v/>
      </c>
      <c r="EU626" s="58">
        <f>IFERROR($BJ626/$BJ627-1,"")</f>
        <v/>
      </c>
      <c r="EV626" s="58">
        <f>IFERROR($BK626/$BK627-1,"")</f>
        <v/>
      </c>
      <c r="EW626" s="58">
        <f>IFERROR($BL626/$BL627-1,"")</f>
        <v/>
      </c>
      <c r="EX626" s="58">
        <f>IFERROR($BM626/$BM627-1,"")</f>
        <v/>
      </c>
      <c r="EY626" s="58">
        <f>IFERROR($BN626/$BN627-1,"")</f>
        <v/>
      </c>
      <c r="EZ626" s="58">
        <f>IFERROR($BO626/$BO627-1,"")</f>
        <v/>
      </c>
      <c r="FA626" s="58">
        <f>IFERROR($BP626/$BP627-1,"")</f>
        <v/>
      </c>
      <c r="FB626" s="58">
        <f>IFERROR($BQ626/$BQ627-1,"")</f>
        <v/>
      </c>
      <c r="FC626" s="58">
        <f>IFERROR($BR626/$BR627-1,"")</f>
        <v/>
      </c>
      <c r="FD626" s="58">
        <f>IFERROR($BS626/$BS627-1,"")</f>
        <v/>
      </c>
      <c r="FE626" s="58">
        <f>IFERROR($BT626/$BT627-1,"")</f>
        <v/>
      </c>
      <c r="FF626" s="58">
        <f>IFERROR($BU626/$BU627-1,"")</f>
        <v/>
      </c>
      <c r="FG626" s="58">
        <f>IFERROR($BV626/$BV627-1,"")</f>
        <v/>
      </c>
      <c r="FH626" s="58">
        <f>IFERROR($BW626/$BW627-1,"")</f>
        <v/>
      </c>
      <c r="FI626" s="58">
        <f>IFERROR($BX626/$BX627-1,"")</f>
        <v/>
      </c>
      <c r="FJ626" s="59">
        <f>$BY626-$BY627</f>
        <v/>
      </c>
      <c r="FK626" s="59">
        <f>$BZ626-$BZ627</f>
        <v/>
      </c>
      <c r="FL626" s="59">
        <f>$CA626-$CA627</f>
        <v/>
      </c>
      <c r="FM626" s="59">
        <f>$CB626-$CB627</f>
        <v/>
      </c>
      <c r="FN626" s="59">
        <f>$CC626-$CC627</f>
        <v/>
      </c>
      <c r="FO626" s="59">
        <f>$CD626-$CD627</f>
        <v/>
      </c>
      <c r="FP626" s="59">
        <f>$CE626-$CE627</f>
        <v/>
      </c>
      <c r="FQ626" s="59">
        <f>$CF626-$CF627</f>
        <v/>
      </c>
      <c r="FR626" s="59">
        <f>$CG626-$CG627</f>
        <v/>
      </c>
      <c r="FS626" s="59">
        <f>$CH626-$CH627</f>
        <v/>
      </c>
      <c r="FT626" s="59">
        <f>$CI626-$CI627</f>
        <v/>
      </c>
      <c r="FU626" s="59">
        <f>$CJ626-$CJ627</f>
        <v/>
      </c>
      <c r="FV626" s="59">
        <f>$CK626-$CK627</f>
        <v/>
      </c>
      <c r="FW626" s="59">
        <f>$CL626-$CL627</f>
        <v/>
      </c>
      <c r="FX626" s="59">
        <f>$CM626-$CM627</f>
        <v/>
      </c>
      <c r="FY626" s="59">
        <f>$CN626-$CN627</f>
        <v/>
      </c>
      <c r="FZ626" s="59">
        <f>$CO626-$CO627</f>
        <v/>
      </c>
      <c r="GA626" s="59">
        <f>$CP626-$CP627</f>
        <v/>
      </c>
      <c r="GB626" s="59">
        <f>$CQ626-$CQ627</f>
        <v/>
      </c>
      <c r="GC626" s="59">
        <f>$CR626-$CR627</f>
        <v/>
      </c>
      <c r="GD626" s="59">
        <f>$CS626-$CS627</f>
        <v/>
      </c>
      <c r="GE626" s="59">
        <f>$CT626-$CT627</f>
        <v/>
      </c>
    </row>
    <row r="627">
      <c r="CU627" s="58">
        <f>IFERROR($B627/$B628-1,"")</f>
        <v/>
      </c>
      <c r="CV627" s="59">
        <f>($F627-$F628)*100</f>
        <v/>
      </c>
      <c r="CW627" s="59">
        <f>($E627-$E628)*100</f>
        <v/>
      </c>
      <c r="CX627" s="58">
        <f>IFERROR($K627/$K628-1,"")</f>
        <v/>
      </c>
      <c r="CY627" s="59">
        <f>($AH627-$AH628)*100</f>
        <v/>
      </c>
      <c r="CZ627" s="59">
        <f>($AI627-$AI628)*100</f>
        <v/>
      </c>
      <c r="DA627" s="59">
        <f>($AJ627-$AJ628)*100</f>
        <v/>
      </c>
      <c r="DB627" s="59">
        <f>($AK627-$AK628)*100</f>
        <v/>
      </c>
      <c r="DC627" s="59">
        <f>($AL627-$AL628)*100</f>
        <v/>
      </c>
      <c r="DD627" s="59">
        <f>($AM627-$AM628)*100</f>
        <v/>
      </c>
      <c r="DE627" s="59">
        <f>($AN627-$AN628)*100</f>
        <v/>
      </c>
      <c r="DF627" s="59">
        <f>($AO627-$AO628)*100</f>
        <v/>
      </c>
      <c r="DG627" s="59">
        <f>($AP627-$AP628)*100</f>
        <v/>
      </c>
      <c r="DH627" s="59">
        <f>($AQ627-$AQ628)*100</f>
        <v/>
      </c>
      <c r="DI627" s="59">
        <f>($AR627-$AR628)*100</f>
        <v/>
      </c>
      <c r="DJ627" s="59">
        <f>($AS627-$AS628)*100</f>
        <v/>
      </c>
      <c r="DK627" s="59">
        <f>($AT627-$AT628)*100</f>
        <v/>
      </c>
      <c r="DL627" s="59">
        <f>($AU627-$AU628)*100</f>
        <v/>
      </c>
      <c r="DM627" s="59">
        <f>($AV627-$AV628)*100</f>
        <v/>
      </c>
      <c r="DN627" s="59">
        <f>($AW627-$AW628)*100</f>
        <v/>
      </c>
      <c r="DO627" s="59">
        <f>($AX627-$AX628)*100</f>
        <v/>
      </c>
      <c r="DP627" s="59">
        <f>($AY627-$AY628)*100</f>
        <v/>
      </c>
      <c r="DQ627" s="59">
        <f>($AZ627-$AZ628)*100</f>
        <v/>
      </c>
      <c r="DR627" s="59">
        <f>($BA627-$BA628)*100</f>
        <v/>
      </c>
      <c r="DS627" s="58">
        <f>IFERROR($N628/$N627-1,"")</f>
        <v/>
      </c>
      <c r="DT627" s="58">
        <f>IFERROR($O628/$O627-1,"")</f>
        <v/>
      </c>
      <c r="DU627" s="58">
        <f>IFERROR($P628/$P627-1,"")</f>
        <v/>
      </c>
      <c r="DV627" s="58">
        <f>IFERROR($Q628/$Q627-1,"")</f>
        <v/>
      </c>
      <c r="DW627" s="58">
        <f>IFERROR($R628/$R627-1,"")</f>
        <v/>
      </c>
      <c r="DX627" s="58">
        <f>IFERROR($S628/$S627-1,"")</f>
        <v/>
      </c>
      <c r="DY627" s="58">
        <f>IFERROR($T628/$T627-1,"")</f>
        <v/>
      </c>
      <c r="DZ627" s="58">
        <f>IFERROR($U628/$U627-1,"")</f>
        <v/>
      </c>
      <c r="EA627" s="58">
        <f>IFERROR($V628/$V627-1,"")</f>
        <v/>
      </c>
      <c r="EB627" s="58">
        <f>IFERROR($W628/$W627-1,"")</f>
        <v/>
      </c>
      <c r="EC627" s="58">
        <f>IFERROR($X628/$X627-1,"")</f>
        <v/>
      </c>
      <c r="ED627" s="58">
        <f>IFERROR($Y628/$Y627-1,"")</f>
        <v/>
      </c>
      <c r="EE627" s="58">
        <f>IFERROR($Z628/$Z627-1,"")</f>
        <v/>
      </c>
      <c r="EF627" s="58">
        <f>IFERROR($AA628/$AA627-1,"")</f>
        <v/>
      </c>
      <c r="EG627" s="58">
        <f>IFERROR($AB628/$AB627-1,"")</f>
        <v/>
      </c>
      <c r="EH627" s="58">
        <f>IFERROR($AC628/$AC627-1,"")</f>
        <v/>
      </c>
      <c r="EI627" s="58">
        <f>IFERROR($AD628/$AD627-1,"")</f>
        <v/>
      </c>
      <c r="EJ627" s="58">
        <f>IFERROR($AE628/$AE627-1,"")</f>
        <v/>
      </c>
      <c r="EK627" s="58">
        <f>IFERROR($AF628/$AF627-1,"")</f>
        <v/>
      </c>
      <c r="EL627" s="58">
        <f>IFERROR($AG628/$AG627-1,"")</f>
        <v/>
      </c>
      <c r="EM627" s="58">
        <f>IFERROR($BB627/$BB628-1,"")</f>
        <v/>
      </c>
      <c r="EN627" s="58">
        <f>IFERROR($BC627/$BC628-1,"")</f>
        <v/>
      </c>
      <c r="EO627" s="58">
        <f>IFERROR($BD627/$BD628-1,"")</f>
        <v/>
      </c>
      <c r="EP627" s="58">
        <f>IFERROR($BE627/$BE628-1,"")</f>
        <v/>
      </c>
      <c r="EQ627" s="58">
        <f>IFERROR($BF627/$BF628-1,"")</f>
        <v/>
      </c>
      <c r="ER627" s="58">
        <f>IFERROR($BG627/$BG628-1,"")</f>
        <v/>
      </c>
      <c r="ES627" s="58">
        <f>IFERROR($BH627/$BH628-1,"")</f>
        <v/>
      </c>
      <c r="ET627" s="58">
        <f>IFERROR($BI627/$BI628-1,"")</f>
        <v/>
      </c>
      <c r="EU627" s="58">
        <f>IFERROR($BJ627/$BJ628-1,"")</f>
        <v/>
      </c>
      <c r="EV627" s="58">
        <f>IFERROR($BK627/$BK628-1,"")</f>
        <v/>
      </c>
      <c r="EW627" s="58">
        <f>IFERROR($BL627/$BL628-1,"")</f>
        <v/>
      </c>
      <c r="EX627" s="58">
        <f>IFERROR($BM627/$BM628-1,"")</f>
        <v/>
      </c>
      <c r="EY627" s="58">
        <f>IFERROR($BN627/$BN628-1,"")</f>
        <v/>
      </c>
      <c r="EZ627" s="58">
        <f>IFERROR($BO627/$BO628-1,"")</f>
        <v/>
      </c>
      <c r="FA627" s="58">
        <f>IFERROR($BP627/$BP628-1,"")</f>
        <v/>
      </c>
      <c r="FB627" s="58">
        <f>IFERROR($BQ627/$BQ628-1,"")</f>
        <v/>
      </c>
      <c r="FC627" s="58">
        <f>IFERROR($BR627/$BR628-1,"")</f>
        <v/>
      </c>
      <c r="FD627" s="58">
        <f>IFERROR($BS627/$BS628-1,"")</f>
        <v/>
      </c>
      <c r="FE627" s="58">
        <f>IFERROR($BT627/$BT628-1,"")</f>
        <v/>
      </c>
      <c r="FF627" s="58">
        <f>IFERROR($BU627/$BU628-1,"")</f>
        <v/>
      </c>
      <c r="FG627" s="58">
        <f>IFERROR($BV627/$BV628-1,"")</f>
        <v/>
      </c>
      <c r="FH627" s="58">
        <f>IFERROR($BW627/$BW628-1,"")</f>
        <v/>
      </c>
      <c r="FI627" s="58">
        <f>IFERROR($BX627/$BX628-1,"")</f>
        <v/>
      </c>
      <c r="FJ627" s="59">
        <f>$BY627-$BY628</f>
        <v/>
      </c>
      <c r="FK627" s="59">
        <f>$BZ627-$BZ628</f>
        <v/>
      </c>
      <c r="FL627" s="59">
        <f>$CA627-$CA628</f>
        <v/>
      </c>
      <c r="FM627" s="59">
        <f>$CB627-$CB628</f>
        <v/>
      </c>
      <c r="FN627" s="59">
        <f>$CC627-$CC628</f>
        <v/>
      </c>
      <c r="FO627" s="59">
        <f>$CD627-$CD628</f>
        <v/>
      </c>
      <c r="FP627" s="59">
        <f>$CE627-$CE628</f>
        <v/>
      </c>
      <c r="FQ627" s="59">
        <f>$CF627-$CF628</f>
        <v/>
      </c>
      <c r="FR627" s="59">
        <f>$CG627-$CG628</f>
        <v/>
      </c>
      <c r="FS627" s="59">
        <f>$CH627-$CH628</f>
        <v/>
      </c>
      <c r="FT627" s="59">
        <f>$CI627-$CI628</f>
        <v/>
      </c>
      <c r="FU627" s="59">
        <f>$CJ627-$CJ628</f>
        <v/>
      </c>
      <c r="FV627" s="59">
        <f>$CK627-$CK628</f>
        <v/>
      </c>
      <c r="FW627" s="59">
        <f>$CL627-$CL628</f>
        <v/>
      </c>
      <c r="FX627" s="59">
        <f>$CM627-$CM628</f>
        <v/>
      </c>
      <c r="FY627" s="59">
        <f>$CN627-$CN628</f>
        <v/>
      </c>
      <c r="FZ627" s="59">
        <f>$CO627-$CO628</f>
        <v/>
      </c>
      <c r="GA627" s="59">
        <f>$CP627-$CP628</f>
        <v/>
      </c>
      <c r="GB627" s="59">
        <f>$CQ627-$CQ628</f>
        <v/>
      </c>
      <c r="GC627" s="59">
        <f>$CR627-$CR628</f>
        <v/>
      </c>
      <c r="GD627" s="59">
        <f>$CS627-$CS628</f>
        <v/>
      </c>
      <c r="GE627" s="59">
        <f>$CT627-$CT628</f>
        <v/>
      </c>
    </row>
    <row r="628">
      <c r="CU628" s="58">
        <f>IFERROR($B628/$B629-1,"")</f>
        <v/>
      </c>
      <c r="CV628" s="59">
        <f>($F628-$F629)*100</f>
        <v/>
      </c>
      <c r="CW628" s="59">
        <f>($E628-$E629)*100</f>
        <v/>
      </c>
      <c r="CX628" s="58">
        <f>IFERROR($K628/$K629-1,"")</f>
        <v/>
      </c>
      <c r="CY628" s="59">
        <f>($AH628-$AH629)*100</f>
        <v/>
      </c>
      <c r="CZ628" s="59">
        <f>($AI628-$AI629)*100</f>
        <v/>
      </c>
      <c r="DA628" s="59">
        <f>($AJ628-$AJ629)*100</f>
        <v/>
      </c>
      <c r="DB628" s="59">
        <f>($AK628-$AK629)*100</f>
        <v/>
      </c>
      <c r="DC628" s="59">
        <f>($AL628-$AL629)*100</f>
        <v/>
      </c>
      <c r="DD628" s="59">
        <f>($AM628-$AM629)*100</f>
        <v/>
      </c>
      <c r="DE628" s="59">
        <f>($AN628-$AN629)*100</f>
        <v/>
      </c>
      <c r="DF628" s="59">
        <f>($AO628-$AO629)*100</f>
        <v/>
      </c>
      <c r="DG628" s="59">
        <f>($AP628-$AP629)*100</f>
        <v/>
      </c>
      <c r="DH628" s="59">
        <f>($AQ628-$AQ629)*100</f>
        <v/>
      </c>
      <c r="DI628" s="59">
        <f>($AR628-$AR629)*100</f>
        <v/>
      </c>
      <c r="DJ628" s="59">
        <f>($AS628-$AS629)*100</f>
        <v/>
      </c>
      <c r="DK628" s="59">
        <f>($AT628-$AT629)*100</f>
        <v/>
      </c>
      <c r="DL628" s="59">
        <f>($AU628-$AU629)*100</f>
        <v/>
      </c>
      <c r="DM628" s="59">
        <f>($AV628-$AV629)*100</f>
        <v/>
      </c>
      <c r="DN628" s="59">
        <f>($AW628-$AW629)*100</f>
        <v/>
      </c>
      <c r="DO628" s="59">
        <f>($AX628-$AX629)*100</f>
        <v/>
      </c>
      <c r="DP628" s="59">
        <f>($AY628-$AY629)*100</f>
        <v/>
      </c>
      <c r="DQ628" s="59">
        <f>($AZ628-$AZ629)*100</f>
        <v/>
      </c>
      <c r="DR628" s="59">
        <f>($BA628-$BA629)*100</f>
        <v/>
      </c>
      <c r="DS628" s="58">
        <f>IFERROR($N629/$N628-1,"")</f>
        <v/>
      </c>
      <c r="DT628" s="58">
        <f>IFERROR($O629/$O628-1,"")</f>
        <v/>
      </c>
      <c r="DU628" s="58">
        <f>IFERROR($P629/$P628-1,"")</f>
        <v/>
      </c>
      <c r="DV628" s="58">
        <f>IFERROR($Q629/$Q628-1,"")</f>
        <v/>
      </c>
      <c r="DW628" s="58">
        <f>IFERROR($R629/$R628-1,"")</f>
        <v/>
      </c>
      <c r="DX628" s="58">
        <f>IFERROR($S629/$S628-1,"")</f>
        <v/>
      </c>
      <c r="DY628" s="58">
        <f>IFERROR($T629/$T628-1,"")</f>
        <v/>
      </c>
      <c r="DZ628" s="58">
        <f>IFERROR($U629/$U628-1,"")</f>
        <v/>
      </c>
      <c r="EA628" s="58">
        <f>IFERROR($V629/$V628-1,"")</f>
        <v/>
      </c>
      <c r="EB628" s="58">
        <f>IFERROR($W629/$W628-1,"")</f>
        <v/>
      </c>
      <c r="EC628" s="58">
        <f>IFERROR($X629/$X628-1,"")</f>
        <v/>
      </c>
      <c r="ED628" s="58">
        <f>IFERROR($Y629/$Y628-1,"")</f>
        <v/>
      </c>
      <c r="EE628" s="58">
        <f>IFERROR($Z629/$Z628-1,"")</f>
        <v/>
      </c>
      <c r="EF628" s="58">
        <f>IFERROR($AA629/$AA628-1,"")</f>
        <v/>
      </c>
      <c r="EG628" s="58">
        <f>IFERROR($AB629/$AB628-1,"")</f>
        <v/>
      </c>
      <c r="EH628" s="58">
        <f>IFERROR($AC629/$AC628-1,"")</f>
        <v/>
      </c>
      <c r="EI628" s="58">
        <f>IFERROR($AD629/$AD628-1,"")</f>
        <v/>
      </c>
      <c r="EJ628" s="58">
        <f>IFERROR($AE629/$AE628-1,"")</f>
        <v/>
      </c>
      <c r="EK628" s="58">
        <f>IFERROR($AF629/$AF628-1,"")</f>
        <v/>
      </c>
      <c r="EL628" s="58">
        <f>IFERROR($AG629/$AG628-1,"")</f>
        <v/>
      </c>
      <c r="EM628" s="58">
        <f>IFERROR($BB628/$BB629-1,"")</f>
        <v/>
      </c>
      <c r="EN628" s="58">
        <f>IFERROR($BC628/$BC629-1,"")</f>
        <v/>
      </c>
      <c r="EO628" s="58">
        <f>IFERROR($BD628/$BD629-1,"")</f>
        <v/>
      </c>
      <c r="EP628" s="58">
        <f>IFERROR($BE628/$BE629-1,"")</f>
        <v/>
      </c>
      <c r="EQ628" s="58">
        <f>IFERROR($BF628/$BF629-1,"")</f>
        <v/>
      </c>
      <c r="ER628" s="58">
        <f>IFERROR($BG628/$BG629-1,"")</f>
        <v/>
      </c>
      <c r="ES628" s="58">
        <f>IFERROR($BH628/$BH629-1,"")</f>
        <v/>
      </c>
      <c r="ET628" s="58">
        <f>IFERROR($BI628/$BI629-1,"")</f>
        <v/>
      </c>
      <c r="EU628" s="58">
        <f>IFERROR($BJ628/$BJ629-1,"")</f>
        <v/>
      </c>
      <c r="EV628" s="58">
        <f>IFERROR($BK628/$BK629-1,"")</f>
        <v/>
      </c>
      <c r="EW628" s="58">
        <f>IFERROR($BL628/$BL629-1,"")</f>
        <v/>
      </c>
      <c r="EX628" s="58">
        <f>IFERROR($BM628/$BM629-1,"")</f>
        <v/>
      </c>
      <c r="EY628" s="58">
        <f>IFERROR($BN628/$BN629-1,"")</f>
        <v/>
      </c>
      <c r="EZ628" s="58">
        <f>IFERROR($BO628/$BO629-1,"")</f>
        <v/>
      </c>
      <c r="FA628" s="58">
        <f>IFERROR($BP628/$BP629-1,"")</f>
        <v/>
      </c>
      <c r="FB628" s="58">
        <f>IFERROR($BQ628/$BQ629-1,"")</f>
        <v/>
      </c>
      <c r="FC628" s="58">
        <f>IFERROR($BR628/$BR629-1,"")</f>
        <v/>
      </c>
      <c r="FD628" s="58">
        <f>IFERROR($BS628/$BS629-1,"")</f>
        <v/>
      </c>
      <c r="FE628" s="58">
        <f>IFERROR($BT628/$BT629-1,"")</f>
        <v/>
      </c>
      <c r="FF628" s="58">
        <f>IFERROR($BU628/$BU629-1,"")</f>
        <v/>
      </c>
      <c r="FG628" s="58">
        <f>IFERROR($BV628/$BV629-1,"")</f>
        <v/>
      </c>
      <c r="FH628" s="58">
        <f>IFERROR($BW628/$BW629-1,"")</f>
        <v/>
      </c>
      <c r="FI628" s="58">
        <f>IFERROR($BX628/$BX629-1,"")</f>
        <v/>
      </c>
      <c r="FJ628" s="59">
        <f>$BY628-$BY629</f>
        <v/>
      </c>
      <c r="FK628" s="59">
        <f>$BZ628-$BZ629</f>
        <v/>
      </c>
      <c r="FL628" s="59">
        <f>$CA628-$CA629</f>
        <v/>
      </c>
      <c r="FM628" s="59">
        <f>$CB628-$CB629</f>
        <v/>
      </c>
      <c r="FN628" s="59">
        <f>$CC628-$CC629</f>
        <v/>
      </c>
      <c r="FO628" s="59">
        <f>$CD628-$CD629</f>
        <v/>
      </c>
      <c r="FP628" s="59">
        <f>$CE628-$CE629</f>
        <v/>
      </c>
      <c r="FQ628" s="59">
        <f>$CF628-$CF629</f>
        <v/>
      </c>
      <c r="FR628" s="59">
        <f>$CG628-$CG629</f>
        <v/>
      </c>
      <c r="FS628" s="59">
        <f>$CH628-$CH629</f>
        <v/>
      </c>
      <c r="FT628" s="59">
        <f>$CI628-$CI629</f>
        <v/>
      </c>
      <c r="FU628" s="59">
        <f>$CJ628-$CJ629</f>
        <v/>
      </c>
      <c r="FV628" s="59">
        <f>$CK628-$CK629</f>
        <v/>
      </c>
      <c r="FW628" s="59">
        <f>$CL628-$CL629</f>
        <v/>
      </c>
      <c r="FX628" s="59">
        <f>$CM628-$CM629</f>
        <v/>
      </c>
      <c r="FY628" s="59">
        <f>$CN628-$CN629</f>
        <v/>
      </c>
      <c r="FZ628" s="59">
        <f>$CO628-$CO629</f>
        <v/>
      </c>
      <c r="GA628" s="59">
        <f>$CP628-$CP629</f>
        <v/>
      </c>
      <c r="GB628" s="59">
        <f>$CQ628-$CQ629</f>
        <v/>
      </c>
      <c r="GC628" s="59">
        <f>$CR628-$CR629</f>
        <v/>
      </c>
      <c r="GD628" s="59">
        <f>$CS628-$CS629</f>
        <v/>
      </c>
      <c r="GE628" s="59">
        <f>$CT628-$CT629</f>
        <v/>
      </c>
    </row>
    <row r="629">
      <c r="CU629" s="58">
        <f>IFERROR($B629/$B630-1,"")</f>
        <v/>
      </c>
      <c r="CV629" s="59">
        <f>($F629-$F630)*100</f>
        <v/>
      </c>
      <c r="CW629" s="59">
        <f>($E629-$E630)*100</f>
        <v/>
      </c>
      <c r="CX629" s="58">
        <f>IFERROR($K629/$K630-1,"")</f>
        <v/>
      </c>
      <c r="CY629" s="59">
        <f>($AH629-$AH630)*100</f>
        <v/>
      </c>
      <c r="CZ629" s="59">
        <f>($AI629-$AI630)*100</f>
        <v/>
      </c>
      <c r="DA629" s="59">
        <f>($AJ629-$AJ630)*100</f>
        <v/>
      </c>
      <c r="DB629" s="59">
        <f>($AK629-$AK630)*100</f>
        <v/>
      </c>
      <c r="DC629" s="59">
        <f>($AL629-$AL630)*100</f>
        <v/>
      </c>
      <c r="DD629" s="59">
        <f>($AM629-$AM630)*100</f>
        <v/>
      </c>
      <c r="DE629" s="59">
        <f>($AN629-$AN630)*100</f>
        <v/>
      </c>
      <c r="DF629" s="59">
        <f>($AO629-$AO630)*100</f>
        <v/>
      </c>
      <c r="DG629" s="59">
        <f>($AP629-$AP630)*100</f>
        <v/>
      </c>
      <c r="DH629" s="59">
        <f>($AQ629-$AQ630)*100</f>
        <v/>
      </c>
      <c r="DI629" s="59">
        <f>($AR629-$AR630)*100</f>
        <v/>
      </c>
      <c r="DJ629" s="59">
        <f>($AS629-$AS630)*100</f>
        <v/>
      </c>
      <c r="DK629" s="59">
        <f>($AT629-$AT630)*100</f>
        <v/>
      </c>
      <c r="DL629" s="59">
        <f>($AU629-$AU630)*100</f>
        <v/>
      </c>
      <c r="DM629" s="59">
        <f>($AV629-$AV630)*100</f>
        <v/>
      </c>
      <c r="DN629" s="59">
        <f>($AW629-$AW630)*100</f>
        <v/>
      </c>
      <c r="DO629" s="59">
        <f>($AX629-$AX630)*100</f>
        <v/>
      </c>
      <c r="DP629" s="59">
        <f>($AY629-$AY630)*100</f>
        <v/>
      </c>
      <c r="DQ629" s="59">
        <f>($AZ629-$AZ630)*100</f>
        <v/>
      </c>
      <c r="DR629" s="59">
        <f>($BA629-$BA630)*100</f>
        <v/>
      </c>
      <c r="DS629" s="58">
        <f>IFERROR($N630/$N629-1,"")</f>
        <v/>
      </c>
      <c r="DT629" s="58">
        <f>IFERROR($O630/$O629-1,"")</f>
        <v/>
      </c>
      <c r="DU629" s="58">
        <f>IFERROR($P630/$P629-1,"")</f>
        <v/>
      </c>
      <c r="DV629" s="58">
        <f>IFERROR($Q630/$Q629-1,"")</f>
        <v/>
      </c>
      <c r="DW629" s="58">
        <f>IFERROR($R630/$R629-1,"")</f>
        <v/>
      </c>
      <c r="DX629" s="58">
        <f>IFERROR($S630/$S629-1,"")</f>
        <v/>
      </c>
      <c r="DY629" s="58">
        <f>IFERROR($T630/$T629-1,"")</f>
        <v/>
      </c>
      <c r="DZ629" s="58">
        <f>IFERROR($U630/$U629-1,"")</f>
        <v/>
      </c>
      <c r="EA629" s="58">
        <f>IFERROR($V630/$V629-1,"")</f>
        <v/>
      </c>
      <c r="EB629" s="58">
        <f>IFERROR($W630/$W629-1,"")</f>
        <v/>
      </c>
      <c r="EC629" s="58">
        <f>IFERROR($X630/$X629-1,"")</f>
        <v/>
      </c>
      <c r="ED629" s="58">
        <f>IFERROR($Y630/$Y629-1,"")</f>
        <v/>
      </c>
      <c r="EE629" s="58">
        <f>IFERROR($Z630/$Z629-1,"")</f>
        <v/>
      </c>
      <c r="EF629" s="58">
        <f>IFERROR($AA630/$AA629-1,"")</f>
        <v/>
      </c>
      <c r="EG629" s="58">
        <f>IFERROR($AB630/$AB629-1,"")</f>
        <v/>
      </c>
      <c r="EH629" s="58">
        <f>IFERROR($AC630/$AC629-1,"")</f>
        <v/>
      </c>
      <c r="EI629" s="58">
        <f>IFERROR($AD630/$AD629-1,"")</f>
        <v/>
      </c>
      <c r="EJ629" s="58">
        <f>IFERROR($AE630/$AE629-1,"")</f>
        <v/>
      </c>
      <c r="EK629" s="58">
        <f>IFERROR($AF630/$AF629-1,"")</f>
        <v/>
      </c>
      <c r="EL629" s="58">
        <f>IFERROR($AG630/$AG629-1,"")</f>
        <v/>
      </c>
      <c r="EM629" s="58">
        <f>IFERROR($BB629/$BB630-1,"")</f>
        <v/>
      </c>
      <c r="EN629" s="58">
        <f>IFERROR($BC629/$BC630-1,"")</f>
        <v/>
      </c>
      <c r="EO629" s="58">
        <f>IFERROR($BD629/$BD630-1,"")</f>
        <v/>
      </c>
      <c r="EP629" s="58">
        <f>IFERROR($BE629/$BE630-1,"")</f>
        <v/>
      </c>
      <c r="EQ629" s="58">
        <f>IFERROR($BF629/$BF630-1,"")</f>
        <v/>
      </c>
      <c r="ER629" s="58">
        <f>IFERROR($BG629/$BG630-1,"")</f>
        <v/>
      </c>
      <c r="ES629" s="58">
        <f>IFERROR($BH629/$BH630-1,"")</f>
        <v/>
      </c>
      <c r="ET629" s="58">
        <f>IFERROR($BI629/$BI630-1,"")</f>
        <v/>
      </c>
      <c r="EU629" s="58">
        <f>IFERROR($BJ629/$BJ630-1,"")</f>
        <v/>
      </c>
      <c r="EV629" s="58">
        <f>IFERROR($BK629/$BK630-1,"")</f>
        <v/>
      </c>
      <c r="EW629" s="58">
        <f>IFERROR($BL629/$BL630-1,"")</f>
        <v/>
      </c>
      <c r="EX629" s="58">
        <f>IFERROR($BM629/$BM630-1,"")</f>
        <v/>
      </c>
      <c r="EY629" s="58">
        <f>IFERROR($BN629/$BN630-1,"")</f>
        <v/>
      </c>
      <c r="EZ629" s="58">
        <f>IFERROR($BO629/$BO630-1,"")</f>
        <v/>
      </c>
      <c r="FA629" s="58">
        <f>IFERROR($BP629/$BP630-1,"")</f>
        <v/>
      </c>
      <c r="FB629" s="58">
        <f>IFERROR($BQ629/$BQ630-1,"")</f>
        <v/>
      </c>
      <c r="FC629" s="58">
        <f>IFERROR($BR629/$BR630-1,"")</f>
        <v/>
      </c>
      <c r="FD629" s="58">
        <f>IFERROR($BS629/$BS630-1,"")</f>
        <v/>
      </c>
      <c r="FE629" s="58">
        <f>IFERROR($BT629/$BT630-1,"")</f>
        <v/>
      </c>
      <c r="FF629" s="58">
        <f>IFERROR($BU629/$BU630-1,"")</f>
        <v/>
      </c>
      <c r="FG629" s="58">
        <f>IFERROR($BV629/$BV630-1,"")</f>
        <v/>
      </c>
      <c r="FH629" s="58">
        <f>IFERROR($BW629/$BW630-1,"")</f>
        <v/>
      </c>
      <c r="FI629" s="58">
        <f>IFERROR($BX629/$BX630-1,"")</f>
        <v/>
      </c>
      <c r="FJ629" s="59">
        <f>$BY629-$BY630</f>
        <v/>
      </c>
      <c r="FK629" s="59">
        <f>$BZ629-$BZ630</f>
        <v/>
      </c>
      <c r="FL629" s="59">
        <f>$CA629-$CA630</f>
        <v/>
      </c>
      <c r="FM629" s="59">
        <f>$CB629-$CB630</f>
        <v/>
      </c>
      <c r="FN629" s="59">
        <f>$CC629-$CC630</f>
        <v/>
      </c>
      <c r="FO629" s="59">
        <f>$CD629-$CD630</f>
        <v/>
      </c>
      <c r="FP629" s="59">
        <f>$CE629-$CE630</f>
        <v/>
      </c>
      <c r="FQ629" s="59">
        <f>$CF629-$CF630</f>
        <v/>
      </c>
      <c r="FR629" s="59">
        <f>$CG629-$CG630</f>
        <v/>
      </c>
      <c r="FS629" s="59">
        <f>$CH629-$CH630</f>
        <v/>
      </c>
      <c r="FT629" s="59">
        <f>$CI629-$CI630</f>
        <v/>
      </c>
      <c r="FU629" s="59">
        <f>$CJ629-$CJ630</f>
        <v/>
      </c>
      <c r="FV629" s="59">
        <f>$CK629-$CK630</f>
        <v/>
      </c>
      <c r="FW629" s="59">
        <f>$CL629-$CL630</f>
        <v/>
      </c>
      <c r="FX629" s="59">
        <f>$CM629-$CM630</f>
        <v/>
      </c>
      <c r="FY629" s="59">
        <f>$CN629-$CN630</f>
        <v/>
      </c>
      <c r="FZ629" s="59">
        <f>$CO629-$CO630</f>
        <v/>
      </c>
      <c r="GA629" s="59">
        <f>$CP629-$CP630</f>
        <v/>
      </c>
      <c r="GB629" s="59">
        <f>$CQ629-$CQ630</f>
        <v/>
      </c>
      <c r="GC629" s="59">
        <f>$CR629-$CR630</f>
        <v/>
      </c>
      <c r="GD629" s="59">
        <f>$CS629-$CS630</f>
        <v/>
      </c>
      <c r="GE629" s="59">
        <f>$CT629-$CT630</f>
        <v/>
      </c>
    </row>
    <row r="630">
      <c r="CU630" s="58">
        <f>IFERROR($B630/$B631-1,"")</f>
        <v/>
      </c>
      <c r="CV630" s="59">
        <f>($F630-$F631)*100</f>
        <v/>
      </c>
      <c r="CW630" s="59">
        <f>($E630-$E631)*100</f>
        <v/>
      </c>
      <c r="CX630" s="58">
        <f>IFERROR($K630/$K631-1,"")</f>
        <v/>
      </c>
      <c r="CY630" s="59">
        <f>($AH630-$AH631)*100</f>
        <v/>
      </c>
      <c r="CZ630" s="59">
        <f>($AI630-$AI631)*100</f>
        <v/>
      </c>
      <c r="DA630" s="59">
        <f>($AJ630-$AJ631)*100</f>
        <v/>
      </c>
      <c r="DB630" s="59">
        <f>($AK630-$AK631)*100</f>
        <v/>
      </c>
      <c r="DC630" s="59">
        <f>($AL630-$AL631)*100</f>
        <v/>
      </c>
      <c r="DD630" s="59">
        <f>($AM630-$AM631)*100</f>
        <v/>
      </c>
      <c r="DE630" s="59">
        <f>($AN630-$AN631)*100</f>
        <v/>
      </c>
      <c r="DF630" s="59">
        <f>($AO630-$AO631)*100</f>
        <v/>
      </c>
      <c r="DG630" s="59">
        <f>($AP630-$AP631)*100</f>
        <v/>
      </c>
      <c r="DH630" s="59">
        <f>($AQ630-$AQ631)*100</f>
        <v/>
      </c>
      <c r="DI630" s="59">
        <f>($AR630-$AR631)*100</f>
        <v/>
      </c>
      <c r="DJ630" s="59">
        <f>($AS630-$AS631)*100</f>
        <v/>
      </c>
      <c r="DK630" s="59">
        <f>($AT630-$AT631)*100</f>
        <v/>
      </c>
      <c r="DL630" s="59">
        <f>($AU630-$AU631)*100</f>
        <v/>
      </c>
      <c r="DM630" s="59">
        <f>($AV630-$AV631)*100</f>
        <v/>
      </c>
      <c r="DN630" s="59">
        <f>($AW630-$AW631)*100</f>
        <v/>
      </c>
      <c r="DO630" s="59">
        <f>($AX630-$AX631)*100</f>
        <v/>
      </c>
      <c r="DP630" s="59">
        <f>($AY630-$AY631)*100</f>
        <v/>
      </c>
      <c r="DQ630" s="59">
        <f>($AZ630-$AZ631)*100</f>
        <v/>
      </c>
      <c r="DR630" s="59">
        <f>($BA630-$BA631)*100</f>
        <v/>
      </c>
      <c r="DS630" s="58">
        <f>IFERROR($N631/$N630-1,"")</f>
        <v/>
      </c>
      <c r="DT630" s="58">
        <f>IFERROR($O631/$O630-1,"")</f>
        <v/>
      </c>
      <c r="DU630" s="58">
        <f>IFERROR($P631/$P630-1,"")</f>
        <v/>
      </c>
      <c r="DV630" s="58">
        <f>IFERROR($Q631/$Q630-1,"")</f>
        <v/>
      </c>
      <c r="DW630" s="58">
        <f>IFERROR($R631/$R630-1,"")</f>
        <v/>
      </c>
      <c r="DX630" s="58">
        <f>IFERROR($S631/$S630-1,"")</f>
        <v/>
      </c>
      <c r="DY630" s="58">
        <f>IFERROR($T631/$T630-1,"")</f>
        <v/>
      </c>
      <c r="DZ630" s="58">
        <f>IFERROR($U631/$U630-1,"")</f>
        <v/>
      </c>
      <c r="EA630" s="58">
        <f>IFERROR($V631/$V630-1,"")</f>
        <v/>
      </c>
      <c r="EB630" s="58">
        <f>IFERROR($W631/$W630-1,"")</f>
        <v/>
      </c>
      <c r="EC630" s="58">
        <f>IFERROR($X631/$X630-1,"")</f>
        <v/>
      </c>
      <c r="ED630" s="58">
        <f>IFERROR($Y631/$Y630-1,"")</f>
        <v/>
      </c>
      <c r="EE630" s="58">
        <f>IFERROR($Z631/$Z630-1,"")</f>
        <v/>
      </c>
      <c r="EF630" s="58">
        <f>IFERROR($AA631/$AA630-1,"")</f>
        <v/>
      </c>
      <c r="EG630" s="58">
        <f>IFERROR($AB631/$AB630-1,"")</f>
        <v/>
      </c>
      <c r="EH630" s="58">
        <f>IFERROR($AC631/$AC630-1,"")</f>
        <v/>
      </c>
      <c r="EI630" s="58">
        <f>IFERROR($AD631/$AD630-1,"")</f>
        <v/>
      </c>
      <c r="EJ630" s="58">
        <f>IFERROR($AE631/$AE630-1,"")</f>
        <v/>
      </c>
      <c r="EK630" s="58">
        <f>IFERROR($AF631/$AF630-1,"")</f>
        <v/>
      </c>
      <c r="EL630" s="58">
        <f>IFERROR($AG631/$AG630-1,"")</f>
        <v/>
      </c>
      <c r="EM630" s="58">
        <f>IFERROR($BB630/$BB631-1,"")</f>
        <v/>
      </c>
      <c r="EN630" s="58">
        <f>IFERROR($BC630/$BC631-1,"")</f>
        <v/>
      </c>
      <c r="EO630" s="58">
        <f>IFERROR($BD630/$BD631-1,"")</f>
        <v/>
      </c>
      <c r="EP630" s="58">
        <f>IFERROR($BE630/$BE631-1,"")</f>
        <v/>
      </c>
      <c r="EQ630" s="58">
        <f>IFERROR($BF630/$BF631-1,"")</f>
        <v/>
      </c>
      <c r="ER630" s="58">
        <f>IFERROR($BG630/$BG631-1,"")</f>
        <v/>
      </c>
      <c r="ES630" s="58">
        <f>IFERROR($BH630/$BH631-1,"")</f>
        <v/>
      </c>
      <c r="ET630" s="58">
        <f>IFERROR($BI630/$BI631-1,"")</f>
        <v/>
      </c>
      <c r="EU630" s="58">
        <f>IFERROR($BJ630/$BJ631-1,"")</f>
        <v/>
      </c>
      <c r="EV630" s="58">
        <f>IFERROR($BK630/$BK631-1,"")</f>
        <v/>
      </c>
      <c r="EW630" s="58">
        <f>IFERROR($BL630/$BL631-1,"")</f>
        <v/>
      </c>
      <c r="EX630" s="58">
        <f>IFERROR($BM630/$BM631-1,"")</f>
        <v/>
      </c>
      <c r="EY630" s="58">
        <f>IFERROR($BN630/$BN631-1,"")</f>
        <v/>
      </c>
      <c r="EZ630" s="58">
        <f>IFERROR($BO630/$BO631-1,"")</f>
        <v/>
      </c>
      <c r="FA630" s="58">
        <f>IFERROR($BP630/$BP631-1,"")</f>
        <v/>
      </c>
      <c r="FB630" s="58">
        <f>IFERROR($BQ630/$BQ631-1,"")</f>
        <v/>
      </c>
      <c r="FC630" s="58">
        <f>IFERROR($BR630/$BR631-1,"")</f>
        <v/>
      </c>
      <c r="FD630" s="58">
        <f>IFERROR($BS630/$BS631-1,"")</f>
        <v/>
      </c>
      <c r="FE630" s="58">
        <f>IFERROR($BT630/$BT631-1,"")</f>
        <v/>
      </c>
      <c r="FF630" s="58">
        <f>IFERROR($BU630/$BU631-1,"")</f>
        <v/>
      </c>
      <c r="FG630" s="58">
        <f>IFERROR($BV630/$BV631-1,"")</f>
        <v/>
      </c>
      <c r="FH630" s="58">
        <f>IFERROR($BW630/$BW631-1,"")</f>
        <v/>
      </c>
      <c r="FI630" s="58">
        <f>IFERROR($BX630/$BX631-1,"")</f>
        <v/>
      </c>
      <c r="FJ630" s="59">
        <f>$BY630-$BY631</f>
        <v/>
      </c>
      <c r="FK630" s="59">
        <f>$BZ630-$BZ631</f>
        <v/>
      </c>
      <c r="FL630" s="59">
        <f>$CA630-$CA631</f>
        <v/>
      </c>
      <c r="FM630" s="59">
        <f>$CB630-$CB631</f>
        <v/>
      </c>
      <c r="FN630" s="59">
        <f>$CC630-$CC631</f>
        <v/>
      </c>
      <c r="FO630" s="59">
        <f>$CD630-$CD631</f>
        <v/>
      </c>
      <c r="FP630" s="59">
        <f>$CE630-$CE631</f>
        <v/>
      </c>
      <c r="FQ630" s="59">
        <f>$CF630-$CF631</f>
        <v/>
      </c>
      <c r="FR630" s="59">
        <f>$CG630-$CG631</f>
        <v/>
      </c>
      <c r="FS630" s="59">
        <f>$CH630-$CH631</f>
        <v/>
      </c>
      <c r="FT630" s="59">
        <f>$CI630-$CI631</f>
        <v/>
      </c>
      <c r="FU630" s="59">
        <f>$CJ630-$CJ631</f>
        <v/>
      </c>
      <c r="FV630" s="59">
        <f>$CK630-$CK631</f>
        <v/>
      </c>
      <c r="FW630" s="59">
        <f>$CL630-$CL631</f>
        <v/>
      </c>
      <c r="FX630" s="59">
        <f>$CM630-$CM631</f>
        <v/>
      </c>
      <c r="FY630" s="59">
        <f>$CN630-$CN631</f>
        <v/>
      </c>
      <c r="FZ630" s="59">
        <f>$CO630-$CO631</f>
        <v/>
      </c>
      <c r="GA630" s="59">
        <f>$CP630-$CP631</f>
        <v/>
      </c>
      <c r="GB630" s="59">
        <f>$CQ630-$CQ631</f>
        <v/>
      </c>
      <c r="GC630" s="59">
        <f>$CR630-$CR631</f>
        <v/>
      </c>
      <c r="GD630" s="59">
        <f>$CS630-$CS631</f>
        <v/>
      </c>
      <c r="GE630" s="59">
        <f>$CT630-$CT631</f>
        <v/>
      </c>
    </row>
    <row r="631">
      <c r="CU631" s="58">
        <f>IFERROR($B631/$B632-1,"")</f>
        <v/>
      </c>
      <c r="CV631" s="59">
        <f>($F631-$F632)*100</f>
        <v/>
      </c>
      <c r="CW631" s="59">
        <f>($E631-$E632)*100</f>
        <v/>
      </c>
      <c r="CX631" s="58">
        <f>IFERROR($K631/$K632-1,"")</f>
        <v/>
      </c>
      <c r="CY631" s="59">
        <f>($AH631-$AH632)*100</f>
        <v/>
      </c>
      <c r="CZ631" s="59">
        <f>($AI631-$AI632)*100</f>
        <v/>
      </c>
      <c r="DA631" s="59">
        <f>($AJ631-$AJ632)*100</f>
        <v/>
      </c>
      <c r="DB631" s="59">
        <f>($AK631-$AK632)*100</f>
        <v/>
      </c>
      <c r="DC631" s="59">
        <f>($AL631-$AL632)*100</f>
        <v/>
      </c>
      <c r="DD631" s="59">
        <f>($AM631-$AM632)*100</f>
        <v/>
      </c>
      <c r="DE631" s="59">
        <f>($AN631-$AN632)*100</f>
        <v/>
      </c>
      <c r="DF631" s="59">
        <f>($AO631-$AO632)*100</f>
        <v/>
      </c>
      <c r="DG631" s="59">
        <f>($AP631-$AP632)*100</f>
        <v/>
      </c>
      <c r="DH631" s="59">
        <f>($AQ631-$AQ632)*100</f>
        <v/>
      </c>
      <c r="DI631" s="59">
        <f>($AR631-$AR632)*100</f>
        <v/>
      </c>
      <c r="DJ631" s="59">
        <f>($AS631-$AS632)*100</f>
        <v/>
      </c>
      <c r="DK631" s="59">
        <f>($AT631-$AT632)*100</f>
        <v/>
      </c>
      <c r="DL631" s="59">
        <f>($AU631-$AU632)*100</f>
        <v/>
      </c>
      <c r="DM631" s="59">
        <f>($AV631-$AV632)*100</f>
        <v/>
      </c>
      <c r="DN631" s="59">
        <f>($AW631-$AW632)*100</f>
        <v/>
      </c>
      <c r="DO631" s="59">
        <f>($AX631-$AX632)*100</f>
        <v/>
      </c>
      <c r="DP631" s="59">
        <f>($AY631-$AY632)*100</f>
        <v/>
      </c>
      <c r="DQ631" s="59">
        <f>($AZ631-$AZ632)*100</f>
        <v/>
      </c>
      <c r="DR631" s="59">
        <f>($BA631-$BA632)*100</f>
        <v/>
      </c>
      <c r="DS631" s="58">
        <f>IFERROR($N632/$N631-1,"")</f>
        <v/>
      </c>
      <c r="DT631" s="58">
        <f>IFERROR($O632/$O631-1,"")</f>
        <v/>
      </c>
      <c r="DU631" s="58">
        <f>IFERROR($P632/$P631-1,"")</f>
        <v/>
      </c>
      <c r="DV631" s="58">
        <f>IFERROR($Q632/$Q631-1,"")</f>
        <v/>
      </c>
      <c r="DW631" s="58">
        <f>IFERROR($R632/$R631-1,"")</f>
        <v/>
      </c>
      <c r="DX631" s="58">
        <f>IFERROR($S632/$S631-1,"")</f>
        <v/>
      </c>
      <c r="DY631" s="58">
        <f>IFERROR($T632/$T631-1,"")</f>
        <v/>
      </c>
      <c r="DZ631" s="58">
        <f>IFERROR($U632/$U631-1,"")</f>
        <v/>
      </c>
      <c r="EA631" s="58">
        <f>IFERROR($V632/$V631-1,"")</f>
        <v/>
      </c>
      <c r="EB631" s="58">
        <f>IFERROR($W632/$W631-1,"")</f>
        <v/>
      </c>
      <c r="EC631" s="58">
        <f>IFERROR($X632/$X631-1,"")</f>
        <v/>
      </c>
      <c r="ED631" s="58">
        <f>IFERROR($Y632/$Y631-1,"")</f>
        <v/>
      </c>
      <c r="EE631" s="58">
        <f>IFERROR($Z632/$Z631-1,"")</f>
        <v/>
      </c>
      <c r="EF631" s="58">
        <f>IFERROR($AA632/$AA631-1,"")</f>
        <v/>
      </c>
      <c r="EG631" s="58">
        <f>IFERROR($AB632/$AB631-1,"")</f>
        <v/>
      </c>
      <c r="EH631" s="58">
        <f>IFERROR($AC632/$AC631-1,"")</f>
        <v/>
      </c>
      <c r="EI631" s="58">
        <f>IFERROR($AD632/$AD631-1,"")</f>
        <v/>
      </c>
      <c r="EJ631" s="58">
        <f>IFERROR($AE632/$AE631-1,"")</f>
        <v/>
      </c>
      <c r="EK631" s="58">
        <f>IFERROR($AF632/$AF631-1,"")</f>
        <v/>
      </c>
      <c r="EL631" s="58">
        <f>IFERROR($AG632/$AG631-1,"")</f>
        <v/>
      </c>
      <c r="EM631" s="58">
        <f>IFERROR($BB631/$BB632-1,"")</f>
        <v/>
      </c>
      <c r="EN631" s="58">
        <f>IFERROR($BC631/$BC632-1,"")</f>
        <v/>
      </c>
      <c r="EO631" s="58">
        <f>IFERROR($BD631/$BD632-1,"")</f>
        <v/>
      </c>
      <c r="EP631" s="58">
        <f>IFERROR($BE631/$BE632-1,"")</f>
        <v/>
      </c>
      <c r="EQ631" s="58">
        <f>IFERROR($BF631/$BF632-1,"")</f>
        <v/>
      </c>
      <c r="ER631" s="58">
        <f>IFERROR($BG631/$BG632-1,"")</f>
        <v/>
      </c>
      <c r="ES631" s="58">
        <f>IFERROR($BH631/$BH632-1,"")</f>
        <v/>
      </c>
      <c r="ET631" s="58">
        <f>IFERROR($BI631/$BI632-1,"")</f>
        <v/>
      </c>
      <c r="EU631" s="58">
        <f>IFERROR($BJ631/$BJ632-1,"")</f>
        <v/>
      </c>
      <c r="EV631" s="58">
        <f>IFERROR($BK631/$BK632-1,"")</f>
        <v/>
      </c>
      <c r="EW631" s="58">
        <f>IFERROR($BL631/$BL632-1,"")</f>
        <v/>
      </c>
      <c r="EX631" s="58">
        <f>IFERROR($BM631/$BM632-1,"")</f>
        <v/>
      </c>
      <c r="EY631" s="58">
        <f>IFERROR($BN631/$BN632-1,"")</f>
        <v/>
      </c>
      <c r="EZ631" s="58">
        <f>IFERROR($BO631/$BO632-1,"")</f>
        <v/>
      </c>
      <c r="FA631" s="58">
        <f>IFERROR($BP631/$BP632-1,"")</f>
        <v/>
      </c>
      <c r="FB631" s="58">
        <f>IFERROR($BQ631/$BQ632-1,"")</f>
        <v/>
      </c>
      <c r="FC631" s="58">
        <f>IFERROR($BR631/$BR632-1,"")</f>
        <v/>
      </c>
      <c r="FD631" s="58">
        <f>IFERROR($BS631/$BS632-1,"")</f>
        <v/>
      </c>
      <c r="FE631" s="58">
        <f>IFERROR($BT631/$BT632-1,"")</f>
        <v/>
      </c>
      <c r="FF631" s="58">
        <f>IFERROR($BU631/$BU632-1,"")</f>
        <v/>
      </c>
      <c r="FG631" s="58">
        <f>IFERROR($BV631/$BV632-1,"")</f>
        <v/>
      </c>
      <c r="FH631" s="58">
        <f>IFERROR($BW631/$BW632-1,"")</f>
        <v/>
      </c>
      <c r="FI631" s="58">
        <f>IFERROR($BX631/$BX632-1,"")</f>
        <v/>
      </c>
      <c r="FJ631" s="59">
        <f>$BY631-$BY632</f>
        <v/>
      </c>
      <c r="FK631" s="59">
        <f>$BZ631-$BZ632</f>
        <v/>
      </c>
      <c r="FL631" s="59">
        <f>$CA631-$CA632</f>
        <v/>
      </c>
      <c r="FM631" s="59">
        <f>$CB631-$CB632</f>
        <v/>
      </c>
      <c r="FN631" s="59">
        <f>$CC631-$CC632</f>
        <v/>
      </c>
      <c r="FO631" s="59">
        <f>$CD631-$CD632</f>
        <v/>
      </c>
      <c r="FP631" s="59">
        <f>$CE631-$CE632</f>
        <v/>
      </c>
      <c r="FQ631" s="59">
        <f>$CF631-$CF632</f>
        <v/>
      </c>
      <c r="FR631" s="59">
        <f>$CG631-$CG632</f>
        <v/>
      </c>
      <c r="FS631" s="59">
        <f>$CH631-$CH632</f>
        <v/>
      </c>
      <c r="FT631" s="59">
        <f>$CI631-$CI632</f>
        <v/>
      </c>
      <c r="FU631" s="59">
        <f>$CJ631-$CJ632</f>
        <v/>
      </c>
      <c r="FV631" s="59">
        <f>$CK631-$CK632</f>
        <v/>
      </c>
      <c r="FW631" s="59">
        <f>$CL631-$CL632</f>
        <v/>
      </c>
      <c r="FX631" s="59">
        <f>$CM631-$CM632</f>
        <v/>
      </c>
      <c r="FY631" s="59">
        <f>$CN631-$CN632</f>
        <v/>
      </c>
      <c r="FZ631" s="59">
        <f>$CO631-$CO632</f>
        <v/>
      </c>
      <c r="GA631" s="59">
        <f>$CP631-$CP632</f>
        <v/>
      </c>
      <c r="GB631" s="59">
        <f>$CQ631-$CQ632</f>
        <v/>
      </c>
      <c r="GC631" s="59">
        <f>$CR631-$CR632</f>
        <v/>
      </c>
      <c r="GD631" s="59">
        <f>$CS631-$CS632</f>
        <v/>
      </c>
      <c r="GE631" s="59">
        <f>$CT631-$CT632</f>
        <v/>
      </c>
    </row>
    <row r="632">
      <c r="CU632" s="58">
        <f>IFERROR($B632/$B633-1,"")</f>
        <v/>
      </c>
      <c r="CV632" s="59">
        <f>($F632-$F633)*100</f>
        <v/>
      </c>
      <c r="CW632" s="59">
        <f>($E632-$E633)*100</f>
        <v/>
      </c>
      <c r="CX632" s="58">
        <f>IFERROR($K632/$K633-1,"")</f>
        <v/>
      </c>
      <c r="CY632" s="59">
        <f>($AH632-$AH633)*100</f>
        <v/>
      </c>
      <c r="CZ632" s="59">
        <f>($AI632-$AI633)*100</f>
        <v/>
      </c>
      <c r="DA632" s="59">
        <f>($AJ632-$AJ633)*100</f>
        <v/>
      </c>
      <c r="DB632" s="59">
        <f>($AK632-$AK633)*100</f>
        <v/>
      </c>
      <c r="DC632" s="59">
        <f>($AL632-$AL633)*100</f>
        <v/>
      </c>
      <c r="DD632" s="59">
        <f>($AM632-$AM633)*100</f>
        <v/>
      </c>
      <c r="DE632" s="59">
        <f>($AN632-$AN633)*100</f>
        <v/>
      </c>
      <c r="DF632" s="59">
        <f>($AO632-$AO633)*100</f>
        <v/>
      </c>
      <c r="DG632" s="59">
        <f>($AP632-$AP633)*100</f>
        <v/>
      </c>
      <c r="DH632" s="59">
        <f>($AQ632-$AQ633)*100</f>
        <v/>
      </c>
      <c r="DI632" s="59">
        <f>($AR632-$AR633)*100</f>
        <v/>
      </c>
      <c r="DJ632" s="59">
        <f>($AS632-$AS633)*100</f>
        <v/>
      </c>
      <c r="DK632" s="59">
        <f>($AT632-$AT633)*100</f>
        <v/>
      </c>
      <c r="DL632" s="59">
        <f>($AU632-$AU633)*100</f>
        <v/>
      </c>
      <c r="DM632" s="59">
        <f>($AV632-$AV633)*100</f>
        <v/>
      </c>
      <c r="DN632" s="59">
        <f>($AW632-$AW633)*100</f>
        <v/>
      </c>
      <c r="DO632" s="59">
        <f>($AX632-$AX633)*100</f>
        <v/>
      </c>
      <c r="DP632" s="59">
        <f>($AY632-$AY633)*100</f>
        <v/>
      </c>
      <c r="DQ632" s="59">
        <f>($AZ632-$AZ633)*100</f>
        <v/>
      </c>
      <c r="DR632" s="59">
        <f>($BA632-$BA633)*100</f>
        <v/>
      </c>
      <c r="DS632" s="58">
        <f>IFERROR($N633/$N632-1,"")</f>
        <v/>
      </c>
      <c r="DT632" s="58">
        <f>IFERROR($O633/$O632-1,"")</f>
        <v/>
      </c>
      <c r="DU632" s="58">
        <f>IFERROR($P633/$P632-1,"")</f>
        <v/>
      </c>
      <c r="DV632" s="58">
        <f>IFERROR($Q633/$Q632-1,"")</f>
        <v/>
      </c>
      <c r="DW632" s="58">
        <f>IFERROR($R633/$R632-1,"")</f>
        <v/>
      </c>
      <c r="DX632" s="58">
        <f>IFERROR($S633/$S632-1,"")</f>
        <v/>
      </c>
      <c r="DY632" s="58">
        <f>IFERROR($T633/$T632-1,"")</f>
        <v/>
      </c>
      <c r="DZ632" s="58">
        <f>IFERROR($U633/$U632-1,"")</f>
        <v/>
      </c>
      <c r="EA632" s="58">
        <f>IFERROR($V633/$V632-1,"")</f>
        <v/>
      </c>
      <c r="EB632" s="58">
        <f>IFERROR($W633/$W632-1,"")</f>
        <v/>
      </c>
      <c r="EC632" s="58">
        <f>IFERROR($X633/$X632-1,"")</f>
        <v/>
      </c>
      <c r="ED632" s="58">
        <f>IFERROR($Y633/$Y632-1,"")</f>
        <v/>
      </c>
      <c r="EE632" s="58">
        <f>IFERROR($Z633/$Z632-1,"")</f>
        <v/>
      </c>
      <c r="EF632" s="58">
        <f>IFERROR($AA633/$AA632-1,"")</f>
        <v/>
      </c>
      <c r="EG632" s="58">
        <f>IFERROR($AB633/$AB632-1,"")</f>
        <v/>
      </c>
      <c r="EH632" s="58">
        <f>IFERROR($AC633/$AC632-1,"")</f>
        <v/>
      </c>
      <c r="EI632" s="58">
        <f>IFERROR($AD633/$AD632-1,"")</f>
        <v/>
      </c>
      <c r="EJ632" s="58">
        <f>IFERROR($AE633/$AE632-1,"")</f>
        <v/>
      </c>
      <c r="EK632" s="58">
        <f>IFERROR($AF633/$AF632-1,"")</f>
        <v/>
      </c>
      <c r="EL632" s="58">
        <f>IFERROR($AG633/$AG632-1,"")</f>
        <v/>
      </c>
      <c r="EM632" s="58">
        <f>IFERROR($BB632/$BB633-1,"")</f>
        <v/>
      </c>
      <c r="EN632" s="58">
        <f>IFERROR($BC632/$BC633-1,"")</f>
        <v/>
      </c>
      <c r="EO632" s="58">
        <f>IFERROR($BD632/$BD633-1,"")</f>
        <v/>
      </c>
      <c r="EP632" s="58">
        <f>IFERROR($BE632/$BE633-1,"")</f>
        <v/>
      </c>
      <c r="EQ632" s="58">
        <f>IFERROR($BF632/$BF633-1,"")</f>
        <v/>
      </c>
      <c r="ER632" s="58">
        <f>IFERROR($BG632/$BG633-1,"")</f>
        <v/>
      </c>
      <c r="ES632" s="58">
        <f>IFERROR($BH632/$BH633-1,"")</f>
        <v/>
      </c>
      <c r="ET632" s="58">
        <f>IFERROR($BI632/$BI633-1,"")</f>
        <v/>
      </c>
      <c r="EU632" s="58">
        <f>IFERROR($BJ632/$BJ633-1,"")</f>
        <v/>
      </c>
      <c r="EV632" s="58">
        <f>IFERROR($BK632/$BK633-1,"")</f>
        <v/>
      </c>
      <c r="EW632" s="58">
        <f>IFERROR($BL632/$BL633-1,"")</f>
        <v/>
      </c>
      <c r="EX632" s="58">
        <f>IFERROR($BM632/$BM633-1,"")</f>
        <v/>
      </c>
      <c r="EY632" s="58">
        <f>IFERROR($BN632/$BN633-1,"")</f>
        <v/>
      </c>
      <c r="EZ632" s="58">
        <f>IFERROR($BO632/$BO633-1,"")</f>
        <v/>
      </c>
      <c r="FA632" s="58">
        <f>IFERROR($BP632/$BP633-1,"")</f>
        <v/>
      </c>
      <c r="FB632" s="58">
        <f>IFERROR($BQ632/$BQ633-1,"")</f>
        <v/>
      </c>
      <c r="FC632" s="58">
        <f>IFERROR($BR632/$BR633-1,"")</f>
        <v/>
      </c>
      <c r="FD632" s="58">
        <f>IFERROR($BS632/$BS633-1,"")</f>
        <v/>
      </c>
      <c r="FE632" s="58">
        <f>IFERROR($BT632/$BT633-1,"")</f>
        <v/>
      </c>
      <c r="FF632" s="58">
        <f>IFERROR($BU632/$BU633-1,"")</f>
        <v/>
      </c>
      <c r="FG632" s="58">
        <f>IFERROR($BV632/$BV633-1,"")</f>
        <v/>
      </c>
      <c r="FH632" s="58">
        <f>IFERROR($BW632/$BW633-1,"")</f>
        <v/>
      </c>
      <c r="FI632" s="58">
        <f>IFERROR($BX632/$BX633-1,"")</f>
        <v/>
      </c>
      <c r="FJ632" s="59">
        <f>$BY632-$BY633</f>
        <v/>
      </c>
      <c r="FK632" s="59">
        <f>$BZ632-$BZ633</f>
        <v/>
      </c>
      <c r="FL632" s="59">
        <f>$CA632-$CA633</f>
        <v/>
      </c>
      <c r="FM632" s="59">
        <f>$CB632-$CB633</f>
        <v/>
      </c>
      <c r="FN632" s="59">
        <f>$CC632-$CC633</f>
        <v/>
      </c>
      <c r="FO632" s="59">
        <f>$CD632-$CD633</f>
        <v/>
      </c>
      <c r="FP632" s="59">
        <f>$CE632-$CE633</f>
        <v/>
      </c>
      <c r="FQ632" s="59">
        <f>$CF632-$CF633</f>
        <v/>
      </c>
      <c r="FR632" s="59">
        <f>$CG632-$CG633</f>
        <v/>
      </c>
      <c r="FS632" s="59">
        <f>$CH632-$CH633</f>
        <v/>
      </c>
      <c r="FT632" s="59">
        <f>$CI632-$CI633</f>
        <v/>
      </c>
      <c r="FU632" s="59">
        <f>$CJ632-$CJ633</f>
        <v/>
      </c>
      <c r="FV632" s="59">
        <f>$CK632-$CK633</f>
        <v/>
      </c>
      <c r="FW632" s="59">
        <f>$CL632-$CL633</f>
        <v/>
      </c>
      <c r="FX632" s="59">
        <f>$CM632-$CM633</f>
        <v/>
      </c>
      <c r="FY632" s="59">
        <f>$CN632-$CN633</f>
        <v/>
      </c>
      <c r="FZ632" s="59">
        <f>$CO632-$CO633</f>
        <v/>
      </c>
      <c r="GA632" s="59">
        <f>$CP632-$CP633</f>
        <v/>
      </c>
      <c r="GB632" s="59">
        <f>$CQ632-$CQ633</f>
        <v/>
      </c>
      <c r="GC632" s="59">
        <f>$CR632-$CR633</f>
        <v/>
      </c>
      <c r="GD632" s="59">
        <f>$CS632-$CS633</f>
        <v/>
      </c>
      <c r="GE632" s="59">
        <f>$CT632-$CT633</f>
        <v/>
      </c>
    </row>
    <row r="633">
      <c r="CU633" s="58">
        <f>IFERROR($B633/$B634-1,"")</f>
        <v/>
      </c>
      <c r="CV633" s="59">
        <f>($F633-$F634)*100</f>
        <v/>
      </c>
      <c r="CW633" s="59">
        <f>($E633-$E634)*100</f>
        <v/>
      </c>
      <c r="CX633" s="58">
        <f>IFERROR($K633/$K634-1,"")</f>
        <v/>
      </c>
      <c r="CY633" s="59">
        <f>($AH633-$AH634)*100</f>
        <v/>
      </c>
      <c r="CZ633" s="59">
        <f>($AI633-$AI634)*100</f>
        <v/>
      </c>
      <c r="DA633" s="59">
        <f>($AJ633-$AJ634)*100</f>
        <v/>
      </c>
      <c r="DB633" s="59">
        <f>($AK633-$AK634)*100</f>
        <v/>
      </c>
      <c r="DC633" s="59">
        <f>($AL633-$AL634)*100</f>
        <v/>
      </c>
      <c r="DD633" s="59">
        <f>($AM633-$AM634)*100</f>
        <v/>
      </c>
      <c r="DE633" s="59">
        <f>($AN633-$AN634)*100</f>
        <v/>
      </c>
      <c r="DF633" s="59">
        <f>($AO633-$AO634)*100</f>
        <v/>
      </c>
      <c r="DG633" s="59">
        <f>($AP633-$AP634)*100</f>
        <v/>
      </c>
      <c r="DH633" s="59">
        <f>($AQ633-$AQ634)*100</f>
        <v/>
      </c>
      <c r="DI633" s="59">
        <f>($AR633-$AR634)*100</f>
        <v/>
      </c>
      <c r="DJ633" s="59">
        <f>($AS633-$AS634)*100</f>
        <v/>
      </c>
      <c r="DK633" s="59">
        <f>($AT633-$AT634)*100</f>
        <v/>
      </c>
      <c r="DL633" s="59">
        <f>($AU633-$AU634)*100</f>
        <v/>
      </c>
      <c r="DM633" s="59">
        <f>($AV633-$AV634)*100</f>
        <v/>
      </c>
      <c r="DN633" s="59">
        <f>($AW633-$AW634)*100</f>
        <v/>
      </c>
      <c r="DO633" s="59">
        <f>($AX633-$AX634)*100</f>
        <v/>
      </c>
      <c r="DP633" s="59">
        <f>($AY633-$AY634)*100</f>
        <v/>
      </c>
      <c r="DQ633" s="59">
        <f>($AZ633-$AZ634)*100</f>
        <v/>
      </c>
      <c r="DR633" s="59">
        <f>($BA633-$BA634)*100</f>
        <v/>
      </c>
      <c r="DS633" s="58">
        <f>IFERROR($N634/$N633-1,"")</f>
        <v/>
      </c>
      <c r="DT633" s="58">
        <f>IFERROR($O634/$O633-1,"")</f>
        <v/>
      </c>
      <c r="DU633" s="58">
        <f>IFERROR($P634/$P633-1,"")</f>
        <v/>
      </c>
      <c r="DV633" s="58">
        <f>IFERROR($Q634/$Q633-1,"")</f>
        <v/>
      </c>
      <c r="DW633" s="58">
        <f>IFERROR($R634/$R633-1,"")</f>
        <v/>
      </c>
      <c r="DX633" s="58">
        <f>IFERROR($S634/$S633-1,"")</f>
        <v/>
      </c>
      <c r="DY633" s="58">
        <f>IFERROR($T634/$T633-1,"")</f>
        <v/>
      </c>
      <c r="DZ633" s="58">
        <f>IFERROR($U634/$U633-1,"")</f>
        <v/>
      </c>
      <c r="EA633" s="58">
        <f>IFERROR($V634/$V633-1,"")</f>
        <v/>
      </c>
      <c r="EB633" s="58">
        <f>IFERROR($W634/$W633-1,"")</f>
        <v/>
      </c>
      <c r="EC633" s="58">
        <f>IFERROR($X634/$X633-1,"")</f>
        <v/>
      </c>
      <c r="ED633" s="58">
        <f>IFERROR($Y634/$Y633-1,"")</f>
        <v/>
      </c>
      <c r="EE633" s="58">
        <f>IFERROR($Z634/$Z633-1,"")</f>
        <v/>
      </c>
      <c r="EF633" s="58">
        <f>IFERROR($AA634/$AA633-1,"")</f>
        <v/>
      </c>
      <c r="EG633" s="58">
        <f>IFERROR($AB634/$AB633-1,"")</f>
        <v/>
      </c>
      <c r="EH633" s="58">
        <f>IFERROR($AC634/$AC633-1,"")</f>
        <v/>
      </c>
      <c r="EI633" s="58">
        <f>IFERROR($AD634/$AD633-1,"")</f>
        <v/>
      </c>
      <c r="EJ633" s="58">
        <f>IFERROR($AE634/$AE633-1,"")</f>
        <v/>
      </c>
      <c r="EK633" s="58">
        <f>IFERROR($AF634/$AF633-1,"")</f>
        <v/>
      </c>
      <c r="EL633" s="58">
        <f>IFERROR($AG634/$AG633-1,"")</f>
        <v/>
      </c>
      <c r="EM633" s="58">
        <f>IFERROR($BB633/$BB634-1,"")</f>
        <v/>
      </c>
      <c r="EN633" s="58">
        <f>IFERROR($BC633/$BC634-1,"")</f>
        <v/>
      </c>
      <c r="EO633" s="58">
        <f>IFERROR($BD633/$BD634-1,"")</f>
        <v/>
      </c>
      <c r="EP633" s="58">
        <f>IFERROR($BE633/$BE634-1,"")</f>
        <v/>
      </c>
      <c r="EQ633" s="58">
        <f>IFERROR($BF633/$BF634-1,"")</f>
        <v/>
      </c>
      <c r="ER633" s="58">
        <f>IFERROR($BG633/$BG634-1,"")</f>
        <v/>
      </c>
      <c r="ES633" s="58">
        <f>IFERROR($BH633/$BH634-1,"")</f>
        <v/>
      </c>
      <c r="ET633" s="58">
        <f>IFERROR($BI633/$BI634-1,"")</f>
        <v/>
      </c>
      <c r="EU633" s="58">
        <f>IFERROR($BJ633/$BJ634-1,"")</f>
        <v/>
      </c>
      <c r="EV633" s="58">
        <f>IFERROR($BK633/$BK634-1,"")</f>
        <v/>
      </c>
      <c r="EW633" s="58">
        <f>IFERROR($BL633/$BL634-1,"")</f>
        <v/>
      </c>
      <c r="EX633" s="58">
        <f>IFERROR($BM633/$BM634-1,"")</f>
        <v/>
      </c>
      <c r="EY633" s="58">
        <f>IFERROR($BN633/$BN634-1,"")</f>
        <v/>
      </c>
      <c r="EZ633" s="58">
        <f>IFERROR($BO633/$BO634-1,"")</f>
        <v/>
      </c>
      <c r="FA633" s="58">
        <f>IFERROR($BP633/$BP634-1,"")</f>
        <v/>
      </c>
      <c r="FB633" s="58">
        <f>IFERROR($BQ633/$BQ634-1,"")</f>
        <v/>
      </c>
      <c r="FC633" s="58">
        <f>IFERROR($BR633/$BR634-1,"")</f>
        <v/>
      </c>
      <c r="FD633" s="58">
        <f>IFERROR($BS633/$BS634-1,"")</f>
        <v/>
      </c>
      <c r="FE633" s="58">
        <f>IFERROR($BT633/$BT634-1,"")</f>
        <v/>
      </c>
      <c r="FF633" s="58">
        <f>IFERROR($BU633/$BU634-1,"")</f>
        <v/>
      </c>
      <c r="FG633" s="58">
        <f>IFERROR($BV633/$BV634-1,"")</f>
        <v/>
      </c>
      <c r="FH633" s="58">
        <f>IFERROR($BW633/$BW634-1,"")</f>
        <v/>
      </c>
      <c r="FI633" s="58">
        <f>IFERROR($BX633/$BX634-1,"")</f>
        <v/>
      </c>
      <c r="FJ633" s="59">
        <f>$BY633-$BY634</f>
        <v/>
      </c>
      <c r="FK633" s="59">
        <f>$BZ633-$BZ634</f>
        <v/>
      </c>
      <c r="FL633" s="59">
        <f>$CA633-$CA634</f>
        <v/>
      </c>
      <c r="FM633" s="59">
        <f>$CB633-$CB634</f>
        <v/>
      </c>
      <c r="FN633" s="59">
        <f>$CC633-$CC634</f>
        <v/>
      </c>
      <c r="FO633" s="59">
        <f>$CD633-$CD634</f>
        <v/>
      </c>
      <c r="FP633" s="59">
        <f>$CE633-$CE634</f>
        <v/>
      </c>
      <c r="FQ633" s="59">
        <f>$CF633-$CF634</f>
        <v/>
      </c>
      <c r="FR633" s="59">
        <f>$CG633-$CG634</f>
        <v/>
      </c>
      <c r="FS633" s="59">
        <f>$CH633-$CH634</f>
        <v/>
      </c>
      <c r="FT633" s="59">
        <f>$CI633-$CI634</f>
        <v/>
      </c>
      <c r="FU633" s="59">
        <f>$CJ633-$CJ634</f>
        <v/>
      </c>
      <c r="FV633" s="59">
        <f>$CK633-$CK634</f>
        <v/>
      </c>
      <c r="FW633" s="59">
        <f>$CL633-$CL634</f>
        <v/>
      </c>
      <c r="FX633" s="59">
        <f>$CM633-$CM634</f>
        <v/>
      </c>
      <c r="FY633" s="59">
        <f>$CN633-$CN634</f>
        <v/>
      </c>
      <c r="FZ633" s="59">
        <f>$CO633-$CO634</f>
        <v/>
      </c>
      <c r="GA633" s="59">
        <f>$CP633-$CP634</f>
        <v/>
      </c>
      <c r="GB633" s="59">
        <f>$CQ633-$CQ634</f>
        <v/>
      </c>
      <c r="GC633" s="59">
        <f>$CR633-$CR634</f>
        <v/>
      </c>
      <c r="GD633" s="59">
        <f>$CS633-$CS634</f>
        <v/>
      </c>
      <c r="GE633" s="59">
        <f>$CT633-$CT634</f>
        <v/>
      </c>
    </row>
    <row r="634">
      <c r="CU634" s="58">
        <f>IFERROR($B634/$B635-1,"")</f>
        <v/>
      </c>
      <c r="CV634" s="59">
        <f>($F634-$F635)*100</f>
        <v/>
      </c>
      <c r="CW634" s="59">
        <f>($E634-$E635)*100</f>
        <v/>
      </c>
      <c r="CX634" s="58">
        <f>IFERROR($K634/$K635-1,"")</f>
        <v/>
      </c>
      <c r="CY634" s="59">
        <f>($AH634-$AH635)*100</f>
        <v/>
      </c>
      <c r="CZ634" s="59">
        <f>($AI634-$AI635)*100</f>
        <v/>
      </c>
      <c r="DA634" s="59">
        <f>($AJ634-$AJ635)*100</f>
        <v/>
      </c>
      <c r="DB634" s="59">
        <f>($AK634-$AK635)*100</f>
        <v/>
      </c>
      <c r="DC634" s="59">
        <f>($AL634-$AL635)*100</f>
        <v/>
      </c>
      <c r="DD634" s="59">
        <f>($AM634-$AM635)*100</f>
        <v/>
      </c>
      <c r="DE634" s="59">
        <f>($AN634-$AN635)*100</f>
        <v/>
      </c>
      <c r="DF634" s="59">
        <f>($AO634-$AO635)*100</f>
        <v/>
      </c>
      <c r="DG634" s="59">
        <f>($AP634-$AP635)*100</f>
        <v/>
      </c>
      <c r="DH634" s="59">
        <f>($AQ634-$AQ635)*100</f>
        <v/>
      </c>
      <c r="DI634" s="59">
        <f>($AR634-$AR635)*100</f>
        <v/>
      </c>
      <c r="DJ634" s="59">
        <f>($AS634-$AS635)*100</f>
        <v/>
      </c>
      <c r="DK634" s="59">
        <f>($AT634-$AT635)*100</f>
        <v/>
      </c>
      <c r="DL634" s="59">
        <f>($AU634-$AU635)*100</f>
        <v/>
      </c>
      <c r="DM634" s="59">
        <f>($AV634-$AV635)*100</f>
        <v/>
      </c>
      <c r="DN634" s="59">
        <f>($AW634-$AW635)*100</f>
        <v/>
      </c>
      <c r="DO634" s="59">
        <f>($AX634-$AX635)*100</f>
        <v/>
      </c>
      <c r="DP634" s="59">
        <f>($AY634-$AY635)*100</f>
        <v/>
      </c>
      <c r="DQ634" s="59">
        <f>($AZ634-$AZ635)*100</f>
        <v/>
      </c>
      <c r="DR634" s="59">
        <f>($BA634-$BA635)*100</f>
        <v/>
      </c>
      <c r="DS634" s="58">
        <f>IFERROR($N635/$N634-1,"")</f>
        <v/>
      </c>
      <c r="DT634" s="58">
        <f>IFERROR($O635/$O634-1,"")</f>
        <v/>
      </c>
      <c r="DU634" s="58">
        <f>IFERROR($P635/$P634-1,"")</f>
        <v/>
      </c>
      <c r="DV634" s="58">
        <f>IFERROR($Q635/$Q634-1,"")</f>
        <v/>
      </c>
      <c r="DW634" s="58">
        <f>IFERROR($R635/$R634-1,"")</f>
        <v/>
      </c>
      <c r="DX634" s="58">
        <f>IFERROR($S635/$S634-1,"")</f>
        <v/>
      </c>
      <c r="DY634" s="58">
        <f>IFERROR($T635/$T634-1,"")</f>
        <v/>
      </c>
      <c r="DZ634" s="58">
        <f>IFERROR($U635/$U634-1,"")</f>
        <v/>
      </c>
      <c r="EA634" s="58">
        <f>IFERROR($V635/$V634-1,"")</f>
        <v/>
      </c>
      <c r="EB634" s="58">
        <f>IFERROR($W635/$W634-1,"")</f>
        <v/>
      </c>
      <c r="EC634" s="58">
        <f>IFERROR($X635/$X634-1,"")</f>
        <v/>
      </c>
      <c r="ED634" s="58">
        <f>IFERROR($Y635/$Y634-1,"")</f>
        <v/>
      </c>
      <c r="EE634" s="58">
        <f>IFERROR($Z635/$Z634-1,"")</f>
        <v/>
      </c>
      <c r="EF634" s="58">
        <f>IFERROR($AA635/$AA634-1,"")</f>
        <v/>
      </c>
      <c r="EG634" s="58">
        <f>IFERROR($AB635/$AB634-1,"")</f>
        <v/>
      </c>
      <c r="EH634" s="58">
        <f>IFERROR($AC635/$AC634-1,"")</f>
        <v/>
      </c>
      <c r="EI634" s="58">
        <f>IFERROR($AD635/$AD634-1,"")</f>
        <v/>
      </c>
      <c r="EJ634" s="58">
        <f>IFERROR($AE635/$AE634-1,"")</f>
        <v/>
      </c>
      <c r="EK634" s="58">
        <f>IFERROR($AF635/$AF634-1,"")</f>
        <v/>
      </c>
      <c r="EL634" s="58">
        <f>IFERROR($AG635/$AG634-1,"")</f>
        <v/>
      </c>
      <c r="EM634" s="58">
        <f>IFERROR($BB634/$BB635-1,"")</f>
        <v/>
      </c>
      <c r="EN634" s="58">
        <f>IFERROR($BC634/$BC635-1,"")</f>
        <v/>
      </c>
      <c r="EO634" s="58">
        <f>IFERROR($BD634/$BD635-1,"")</f>
        <v/>
      </c>
      <c r="EP634" s="58">
        <f>IFERROR($BE634/$BE635-1,"")</f>
        <v/>
      </c>
      <c r="EQ634" s="58">
        <f>IFERROR($BF634/$BF635-1,"")</f>
        <v/>
      </c>
      <c r="ER634" s="58">
        <f>IFERROR($BG634/$BG635-1,"")</f>
        <v/>
      </c>
      <c r="ES634" s="58">
        <f>IFERROR($BH634/$BH635-1,"")</f>
        <v/>
      </c>
      <c r="ET634" s="58">
        <f>IFERROR($BI634/$BI635-1,"")</f>
        <v/>
      </c>
      <c r="EU634" s="58">
        <f>IFERROR($BJ634/$BJ635-1,"")</f>
        <v/>
      </c>
      <c r="EV634" s="58">
        <f>IFERROR($BK634/$BK635-1,"")</f>
        <v/>
      </c>
      <c r="EW634" s="58">
        <f>IFERROR($BL634/$BL635-1,"")</f>
        <v/>
      </c>
      <c r="EX634" s="58">
        <f>IFERROR($BM634/$BM635-1,"")</f>
        <v/>
      </c>
      <c r="EY634" s="58">
        <f>IFERROR($BN634/$BN635-1,"")</f>
        <v/>
      </c>
      <c r="EZ634" s="58">
        <f>IFERROR($BO634/$BO635-1,"")</f>
        <v/>
      </c>
      <c r="FA634" s="58">
        <f>IFERROR($BP634/$BP635-1,"")</f>
        <v/>
      </c>
      <c r="FB634" s="58">
        <f>IFERROR($BQ634/$BQ635-1,"")</f>
        <v/>
      </c>
      <c r="FC634" s="58">
        <f>IFERROR($BR634/$BR635-1,"")</f>
        <v/>
      </c>
      <c r="FD634" s="58">
        <f>IFERROR($BS634/$BS635-1,"")</f>
        <v/>
      </c>
      <c r="FE634" s="58">
        <f>IFERROR($BT634/$BT635-1,"")</f>
        <v/>
      </c>
      <c r="FF634" s="58">
        <f>IFERROR($BU634/$BU635-1,"")</f>
        <v/>
      </c>
      <c r="FG634" s="58">
        <f>IFERROR($BV634/$BV635-1,"")</f>
        <v/>
      </c>
      <c r="FH634" s="58">
        <f>IFERROR($BW634/$BW635-1,"")</f>
        <v/>
      </c>
      <c r="FI634" s="58">
        <f>IFERROR($BX634/$BX635-1,"")</f>
        <v/>
      </c>
      <c r="FJ634" s="59">
        <f>$BY634-$BY635</f>
        <v/>
      </c>
      <c r="FK634" s="59">
        <f>$BZ634-$BZ635</f>
        <v/>
      </c>
      <c r="FL634" s="59">
        <f>$CA634-$CA635</f>
        <v/>
      </c>
      <c r="FM634" s="59">
        <f>$CB634-$CB635</f>
        <v/>
      </c>
      <c r="FN634" s="59">
        <f>$CC634-$CC635</f>
        <v/>
      </c>
      <c r="FO634" s="59">
        <f>$CD634-$CD635</f>
        <v/>
      </c>
      <c r="FP634" s="59">
        <f>$CE634-$CE635</f>
        <v/>
      </c>
      <c r="FQ634" s="59">
        <f>$CF634-$CF635</f>
        <v/>
      </c>
      <c r="FR634" s="59">
        <f>$CG634-$CG635</f>
        <v/>
      </c>
      <c r="FS634" s="59">
        <f>$CH634-$CH635</f>
        <v/>
      </c>
      <c r="FT634" s="59">
        <f>$CI634-$CI635</f>
        <v/>
      </c>
      <c r="FU634" s="59">
        <f>$CJ634-$CJ635</f>
        <v/>
      </c>
      <c r="FV634" s="59">
        <f>$CK634-$CK635</f>
        <v/>
      </c>
      <c r="FW634" s="59">
        <f>$CL634-$CL635</f>
        <v/>
      </c>
      <c r="FX634" s="59">
        <f>$CM634-$CM635</f>
        <v/>
      </c>
      <c r="FY634" s="59">
        <f>$CN634-$CN635</f>
        <v/>
      </c>
      <c r="FZ634" s="59">
        <f>$CO634-$CO635</f>
        <v/>
      </c>
      <c r="GA634" s="59">
        <f>$CP634-$CP635</f>
        <v/>
      </c>
      <c r="GB634" s="59">
        <f>$CQ634-$CQ635</f>
        <v/>
      </c>
      <c r="GC634" s="59">
        <f>$CR634-$CR635</f>
        <v/>
      </c>
      <c r="GD634" s="59">
        <f>$CS634-$CS635</f>
        <v/>
      </c>
      <c r="GE634" s="59">
        <f>$CT634-$CT635</f>
        <v/>
      </c>
    </row>
    <row r="635">
      <c r="CU635" s="58">
        <f>IFERROR($B635/$B636-1,"")</f>
        <v/>
      </c>
      <c r="CV635" s="59">
        <f>($F635-$F636)*100</f>
        <v/>
      </c>
      <c r="CW635" s="59">
        <f>($E635-$E636)*100</f>
        <v/>
      </c>
      <c r="CX635" s="58">
        <f>IFERROR($K635/$K636-1,"")</f>
        <v/>
      </c>
      <c r="CY635" s="59">
        <f>($AH635-$AH636)*100</f>
        <v/>
      </c>
      <c r="CZ635" s="59">
        <f>($AI635-$AI636)*100</f>
        <v/>
      </c>
      <c r="DA635" s="59">
        <f>($AJ635-$AJ636)*100</f>
        <v/>
      </c>
      <c r="DB635" s="59">
        <f>($AK635-$AK636)*100</f>
        <v/>
      </c>
      <c r="DC635" s="59">
        <f>($AL635-$AL636)*100</f>
        <v/>
      </c>
      <c r="DD635" s="59">
        <f>($AM635-$AM636)*100</f>
        <v/>
      </c>
      <c r="DE635" s="59">
        <f>($AN635-$AN636)*100</f>
        <v/>
      </c>
      <c r="DF635" s="59">
        <f>($AO635-$AO636)*100</f>
        <v/>
      </c>
      <c r="DG635" s="59">
        <f>($AP635-$AP636)*100</f>
        <v/>
      </c>
      <c r="DH635" s="59">
        <f>($AQ635-$AQ636)*100</f>
        <v/>
      </c>
      <c r="DI635" s="59">
        <f>($AR635-$AR636)*100</f>
        <v/>
      </c>
      <c r="DJ635" s="59">
        <f>($AS635-$AS636)*100</f>
        <v/>
      </c>
      <c r="DK635" s="59">
        <f>($AT635-$AT636)*100</f>
        <v/>
      </c>
      <c r="DL635" s="59">
        <f>($AU635-$AU636)*100</f>
        <v/>
      </c>
      <c r="DM635" s="59">
        <f>($AV635-$AV636)*100</f>
        <v/>
      </c>
      <c r="DN635" s="59">
        <f>($AW635-$AW636)*100</f>
        <v/>
      </c>
      <c r="DO635" s="59">
        <f>($AX635-$AX636)*100</f>
        <v/>
      </c>
      <c r="DP635" s="59">
        <f>($AY635-$AY636)*100</f>
        <v/>
      </c>
      <c r="DQ635" s="59">
        <f>($AZ635-$AZ636)*100</f>
        <v/>
      </c>
      <c r="DR635" s="59">
        <f>($BA635-$BA636)*100</f>
        <v/>
      </c>
      <c r="DS635" s="58">
        <f>IFERROR($N636/$N635-1,"")</f>
        <v/>
      </c>
      <c r="DT635" s="58">
        <f>IFERROR($O636/$O635-1,"")</f>
        <v/>
      </c>
      <c r="DU635" s="58">
        <f>IFERROR($P636/$P635-1,"")</f>
        <v/>
      </c>
      <c r="DV635" s="58">
        <f>IFERROR($Q636/$Q635-1,"")</f>
        <v/>
      </c>
      <c r="DW635" s="58">
        <f>IFERROR($R636/$R635-1,"")</f>
        <v/>
      </c>
      <c r="DX635" s="58">
        <f>IFERROR($S636/$S635-1,"")</f>
        <v/>
      </c>
      <c r="DY635" s="58">
        <f>IFERROR($T636/$T635-1,"")</f>
        <v/>
      </c>
      <c r="DZ635" s="58">
        <f>IFERROR($U636/$U635-1,"")</f>
        <v/>
      </c>
      <c r="EA635" s="58">
        <f>IFERROR($V636/$V635-1,"")</f>
        <v/>
      </c>
      <c r="EB635" s="58">
        <f>IFERROR($W636/$W635-1,"")</f>
        <v/>
      </c>
      <c r="EC635" s="58">
        <f>IFERROR($X636/$X635-1,"")</f>
        <v/>
      </c>
      <c r="ED635" s="58">
        <f>IFERROR($Y636/$Y635-1,"")</f>
        <v/>
      </c>
      <c r="EE635" s="58">
        <f>IFERROR($Z636/$Z635-1,"")</f>
        <v/>
      </c>
      <c r="EF635" s="58">
        <f>IFERROR($AA636/$AA635-1,"")</f>
        <v/>
      </c>
      <c r="EG635" s="58">
        <f>IFERROR($AB636/$AB635-1,"")</f>
        <v/>
      </c>
      <c r="EH635" s="58">
        <f>IFERROR($AC636/$AC635-1,"")</f>
        <v/>
      </c>
      <c r="EI635" s="58">
        <f>IFERROR($AD636/$AD635-1,"")</f>
        <v/>
      </c>
      <c r="EJ635" s="58">
        <f>IFERROR($AE636/$AE635-1,"")</f>
        <v/>
      </c>
      <c r="EK635" s="58">
        <f>IFERROR($AF636/$AF635-1,"")</f>
        <v/>
      </c>
      <c r="EL635" s="58">
        <f>IFERROR($AG636/$AG635-1,"")</f>
        <v/>
      </c>
      <c r="EM635" s="58">
        <f>IFERROR($BB635/$BB636-1,"")</f>
        <v/>
      </c>
      <c r="EN635" s="58">
        <f>IFERROR($BC635/$BC636-1,"")</f>
        <v/>
      </c>
      <c r="EO635" s="58">
        <f>IFERROR($BD635/$BD636-1,"")</f>
        <v/>
      </c>
      <c r="EP635" s="58">
        <f>IFERROR($BE635/$BE636-1,"")</f>
        <v/>
      </c>
      <c r="EQ635" s="58">
        <f>IFERROR($BF635/$BF636-1,"")</f>
        <v/>
      </c>
      <c r="ER635" s="58">
        <f>IFERROR($BG635/$BG636-1,"")</f>
        <v/>
      </c>
      <c r="ES635" s="58">
        <f>IFERROR($BH635/$BH636-1,"")</f>
        <v/>
      </c>
      <c r="ET635" s="58">
        <f>IFERROR($BI635/$BI636-1,"")</f>
        <v/>
      </c>
      <c r="EU635" s="58">
        <f>IFERROR($BJ635/$BJ636-1,"")</f>
        <v/>
      </c>
      <c r="EV635" s="58">
        <f>IFERROR($BK635/$BK636-1,"")</f>
        <v/>
      </c>
      <c r="EW635" s="58">
        <f>IFERROR($BL635/$BL636-1,"")</f>
        <v/>
      </c>
      <c r="EX635" s="58">
        <f>IFERROR($BM635/$BM636-1,"")</f>
        <v/>
      </c>
      <c r="EY635" s="58">
        <f>IFERROR($BN635/$BN636-1,"")</f>
        <v/>
      </c>
      <c r="EZ635" s="58">
        <f>IFERROR($BO635/$BO636-1,"")</f>
        <v/>
      </c>
      <c r="FA635" s="58">
        <f>IFERROR($BP635/$BP636-1,"")</f>
        <v/>
      </c>
      <c r="FB635" s="58">
        <f>IFERROR($BQ635/$BQ636-1,"")</f>
        <v/>
      </c>
      <c r="FC635" s="58">
        <f>IFERROR($BR635/$BR636-1,"")</f>
        <v/>
      </c>
      <c r="FD635" s="58">
        <f>IFERROR($BS635/$BS636-1,"")</f>
        <v/>
      </c>
      <c r="FE635" s="58">
        <f>IFERROR($BT635/$BT636-1,"")</f>
        <v/>
      </c>
      <c r="FF635" s="58">
        <f>IFERROR($BU635/$BU636-1,"")</f>
        <v/>
      </c>
      <c r="FG635" s="58">
        <f>IFERROR($BV635/$BV636-1,"")</f>
        <v/>
      </c>
      <c r="FH635" s="58">
        <f>IFERROR($BW635/$BW636-1,"")</f>
        <v/>
      </c>
      <c r="FI635" s="58">
        <f>IFERROR($BX635/$BX636-1,"")</f>
        <v/>
      </c>
      <c r="FJ635" s="59">
        <f>$BY635-$BY636</f>
        <v/>
      </c>
      <c r="FK635" s="59">
        <f>$BZ635-$BZ636</f>
        <v/>
      </c>
      <c r="FL635" s="59">
        <f>$CA635-$CA636</f>
        <v/>
      </c>
      <c r="FM635" s="59">
        <f>$CB635-$CB636</f>
        <v/>
      </c>
      <c r="FN635" s="59">
        <f>$CC635-$CC636</f>
        <v/>
      </c>
      <c r="FO635" s="59">
        <f>$CD635-$CD636</f>
        <v/>
      </c>
      <c r="FP635" s="59">
        <f>$CE635-$CE636</f>
        <v/>
      </c>
      <c r="FQ635" s="59">
        <f>$CF635-$CF636</f>
        <v/>
      </c>
      <c r="FR635" s="59">
        <f>$CG635-$CG636</f>
        <v/>
      </c>
      <c r="FS635" s="59">
        <f>$CH635-$CH636</f>
        <v/>
      </c>
      <c r="FT635" s="59">
        <f>$CI635-$CI636</f>
        <v/>
      </c>
      <c r="FU635" s="59">
        <f>$CJ635-$CJ636</f>
        <v/>
      </c>
      <c r="FV635" s="59">
        <f>$CK635-$CK636</f>
        <v/>
      </c>
      <c r="FW635" s="59">
        <f>$CL635-$CL636</f>
        <v/>
      </c>
      <c r="FX635" s="59">
        <f>$CM635-$CM636</f>
        <v/>
      </c>
      <c r="FY635" s="59">
        <f>$CN635-$CN636</f>
        <v/>
      </c>
      <c r="FZ635" s="59">
        <f>$CO635-$CO636</f>
        <v/>
      </c>
      <c r="GA635" s="59">
        <f>$CP635-$CP636</f>
        <v/>
      </c>
      <c r="GB635" s="59">
        <f>$CQ635-$CQ636</f>
        <v/>
      </c>
      <c r="GC635" s="59">
        <f>$CR635-$CR636</f>
        <v/>
      </c>
      <c r="GD635" s="59">
        <f>$CS635-$CS636</f>
        <v/>
      </c>
      <c r="GE635" s="59">
        <f>$CT635-$CT636</f>
        <v/>
      </c>
    </row>
    <row r="636">
      <c r="CU636" s="58">
        <f>IFERROR($B636/$B637-1,"")</f>
        <v/>
      </c>
      <c r="CV636" s="59">
        <f>($F636-$F637)*100</f>
        <v/>
      </c>
      <c r="CW636" s="59">
        <f>($E636-$E637)*100</f>
        <v/>
      </c>
      <c r="CX636" s="58">
        <f>IFERROR($K636/$K637-1,"")</f>
        <v/>
      </c>
      <c r="CY636" s="59">
        <f>($AH636-$AH637)*100</f>
        <v/>
      </c>
      <c r="CZ636" s="59">
        <f>($AI636-$AI637)*100</f>
        <v/>
      </c>
      <c r="DA636" s="59">
        <f>($AJ636-$AJ637)*100</f>
        <v/>
      </c>
      <c r="DB636" s="59">
        <f>($AK636-$AK637)*100</f>
        <v/>
      </c>
      <c r="DC636" s="59">
        <f>($AL636-$AL637)*100</f>
        <v/>
      </c>
      <c r="DD636" s="59">
        <f>($AM636-$AM637)*100</f>
        <v/>
      </c>
      <c r="DE636" s="59">
        <f>($AN636-$AN637)*100</f>
        <v/>
      </c>
      <c r="DF636" s="59">
        <f>($AO636-$AO637)*100</f>
        <v/>
      </c>
      <c r="DG636" s="59">
        <f>($AP636-$AP637)*100</f>
        <v/>
      </c>
      <c r="DH636" s="59">
        <f>($AQ636-$AQ637)*100</f>
        <v/>
      </c>
      <c r="DI636" s="59">
        <f>($AR636-$AR637)*100</f>
        <v/>
      </c>
      <c r="DJ636" s="59">
        <f>($AS636-$AS637)*100</f>
        <v/>
      </c>
      <c r="DK636" s="59">
        <f>($AT636-$AT637)*100</f>
        <v/>
      </c>
      <c r="DL636" s="59">
        <f>($AU636-$AU637)*100</f>
        <v/>
      </c>
      <c r="DM636" s="59">
        <f>($AV636-$AV637)*100</f>
        <v/>
      </c>
      <c r="DN636" s="59">
        <f>($AW636-$AW637)*100</f>
        <v/>
      </c>
      <c r="DO636" s="59">
        <f>($AX636-$AX637)*100</f>
        <v/>
      </c>
      <c r="DP636" s="59">
        <f>($AY636-$AY637)*100</f>
        <v/>
      </c>
      <c r="DQ636" s="59">
        <f>($AZ636-$AZ637)*100</f>
        <v/>
      </c>
      <c r="DR636" s="59">
        <f>($BA636-$BA637)*100</f>
        <v/>
      </c>
      <c r="DS636" s="58">
        <f>IFERROR($N637/$N636-1,"")</f>
        <v/>
      </c>
      <c r="DT636" s="58">
        <f>IFERROR($O637/$O636-1,"")</f>
        <v/>
      </c>
      <c r="DU636" s="58">
        <f>IFERROR($P637/$P636-1,"")</f>
        <v/>
      </c>
      <c r="DV636" s="58">
        <f>IFERROR($Q637/$Q636-1,"")</f>
        <v/>
      </c>
      <c r="DW636" s="58">
        <f>IFERROR($R637/$R636-1,"")</f>
        <v/>
      </c>
      <c r="DX636" s="58">
        <f>IFERROR($S637/$S636-1,"")</f>
        <v/>
      </c>
      <c r="DY636" s="58">
        <f>IFERROR($T637/$T636-1,"")</f>
        <v/>
      </c>
      <c r="DZ636" s="58">
        <f>IFERROR($U637/$U636-1,"")</f>
        <v/>
      </c>
      <c r="EA636" s="58">
        <f>IFERROR($V637/$V636-1,"")</f>
        <v/>
      </c>
      <c r="EB636" s="58">
        <f>IFERROR($W637/$W636-1,"")</f>
        <v/>
      </c>
      <c r="EC636" s="58">
        <f>IFERROR($X637/$X636-1,"")</f>
        <v/>
      </c>
      <c r="ED636" s="58">
        <f>IFERROR($Y637/$Y636-1,"")</f>
        <v/>
      </c>
      <c r="EE636" s="58">
        <f>IFERROR($Z637/$Z636-1,"")</f>
        <v/>
      </c>
      <c r="EF636" s="58">
        <f>IFERROR($AA637/$AA636-1,"")</f>
        <v/>
      </c>
      <c r="EG636" s="58">
        <f>IFERROR($AB637/$AB636-1,"")</f>
        <v/>
      </c>
      <c r="EH636" s="58">
        <f>IFERROR($AC637/$AC636-1,"")</f>
        <v/>
      </c>
      <c r="EI636" s="58">
        <f>IFERROR($AD637/$AD636-1,"")</f>
        <v/>
      </c>
      <c r="EJ636" s="58">
        <f>IFERROR($AE637/$AE636-1,"")</f>
        <v/>
      </c>
      <c r="EK636" s="58">
        <f>IFERROR($AF637/$AF636-1,"")</f>
        <v/>
      </c>
      <c r="EL636" s="58">
        <f>IFERROR($AG637/$AG636-1,"")</f>
        <v/>
      </c>
      <c r="EM636" s="58">
        <f>IFERROR($BB636/$BB637-1,"")</f>
        <v/>
      </c>
      <c r="EN636" s="58">
        <f>IFERROR($BC636/$BC637-1,"")</f>
        <v/>
      </c>
      <c r="EO636" s="58">
        <f>IFERROR($BD636/$BD637-1,"")</f>
        <v/>
      </c>
      <c r="EP636" s="58">
        <f>IFERROR($BE636/$BE637-1,"")</f>
        <v/>
      </c>
      <c r="EQ636" s="58">
        <f>IFERROR($BF636/$BF637-1,"")</f>
        <v/>
      </c>
      <c r="ER636" s="58">
        <f>IFERROR($BG636/$BG637-1,"")</f>
        <v/>
      </c>
      <c r="ES636" s="58">
        <f>IFERROR($BH636/$BH637-1,"")</f>
        <v/>
      </c>
      <c r="ET636" s="58">
        <f>IFERROR($BI636/$BI637-1,"")</f>
        <v/>
      </c>
      <c r="EU636" s="58">
        <f>IFERROR($BJ636/$BJ637-1,"")</f>
        <v/>
      </c>
      <c r="EV636" s="58">
        <f>IFERROR($BK636/$BK637-1,"")</f>
        <v/>
      </c>
      <c r="EW636" s="58">
        <f>IFERROR($BL636/$BL637-1,"")</f>
        <v/>
      </c>
      <c r="EX636" s="58">
        <f>IFERROR($BM636/$BM637-1,"")</f>
        <v/>
      </c>
      <c r="EY636" s="58">
        <f>IFERROR($BN636/$BN637-1,"")</f>
        <v/>
      </c>
      <c r="EZ636" s="58">
        <f>IFERROR($BO636/$BO637-1,"")</f>
        <v/>
      </c>
      <c r="FA636" s="58">
        <f>IFERROR($BP636/$BP637-1,"")</f>
        <v/>
      </c>
      <c r="FB636" s="58">
        <f>IFERROR($BQ636/$BQ637-1,"")</f>
        <v/>
      </c>
      <c r="FC636" s="58">
        <f>IFERROR($BR636/$BR637-1,"")</f>
        <v/>
      </c>
      <c r="FD636" s="58">
        <f>IFERROR($BS636/$BS637-1,"")</f>
        <v/>
      </c>
      <c r="FE636" s="58">
        <f>IFERROR($BT636/$BT637-1,"")</f>
        <v/>
      </c>
      <c r="FF636" s="58">
        <f>IFERROR($BU636/$BU637-1,"")</f>
        <v/>
      </c>
      <c r="FG636" s="58">
        <f>IFERROR($BV636/$BV637-1,"")</f>
        <v/>
      </c>
      <c r="FH636" s="58">
        <f>IFERROR($BW636/$BW637-1,"")</f>
        <v/>
      </c>
      <c r="FI636" s="58">
        <f>IFERROR($BX636/$BX637-1,"")</f>
        <v/>
      </c>
      <c r="FJ636" s="59">
        <f>$BY636-$BY637</f>
        <v/>
      </c>
      <c r="FK636" s="59">
        <f>$BZ636-$BZ637</f>
        <v/>
      </c>
      <c r="FL636" s="59">
        <f>$CA636-$CA637</f>
        <v/>
      </c>
      <c r="FM636" s="59">
        <f>$CB636-$CB637</f>
        <v/>
      </c>
      <c r="FN636" s="59">
        <f>$CC636-$CC637</f>
        <v/>
      </c>
      <c r="FO636" s="59">
        <f>$CD636-$CD637</f>
        <v/>
      </c>
      <c r="FP636" s="59">
        <f>$CE636-$CE637</f>
        <v/>
      </c>
      <c r="FQ636" s="59">
        <f>$CF636-$CF637</f>
        <v/>
      </c>
      <c r="FR636" s="59">
        <f>$CG636-$CG637</f>
        <v/>
      </c>
      <c r="FS636" s="59">
        <f>$CH636-$CH637</f>
        <v/>
      </c>
      <c r="FT636" s="59">
        <f>$CI636-$CI637</f>
        <v/>
      </c>
      <c r="FU636" s="59">
        <f>$CJ636-$CJ637</f>
        <v/>
      </c>
      <c r="FV636" s="59">
        <f>$CK636-$CK637</f>
        <v/>
      </c>
      <c r="FW636" s="59">
        <f>$CL636-$CL637</f>
        <v/>
      </c>
      <c r="FX636" s="59">
        <f>$CM636-$CM637</f>
        <v/>
      </c>
      <c r="FY636" s="59">
        <f>$CN636-$CN637</f>
        <v/>
      </c>
      <c r="FZ636" s="59">
        <f>$CO636-$CO637</f>
        <v/>
      </c>
      <c r="GA636" s="59">
        <f>$CP636-$CP637</f>
        <v/>
      </c>
      <c r="GB636" s="59">
        <f>$CQ636-$CQ637</f>
        <v/>
      </c>
      <c r="GC636" s="59">
        <f>$CR636-$CR637</f>
        <v/>
      </c>
      <c r="GD636" s="59">
        <f>$CS636-$CS637</f>
        <v/>
      </c>
      <c r="GE636" s="59">
        <f>$CT636-$CT637</f>
        <v/>
      </c>
    </row>
    <row r="637">
      <c r="CU637" s="58">
        <f>IFERROR($B637/$B638-1,"")</f>
        <v/>
      </c>
      <c r="CV637" s="59">
        <f>($F637-$F638)*100</f>
        <v/>
      </c>
      <c r="CW637" s="59">
        <f>($E637-$E638)*100</f>
        <v/>
      </c>
      <c r="CX637" s="58">
        <f>IFERROR($K637/$K638-1,"")</f>
        <v/>
      </c>
      <c r="CY637" s="59">
        <f>($AH637-$AH638)*100</f>
        <v/>
      </c>
      <c r="CZ637" s="59">
        <f>($AI637-$AI638)*100</f>
        <v/>
      </c>
      <c r="DA637" s="59">
        <f>($AJ637-$AJ638)*100</f>
        <v/>
      </c>
      <c r="DB637" s="59">
        <f>($AK637-$AK638)*100</f>
        <v/>
      </c>
      <c r="DC637" s="59">
        <f>($AL637-$AL638)*100</f>
        <v/>
      </c>
      <c r="DD637" s="59">
        <f>($AM637-$AM638)*100</f>
        <v/>
      </c>
      <c r="DE637" s="59">
        <f>($AN637-$AN638)*100</f>
        <v/>
      </c>
      <c r="DF637" s="59">
        <f>($AO637-$AO638)*100</f>
        <v/>
      </c>
      <c r="DG637" s="59">
        <f>($AP637-$AP638)*100</f>
        <v/>
      </c>
      <c r="DH637" s="59">
        <f>($AQ637-$AQ638)*100</f>
        <v/>
      </c>
      <c r="DI637" s="59">
        <f>($AR637-$AR638)*100</f>
        <v/>
      </c>
      <c r="DJ637" s="59">
        <f>($AS637-$AS638)*100</f>
        <v/>
      </c>
      <c r="DK637" s="59">
        <f>($AT637-$AT638)*100</f>
        <v/>
      </c>
      <c r="DL637" s="59">
        <f>($AU637-$AU638)*100</f>
        <v/>
      </c>
      <c r="DM637" s="59">
        <f>($AV637-$AV638)*100</f>
        <v/>
      </c>
      <c r="DN637" s="59">
        <f>($AW637-$AW638)*100</f>
        <v/>
      </c>
      <c r="DO637" s="59">
        <f>($AX637-$AX638)*100</f>
        <v/>
      </c>
      <c r="DP637" s="59">
        <f>($AY637-$AY638)*100</f>
        <v/>
      </c>
      <c r="DQ637" s="59">
        <f>($AZ637-$AZ638)*100</f>
        <v/>
      </c>
      <c r="DR637" s="59">
        <f>($BA637-$BA638)*100</f>
        <v/>
      </c>
      <c r="DS637" s="58">
        <f>IFERROR($N638/$N637-1,"")</f>
        <v/>
      </c>
      <c r="DT637" s="58">
        <f>IFERROR($O638/$O637-1,"")</f>
        <v/>
      </c>
      <c r="DU637" s="58">
        <f>IFERROR($P638/$P637-1,"")</f>
        <v/>
      </c>
      <c r="DV637" s="58">
        <f>IFERROR($Q638/$Q637-1,"")</f>
        <v/>
      </c>
      <c r="DW637" s="58">
        <f>IFERROR($R638/$R637-1,"")</f>
        <v/>
      </c>
      <c r="DX637" s="58">
        <f>IFERROR($S638/$S637-1,"")</f>
        <v/>
      </c>
      <c r="DY637" s="58">
        <f>IFERROR($T638/$T637-1,"")</f>
        <v/>
      </c>
      <c r="DZ637" s="58">
        <f>IFERROR($U638/$U637-1,"")</f>
        <v/>
      </c>
      <c r="EA637" s="58">
        <f>IFERROR($V638/$V637-1,"")</f>
        <v/>
      </c>
      <c r="EB637" s="58">
        <f>IFERROR($W638/$W637-1,"")</f>
        <v/>
      </c>
      <c r="EC637" s="58">
        <f>IFERROR($X638/$X637-1,"")</f>
        <v/>
      </c>
      <c r="ED637" s="58">
        <f>IFERROR($Y638/$Y637-1,"")</f>
        <v/>
      </c>
      <c r="EE637" s="58">
        <f>IFERROR($Z638/$Z637-1,"")</f>
        <v/>
      </c>
      <c r="EF637" s="58">
        <f>IFERROR($AA638/$AA637-1,"")</f>
        <v/>
      </c>
      <c r="EG637" s="58">
        <f>IFERROR($AB638/$AB637-1,"")</f>
        <v/>
      </c>
      <c r="EH637" s="58">
        <f>IFERROR($AC638/$AC637-1,"")</f>
        <v/>
      </c>
      <c r="EI637" s="58">
        <f>IFERROR($AD638/$AD637-1,"")</f>
        <v/>
      </c>
      <c r="EJ637" s="58">
        <f>IFERROR($AE638/$AE637-1,"")</f>
        <v/>
      </c>
      <c r="EK637" s="58">
        <f>IFERROR($AF638/$AF637-1,"")</f>
        <v/>
      </c>
      <c r="EL637" s="58">
        <f>IFERROR($AG638/$AG637-1,"")</f>
        <v/>
      </c>
      <c r="EM637" s="58">
        <f>IFERROR($BB637/$BB638-1,"")</f>
        <v/>
      </c>
      <c r="EN637" s="58">
        <f>IFERROR($BC637/$BC638-1,"")</f>
        <v/>
      </c>
      <c r="EO637" s="58">
        <f>IFERROR($BD637/$BD638-1,"")</f>
        <v/>
      </c>
      <c r="EP637" s="58">
        <f>IFERROR($BE637/$BE638-1,"")</f>
        <v/>
      </c>
      <c r="EQ637" s="58">
        <f>IFERROR($BF637/$BF638-1,"")</f>
        <v/>
      </c>
      <c r="ER637" s="58">
        <f>IFERROR($BG637/$BG638-1,"")</f>
        <v/>
      </c>
      <c r="ES637" s="58">
        <f>IFERROR($BH637/$BH638-1,"")</f>
        <v/>
      </c>
      <c r="ET637" s="58">
        <f>IFERROR($BI637/$BI638-1,"")</f>
        <v/>
      </c>
      <c r="EU637" s="58">
        <f>IFERROR($BJ637/$BJ638-1,"")</f>
        <v/>
      </c>
      <c r="EV637" s="58">
        <f>IFERROR($BK637/$BK638-1,"")</f>
        <v/>
      </c>
      <c r="EW637" s="58">
        <f>IFERROR($BL637/$BL638-1,"")</f>
        <v/>
      </c>
      <c r="EX637" s="58">
        <f>IFERROR($BM637/$BM638-1,"")</f>
        <v/>
      </c>
      <c r="EY637" s="58">
        <f>IFERROR($BN637/$BN638-1,"")</f>
        <v/>
      </c>
      <c r="EZ637" s="58">
        <f>IFERROR($BO637/$BO638-1,"")</f>
        <v/>
      </c>
      <c r="FA637" s="58">
        <f>IFERROR($BP637/$BP638-1,"")</f>
        <v/>
      </c>
      <c r="FB637" s="58">
        <f>IFERROR($BQ637/$BQ638-1,"")</f>
        <v/>
      </c>
      <c r="FC637" s="58">
        <f>IFERROR($BR637/$BR638-1,"")</f>
        <v/>
      </c>
      <c r="FD637" s="58">
        <f>IFERROR($BS637/$BS638-1,"")</f>
        <v/>
      </c>
      <c r="FE637" s="58">
        <f>IFERROR($BT637/$BT638-1,"")</f>
        <v/>
      </c>
      <c r="FF637" s="58">
        <f>IFERROR($BU637/$BU638-1,"")</f>
        <v/>
      </c>
      <c r="FG637" s="58">
        <f>IFERROR($BV637/$BV638-1,"")</f>
        <v/>
      </c>
      <c r="FH637" s="58">
        <f>IFERROR($BW637/$BW638-1,"")</f>
        <v/>
      </c>
      <c r="FI637" s="58">
        <f>IFERROR($BX637/$BX638-1,"")</f>
        <v/>
      </c>
      <c r="FJ637" s="59">
        <f>$BY637-$BY638</f>
        <v/>
      </c>
      <c r="FK637" s="59">
        <f>$BZ637-$BZ638</f>
        <v/>
      </c>
      <c r="FL637" s="59">
        <f>$CA637-$CA638</f>
        <v/>
      </c>
      <c r="FM637" s="59">
        <f>$CB637-$CB638</f>
        <v/>
      </c>
      <c r="FN637" s="59">
        <f>$CC637-$CC638</f>
        <v/>
      </c>
      <c r="FO637" s="59">
        <f>$CD637-$CD638</f>
        <v/>
      </c>
      <c r="FP637" s="59">
        <f>$CE637-$CE638</f>
        <v/>
      </c>
      <c r="FQ637" s="59">
        <f>$CF637-$CF638</f>
        <v/>
      </c>
      <c r="FR637" s="59">
        <f>$CG637-$CG638</f>
        <v/>
      </c>
      <c r="FS637" s="59">
        <f>$CH637-$CH638</f>
        <v/>
      </c>
      <c r="FT637" s="59">
        <f>$CI637-$CI638</f>
        <v/>
      </c>
      <c r="FU637" s="59">
        <f>$CJ637-$CJ638</f>
        <v/>
      </c>
      <c r="FV637" s="59">
        <f>$CK637-$CK638</f>
        <v/>
      </c>
      <c r="FW637" s="59">
        <f>$CL637-$CL638</f>
        <v/>
      </c>
      <c r="FX637" s="59">
        <f>$CM637-$CM638</f>
        <v/>
      </c>
      <c r="FY637" s="59">
        <f>$CN637-$CN638</f>
        <v/>
      </c>
      <c r="FZ637" s="59">
        <f>$CO637-$CO638</f>
        <v/>
      </c>
      <c r="GA637" s="59">
        <f>$CP637-$CP638</f>
        <v/>
      </c>
      <c r="GB637" s="59">
        <f>$CQ637-$CQ638</f>
        <v/>
      </c>
      <c r="GC637" s="59">
        <f>$CR637-$CR638</f>
        <v/>
      </c>
      <c r="GD637" s="59">
        <f>$CS637-$CS638</f>
        <v/>
      </c>
      <c r="GE637" s="59">
        <f>$CT637-$CT638</f>
        <v/>
      </c>
    </row>
    <row r="638">
      <c r="CU638" s="58">
        <f>IFERROR($B638/$B639-1,"")</f>
        <v/>
      </c>
      <c r="CV638" s="59">
        <f>($F638-$F639)*100</f>
        <v/>
      </c>
      <c r="CW638" s="59">
        <f>($E638-$E639)*100</f>
        <v/>
      </c>
      <c r="CX638" s="58">
        <f>IFERROR($K638/$K639-1,"")</f>
        <v/>
      </c>
      <c r="CY638" s="59">
        <f>($AH638-$AH639)*100</f>
        <v/>
      </c>
      <c r="CZ638" s="59">
        <f>($AI638-$AI639)*100</f>
        <v/>
      </c>
      <c r="DA638" s="59">
        <f>($AJ638-$AJ639)*100</f>
        <v/>
      </c>
      <c r="DB638" s="59">
        <f>($AK638-$AK639)*100</f>
        <v/>
      </c>
      <c r="DC638" s="59">
        <f>($AL638-$AL639)*100</f>
        <v/>
      </c>
      <c r="DD638" s="59">
        <f>($AM638-$AM639)*100</f>
        <v/>
      </c>
      <c r="DE638" s="59">
        <f>($AN638-$AN639)*100</f>
        <v/>
      </c>
      <c r="DF638" s="59">
        <f>($AO638-$AO639)*100</f>
        <v/>
      </c>
      <c r="DG638" s="59">
        <f>($AP638-$AP639)*100</f>
        <v/>
      </c>
      <c r="DH638" s="59">
        <f>($AQ638-$AQ639)*100</f>
        <v/>
      </c>
      <c r="DI638" s="59">
        <f>($AR638-$AR639)*100</f>
        <v/>
      </c>
      <c r="DJ638" s="59">
        <f>($AS638-$AS639)*100</f>
        <v/>
      </c>
      <c r="DK638" s="59">
        <f>($AT638-$AT639)*100</f>
        <v/>
      </c>
      <c r="DL638" s="59">
        <f>($AU638-$AU639)*100</f>
        <v/>
      </c>
      <c r="DM638" s="59">
        <f>($AV638-$AV639)*100</f>
        <v/>
      </c>
      <c r="DN638" s="59">
        <f>($AW638-$AW639)*100</f>
        <v/>
      </c>
      <c r="DO638" s="59">
        <f>($AX638-$AX639)*100</f>
        <v/>
      </c>
      <c r="DP638" s="59">
        <f>($AY638-$AY639)*100</f>
        <v/>
      </c>
      <c r="DQ638" s="59">
        <f>($AZ638-$AZ639)*100</f>
        <v/>
      </c>
      <c r="DR638" s="59">
        <f>($BA638-$BA639)*100</f>
        <v/>
      </c>
      <c r="DS638" s="58">
        <f>IFERROR($N639/$N638-1,"")</f>
        <v/>
      </c>
      <c r="DT638" s="58">
        <f>IFERROR($O639/$O638-1,"")</f>
        <v/>
      </c>
      <c r="DU638" s="58">
        <f>IFERROR($P639/$P638-1,"")</f>
        <v/>
      </c>
      <c r="DV638" s="58">
        <f>IFERROR($Q639/$Q638-1,"")</f>
        <v/>
      </c>
      <c r="DW638" s="58">
        <f>IFERROR($R639/$R638-1,"")</f>
        <v/>
      </c>
      <c r="DX638" s="58">
        <f>IFERROR($S639/$S638-1,"")</f>
        <v/>
      </c>
      <c r="DY638" s="58">
        <f>IFERROR($T639/$T638-1,"")</f>
        <v/>
      </c>
      <c r="DZ638" s="58">
        <f>IFERROR($U639/$U638-1,"")</f>
        <v/>
      </c>
      <c r="EA638" s="58">
        <f>IFERROR($V639/$V638-1,"")</f>
        <v/>
      </c>
      <c r="EB638" s="58">
        <f>IFERROR($W639/$W638-1,"")</f>
        <v/>
      </c>
      <c r="EC638" s="58">
        <f>IFERROR($X639/$X638-1,"")</f>
        <v/>
      </c>
      <c r="ED638" s="58">
        <f>IFERROR($Y639/$Y638-1,"")</f>
        <v/>
      </c>
      <c r="EE638" s="58">
        <f>IFERROR($Z639/$Z638-1,"")</f>
        <v/>
      </c>
      <c r="EF638" s="58">
        <f>IFERROR($AA639/$AA638-1,"")</f>
        <v/>
      </c>
      <c r="EG638" s="58">
        <f>IFERROR($AB639/$AB638-1,"")</f>
        <v/>
      </c>
      <c r="EH638" s="58">
        <f>IFERROR($AC639/$AC638-1,"")</f>
        <v/>
      </c>
      <c r="EI638" s="58">
        <f>IFERROR($AD639/$AD638-1,"")</f>
        <v/>
      </c>
      <c r="EJ638" s="58">
        <f>IFERROR($AE639/$AE638-1,"")</f>
        <v/>
      </c>
      <c r="EK638" s="58">
        <f>IFERROR($AF639/$AF638-1,"")</f>
        <v/>
      </c>
      <c r="EL638" s="58">
        <f>IFERROR($AG639/$AG638-1,"")</f>
        <v/>
      </c>
      <c r="EM638" s="58">
        <f>IFERROR($BB638/$BB639-1,"")</f>
        <v/>
      </c>
      <c r="EN638" s="58">
        <f>IFERROR($BC638/$BC639-1,"")</f>
        <v/>
      </c>
      <c r="EO638" s="58">
        <f>IFERROR($BD638/$BD639-1,"")</f>
        <v/>
      </c>
      <c r="EP638" s="58">
        <f>IFERROR($BE638/$BE639-1,"")</f>
        <v/>
      </c>
      <c r="EQ638" s="58">
        <f>IFERROR($BF638/$BF639-1,"")</f>
        <v/>
      </c>
      <c r="ER638" s="58">
        <f>IFERROR($BG638/$BG639-1,"")</f>
        <v/>
      </c>
      <c r="ES638" s="58">
        <f>IFERROR($BH638/$BH639-1,"")</f>
        <v/>
      </c>
      <c r="ET638" s="58">
        <f>IFERROR($BI638/$BI639-1,"")</f>
        <v/>
      </c>
      <c r="EU638" s="58">
        <f>IFERROR($BJ638/$BJ639-1,"")</f>
        <v/>
      </c>
      <c r="EV638" s="58">
        <f>IFERROR($BK638/$BK639-1,"")</f>
        <v/>
      </c>
      <c r="EW638" s="58">
        <f>IFERROR($BL638/$BL639-1,"")</f>
        <v/>
      </c>
      <c r="EX638" s="58">
        <f>IFERROR($BM638/$BM639-1,"")</f>
        <v/>
      </c>
      <c r="EY638" s="58">
        <f>IFERROR($BN638/$BN639-1,"")</f>
        <v/>
      </c>
      <c r="EZ638" s="58">
        <f>IFERROR($BO638/$BO639-1,"")</f>
        <v/>
      </c>
      <c r="FA638" s="58">
        <f>IFERROR($BP638/$BP639-1,"")</f>
        <v/>
      </c>
      <c r="FB638" s="58">
        <f>IFERROR($BQ638/$BQ639-1,"")</f>
        <v/>
      </c>
      <c r="FC638" s="58">
        <f>IFERROR($BR638/$BR639-1,"")</f>
        <v/>
      </c>
      <c r="FD638" s="58">
        <f>IFERROR($BS638/$BS639-1,"")</f>
        <v/>
      </c>
      <c r="FE638" s="58">
        <f>IFERROR($BT638/$BT639-1,"")</f>
        <v/>
      </c>
      <c r="FF638" s="58">
        <f>IFERROR($BU638/$BU639-1,"")</f>
        <v/>
      </c>
      <c r="FG638" s="58">
        <f>IFERROR($BV638/$BV639-1,"")</f>
        <v/>
      </c>
      <c r="FH638" s="58">
        <f>IFERROR($BW638/$BW639-1,"")</f>
        <v/>
      </c>
      <c r="FI638" s="58">
        <f>IFERROR($BX638/$BX639-1,"")</f>
        <v/>
      </c>
      <c r="FJ638" s="59">
        <f>$BY638-$BY639</f>
        <v/>
      </c>
      <c r="FK638" s="59">
        <f>$BZ638-$BZ639</f>
        <v/>
      </c>
      <c r="FL638" s="59">
        <f>$CA638-$CA639</f>
        <v/>
      </c>
      <c r="FM638" s="59">
        <f>$CB638-$CB639</f>
        <v/>
      </c>
      <c r="FN638" s="59">
        <f>$CC638-$CC639</f>
        <v/>
      </c>
      <c r="FO638" s="59">
        <f>$CD638-$CD639</f>
        <v/>
      </c>
      <c r="FP638" s="59">
        <f>$CE638-$CE639</f>
        <v/>
      </c>
      <c r="FQ638" s="59">
        <f>$CF638-$CF639</f>
        <v/>
      </c>
      <c r="FR638" s="59">
        <f>$CG638-$CG639</f>
        <v/>
      </c>
      <c r="FS638" s="59">
        <f>$CH638-$CH639</f>
        <v/>
      </c>
      <c r="FT638" s="59">
        <f>$CI638-$CI639</f>
        <v/>
      </c>
      <c r="FU638" s="59">
        <f>$CJ638-$CJ639</f>
        <v/>
      </c>
      <c r="FV638" s="59">
        <f>$CK638-$CK639</f>
        <v/>
      </c>
      <c r="FW638" s="59">
        <f>$CL638-$CL639</f>
        <v/>
      </c>
      <c r="FX638" s="59">
        <f>$CM638-$CM639</f>
        <v/>
      </c>
      <c r="FY638" s="59">
        <f>$CN638-$CN639</f>
        <v/>
      </c>
      <c r="FZ638" s="59">
        <f>$CO638-$CO639</f>
        <v/>
      </c>
      <c r="GA638" s="59">
        <f>$CP638-$CP639</f>
        <v/>
      </c>
      <c r="GB638" s="59">
        <f>$CQ638-$CQ639</f>
        <v/>
      </c>
      <c r="GC638" s="59">
        <f>$CR638-$CR639</f>
        <v/>
      </c>
      <c r="GD638" s="59">
        <f>$CS638-$CS639</f>
        <v/>
      </c>
      <c r="GE638" s="59">
        <f>$CT638-$CT639</f>
        <v/>
      </c>
    </row>
    <row r="639">
      <c r="CU639" s="58">
        <f>IFERROR($B639/$B640-1,"")</f>
        <v/>
      </c>
      <c r="CV639" s="59">
        <f>($F639-$F640)*100</f>
        <v/>
      </c>
      <c r="CW639" s="59">
        <f>($E639-$E640)*100</f>
        <v/>
      </c>
      <c r="CX639" s="58">
        <f>IFERROR($K639/$K640-1,"")</f>
        <v/>
      </c>
      <c r="CY639" s="59">
        <f>($AH639-$AH640)*100</f>
        <v/>
      </c>
      <c r="CZ639" s="59">
        <f>($AI639-$AI640)*100</f>
        <v/>
      </c>
      <c r="DA639" s="59">
        <f>($AJ639-$AJ640)*100</f>
        <v/>
      </c>
      <c r="DB639" s="59">
        <f>($AK639-$AK640)*100</f>
        <v/>
      </c>
      <c r="DC639" s="59">
        <f>($AL639-$AL640)*100</f>
        <v/>
      </c>
      <c r="DD639" s="59">
        <f>($AM639-$AM640)*100</f>
        <v/>
      </c>
      <c r="DE639" s="59">
        <f>($AN639-$AN640)*100</f>
        <v/>
      </c>
      <c r="DF639" s="59">
        <f>($AO639-$AO640)*100</f>
        <v/>
      </c>
      <c r="DG639" s="59">
        <f>($AP639-$AP640)*100</f>
        <v/>
      </c>
      <c r="DH639" s="59">
        <f>($AQ639-$AQ640)*100</f>
        <v/>
      </c>
      <c r="DI639" s="59">
        <f>($AR639-$AR640)*100</f>
        <v/>
      </c>
      <c r="DJ639" s="59">
        <f>($AS639-$AS640)*100</f>
        <v/>
      </c>
      <c r="DK639" s="59">
        <f>($AT639-$AT640)*100</f>
        <v/>
      </c>
      <c r="DL639" s="59">
        <f>($AU639-$AU640)*100</f>
        <v/>
      </c>
      <c r="DM639" s="59">
        <f>($AV639-$AV640)*100</f>
        <v/>
      </c>
      <c r="DN639" s="59">
        <f>($AW639-$AW640)*100</f>
        <v/>
      </c>
      <c r="DO639" s="59">
        <f>($AX639-$AX640)*100</f>
        <v/>
      </c>
      <c r="DP639" s="59">
        <f>($AY639-$AY640)*100</f>
        <v/>
      </c>
      <c r="DQ639" s="59">
        <f>($AZ639-$AZ640)*100</f>
        <v/>
      </c>
      <c r="DR639" s="59">
        <f>($BA639-$BA640)*100</f>
        <v/>
      </c>
      <c r="DS639" s="58">
        <f>IFERROR($N640/$N639-1,"")</f>
        <v/>
      </c>
      <c r="DT639" s="58">
        <f>IFERROR($O640/$O639-1,"")</f>
        <v/>
      </c>
      <c r="DU639" s="58">
        <f>IFERROR($P640/$P639-1,"")</f>
        <v/>
      </c>
      <c r="DV639" s="58">
        <f>IFERROR($Q640/$Q639-1,"")</f>
        <v/>
      </c>
      <c r="DW639" s="58">
        <f>IFERROR($R640/$R639-1,"")</f>
        <v/>
      </c>
      <c r="DX639" s="58">
        <f>IFERROR($S640/$S639-1,"")</f>
        <v/>
      </c>
      <c r="DY639" s="58">
        <f>IFERROR($T640/$T639-1,"")</f>
        <v/>
      </c>
      <c r="DZ639" s="58">
        <f>IFERROR($U640/$U639-1,"")</f>
        <v/>
      </c>
      <c r="EA639" s="58">
        <f>IFERROR($V640/$V639-1,"")</f>
        <v/>
      </c>
      <c r="EB639" s="58">
        <f>IFERROR($W640/$W639-1,"")</f>
        <v/>
      </c>
      <c r="EC639" s="58">
        <f>IFERROR($X640/$X639-1,"")</f>
        <v/>
      </c>
      <c r="ED639" s="58">
        <f>IFERROR($Y640/$Y639-1,"")</f>
        <v/>
      </c>
      <c r="EE639" s="58">
        <f>IFERROR($Z640/$Z639-1,"")</f>
        <v/>
      </c>
      <c r="EF639" s="58">
        <f>IFERROR($AA640/$AA639-1,"")</f>
        <v/>
      </c>
      <c r="EG639" s="58">
        <f>IFERROR($AB640/$AB639-1,"")</f>
        <v/>
      </c>
      <c r="EH639" s="58">
        <f>IFERROR($AC640/$AC639-1,"")</f>
        <v/>
      </c>
      <c r="EI639" s="58">
        <f>IFERROR($AD640/$AD639-1,"")</f>
        <v/>
      </c>
      <c r="EJ639" s="58">
        <f>IFERROR($AE640/$AE639-1,"")</f>
        <v/>
      </c>
      <c r="EK639" s="58">
        <f>IFERROR($AF640/$AF639-1,"")</f>
        <v/>
      </c>
      <c r="EL639" s="58">
        <f>IFERROR($AG640/$AG639-1,"")</f>
        <v/>
      </c>
      <c r="EM639" s="58">
        <f>IFERROR($BB639/$BB640-1,"")</f>
        <v/>
      </c>
      <c r="EN639" s="58">
        <f>IFERROR($BC639/$BC640-1,"")</f>
        <v/>
      </c>
      <c r="EO639" s="58">
        <f>IFERROR($BD639/$BD640-1,"")</f>
        <v/>
      </c>
      <c r="EP639" s="58">
        <f>IFERROR($BE639/$BE640-1,"")</f>
        <v/>
      </c>
      <c r="EQ639" s="58">
        <f>IFERROR($BF639/$BF640-1,"")</f>
        <v/>
      </c>
      <c r="ER639" s="58">
        <f>IFERROR($BG639/$BG640-1,"")</f>
        <v/>
      </c>
      <c r="ES639" s="58">
        <f>IFERROR($BH639/$BH640-1,"")</f>
        <v/>
      </c>
      <c r="ET639" s="58">
        <f>IFERROR($BI639/$BI640-1,"")</f>
        <v/>
      </c>
      <c r="EU639" s="58">
        <f>IFERROR($BJ639/$BJ640-1,"")</f>
        <v/>
      </c>
      <c r="EV639" s="58">
        <f>IFERROR($BK639/$BK640-1,"")</f>
        <v/>
      </c>
      <c r="EW639" s="58">
        <f>IFERROR($BL639/$BL640-1,"")</f>
        <v/>
      </c>
      <c r="EX639" s="58">
        <f>IFERROR($BM639/$BM640-1,"")</f>
        <v/>
      </c>
      <c r="EY639" s="58">
        <f>IFERROR($BN639/$BN640-1,"")</f>
        <v/>
      </c>
      <c r="EZ639" s="58">
        <f>IFERROR($BO639/$BO640-1,"")</f>
        <v/>
      </c>
      <c r="FA639" s="58">
        <f>IFERROR($BP639/$BP640-1,"")</f>
        <v/>
      </c>
      <c r="FB639" s="58">
        <f>IFERROR($BQ639/$BQ640-1,"")</f>
        <v/>
      </c>
      <c r="FC639" s="58">
        <f>IFERROR($BR639/$BR640-1,"")</f>
        <v/>
      </c>
      <c r="FD639" s="58">
        <f>IFERROR($BS639/$BS640-1,"")</f>
        <v/>
      </c>
      <c r="FE639" s="58">
        <f>IFERROR($BT639/$BT640-1,"")</f>
        <v/>
      </c>
      <c r="FF639" s="58">
        <f>IFERROR($BU639/$BU640-1,"")</f>
        <v/>
      </c>
      <c r="FG639" s="58">
        <f>IFERROR($BV639/$BV640-1,"")</f>
        <v/>
      </c>
      <c r="FH639" s="58">
        <f>IFERROR($BW639/$BW640-1,"")</f>
        <v/>
      </c>
      <c r="FI639" s="58">
        <f>IFERROR($BX639/$BX640-1,"")</f>
        <v/>
      </c>
      <c r="FJ639" s="59">
        <f>$BY639-$BY640</f>
        <v/>
      </c>
      <c r="FK639" s="59">
        <f>$BZ639-$BZ640</f>
        <v/>
      </c>
      <c r="FL639" s="59">
        <f>$CA639-$CA640</f>
        <v/>
      </c>
      <c r="FM639" s="59">
        <f>$CB639-$CB640</f>
        <v/>
      </c>
      <c r="FN639" s="59">
        <f>$CC639-$CC640</f>
        <v/>
      </c>
      <c r="FO639" s="59">
        <f>$CD639-$CD640</f>
        <v/>
      </c>
      <c r="FP639" s="59">
        <f>$CE639-$CE640</f>
        <v/>
      </c>
      <c r="FQ639" s="59">
        <f>$CF639-$CF640</f>
        <v/>
      </c>
      <c r="FR639" s="59">
        <f>$CG639-$CG640</f>
        <v/>
      </c>
      <c r="FS639" s="59">
        <f>$CH639-$CH640</f>
        <v/>
      </c>
      <c r="FT639" s="59">
        <f>$CI639-$CI640</f>
        <v/>
      </c>
      <c r="FU639" s="59">
        <f>$CJ639-$CJ640</f>
        <v/>
      </c>
      <c r="FV639" s="59">
        <f>$CK639-$CK640</f>
        <v/>
      </c>
      <c r="FW639" s="59">
        <f>$CL639-$CL640</f>
        <v/>
      </c>
      <c r="FX639" s="59">
        <f>$CM639-$CM640</f>
        <v/>
      </c>
      <c r="FY639" s="59">
        <f>$CN639-$CN640</f>
        <v/>
      </c>
      <c r="FZ639" s="59">
        <f>$CO639-$CO640</f>
        <v/>
      </c>
      <c r="GA639" s="59">
        <f>$CP639-$CP640</f>
        <v/>
      </c>
      <c r="GB639" s="59">
        <f>$CQ639-$CQ640</f>
        <v/>
      </c>
      <c r="GC639" s="59">
        <f>$CR639-$CR640</f>
        <v/>
      </c>
      <c r="GD639" s="59">
        <f>$CS639-$CS640</f>
        <v/>
      </c>
      <c r="GE639" s="59">
        <f>$CT639-$CT640</f>
        <v/>
      </c>
    </row>
    <row r="640">
      <c r="CU640" s="58">
        <f>IFERROR($B640/$B641-1,"")</f>
        <v/>
      </c>
      <c r="CV640" s="59">
        <f>($F640-$F641)*100</f>
        <v/>
      </c>
      <c r="CW640" s="59">
        <f>($E640-$E641)*100</f>
        <v/>
      </c>
      <c r="CX640" s="58">
        <f>IFERROR($K640/$K641-1,"")</f>
        <v/>
      </c>
      <c r="CY640" s="59">
        <f>($AH640-$AH641)*100</f>
        <v/>
      </c>
      <c r="CZ640" s="59">
        <f>($AI640-$AI641)*100</f>
        <v/>
      </c>
      <c r="DA640" s="59">
        <f>($AJ640-$AJ641)*100</f>
        <v/>
      </c>
      <c r="DB640" s="59">
        <f>($AK640-$AK641)*100</f>
        <v/>
      </c>
      <c r="DC640" s="59">
        <f>($AL640-$AL641)*100</f>
        <v/>
      </c>
      <c r="DD640" s="59">
        <f>($AM640-$AM641)*100</f>
        <v/>
      </c>
      <c r="DE640" s="59">
        <f>($AN640-$AN641)*100</f>
        <v/>
      </c>
      <c r="DF640" s="59">
        <f>($AO640-$AO641)*100</f>
        <v/>
      </c>
      <c r="DG640" s="59">
        <f>($AP640-$AP641)*100</f>
        <v/>
      </c>
      <c r="DH640" s="59">
        <f>($AQ640-$AQ641)*100</f>
        <v/>
      </c>
      <c r="DI640" s="59">
        <f>($AR640-$AR641)*100</f>
        <v/>
      </c>
      <c r="DJ640" s="59">
        <f>($AS640-$AS641)*100</f>
        <v/>
      </c>
      <c r="DK640" s="59">
        <f>($AT640-$AT641)*100</f>
        <v/>
      </c>
      <c r="DL640" s="59">
        <f>($AU640-$AU641)*100</f>
        <v/>
      </c>
      <c r="DM640" s="59">
        <f>($AV640-$AV641)*100</f>
        <v/>
      </c>
      <c r="DN640" s="59">
        <f>($AW640-$AW641)*100</f>
        <v/>
      </c>
      <c r="DO640" s="59">
        <f>($AX640-$AX641)*100</f>
        <v/>
      </c>
      <c r="DP640" s="59">
        <f>($AY640-$AY641)*100</f>
        <v/>
      </c>
      <c r="DQ640" s="59">
        <f>($AZ640-$AZ641)*100</f>
        <v/>
      </c>
      <c r="DR640" s="59">
        <f>($BA640-$BA641)*100</f>
        <v/>
      </c>
      <c r="DS640" s="58">
        <f>IFERROR($N641/$N640-1,"")</f>
        <v/>
      </c>
      <c r="DT640" s="58">
        <f>IFERROR($O641/$O640-1,"")</f>
        <v/>
      </c>
      <c r="DU640" s="58">
        <f>IFERROR($P641/$P640-1,"")</f>
        <v/>
      </c>
      <c r="DV640" s="58">
        <f>IFERROR($Q641/$Q640-1,"")</f>
        <v/>
      </c>
      <c r="DW640" s="58">
        <f>IFERROR($R641/$R640-1,"")</f>
        <v/>
      </c>
      <c r="DX640" s="58">
        <f>IFERROR($S641/$S640-1,"")</f>
        <v/>
      </c>
      <c r="DY640" s="58">
        <f>IFERROR($T641/$T640-1,"")</f>
        <v/>
      </c>
      <c r="DZ640" s="58">
        <f>IFERROR($U641/$U640-1,"")</f>
        <v/>
      </c>
      <c r="EA640" s="58">
        <f>IFERROR($V641/$V640-1,"")</f>
        <v/>
      </c>
      <c r="EB640" s="58">
        <f>IFERROR($W641/$W640-1,"")</f>
        <v/>
      </c>
      <c r="EC640" s="58">
        <f>IFERROR($X641/$X640-1,"")</f>
        <v/>
      </c>
      <c r="ED640" s="58">
        <f>IFERROR($Y641/$Y640-1,"")</f>
        <v/>
      </c>
      <c r="EE640" s="58">
        <f>IFERROR($Z641/$Z640-1,"")</f>
        <v/>
      </c>
      <c r="EF640" s="58">
        <f>IFERROR($AA641/$AA640-1,"")</f>
        <v/>
      </c>
      <c r="EG640" s="58">
        <f>IFERROR($AB641/$AB640-1,"")</f>
        <v/>
      </c>
      <c r="EH640" s="58">
        <f>IFERROR($AC641/$AC640-1,"")</f>
        <v/>
      </c>
      <c r="EI640" s="58">
        <f>IFERROR($AD641/$AD640-1,"")</f>
        <v/>
      </c>
      <c r="EJ640" s="58">
        <f>IFERROR($AE641/$AE640-1,"")</f>
        <v/>
      </c>
      <c r="EK640" s="58">
        <f>IFERROR($AF641/$AF640-1,"")</f>
        <v/>
      </c>
      <c r="EL640" s="58">
        <f>IFERROR($AG641/$AG640-1,"")</f>
        <v/>
      </c>
      <c r="EM640" s="58">
        <f>IFERROR($BB640/$BB641-1,"")</f>
        <v/>
      </c>
      <c r="EN640" s="58">
        <f>IFERROR($BC640/$BC641-1,"")</f>
        <v/>
      </c>
      <c r="EO640" s="58">
        <f>IFERROR($BD640/$BD641-1,"")</f>
        <v/>
      </c>
      <c r="EP640" s="58">
        <f>IFERROR($BE640/$BE641-1,"")</f>
        <v/>
      </c>
      <c r="EQ640" s="58">
        <f>IFERROR($BF640/$BF641-1,"")</f>
        <v/>
      </c>
      <c r="ER640" s="58">
        <f>IFERROR($BG640/$BG641-1,"")</f>
        <v/>
      </c>
      <c r="ES640" s="58">
        <f>IFERROR($BH640/$BH641-1,"")</f>
        <v/>
      </c>
      <c r="ET640" s="58">
        <f>IFERROR($BI640/$BI641-1,"")</f>
        <v/>
      </c>
      <c r="EU640" s="58">
        <f>IFERROR($BJ640/$BJ641-1,"")</f>
        <v/>
      </c>
      <c r="EV640" s="58">
        <f>IFERROR($BK640/$BK641-1,"")</f>
        <v/>
      </c>
      <c r="EW640" s="58">
        <f>IFERROR($BL640/$BL641-1,"")</f>
        <v/>
      </c>
      <c r="EX640" s="58">
        <f>IFERROR($BM640/$BM641-1,"")</f>
        <v/>
      </c>
      <c r="EY640" s="58">
        <f>IFERROR($BN640/$BN641-1,"")</f>
        <v/>
      </c>
      <c r="EZ640" s="58">
        <f>IFERROR($BO640/$BO641-1,"")</f>
        <v/>
      </c>
      <c r="FA640" s="58">
        <f>IFERROR($BP640/$BP641-1,"")</f>
        <v/>
      </c>
      <c r="FB640" s="58">
        <f>IFERROR($BQ640/$BQ641-1,"")</f>
        <v/>
      </c>
      <c r="FC640" s="58">
        <f>IFERROR($BR640/$BR641-1,"")</f>
        <v/>
      </c>
      <c r="FD640" s="58">
        <f>IFERROR($BS640/$BS641-1,"")</f>
        <v/>
      </c>
      <c r="FE640" s="58">
        <f>IFERROR($BT640/$BT641-1,"")</f>
        <v/>
      </c>
      <c r="FF640" s="58">
        <f>IFERROR($BU640/$BU641-1,"")</f>
        <v/>
      </c>
      <c r="FG640" s="58">
        <f>IFERROR($BV640/$BV641-1,"")</f>
        <v/>
      </c>
      <c r="FH640" s="58">
        <f>IFERROR($BW640/$BW641-1,"")</f>
        <v/>
      </c>
      <c r="FI640" s="58">
        <f>IFERROR($BX640/$BX641-1,"")</f>
        <v/>
      </c>
      <c r="FJ640" s="59">
        <f>$BY640-$BY641</f>
        <v/>
      </c>
      <c r="FK640" s="59">
        <f>$BZ640-$BZ641</f>
        <v/>
      </c>
      <c r="FL640" s="59">
        <f>$CA640-$CA641</f>
        <v/>
      </c>
      <c r="FM640" s="59">
        <f>$CB640-$CB641</f>
        <v/>
      </c>
      <c r="FN640" s="59">
        <f>$CC640-$CC641</f>
        <v/>
      </c>
      <c r="FO640" s="59">
        <f>$CD640-$CD641</f>
        <v/>
      </c>
      <c r="FP640" s="59">
        <f>$CE640-$CE641</f>
        <v/>
      </c>
      <c r="FQ640" s="59">
        <f>$CF640-$CF641</f>
        <v/>
      </c>
      <c r="FR640" s="59">
        <f>$CG640-$CG641</f>
        <v/>
      </c>
      <c r="FS640" s="59">
        <f>$CH640-$CH641</f>
        <v/>
      </c>
      <c r="FT640" s="59">
        <f>$CI640-$CI641</f>
        <v/>
      </c>
      <c r="FU640" s="59">
        <f>$CJ640-$CJ641</f>
        <v/>
      </c>
      <c r="FV640" s="59">
        <f>$CK640-$CK641</f>
        <v/>
      </c>
      <c r="FW640" s="59">
        <f>$CL640-$CL641</f>
        <v/>
      </c>
      <c r="FX640" s="59">
        <f>$CM640-$CM641</f>
        <v/>
      </c>
      <c r="FY640" s="59">
        <f>$CN640-$CN641</f>
        <v/>
      </c>
      <c r="FZ640" s="59">
        <f>$CO640-$CO641</f>
        <v/>
      </c>
      <c r="GA640" s="59">
        <f>$CP640-$CP641</f>
        <v/>
      </c>
      <c r="GB640" s="59">
        <f>$CQ640-$CQ641</f>
        <v/>
      </c>
      <c r="GC640" s="59">
        <f>$CR640-$CR641</f>
        <v/>
      </c>
      <c r="GD640" s="59">
        <f>$CS640-$CS641</f>
        <v/>
      </c>
      <c r="GE640" s="59">
        <f>$CT640-$CT641</f>
        <v/>
      </c>
    </row>
    <row r="641">
      <c r="CU641" s="58">
        <f>IFERROR($B641/$B642-1,"")</f>
        <v/>
      </c>
      <c r="CV641" s="59">
        <f>($F641-$F642)*100</f>
        <v/>
      </c>
      <c r="CW641" s="59">
        <f>($E641-$E642)*100</f>
        <v/>
      </c>
      <c r="CX641" s="58">
        <f>IFERROR($K641/$K642-1,"")</f>
        <v/>
      </c>
      <c r="CY641" s="59">
        <f>($AH641-$AH642)*100</f>
        <v/>
      </c>
      <c r="CZ641" s="59">
        <f>($AI641-$AI642)*100</f>
        <v/>
      </c>
      <c r="DA641" s="59">
        <f>($AJ641-$AJ642)*100</f>
        <v/>
      </c>
      <c r="DB641" s="59">
        <f>($AK641-$AK642)*100</f>
        <v/>
      </c>
      <c r="DC641" s="59">
        <f>($AL641-$AL642)*100</f>
        <v/>
      </c>
      <c r="DD641" s="59">
        <f>($AM641-$AM642)*100</f>
        <v/>
      </c>
      <c r="DE641" s="59">
        <f>($AN641-$AN642)*100</f>
        <v/>
      </c>
      <c r="DF641" s="59">
        <f>($AO641-$AO642)*100</f>
        <v/>
      </c>
      <c r="DG641" s="59">
        <f>($AP641-$AP642)*100</f>
        <v/>
      </c>
      <c r="DH641" s="59">
        <f>($AQ641-$AQ642)*100</f>
        <v/>
      </c>
      <c r="DI641" s="59">
        <f>($AR641-$AR642)*100</f>
        <v/>
      </c>
      <c r="DJ641" s="59">
        <f>($AS641-$AS642)*100</f>
        <v/>
      </c>
      <c r="DK641" s="59">
        <f>($AT641-$AT642)*100</f>
        <v/>
      </c>
      <c r="DL641" s="59">
        <f>($AU641-$AU642)*100</f>
        <v/>
      </c>
      <c r="DM641" s="59">
        <f>($AV641-$AV642)*100</f>
        <v/>
      </c>
      <c r="DN641" s="59">
        <f>($AW641-$AW642)*100</f>
        <v/>
      </c>
      <c r="DO641" s="59">
        <f>($AX641-$AX642)*100</f>
        <v/>
      </c>
      <c r="DP641" s="59">
        <f>($AY641-$AY642)*100</f>
        <v/>
      </c>
      <c r="DQ641" s="59">
        <f>($AZ641-$AZ642)*100</f>
        <v/>
      </c>
      <c r="DR641" s="59">
        <f>($BA641-$BA642)*100</f>
        <v/>
      </c>
      <c r="DS641" s="58">
        <f>IFERROR($N642/$N641-1,"")</f>
        <v/>
      </c>
      <c r="DT641" s="58">
        <f>IFERROR($O642/$O641-1,"")</f>
        <v/>
      </c>
      <c r="DU641" s="58">
        <f>IFERROR($P642/$P641-1,"")</f>
        <v/>
      </c>
      <c r="DV641" s="58">
        <f>IFERROR($Q642/$Q641-1,"")</f>
        <v/>
      </c>
      <c r="DW641" s="58">
        <f>IFERROR($R642/$R641-1,"")</f>
        <v/>
      </c>
      <c r="DX641" s="58">
        <f>IFERROR($S642/$S641-1,"")</f>
        <v/>
      </c>
      <c r="DY641" s="58">
        <f>IFERROR($T642/$T641-1,"")</f>
        <v/>
      </c>
      <c r="DZ641" s="58">
        <f>IFERROR($U642/$U641-1,"")</f>
        <v/>
      </c>
      <c r="EA641" s="58">
        <f>IFERROR($V642/$V641-1,"")</f>
        <v/>
      </c>
      <c r="EB641" s="58">
        <f>IFERROR($W642/$W641-1,"")</f>
        <v/>
      </c>
      <c r="EC641" s="58">
        <f>IFERROR($X642/$X641-1,"")</f>
        <v/>
      </c>
      <c r="ED641" s="58">
        <f>IFERROR($Y642/$Y641-1,"")</f>
        <v/>
      </c>
      <c r="EE641" s="58">
        <f>IFERROR($Z642/$Z641-1,"")</f>
        <v/>
      </c>
      <c r="EF641" s="58">
        <f>IFERROR($AA642/$AA641-1,"")</f>
        <v/>
      </c>
      <c r="EG641" s="58">
        <f>IFERROR($AB642/$AB641-1,"")</f>
        <v/>
      </c>
      <c r="EH641" s="58">
        <f>IFERROR($AC642/$AC641-1,"")</f>
        <v/>
      </c>
      <c r="EI641" s="58">
        <f>IFERROR($AD642/$AD641-1,"")</f>
        <v/>
      </c>
      <c r="EJ641" s="58">
        <f>IFERROR($AE642/$AE641-1,"")</f>
        <v/>
      </c>
      <c r="EK641" s="58">
        <f>IFERROR($AF642/$AF641-1,"")</f>
        <v/>
      </c>
      <c r="EL641" s="58">
        <f>IFERROR($AG642/$AG641-1,"")</f>
        <v/>
      </c>
      <c r="EM641" s="58">
        <f>IFERROR($BB641/$BB642-1,"")</f>
        <v/>
      </c>
      <c r="EN641" s="58">
        <f>IFERROR($BC641/$BC642-1,"")</f>
        <v/>
      </c>
      <c r="EO641" s="58">
        <f>IFERROR($BD641/$BD642-1,"")</f>
        <v/>
      </c>
      <c r="EP641" s="58">
        <f>IFERROR($BE641/$BE642-1,"")</f>
        <v/>
      </c>
      <c r="EQ641" s="58">
        <f>IFERROR($BF641/$BF642-1,"")</f>
        <v/>
      </c>
      <c r="ER641" s="58">
        <f>IFERROR($BG641/$BG642-1,"")</f>
        <v/>
      </c>
      <c r="ES641" s="58">
        <f>IFERROR($BH641/$BH642-1,"")</f>
        <v/>
      </c>
      <c r="ET641" s="58">
        <f>IFERROR($BI641/$BI642-1,"")</f>
        <v/>
      </c>
      <c r="EU641" s="58">
        <f>IFERROR($BJ641/$BJ642-1,"")</f>
        <v/>
      </c>
      <c r="EV641" s="58">
        <f>IFERROR($BK641/$BK642-1,"")</f>
        <v/>
      </c>
      <c r="EW641" s="58">
        <f>IFERROR($BL641/$BL642-1,"")</f>
        <v/>
      </c>
      <c r="EX641" s="58">
        <f>IFERROR($BM641/$BM642-1,"")</f>
        <v/>
      </c>
      <c r="EY641" s="58">
        <f>IFERROR($BN641/$BN642-1,"")</f>
        <v/>
      </c>
      <c r="EZ641" s="58">
        <f>IFERROR($BO641/$BO642-1,"")</f>
        <v/>
      </c>
      <c r="FA641" s="58">
        <f>IFERROR($BP641/$BP642-1,"")</f>
        <v/>
      </c>
      <c r="FB641" s="58">
        <f>IFERROR($BQ641/$BQ642-1,"")</f>
        <v/>
      </c>
      <c r="FC641" s="58">
        <f>IFERROR($BR641/$BR642-1,"")</f>
        <v/>
      </c>
      <c r="FD641" s="58">
        <f>IFERROR($BS641/$BS642-1,"")</f>
        <v/>
      </c>
      <c r="FE641" s="58">
        <f>IFERROR($BT641/$BT642-1,"")</f>
        <v/>
      </c>
      <c r="FF641" s="58">
        <f>IFERROR($BU641/$BU642-1,"")</f>
        <v/>
      </c>
      <c r="FG641" s="58">
        <f>IFERROR($BV641/$BV642-1,"")</f>
        <v/>
      </c>
      <c r="FH641" s="58">
        <f>IFERROR($BW641/$BW642-1,"")</f>
        <v/>
      </c>
      <c r="FI641" s="58">
        <f>IFERROR($BX641/$BX642-1,"")</f>
        <v/>
      </c>
      <c r="FJ641" s="59">
        <f>$BY641-$BY642</f>
        <v/>
      </c>
      <c r="FK641" s="59">
        <f>$BZ641-$BZ642</f>
        <v/>
      </c>
      <c r="FL641" s="59">
        <f>$CA641-$CA642</f>
        <v/>
      </c>
      <c r="FM641" s="59">
        <f>$CB641-$CB642</f>
        <v/>
      </c>
      <c r="FN641" s="59">
        <f>$CC641-$CC642</f>
        <v/>
      </c>
      <c r="FO641" s="59">
        <f>$CD641-$CD642</f>
        <v/>
      </c>
      <c r="FP641" s="59">
        <f>$CE641-$CE642</f>
        <v/>
      </c>
      <c r="FQ641" s="59">
        <f>$CF641-$CF642</f>
        <v/>
      </c>
      <c r="FR641" s="59">
        <f>$CG641-$CG642</f>
        <v/>
      </c>
      <c r="FS641" s="59">
        <f>$CH641-$CH642</f>
        <v/>
      </c>
      <c r="FT641" s="59">
        <f>$CI641-$CI642</f>
        <v/>
      </c>
      <c r="FU641" s="59">
        <f>$CJ641-$CJ642</f>
        <v/>
      </c>
      <c r="FV641" s="59">
        <f>$CK641-$CK642</f>
        <v/>
      </c>
      <c r="FW641" s="59">
        <f>$CL641-$CL642</f>
        <v/>
      </c>
      <c r="FX641" s="59">
        <f>$CM641-$CM642</f>
        <v/>
      </c>
      <c r="FY641" s="59">
        <f>$CN641-$CN642</f>
        <v/>
      </c>
      <c r="FZ641" s="59">
        <f>$CO641-$CO642</f>
        <v/>
      </c>
      <c r="GA641" s="59">
        <f>$CP641-$CP642</f>
        <v/>
      </c>
      <c r="GB641" s="59">
        <f>$CQ641-$CQ642</f>
        <v/>
      </c>
      <c r="GC641" s="59">
        <f>$CR641-$CR642</f>
        <v/>
      </c>
      <c r="GD641" s="59">
        <f>$CS641-$CS642</f>
        <v/>
      </c>
      <c r="GE641" s="59">
        <f>$CT641-$CT642</f>
        <v/>
      </c>
    </row>
    <row r="642">
      <c r="CU642" s="58">
        <f>IFERROR($B642/$B643-1,"")</f>
        <v/>
      </c>
      <c r="CV642" s="59">
        <f>($F642-$F643)*100</f>
        <v/>
      </c>
      <c r="CW642" s="59">
        <f>($E642-$E643)*100</f>
        <v/>
      </c>
      <c r="CX642" s="58">
        <f>IFERROR($K642/$K643-1,"")</f>
        <v/>
      </c>
      <c r="CY642" s="59">
        <f>($AH642-$AH643)*100</f>
        <v/>
      </c>
      <c r="CZ642" s="59">
        <f>($AI642-$AI643)*100</f>
        <v/>
      </c>
      <c r="DA642" s="59">
        <f>($AJ642-$AJ643)*100</f>
        <v/>
      </c>
      <c r="DB642" s="59">
        <f>($AK642-$AK643)*100</f>
        <v/>
      </c>
      <c r="DC642" s="59">
        <f>($AL642-$AL643)*100</f>
        <v/>
      </c>
      <c r="DD642" s="59">
        <f>($AM642-$AM643)*100</f>
        <v/>
      </c>
      <c r="DE642" s="59">
        <f>($AN642-$AN643)*100</f>
        <v/>
      </c>
      <c r="DF642" s="59">
        <f>($AO642-$AO643)*100</f>
        <v/>
      </c>
      <c r="DG642" s="59">
        <f>($AP642-$AP643)*100</f>
        <v/>
      </c>
      <c r="DH642" s="59">
        <f>($AQ642-$AQ643)*100</f>
        <v/>
      </c>
      <c r="DI642" s="59">
        <f>($AR642-$AR643)*100</f>
        <v/>
      </c>
      <c r="DJ642" s="59">
        <f>($AS642-$AS643)*100</f>
        <v/>
      </c>
      <c r="DK642" s="59">
        <f>($AT642-$AT643)*100</f>
        <v/>
      </c>
      <c r="DL642" s="59">
        <f>($AU642-$AU643)*100</f>
        <v/>
      </c>
      <c r="DM642" s="59">
        <f>($AV642-$AV643)*100</f>
        <v/>
      </c>
      <c r="DN642" s="59">
        <f>($AW642-$AW643)*100</f>
        <v/>
      </c>
      <c r="DO642" s="59">
        <f>($AX642-$AX643)*100</f>
        <v/>
      </c>
      <c r="DP642" s="59">
        <f>($AY642-$AY643)*100</f>
        <v/>
      </c>
      <c r="DQ642" s="59">
        <f>($AZ642-$AZ643)*100</f>
        <v/>
      </c>
      <c r="DR642" s="59">
        <f>($BA642-$BA643)*100</f>
        <v/>
      </c>
      <c r="DS642" s="58">
        <f>IFERROR($N643/$N642-1,"")</f>
        <v/>
      </c>
      <c r="DT642" s="58">
        <f>IFERROR($O643/$O642-1,"")</f>
        <v/>
      </c>
      <c r="DU642" s="58">
        <f>IFERROR($P643/$P642-1,"")</f>
        <v/>
      </c>
      <c r="DV642" s="58">
        <f>IFERROR($Q643/$Q642-1,"")</f>
        <v/>
      </c>
      <c r="DW642" s="58">
        <f>IFERROR($R643/$R642-1,"")</f>
        <v/>
      </c>
      <c r="DX642" s="58">
        <f>IFERROR($S643/$S642-1,"")</f>
        <v/>
      </c>
      <c r="DY642" s="58">
        <f>IFERROR($T643/$T642-1,"")</f>
        <v/>
      </c>
      <c r="DZ642" s="58">
        <f>IFERROR($U643/$U642-1,"")</f>
        <v/>
      </c>
      <c r="EA642" s="58">
        <f>IFERROR($V643/$V642-1,"")</f>
        <v/>
      </c>
      <c r="EB642" s="58">
        <f>IFERROR($W643/$W642-1,"")</f>
        <v/>
      </c>
      <c r="EC642" s="58">
        <f>IFERROR($X643/$X642-1,"")</f>
        <v/>
      </c>
      <c r="ED642" s="58">
        <f>IFERROR($Y643/$Y642-1,"")</f>
        <v/>
      </c>
      <c r="EE642" s="58">
        <f>IFERROR($Z643/$Z642-1,"")</f>
        <v/>
      </c>
      <c r="EF642" s="58">
        <f>IFERROR($AA643/$AA642-1,"")</f>
        <v/>
      </c>
      <c r="EG642" s="58">
        <f>IFERROR($AB643/$AB642-1,"")</f>
        <v/>
      </c>
      <c r="EH642" s="58">
        <f>IFERROR($AC643/$AC642-1,"")</f>
        <v/>
      </c>
      <c r="EI642" s="58">
        <f>IFERROR($AD643/$AD642-1,"")</f>
        <v/>
      </c>
      <c r="EJ642" s="58">
        <f>IFERROR($AE643/$AE642-1,"")</f>
        <v/>
      </c>
      <c r="EK642" s="58">
        <f>IFERROR($AF643/$AF642-1,"")</f>
        <v/>
      </c>
      <c r="EL642" s="58">
        <f>IFERROR($AG643/$AG642-1,"")</f>
        <v/>
      </c>
      <c r="EM642" s="58">
        <f>IFERROR($BB642/$BB643-1,"")</f>
        <v/>
      </c>
      <c r="EN642" s="58">
        <f>IFERROR($BC642/$BC643-1,"")</f>
        <v/>
      </c>
      <c r="EO642" s="58">
        <f>IFERROR($BD642/$BD643-1,"")</f>
        <v/>
      </c>
      <c r="EP642" s="58">
        <f>IFERROR($BE642/$BE643-1,"")</f>
        <v/>
      </c>
      <c r="EQ642" s="58">
        <f>IFERROR($BF642/$BF643-1,"")</f>
        <v/>
      </c>
      <c r="ER642" s="58">
        <f>IFERROR($BG642/$BG643-1,"")</f>
        <v/>
      </c>
      <c r="ES642" s="58">
        <f>IFERROR($BH642/$BH643-1,"")</f>
        <v/>
      </c>
      <c r="ET642" s="58">
        <f>IFERROR($BI642/$BI643-1,"")</f>
        <v/>
      </c>
      <c r="EU642" s="58">
        <f>IFERROR($BJ642/$BJ643-1,"")</f>
        <v/>
      </c>
      <c r="EV642" s="58">
        <f>IFERROR($BK642/$BK643-1,"")</f>
        <v/>
      </c>
      <c r="EW642" s="58">
        <f>IFERROR($BL642/$BL643-1,"")</f>
        <v/>
      </c>
      <c r="EX642" s="58">
        <f>IFERROR($BM642/$BM643-1,"")</f>
        <v/>
      </c>
      <c r="EY642" s="58">
        <f>IFERROR($BN642/$BN643-1,"")</f>
        <v/>
      </c>
      <c r="EZ642" s="58">
        <f>IFERROR($BO642/$BO643-1,"")</f>
        <v/>
      </c>
      <c r="FA642" s="58">
        <f>IFERROR($BP642/$BP643-1,"")</f>
        <v/>
      </c>
      <c r="FB642" s="58">
        <f>IFERROR($BQ642/$BQ643-1,"")</f>
        <v/>
      </c>
      <c r="FC642" s="58">
        <f>IFERROR($BR642/$BR643-1,"")</f>
        <v/>
      </c>
      <c r="FD642" s="58">
        <f>IFERROR($BS642/$BS643-1,"")</f>
        <v/>
      </c>
      <c r="FE642" s="58">
        <f>IFERROR($BT642/$BT643-1,"")</f>
        <v/>
      </c>
      <c r="FF642" s="58">
        <f>IFERROR($BU642/$BU643-1,"")</f>
        <v/>
      </c>
      <c r="FG642" s="58">
        <f>IFERROR($BV642/$BV643-1,"")</f>
        <v/>
      </c>
      <c r="FH642" s="58">
        <f>IFERROR($BW642/$BW643-1,"")</f>
        <v/>
      </c>
      <c r="FI642" s="58">
        <f>IFERROR($BX642/$BX643-1,"")</f>
        <v/>
      </c>
      <c r="FJ642" s="59">
        <f>$BY642-$BY643</f>
        <v/>
      </c>
      <c r="FK642" s="59">
        <f>$BZ642-$BZ643</f>
        <v/>
      </c>
      <c r="FL642" s="59">
        <f>$CA642-$CA643</f>
        <v/>
      </c>
      <c r="FM642" s="59">
        <f>$CB642-$CB643</f>
        <v/>
      </c>
      <c r="FN642" s="59">
        <f>$CC642-$CC643</f>
        <v/>
      </c>
      <c r="FO642" s="59">
        <f>$CD642-$CD643</f>
        <v/>
      </c>
      <c r="FP642" s="59">
        <f>$CE642-$CE643</f>
        <v/>
      </c>
      <c r="FQ642" s="59">
        <f>$CF642-$CF643</f>
        <v/>
      </c>
      <c r="FR642" s="59">
        <f>$CG642-$CG643</f>
        <v/>
      </c>
      <c r="FS642" s="59">
        <f>$CH642-$CH643</f>
        <v/>
      </c>
      <c r="FT642" s="59">
        <f>$CI642-$CI643</f>
        <v/>
      </c>
      <c r="FU642" s="59">
        <f>$CJ642-$CJ643</f>
        <v/>
      </c>
      <c r="FV642" s="59">
        <f>$CK642-$CK643</f>
        <v/>
      </c>
      <c r="FW642" s="59">
        <f>$CL642-$CL643</f>
        <v/>
      </c>
      <c r="FX642" s="59">
        <f>$CM642-$CM643</f>
        <v/>
      </c>
      <c r="FY642" s="59">
        <f>$CN642-$CN643</f>
        <v/>
      </c>
      <c r="FZ642" s="59">
        <f>$CO642-$CO643</f>
        <v/>
      </c>
      <c r="GA642" s="59">
        <f>$CP642-$CP643</f>
        <v/>
      </c>
      <c r="GB642" s="59">
        <f>$CQ642-$CQ643</f>
        <v/>
      </c>
      <c r="GC642" s="59">
        <f>$CR642-$CR643</f>
        <v/>
      </c>
      <c r="GD642" s="59">
        <f>$CS642-$CS643</f>
        <v/>
      </c>
      <c r="GE642" s="59">
        <f>$CT642-$CT643</f>
        <v/>
      </c>
    </row>
    <row r="643">
      <c r="CU643" s="58">
        <f>IFERROR($B643/$B644-1,"")</f>
        <v/>
      </c>
      <c r="CV643" s="59">
        <f>($F643-$F644)*100</f>
        <v/>
      </c>
      <c r="CW643" s="59">
        <f>($E643-$E644)*100</f>
        <v/>
      </c>
      <c r="CX643" s="58">
        <f>IFERROR($K643/$K644-1,"")</f>
        <v/>
      </c>
      <c r="CY643" s="59">
        <f>($AH643-$AH644)*100</f>
        <v/>
      </c>
      <c r="CZ643" s="59">
        <f>($AI643-$AI644)*100</f>
        <v/>
      </c>
      <c r="DA643" s="59">
        <f>($AJ643-$AJ644)*100</f>
        <v/>
      </c>
      <c r="DB643" s="59">
        <f>($AK643-$AK644)*100</f>
        <v/>
      </c>
      <c r="DC643" s="59">
        <f>($AL643-$AL644)*100</f>
        <v/>
      </c>
      <c r="DD643" s="59">
        <f>($AM643-$AM644)*100</f>
        <v/>
      </c>
      <c r="DE643" s="59">
        <f>($AN643-$AN644)*100</f>
        <v/>
      </c>
      <c r="DF643" s="59">
        <f>($AO643-$AO644)*100</f>
        <v/>
      </c>
      <c r="DG643" s="59">
        <f>($AP643-$AP644)*100</f>
        <v/>
      </c>
      <c r="DH643" s="59">
        <f>($AQ643-$AQ644)*100</f>
        <v/>
      </c>
      <c r="DI643" s="59">
        <f>($AR643-$AR644)*100</f>
        <v/>
      </c>
      <c r="DJ643" s="59">
        <f>($AS643-$AS644)*100</f>
        <v/>
      </c>
      <c r="DK643" s="59">
        <f>($AT643-$AT644)*100</f>
        <v/>
      </c>
      <c r="DL643" s="59">
        <f>($AU643-$AU644)*100</f>
        <v/>
      </c>
      <c r="DM643" s="59">
        <f>($AV643-$AV644)*100</f>
        <v/>
      </c>
      <c r="DN643" s="59">
        <f>($AW643-$AW644)*100</f>
        <v/>
      </c>
      <c r="DO643" s="59">
        <f>($AX643-$AX644)*100</f>
        <v/>
      </c>
      <c r="DP643" s="59">
        <f>($AY643-$AY644)*100</f>
        <v/>
      </c>
      <c r="DQ643" s="59">
        <f>($AZ643-$AZ644)*100</f>
        <v/>
      </c>
      <c r="DR643" s="59">
        <f>($BA643-$BA644)*100</f>
        <v/>
      </c>
      <c r="DS643" s="58">
        <f>IFERROR($N644/$N643-1,"")</f>
        <v/>
      </c>
      <c r="DT643" s="58">
        <f>IFERROR($O644/$O643-1,"")</f>
        <v/>
      </c>
      <c r="DU643" s="58">
        <f>IFERROR($P644/$P643-1,"")</f>
        <v/>
      </c>
      <c r="DV643" s="58">
        <f>IFERROR($Q644/$Q643-1,"")</f>
        <v/>
      </c>
      <c r="DW643" s="58">
        <f>IFERROR($R644/$R643-1,"")</f>
        <v/>
      </c>
      <c r="DX643" s="58">
        <f>IFERROR($S644/$S643-1,"")</f>
        <v/>
      </c>
      <c r="DY643" s="58">
        <f>IFERROR($T644/$T643-1,"")</f>
        <v/>
      </c>
      <c r="DZ643" s="58">
        <f>IFERROR($U644/$U643-1,"")</f>
        <v/>
      </c>
      <c r="EA643" s="58">
        <f>IFERROR($V644/$V643-1,"")</f>
        <v/>
      </c>
      <c r="EB643" s="58">
        <f>IFERROR($W644/$W643-1,"")</f>
        <v/>
      </c>
      <c r="EC643" s="58">
        <f>IFERROR($X644/$X643-1,"")</f>
        <v/>
      </c>
      <c r="ED643" s="58">
        <f>IFERROR($Y644/$Y643-1,"")</f>
        <v/>
      </c>
      <c r="EE643" s="58">
        <f>IFERROR($Z644/$Z643-1,"")</f>
        <v/>
      </c>
      <c r="EF643" s="58">
        <f>IFERROR($AA644/$AA643-1,"")</f>
        <v/>
      </c>
      <c r="EG643" s="58">
        <f>IFERROR($AB644/$AB643-1,"")</f>
        <v/>
      </c>
      <c r="EH643" s="58">
        <f>IFERROR($AC644/$AC643-1,"")</f>
        <v/>
      </c>
      <c r="EI643" s="58">
        <f>IFERROR($AD644/$AD643-1,"")</f>
        <v/>
      </c>
      <c r="EJ643" s="58">
        <f>IFERROR($AE644/$AE643-1,"")</f>
        <v/>
      </c>
      <c r="EK643" s="58">
        <f>IFERROR($AF644/$AF643-1,"")</f>
        <v/>
      </c>
      <c r="EL643" s="58">
        <f>IFERROR($AG644/$AG643-1,"")</f>
        <v/>
      </c>
      <c r="EM643" s="58">
        <f>IFERROR($BB643/$BB644-1,"")</f>
        <v/>
      </c>
      <c r="EN643" s="58">
        <f>IFERROR($BC643/$BC644-1,"")</f>
        <v/>
      </c>
      <c r="EO643" s="58">
        <f>IFERROR($BD643/$BD644-1,"")</f>
        <v/>
      </c>
      <c r="EP643" s="58">
        <f>IFERROR($BE643/$BE644-1,"")</f>
        <v/>
      </c>
      <c r="EQ643" s="58">
        <f>IFERROR($BF643/$BF644-1,"")</f>
        <v/>
      </c>
      <c r="ER643" s="58">
        <f>IFERROR($BG643/$BG644-1,"")</f>
        <v/>
      </c>
      <c r="ES643" s="58">
        <f>IFERROR($BH643/$BH644-1,"")</f>
        <v/>
      </c>
      <c r="ET643" s="58">
        <f>IFERROR($BI643/$BI644-1,"")</f>
        <v/>
      </c>
      <c r="EU643" s="58">
        <f>IFERROR($BJ643/$BJ644-1,"")</f>
        <v/>
      </c>
      <c r="EV643" s="58">
        <f>IFERROR($BK643/$BK644-1,"")</f>
        <v/>
      </c>
      <c r="EW643" s="58">
        <f>IFERROR($BL643/$BL644-1,"")</f>
        <v/>
      </c>
      <c r="EX643" s="58">
        <f>IFERROR($BM643/$BM644-1,"")</f>
        <v/>
      </c>
      <c r="EY643" s="58">
        <f>IFERROR($BN643/$BN644-1,"")</f>
        <v/>
      </c>
      <c r="EZ643" s="58">
        <f>IFERROR($BO643/$BO644-1,"")</f>
        <v/>
      </c>
      <c r="FA643" s="58">
        <f>IFERROR($BP643/$BP644-1,"")</f>
        <v/>
      </c>
      <c r="FB643" s="58">
        <f>IFERROR($BQ643/$BQ644-1,"")</f>
        <v/>
      </c>
      <c r="FC643" s="58">
        <f>IFERROR($BR643/$BR644-1,"")</f>
        <v/>
      </c>
      <c r="FD643" s="58">
        <f>IFERROR($BS643/$BS644-1,"")</f>
        <v/>
      </c>
      <c r="FE643" s="58">
        <f>IFERROR($BT643/$BT644-1,"")</f>
        <v/>
      </c>
      <c r="FF643" s="58">
        <f>IFERROR($BU643/$BU644-1,"")</f>
        <v/>
      </c>
      <c r="FG643" s="58">
        <f>IFERROR($BV643/$BV644-1,"")</f>
        <v/>
      </c>
      <c r="FH643" s="58">
        <f>IFERROR($BW643/$BW644-1,"")</f>
        <v/>
      </c>
      <c r="FI643" s="58">
        <f>IFERROR($BX643/$BX644-1,"")</f>
        <v/>
      </c>
      <c r="FJ643" s="59">
        <f>$BY643-$BY644</f>
        <v/>
      </c>
      <c r="FK643" s="59">
        <f>$BZ643-$BZ644</f>
        <v/>
      </c>
      <c r="FL643" s="59">
        <f>$CA643-$CA644</f>
        <v/>
      </c>
      <c r="FM643" s="59">
        <f>$CB643-$CB644</f>
        <v/>
      </c>
      <c r="FN643" s="59">
        <f>$CC643-$CC644</f>
        <v/>
      </c>
      <c r="FO643" s="59">
        <f>$CD643-$CD644</f>
        <v/>
      </c>
      <c r="FP643" s="59">
        <f>$CE643-$CE644</f>
        <v/>
      </c>
      <c r="FQ643" s="59">
        <f>$CF643-$CF644</f>
        <v/>
      </c>
      <c r="FR643" s="59">
        <f>$CG643-$CG644</f>
        <v/>
      </c>
      <c r="FS643" s="59">
        <f>$CH643-$CH644</f>
        <v/>
      </c>
      <c r="FT643" s="59">
        <f>$CI643-$CI644</f>
        <v/>
      </c>
      <c r="FU643" s="59">
        <f>$CJ643-$CJ644</f>
        <v/>
      </c>
      <c r="FV643" s="59">
        <f>$CK643-$CK644</f>
        <v/>
      </c>
      <c r="FW643" s="59">
        <f>$CL643-$CL644</f>
        <v/>
      </c>
      <c r="FX643" s="59">
        <f>$CM643-$CM644</f>
        <v/>
      </c>
      <c r="FY643" s="59">
        <f>$CN643-$CN644</f>
        <v/>
      </c>
      <c r="FZ643" s="59">
        <f>$CO643-$CO644</f>
        <v/>
      </c>
      <c r="GA643" s="59">
        <f>$CP643-$CP644</f>
        <v/>
      </c>
      <c r="GB643" s="59">
        <f>$CQ643-$CQ644</f>
        <v/>
      </c>
      <c r="GC643" s="59">
        <f>$CR643-$CR644</f>
        <v/>
      </c>
      <c r="GD643" s="59">
        <f>$CS643-$CS644</f>
        <v/>
      </c>
      <c r="GE643" s="59">
        <f>$CT643-$CT644</f>
        <v/>
      </c>
    </row>
    <row r="644">
      <c r="CU644" s="58">
        <f>IFERROR($B644/$B645-1,"")</f>
        <v/>
      </c>
      <c r="CV644" s="59">
        <f>($F644-$F645)*100</f>
        <v/>
      </c>
      <c r="CW644" s="59">
        <f>($E644-$E645)*100</f>
        <v/>
      </c>
      <c r="CX644" s="58">
        <f>IFERROR($K644/$K645-1,"")</f>
        <v/>
      </c>
      <c r="CY644" s="59">
        <f>($AH644-$AH645)*100</f>
        <v/>
      </c>
      <c r="CZ644" s="59">
        <f>($AI644-$AI645)*100</f>
        <v/>
      </c>
      <c r="DA644" s="59">
        <f>($AJ644-$AJ645)*100</f>
        <v/>
      </c>
      <c r="DB644" s="59">
        <f>($AK644-$AK645)*100</f>
        <v/>
      </c>
      <c r="DC644" s="59">
        <f>($AL644-$AL645)*100</f>
        <v/>
      </c>
      <c r="DD644" s="59">
        <f>($AM644-$AM645)*100</f>
        <v/>
      </c>
      <c r="DE644" s="59">
        <f>($AN644-$AN645)*100</f>
        <v/>
      </c>
      <c r="DF644" s="59">
        <f>($AO644-$AO645)*100</f>
        <v/>
      </c>
      <c r="DG644" s="59">
        <f>($AP644-$AP645)*100</f>
        <v/>
      </c>
      <c r="DH644" s="59">
        <f>($AQ644-$AQ645)*100</f>
        <v/>
      </c>
      <c r="DI644" s="59">
        <f>($AR644-$AR645)*100</f>
        <v/>
      </c>
      <c r="DJ644" s="59">
        <f>($AS644-$AS645)*100</f>
        <v/>
      </c>
      <c r="DK644" s="59">
        <f>($AT644-$AT645)*100</f>
        <v/>
      </c>
      <c r="DL644" s="59">
        <f>($AU644-$AU645)*100</f>
        <v/>
      </c>
      <c r="DM644" s="59">
        <f>($AV644-$AV645)*100</f>
        <v/>
      </c>
      <c r="DN644" s="59">
        <f>($AW644-$AW645)*100</f>
        <v/>
      </c>
      <c r="DO644" s="59">
        <f>($AX644-$AX645)*100</f>
        <v/>
      </c>
      <c r="DP644" s="59">
        <f>($AY644-$AY645)*100</f>
        <v/>
      </c>
      <c r="DQ644" s="59">
        <f>($AZ644-$AZ645)*100</f>
        <v/>
      </c>
      <c r="DR644" s="59">
        <f>($BA644-$BA645)*100</f>
        <v/>
      </c>
      <c r="DS644" s="58">
        <f>IFERROR($N645/$N644-1,"")</f>
        <v/>
      </c>
      <c r="DT644" s="58">
        <f>IFERROR($O645/$O644-1,"")</f>
        <v/>
      </c>
      <c r="DU644" s="58">
        <f>IFERROR($P645/$P644-1,"")</f>
        <v/>
      </c>
      <c r="DV644" s="58">
        <f>IFERROR($Q645/$Q644-1,"")</f>
        <v/>
      </c>
      <c r="DW644" s="58">
        <f>IFERROR($R645/$R644-1,"")</f>
        <v/>
      </c>
      <c r="DX644" s="58">
        <f>IFERROR($S645/$S644-1,"")</f>
        <v/>
      </c>
      <c r="DY644" s="58">
        <f>IFERROR($T645/$T644-1,"")</f>
        <v/>
      </c>
      <c r="DZ644" s="58">
        <f>IFERROR($U645/$U644-1,"")</f>
        <v/>
      </c>
      <c r="EA644" s="58">
        <f>IFERROR($V645/$V644-1,"")</f>
        <v/>
      </c>
      <c r="EB644" s="58">
        <f>IFERROR($W645/$W644-1,"")</f>
        <v/>
      </c>
      <c r="EC644" s="58">
        <f>IFERROR($X645/$X644-1,"")</f>
        <v/>
      </c>
      <c r="ED644" s="58">
        <f>IFERROR($Y645/$Y644-1,"")</f>
        <v/>
      </c>
      <c r="EE644" s="58">
        <f>IFERROR($Z645/$Z644-1,"")</f>
        <v/>
      </c>
      <c r="EF644" s="58">
        <f>IFERROR($AA645/$AA644-1,"")</f>
        <v/>
      </c>
      <c r="EG644" s="58">
        <f>IFERROR($AB645/$AB644-1,"")</f>
        <v/>
      </c>
      <c r="EH644" s="58">
        <f>IFERROR($AC645/$AC644-1,"")</f>
        <v/>
      </c>
      <c r="EI644" s="58">
        <f>IFERROR($AD645/$AD644-1,"")</f>
        <v/>
      </c>
      <c r="EJ644" s="58">
        <f>IFERROR($AE645/$AE644-1,"")</f>
        <v/>
      </c>
      <c r="EK644" s="58">
        <f>IFERROR($AF645/$AF644-1,"")</f>
        <v/>
      </c>
      <c r="EL644" s="58">
        <f>IFERROR($AG645/$AG644-1,"")</f>
        <v/>
      </c>
      <c r="EM644" s="58">
        <f>IFERROR($BB644/$BB645-1,"")</f>
        <v/>
      </c>
      <c r="EN644" s="58">
        <f>IFERROR($BC644/$BC645-1,"")</f>
        <v/>
      </c>
      <c r="EO644" s="58">
        <f>IFERROR($BD644/$BD645-1,"")</f>
        <v/>
      </c>
      <c r="EP644" s="58">
        <f>IFERROR($BE644/$BE645-1,"")</f>
        <v/>
      </c>
      <c r="EQ644" s="58">
        <f>IFERROR($BF644/$BF645-1,"")</f>
        <v/>
      </c>
      <c r="ER644" s="58">
        <f>IFERROR($BG644/$BG645-1,"")</f>
        <v/>
      </c>
      <c r="ES644" s="58">
        <f>IFERROR($BH644/$BH645-1,"")</f>
        <v/>
      </c>
      <c r="ET644" s="58">
        <f>IFERROR($BI644/$BI645-1,"")</f>
        <v/>
      </c>
      <c r="EU644" s="58">
        <f>IFERROR($BJ644/$BJ645-1,"")</f>
        <v/>
      </c>
      <c r="EV644" s="58">
        <f>IFERROR($BK644/$BK645-1,"")</f>
        <v/>
      </c>
      <c r="EW644" s="58">
        <f>IFERROR($BL644/$BL645-1,"")</f>
        <v/>
      </c>
      <c r="EX644" s="58">
        <f>IFERROR($BM644/$BM645-1,"")</f>
        <v/>
      </c>
      <c r="EY644" s="58">
        <f>IFERROR($BN644/$BN645-1,"")</f>
        <v/>
      </c>
      <c r="EZ644" s="58">
        <f>IFERROR($BO644/$BO645-1,"")</f>
        <v/>
      </c>
      <c r="FA644" s="58">
        <f>IFERROR($BP644/$BP645-1,"")</f>
        <v/>
      </c>
      <c r="FB644" s="58">
        <f>IFERROR($BQ644/$BQ645-1,"")</f>
        <v/>
      </c>
      <c r="FC644" s="58">
        <f>IFERROR($BR644/$BR645-1,"")</f>
        <v/>
      </c>
      <c r="FD644" s="58">
        <f>IFERROR($BS644/$BS645-1,"")</f>
        <v/>
      </c>
      <c r="FE644" s="58">
        <f>IFERROR($BT644/$BT645-1,"")</f>
        <v/>
      </c>
      <c r="FF644" s="58">
        <f>IFERROR($BU644/$BU645-1,"")</f>
        <v/>
      </c>
      <c r="FG644" s="58">
        <f>IFERROR($BV644/$BV645-1,"")</f>
        <v/>
      </c>
      <c r="FH644" s="58">
        <f>IFERROR($BW644/$BW645-1,"")</f>
        <v/>
      </c>
      <c r="FI644" s="58">
        <f>IFERROR($BX644/$BX645-1,"")</f>
        <v/>
      </c>
      <c r="FJ644" s="59">
        <f>$BY644-$BY645</f>
        <v/>
      </c>
      <c r="FK644" s="59">
        <f>$BZ644-$BZ645</f>
        <v/>
      </c>
      <c r="FL644" s="59">
        <f>$CA644-$CA645</f>
        <v/>
      </c>
      <c r="FM644" s="59">
        <f>$CB644-$CB645</f>
        <v/>
      </c>
      <c r="FN644" s="59">
        <f>$CC644-$CC645</f>
        <v/>
      </c>
      <c r="FO644" s="59">
        <f>$CD644-$CD645</f>
        <v/>
      </c>
      <c r="FP644" s="59">
        <f>$CE644-$CE645</f>
        <v/>
      </c>
      <c r="FQ644" s="59">
        <f>$CF644-$CF645</f>
        <v/>
      </c>
      <c r="FR644" s="59">
        <f>$CG644-$CG645</f>
        <v/>
      </c>
      <c r="FS644" s="59">
        <f>$CH644-$CH645</f>
        <v/>
      </c>
      <c r="FT644" s="59">
        <f>$CI644-$CI645</f>
        <v/>
      </c>
      <c r="FU644" s="59">
        <f>$CJ644-$CJ645</f>
        <v/>
      </c>
      <c r="FV644" s="59">
        <f>$CK644-$CK645</f>
        <v/>
      </c>
      <c r="FW644" s="59">
        <f>$CL644-$CL645</f>
        <v/>
      </c>
      <c r="FX644" s="59">
        <f>$CM644-$CM645</f>
        <v/>
      </c>
      <c r="FY644" s="59">
        <f>$CN644-$CN645</f>
        <v/>
      </c>
      <c r="FZ644" s="59">
        <f>$CO644-$CO645</f>
        <v/>
      </c>
      <c r="GA644" s="59">
        <f>$CP644-$CP645</f>
        <v/>
      </c>
      <c r="GB644" s="59">
        <f>$CQ644-$CQ645</f>
        <v/>
      </c>
      <c r="GC644" s="59">
        <f>$CR644-$CR645</f>
        <v/>
      </c>
      <c r="GD644" s="59">
        <f>$CS644-$CS645</f>
        <v/>
      </c>
      <c r="GE644" s="59">
        <f>$CT644-$CT645</f>
        <v/>
      </c>
    </row>
    <row r="645">
      <c r="CU645" s="58">
        <f>IFERROR($B645/$B646-1,"")</f>
        <v/>
      </c>
      <c r="CV645" s="59">
        <f>($F645-$F646)*100</f>
        <v/>
      </c>
      <c r="CW645" s="59">
        <f>($E645-$E646)*100</f>
        <v/>
      </c>
      <c r="CX645" s="58">
        <f>IFERROR($K645/$K646-1,"")</f>
        <v/>
      </c>
      <c r="CY645" s="59">
        <f>($AH645-$AH646)*100</f>
        <v/>
      </c>
      <c r="CZ645" s="59">
        <f>($AI645-$AI646)*100</f>
        <v/>
      </c>
      <c r="DA645" s="59">
        <f>($AJ645-$AJ646)*100</f>
        <v/>
      </c>
      <c r="DB645" s="59">
        <f>($AK645-$AK646)*100</f>
        <v/>
      </c>
      <c r="DC645" s="59">
        <f>($AL645-$AL646)*100</f>
        <v/>
      </c>
      <c r="DD645" s="59">
        <f>($AM645-$AM646)*100</f>
        <v/>
      </c>
      <c r="DE645" s="59">
        <f>($AN645-$AN646)*100</f>
        <v/>
      </c>
      <c r="DF645" s="59">
        <f>($AO645-$AO646)*100</f>
        <v/>
      </c>
      <c r="DG645" s="59">
        <f>($AP645-$AP646)*100</f>
        <v/>
      </c>
      <c r="DH645" s="59">
        <f>($AQ645-$AQ646)*100</f>
        <v/>
      </c>
      <c r="DI645" s="59">
        <f>($AR645-$AR646)*100</f>
        <v/>
      </c>
      <c r="DJ645" s="59">
        <f>($AS645-$AS646)*100</f>
        <v/>
      </c>
      <c r="DK645" s="59">
        <f>($AT645-$AT646)*100</f>
        <v/>
      </c>
      <c r="DL645" s="59">
        <f>($AU645-$AU646)*100</f>
        <v/>
      </c>
      <c r="DM645" s="59">
        <f>($AV645-$AV646)*100</f>
        <v/>
      </c>
      <c r="DN645" s="59">
        <f>($AW645-$AW646)*100</f>
        <v/>
      </c>
      <c r="DO645" s="59">
        <f>($AX645-$AX646)*100</f>
        <v/>
      </c>
      <c r="DP645" s="59">
        <f>($AY645-$AY646)*100</f>
        <v/>
      </c>
      <c r="DQ645" s="59">
        <f>($AZ645-$AZ646)*100</f>
        <v/>
      </c>
      <c r="DR645" s="59">
        <f>($BA645-$BA646)*100</f>
        <v/>
      </c>
      <c r="DS645" s="58">
        <f>IFERROR($N646/$N645-1,"")</f>
        <v/>
      </c>
      <c r="DT645" s="58">
        <f>IFERROR($O646/$O645-1,"")</f>
        <v/>
      </c>
      <c r="DU645" s="58">
        <f>IFERROR($P646/$P645-1,"")</f>
        <v/>
      </c>
      <c r="DV645" s="58">
        <f>IFERROR($Q646/$Q645-1,"")</f>
        <v/>
      </c>
      <c r="DW645" s="58">
        <f>IFERROR($R646/$R645-1,"")</f>
        <v/>
      </c>
      <c r="DX645" s="58">
        <f>IFERROR($S646/$S645-1,"")</f>
        <v/>
      </c>
      <c r="DY645" s="58">
        <f>IFERROR($T646/$T645-1,"")</f>
        <v/>
      </c>
      <c r="DZ645" s="58">
        <f>IFERROR($U646/$U645-1,"")</f>
        <v/>
      </c>
      <c r="EA645" s="58">
        <f>IFERROR($V646/$V645-1,"")</f>
        <v/>
      </c>
      <c r="EB645" s="58">
        <f>IFERROR($W646/$W645-1,"")</f>
        <v/>
      </c>
      <c r="EC645" s="58">
        <f>IFERROR($X646/$X645-1,"")</f>
        <v/>
      </c>
      <c r="ED645" s="58">
        <f>IFERROR($Y646/$Y645-1,"")</f>
        <v/>
      </c>
      <c r="EE645" s="58">
        <f>IFERROR($Z646/$Z645-1,"")</f>
        <v/>
      </c>
      <c r="EF645" s="58">
        <f>IFERROR($AA646/$AA645-1,"")</f>
        <v/>
      </c>
      <c r="EG645" s="58">
        <f>IFERROR($AB646/$AB645-1,"")</f>
        <v/>
      </c>
      <c r="EH645" s="58">
        <f>IFERROR($AC646/$AC645-1,"")</f>
        <v/>
      </c>
      <c r="EI645" s="58">
        <f>IFERROR($AD646/$AD645-1,"")</f>
        <v/>
      </c>
      <c r="EJ645" s="58">
        <f>IFERROR($AE646/$AE645-1,"")</f>
        <v/>
      </c>
      <c r="EK645" s="58">
        <f>IFERROR($AF646/$AF645-1,"")</f>
        <v/>
      </c>
      <c r="EL645" s="58">
        <f>IFERROR($AG646/$AG645-1,"")</f>
        <v/>
      </c>
      <c r="EM645" s="58">
        <f>IFERROR($BB645/$BB646-1,"")</f>
        <v/>
      </c>
      <c r="EN645" s="58">
        <f>IFERROR($BC645/$BC646-1,"")</f>
        <v/>
      </c>
      <c r="EO645" s="58">
        <f>IFERROR($BD645/$BD646-1,"")</f>
        <v/>
      </c>
      <c r="EP645" s="58">
        <f>IFERROR($BE645/$BE646-1,"")</f>
        <v/>
      </c>
      <c r="EQ645" s="58">
        <f>IFERROR($BF645/$BF646-1,"")</f>
        <v/>
      </c>
      <c r="ER645" s="58">
        <f>IFERROR($BG645/$BG646-1,"")</f>
        <v/>
      </c>
      <c r="ES645" s="58">
        <f>IFERROR($BH645/$BH646-1,"")</f>
        <v/>
      </c>
      <c r="ET645" s="58">
        <f>IFERROR($BI645/$BI646-1,"")</f>
        <v/>
      </c>
      <c r="EU645" s="58">
        <f>IFERROR($BJ645/$BJ646-1,"")</f>
        <v/>
      </c>
      <c r="EV645" s="58">
        <f>IFERROR($BK645/$BK646-1,"")</f>
        <v/>
      </c>
      <c r="EW645" s="58">
        <f>IFERROR($BL645/$BL646-1,"")</f>
        <v/>
      </c>
      <c r="EX645" s="58">
        <f>IFERROR($BM645/$BM646-1,"")</f>
        <v/>
      </c>
      <c r="EY645" s="58">
        <f>IFERROR($BN645/$BN646-1,"")</f>
        <v/>
      </c>
      <c r="EZ645" s="58">
        <f>IFERROR($BO645/$BO646-1,"")</f>
        <v/>
      </c>
      <c r="FA645" s="58">
        <f>IFERROR($BP645/$BP646-1,"")</f>
        <v/>
      </c>
      <c r="FB645" s="58">
        <f>IFERROR($BQ645/$BQ646-1,"")</f>
        <v/>
      </c>
      <c r="FC645" s="58">
        <f>IFERROR($BR645/$BR646-1,"")</f>
        <v/>
      </c>
      <c r="FD645" s="58">
        <f>IFERROR($BS645/$BS646-1,"")</f>
        <v/>
      </c>
      <c r="FE645" s="58">
        <f>IFERROR($BT645/$BT646-1,"")</f>
        <v/>
      </c>
      <c r="FF645" s="58">
        <f>IFERROR($BU645/$BU646-1,"")</f>
        <v/>
      </c>
      <c r="FG645" s="58">
        <f>IFERROR($BV645/$BV646-1,"")</f>
        <v/>
      </c>
      <c r="FH645" s="58">
        <f>IFERROR($BW645/$BW646-1,"")</f>
        <v/>
      </c>
      <c r="FI645" s="58">
        <f>IFERROR($BX645/$BX646-1,"")</f>
        <v/>
      </c>
      <c r="FJ645" s="59">
        <f>$BY645-$BY646</f>
        <v/>
      </c>
      <c r="FK645" s="59">
        <f>$BZ645-$BZ646</f>
        <v/>
      </c>
      <c r="FL645" s="59">
        <f>$CA645-$CA646</f>
        <v/>
      </c>
      <c r="FM645" s="59">
        <f>$CB645-$CB646</f>
        <v/>
      </c>
      <c r="FN645" s="59">
        <f>$CC645-$CC646</f>
        <v/>
      </c>
      <c r="FO645" s="59">
        <f>$CD645-$CD646</f>
        <v/>
      </c>
      <c r="FP645" s="59">
        <f>$CE645-$CE646</f>
        <v/>
      </c>
      <c r="FQ645" s="59">
        <f>$CF645-$CF646</f>
        <v/>
      </c>
      <c r="FR645" s="59">
        <f>$CG645-$CG646</f>
        <v/>
      </c>
      <c r="FS645" s="59">
        <f>$CH645-$CH646</f>
        <v/>
      </c>
      <c r="FT645" s="59">
        <f>$CI645-$CI646</f>
        <v/>
      </c>
      <c r="FU645" s="59">
        <f>$CJ645-$CJ646</f>
        <v/>
      </c>
      <c r="FV645" s="59">
        <f>$CK645-$CK646</f>
        <v/>
      </c>
      <c r="FW645" s="59">
        <f>$CL645-$CL646</f>
        <v/>
      </c>
      <c r="FX645" s="59">
        <f>$CM645-$CM646</f>
        <v/>
      </c>
      <c r="FY645" s="59">
        <f>$CN645-$CN646</f>
        <v/>
      </c>
      <c r="FZ645" s="59">
        <f>$CO645-$CO646</f>
        <v/>
      </c>
      <c r="GA645" s="59">
        <f>$CP645-$CP646</f>
        <v/>
      </c>
      <c r="GB645" s="59">
        <f>$CQ645-$CQ646</f>
        <v/>
      </c>
      <c r="GC645" s="59">
        <f>$CR645-$CR646</f>
        <v/>
      </c>
      <c r="GD645" s="59">
        <f>$CS645-$CS646</f>
        <v/>
      </c>
      <c r="GE645" s="59">
        <f>$CT645-$CT646</f>
        <v/>
      </c>
    </row>
    <row r="646">
      <c r="CU646" s="58">
        <f>IFERROR($B646/$B647-1,"")</f>
        <v/>
      </c>
      <c r="CV646" s="59">
        <f>($F646-$F647)*100</f>
        <v/>
      </c>
      <c r="CW646" s="59">
        <f>($E646-$E647)*100</f>
        <v/>
      </c>
      <c r="CX646" s="58">
        <f>IFERROR($K646/$K647-1,"")</f>
        <v/>
      </c>
      <c r="CY646" s="59">
        <f>($AH646-$AH647)*100</f>
        <v/>
      </c>
      <c r="CZ646" s="59">
        <f>($AI646-$AI647)*100</f>
        <v/>
      </c>
      <c r="DA646" s="59">
        <f>($AJ646-$AJ647)*100</f>
        <v/>
      </c>
      <c r="DB646" s="59">
        <f>($AK646-$AK647)*100</f>
        <v/>
      </c>
      <c r="DC646" s="59">
        <f>($AL646-$AL647)*100</f>
        <v/>
      </c>
      <c r="DD646" s="59">
        <f>($AM646-$AM647)*100</f>
        <v/>
      </c>
      <c r="DE646" s="59">
        <f>($AN646-$AN647)*100</f>
        <v/>
      </c>
      <c r="DF646" s="59">
        <f>($AO646-$AO647)*100</f>
        <v/>
      </c>
      <c r="DG646" s="59">
        <f>($AP646-$AP647)*100</f>
        <v/>
      </c>
      <c r="DH646" s="59">
        <f>($AQ646-$AQ647)*100</f>
        <v/>
      </c>
      <c r="DI646" s="59">
        <f>($AR646-$AR647)*100</f>
        <v/>
      </c>
      <c r="DJ646" s="59">
        <f>($AS646-$AS647)*100</f>
        <v/>
      </c>
      <c r="DK646" s="59">
        <f>($AT646-$AT647)*100</f>
        <v/>
      </c>
      <c r="DL646" s="59">
        <f>($AU646-$AU647)*100</f>
        <v/>
      </c>
      <c r="DM646" s="59">
        <f>($AV646-$AV647)*100</f>
        <v/>
      </c>
      <c r="DN646" s="59">
        <f>($AW646-$AW647)*100</f>
        <v/>
      </c>
      <c r="DO646" s="59">
        <f>($AX646-$AX647)*100</f>
        <v/>
      </c>
      <c r="DP646" s="59">
        <f>($AY646-$AY647)*100</f>
        <v/>
      </c>
      <c r="DQ646" s="59">
        <f>($AZ646-$AZ647)*100</f>
        <v/>
      </c>
      <c r="DR646" s="59">
        <f>($BA646-$BA647)*100</f>
        <v/>
      </c>
      <c r="DS646" s="58">
        <f>IFERROR($N647/$N646-1,"")</f>
        <v/>
      </c>
      <c r="DT646" s="58">
        <f>IFERROR($O647/$O646-1,"")</f>
        <v/>
      </c>
      <c r="DU646" s="58">
        <f>IFERROR($P647/$P646-1,"")</f>
        <v/>
      </c>
      <c r="DV646" s="58">
        <f>IFERROR($Q647/$Q646-1,"")</f>
        <v/>
      </c>
      <c r="DW646" s="58">
        <f>IFERROR($R647/$R646-1,"")</f>
        <v/>
      </c>
      <c r="DX646" s="58">
        <f>IFERROR($S647/$S646-1,"")</f>
        <v/>
      </c>
      <c r="DY646" s="58">
        <f>IFERROR($T647/$T646-1,"")</f>
        <v/>
      </c>
      <c r="DZ646" s="58">
        <f>IFERROR($U647/$U646-1,"")</f>
        <v/>
      </c>
      <c r="EA646" s="58">
        <f>IFERROR($V647/$V646-1,"")</f>
        <v/>
      </c>
      <c r="EB646" s="58">
        <f>IFERROR($W647/$W646-1,"")</f>
        <v/>
      </c>
      <c r="EC646" s="58">
        <f>IFERROR($X647/$X646-1,"")</f>
        <v/>
      </c>
      <c r="ED646" s="58">
        <f>IFERROR($Y647/$Y646-1,"")</f>
        <v/>
      </c>
      <c r="EE646" s="58">
        <f>IFERROR($Z647/$Z646-1,"")</f>
        <v/>
      </c>
      <c r="EF646" s="58">
        <f>IFERROR($AA647/$AA646-1,"")</f>
        <v/>
      </c>
      <c r="EG646" s="58">
        <f>IFERROR($AB647/$AB646-1,"")</f>
        <v/>
      </c>
      <c r="EH646" s="58">
        <f>IFERROR($AC647/$AC646-1,"")</f>
        <v/>
      </c>
      <c r="EI646" s="58">
        <f>IFERROR($AD647/$AD646-1,"")</f>
        <v/>
      </c>
      <c r="EJ646" s="58">
        <f>IFERROR($AE647/$AE646-1,"")</f>
        <v/>
      </c>
      <c r="EK646" s="58">
        <f>IFERROR($AF647/$AF646-1,"")</f>
        <v/>
      </c>
      <c r="EL646" s="58">
        <f>IFERROR($AG647/$AG646-1,"")</f>
        <v/>
      </c>
      <c r="EM646" s="58">
        <f>IFERROR($BB646/$BB647-1,"")</f>
        <v/>
      </c>
      <c r="EN646" s="58">
        <f>IFERROR($BC646/$BC647-1,"")</f>
        <v/>
      </c>
      <c r="EO646" s="58">
        <f>IFERROR($BD646/$BD647-1,"")</f>
        <v/>
      </c>
      <c r="EP646" s="58">
        <f>IFERROR($BE646/$BE647-1,"")</f>
        <v/>
      </c>
      <c r="EQ646" s="58">
        <f>IFERROR($BF646/$BF647-1,"")</f>
        <v/>
      </c>
      <c r="ER646" s="58">
        <f>IFERROR($BG646/$BG647-1,"")</f>
        <v/>
      </c>
      <c r="ES646" s="58">
        <f>IFERROR($BH646/$BH647-1,"")</f>
        <v/>
      </c>
      <c r="ET646" s="58">
        <f>IFERROR($BI646/$BI647-1,"")</f>
        <v/>
      </c>
      <c r="EU646" s="58">
        <f>IFERROR($BJ646/$BJ647-1,"")</f>
        <v/>
      </c>
      <c r="EV646" s="58">
        <f>IFERROR($BK646/$BK647-1,"")</f>
        <v/>
      </c>
      <c r="EW646" s="58">
        <f>IFERROR($BL646/$BL647-1,"")</f>
        <v/>
      </c>
      <c r="EX646" s="58">
        <f>IFERROR($BM646/$BM647-1,"")</f>
        <v/>
      </c>
      <c r="EY646" s="58">
        <f>IFERROR($BN646/$BN647-1,"")</f>
        <v/>
      </c>
      <c r="EZ646" s="58">
        <f>IFERROR($BO646/$BO647-1,"")</f>
        <v/>
      </c>
      <c r="FA646" s="58">
        <f>IFERROR($BP646/$BP647-1,"")</f>
        <v/>
      </c>
      <c r="FB646" s="58">
        <f>IFERROR($BQ646/$BQ647-1,"")</f>
        <v/>
      </c>
      <c r="FC646" s="58">
        <f>IFERROR($BR646/$BR647-1,"")</f>
        <v/>
      </c>
      <c r="FD646" s="58">
        <f>IFERROR($BS646/$BS647-1,"")</f>
        <v/>
      </c>
      <c r="FE646" s="58">
        <f>IFERROR($BT646/$BT647-1,"")</f>
        <v/>
      </c>
      <c r="FF646" s="58">
        <f>IFERROR($BU646/$BU647-1,"")</f>
        <v/>
      </c>
      <c r="FG646" s="58">
        <f>IFERROR($BV646/$BV647-1,"")</f>
        <v/>
      </c>
      <c r="FH646" s="58">
        <f>IFERROR($BW646/$BW647-1,"")</f>
        <v/>
      </c>
      <c r="FI646" s="58">
        <f>IFERROR($BX646/$BX647-1,"")</f>
        <v/>
      </c>
      <c r="FJ646" s="59">
        <f>$BY646-$BY647</f>
        <v/>
      </c>
      <c r="FK646" s="59">
        <f>$BZ646-$BZ647</f>
        <v/>
      </c>
      <c r="FL646" s="59">
        <f>$CA646-$CA647</f>
        <v/>
      </c>
      <c r="FM646" s="59">
        <f>$CB646-$CB647</f>
        <v/>
      </c>
      <c r="FN646" s="59">
        <f>$CC646-$CC647</f>
        <v/>
      </c>
      <c r="FO646" s="59">
        <f>$CD646-$CD647</f>
        <v/>
      </c>
      <c r="FP646" s="59">
        <f>$CE646-$CE647</f>
        <v/>
      </c>
      <c r="FQ646" s="59">
        <f>$CF646-$CF647</f>
        <v/>
      </c>
      <c r="FR646" s="59">
        <f>$CG646-$CG647</f>
        <v/>
      </c>
      <c r="FS646" s="59">
        <f>$CH646-$CH647</f>
        <v/>
      </c>
      <c r="FT646" s="59">
        <f>$CI646-$CI647</f>
        <v/>
      </c>
      <c r="FU646" s="59">
        <f>$CJ646-$CJ647</f>
        <v/>
      </c>
      <c r="FV646" s="59">
        <f>$CK646-$CK647</f>
        <v/>
      </c>
      <c r="FW646" s="59">
        <f>$CL646-$CL647</f>
        <v/>
      </c>
      <c r="FX646" s="59">
        <f>$CM646-$CM647</f>
        <v/>
      </c>
      <c r="FY646" s="59">
        <f>$CN646-$CN647</f>
        <v/>
      </c>
      <c r="FZ646" s="59">
        <f>$CO646-$CO647</f>
        <v/>
      </c>
      <c r="GA646" s="59">
        <f>$CP646-$CP647</f>
        <v/>
      </c>
      <c r="GB646" s="59">
        <f>$CQ646-$CQ647</f>
        <v/>
      </c>
      <c r="GC646" s="59">
        <f>$CR646-$CR647</f>
        <v/>
      </c>
      <c r="GD646" s="59">
        <f>$CS646-$CS647</f>
        <v/>
      </c>
      <c r="GE646" s="59">
        <f>$CT646-$CT647</f>
        <v/>
      </c>
    </row>
    <row r="647">
      <c r="CU647" s="58">
        <f>IFERROR($B647/$B648-1,"")</f>
        <v/>
      </c>
      <c r="CV647" s="59">
        <f>($F647-$F648)*100</f>
        <v/>
      </c>
      <c r="CW647" s="59">
        <f>($E647-$E648)*100</f>
        <v/>
      </c>
      <c r="CX647" s="58">
        <f>IFERROR($K647/$K648-1,"")</f>
        <v/>
      </c>
      <c r="CY647" s="59">
        <f>($AH647-$AH648)*100</f>
        <v/>
      </c>
      <c r="CZ647" s="59">
        <f>($AI647-$AI648)*100</f>
        <v/>
      </c>
      <c r="DA647" s="59">
        <f>($AJ647-$AJ648)*100</f>
        <v/>
      </c>
      <c r="DB647" s="59">
        <f>($AK647-$AK648)*100</f>
        <v/>
      </c>
      <c r="DC647" s="59">
        <f>($AL647-$AL648)*100</f>
        <v/>
      </c>
      <c r="DD647" s="59">
        <f>($AM647-$AM648)*100</f>
        <v/>
      </c>
      <c r="DE647" s="59">
        <f>($AN647-$AN648)*100</f>
        <v/>
      </c>
      <c r="DF647" s="59">
        <f>($AO647-$AO648)*100</f>
        <v/>
      </c>
      <c r="DG647" s="59">
        <f>($AP647-$AP648)*100</f>
        <v/>
      </c>
      <c r="DH647" s="59">
        <f>($AQ647-$AQ648)*100</f>
        <v/>
      </c>
      <c r="DI647" s="59">
        <f>($AR647-$AR648)*100</f>
        <v/>
      </c>
      <c r="DJ647" s="59">
        <f>($AS647-$AS648)*100</f>
        <v/>
      </c>
      <c r="DK647" s="59">
        <f>($AT647-$AT648)*100</f>
        <v/>
      </c>
      <c r="DL647" s="59">
        <f>($AU647-$AU648)*100</f>
        <v/>
      </c>
      <c r="DM647" s="59">
        <f>($AV647-$AV648)*100</f>
        <v/>
      </c>
      <c r="DN647" s="59">
        <f>($AW647-$AW648)*100</f>
        <v/>
      </c>
      <c r="DO647" s="59">
        <f>($AX647-$AX648)*100</f>
        <v/>
      </c>
      <c r="DP647" s="59">
        <f>($AY647-$AY648)*100</f>
        <v/>
      </c>
      <c r="DQ647" s="59">
        <f>($AZ647-$AZ648)*100</f>
        <v/>
      </c>
      <c r="DR647" s="59">
        <f>($BA647-$BA648)*100</f>
        <v/>
      </c>
      <c r="DS647" s="58">
        <f>IFERROR($N648/$N647-1,"")</f>
        <v/>
      </c>
      <c r="DT647" s="58">
        <f>IFERROR($O648/$O647-1,"")</f>
        <v/>
      </c>
      <c r="DU647" s="58">
        <f>IFERROR($P648/$P647-1,"")</f>
        <v/>
      </c>
      <c r="DV647" s="58">
        <f>IFERROR($Q648/$Q647-1,"")</f>
        <v/>
      </c>
      <c r="DW647" s="58">
        <f>IFERROR($R648/$R647-1,"")</f>
        <v/>
      </c>
      <c r="DX647" s="58">
        <f>IFERROR($S648/$S647-1,"")</f>
        <v/>
      </c>
      <c r="DY647" s="58">
        <f>IFERROR($T648/$T647-1,"")</f>
        <v/>
      </c>
      <c r="DZ647" s="58">
        <f>IFERROR($U648/$U647-1,"")</f>
        <v/>
      </c>
      <c r="EA647" s="58">
        <f>IFERROR($V648/$V647-1,"")</f>
        <v/>
      </c>
      <c r="EB647" s="58">
        <f>IFERROR($W648/$W647-1,"")</f>
        <v/>
      </c>
      <c r="EC647" s="58">
        <f>IFERROR($X648/$X647-1,"")</f>
        <v/>
      </c>
      <c r="ED647" s="58">
        <f>IFERROR($Y648/$Y647-1,"")</f>
        <v/>
      </c>
      <c r="EE647" s="58">
        <f>IFERROR($Z648/$Z647-1,"")</f>
        <v/>
      </c>
      <c r="EF647" s="58">
        <f>IFERROR($AA648/$AA647-1,"")</f>
        <v/>
      </c>
      <c r="EG647" s="58">
        <f>IFERROR($AB648/$AB647-1,"")</f>
        <v/>
      </c>
      <c r="EH647" s="58">
        <f>IFERROR($AC648/$AC647-1,"")</f>
        <v/>
      </c>
      <c r="EI647" s="58">
        <f>IFERROR($AD648/$AD647-1,"")</f>
        <v/>
      </c>
      <c r="EJ647" s="58">
        <f>IFERROR($AE648/$AE647-1,"")</f>
        <v/>
      </c>
      <c r="EK647" s="58">
        <f>IFERROR($AF648/$AF647-1,"")</f>
        <v/>
      </c>
      <c r="EL647" s="58">
        <f>IFERROR($AG648/$AG647-1,"")</f>
        <v/>
      </c>
      <c r="EM647" s="58">
        <f>IFERROR($BB647/$BB648-1,"")</f>
        <v/>
      </c>
      <c r="EN647" s="58">
        <f>IFERROR($BC647/$BC648-1,"")</f>
        <v/>
      </c>
      <c r="EO647" s="58">
        <f>IFERROR($BD647/$BD648-1,"")</f>
        <v/>
      </c>
      <c r="EP647" s="58">
        <f>IFERROR($BE647/$BE648-1,"")</f>
        <v/>
      </c>
      <c r="EQ647" s="58">
        <f>IFERROR($BF647/$BF648-1,"")</f>
        <v/>
      </c>
      <c r="ER647" s="58">
        <f>IFERROR($BG647/$BG648-1,"")</f>
        <v/>
      </c>
      <c r="ES647" s="58">
        <f>IFERROR($BH647/$BH648-1,"")</f>
        <v/>
      </c>
      <c r="ET647" s="58">
        <f>IFERROR($BI647/$BI648-1,"")</f>
        <v/>
      </c>
      <c r="EU647" s="58">
        <f>IFERROR($BJ647/$BJ648-1,"")</f>
        <v/>
      </c>
      <c r="EV647" s="58">
        <f>IFERROR($BK647/$BK648-1,"")</f>
        <v/>
      </c>
      <c r="EW647" s="58">
        <f>IFERROR($BL647/$BL648-1,"")</f>
        <v/>
      </c>
      <c r="EX647" s="58">
        <f>IFERROR($BM647/$BM648-1,"")</f>
        <v/>
      </c>
      <c r="EY647" s="58">
        <f>IFERROR($BN647/$BN648-1,"")</f>
        <v/>
      </c>
      <c r="EZ647" s="58">
        <f>IFERROR($BO647/$BO648-1,"")</f>
        <v/>
      </c>
      <c r="FA647" s="58">
        <f>IFERROR($BP647/$BP648-1,"")</f>
        <v/>
      </c>
      <c r="FB647" s="58">
        <f>IFERROR($BQ647/$BQ648-1,"")</f>
        <v/>
      </c>
      <c r="FC647" s="58">
        <f>IFERROR($BR647/$BR648-1,"")</f>
        <v/>
      </c>
      <c r="FD647" s="58">
        <f>IFERROR($BS647/$BS648-1,"")</f>
        <v/>
      </c>
      <c r="FE647" s="58">
        <f>IFERROR($BT647/$BT648-1,"")</f>
        <v/>
      </c>
      <c r="FF647" s="58">
        <f>IFERROR($BU647/$BU648-1,"")</f>
        <v/>
      </c>
      <c r="FG647" s="58">
        <f>IFERROR($BV647/$BV648-1,"")</f>
        <v/>
      </c>
      <c r="FH647" s="58">
        <f>IFERROR($BW647/$BW648-1,"")</f>
        <v/>
      </c>
      <c r="FI647" s="58">
        <f>IFERROR($BX647/$BX648-1,"")</f>
        <v/>
      </c>
      <c r="FJ647" s="59">
        <f>$BY647-$BY648</f>
        <v/>
      </c>
      <c r="FK647" s="59">
        <f>$BZ647-$BZ648</f>
        <v/>
      </c>
      <c r="FL647" s="59">
        <f>$CA647-$CA648</f>
        <v/>
      </c>
      <c r="FM647" s="59">
        <f>$CB647-$CB648</f>
        <v/>
      </c>
      <c r="FN647" s="59">
        <f>$CC647-$CC648</f>
        <v/>
      </c>
      <c r="FO647" s="59">
        <f>$CD647-$CD648</f>
        <v/>
      </c>
      <c r="FP647" s="59">
        <f>$CE647-$CE648</f>
        <v/>
      </c>
      <c r="FQ647" s="59">
        <f>$CF647-$CF648</f>
        <v/>
      </c>
      <c r="FR647" s="59">
        <f>$CG647-$CG648</f>
        <v/>
      </c>
      <c r="FS647" s="59">
        <f>$CH647-$CH648</f>
        <v/>
      </c>
      <c r="FT647" s="59">
        <f>$CI647-$CI648</f>
        <v/>
      </c>
      <c r="FU647" s="59">
        <f>$CJ647-$CJ648</f>
        <v/>
      </c>
      <c r="FV647" s="59">
        <f>$CK647-$CK648</f>
        <v/>
      </c>
      <c r="FW647" s="59">
        <f>$CL647-$CL648</f>
        <v/>
      </c>
      <c r="FX647" s="59">
        <f>$CM647-$CM648</f>
        <v/>
      </c>
      <c r="FY647" s="59">
        <f>$CN647-$CN648</f>
        <v/>
      </c>
      <c r="FZ647" s="59">
        <f>$CO647-$CO648</f>
        <v/>
      </c>
      <c r="GA647" s="59">
        <f>$CP647-$CP648</f>
        <v/>
      </c>
      <c r="GB647" s="59">
        <f>$CQ647-$CQ648</f>
        <v/>
      </c>
      <c r="GC647" s="59">
        <f>$CR647-$CR648</f>
        <v/>
      </c>
      <c r="GD647" s="59">
        <f>$CS647-$CS648</f>
        <v/>
      </c>
      <c r="GE647" s="59">
        <f>$CT647-$CT648</f>
        <v/>
      </c>
    </row>
    <row r="648">
      <c r="CU648" s="58">
        <f>IFERROR($B648/$B649-1,"")</f>
        <v/>
      </c>
      <c r="CV648" s="59">
        <f>($F648-$F649)*100</f>
        <v/>
      </c>
      <c r="CW648" s="59">
        <f>($E648-$E649)*100</f>
        <v/>
      </c>
      <c r="CX648" s="58">
        <f>IFERROR($K648/$K649-1,"")</f>
        <v/>
      </c>
      <c r="CY648" s="59">
        <f>($AH648-$AH649)*100</f>
        <v/>
      </c>
      <c r="CZ648" s="59">
        <f>($AI648-$AI649)*100</f>
        <v/>
      </c>
      <c r="DA648" s="59">
        <f>($AJ648-$AJ649)*100</f>
        <v/>
      </c>
      <c r="DB648" s="59">
        <f>($AK648-$AK649)*100</f>
        <v/>
      </c>
      <c r="DC648" s="59">
        <f>($AL648-$AL649)*100</f>
        <v/>
      </c>
      <c r="DD648" s="59">
        <f>($AM648-$AM649)*100</f>
        <v/>
      </c>
      <c r="DE648" s="59">
        <f>($AN648-$AN649)*100</f>
        <v/>
      </c>
      <c r="DF648" s="59">
        <f>($AO648-$AO649)*100</f>
        <v/>
      </c>
      <c r="DG648" s="59">
        <f>($AP648-$AP649)*100</f>
        <v/>
      </c>
      <c r="DH648" s="59">
        <f>($AQ648-$AQ649)*100</f>
        <v/>
      </c>
      <c r="DI648" s="59">
        <f>($AR648-$AR649)*100</f>
        <v/>
      </c>
      <c r="DJ648" s="59">
        <f>($AS648-$AS649)*100</f>
        <v/>
      </c>
      <c r="DK648" s="59">
        <f>($AT648-$AT649)*100</f>
        <v/>
      </c>
      <c r="DL648" s="59">
        <f>($AU648-$AU649)*100</f>
        <v/>
      </c>
      <c r="DM648" s="59">
        <f>($AV648-$AV649)*100</f>
        <v/>
      </c>
      <c r="DN648" s="59">
        <f>($AW648-$AW649)*100</f>
        <v/>
      </c>
      <c r="DO648" s="59">
        <f>($AX648-$AX649)*100</f>
        <v/>
      </c>
      <c r="DP648" s="59">
        <f>($AY648-$AY649)*100</f>
        <v/>
      </c>
      <c r="DQ648" s="59">
        <f>($AZ648-$AZ649)*100</f>
        <v/>
      </c>
      <c r="DR648" s="59">
        <f>($BA648-$BA649)*100</f>
        <v/>
      </c>
      <c r="DS648" s="58">
        <f>IFERROR($N649/$N648-1,"")</f>
        <v/>
      </c>
      <c r="DT648" s="58">
        <f>IFERROR($O649/$O648-1,"")</f>
        <v/>
      </c>
      <c r="DU648" s="58">
        <f>IFERROR($P649/$P648-1,"")</f>
        <v/>
      </c>
      <c r="DV648" s="58">
        <f>IFERROR($Q649/$Q648-1,"")</f>
        <v/>
      </c>
      <c r="DW648" s="58">
        <f>IFERROR($R649/$R648-1,"")</f>
        <v/>
      </c>
      <c r="DX648" s="58">
        <f>IFERROR($S649/$S648-1,"")</f>
        <v/>
      </c>
      <c r="DY648" s="58">
        <f>IFERROR($T649/$T648-1,"")</f>
        <v/>
      </c>
      <c r="DZ648" s="58">
        <f>IFERROR($U649/$U648-1,"")</f>
        <v/>
      </c>
      <c r="EA648" s="58">
        <f>IFERROR($V649/$V648-1,"")</f>
        <v/>
      </c>
      <c r="EB648" s="58">
        <f>IFERROR($W649/$W648-1,"")</f>
        <v/>
      </c>
      <c r="EC648" s="58">
        <f>IFERROR($X649/$X648-1,"")</f>
        <v/>
      </c>
      <c r="ED648" s="58">
        <f>IFERROR($Y649/$Y648-1,"")</f>
        <v/>
      </c>
      <c r="EE648" s="58">
        <f>IFERROR($Z649/$Z648-1,"")</f>
        <v/>
      </c>
      <c r="EF648" s="58">
        <f>IFERROR($AA649/$AA648-1,"")</f>
        <v/>
      </c>
      <c r="EG648" s="58">
        <f>IFERROR($AB649/$AB648-1,"")</f>
        <v/>
      </c>
      <c r="EH648" s="58">
        <f>IFERROR($AC649/$AC648-1,"")</f>
        <v/>
      </c>
      <c r="EI648" s="58">
        <f>IFERROR($AD649/$AD648-1,"")</f>
        <v/>
      </c>
      <c r="EJ648" s="58">
        <f>IFERROR($AE649/$AE648-1,"")</f>
        <v/>
      </c>
      <c r="EK648" s="58">
        <f>IFERROR($AF649/$AF648-1,"")</f>
        <v/>
      </c>
      <c r="EL648" s="58">
        <f>IFERROR($AG649/$AG648-1,"")</f>
        <v/>
      </c>
      <c r="EM648" s="58">
        <f>IFERROR($BB648/$BB649-1,"")</f>
        <v/>
      </c>
      <c r="EN648" s="58">
        <f>IFERROR($BC648/$BC649-1,"")</f>
        <v/>
      </c>
      <c r="EO648" s="58">
        <f>IFERROR($BD648/$BD649-1,"")</f>
        <v/>
      </c>
      <c r="EP648" s="58">
        <f>IFERROR($BE648/$BE649-1,"")</f>
        <v/>
      </c>
      <c r="EQ648" s="58">
        <f>IFERROR($BF648/$BF649-1,"")</f>
        <v/>
      </c>
      <c r="ER648" s="58">
        <f>IFERROR($BG648/$BG649-1,"")</f>
        <v/>
      </c>
      <c r="ES648" s="58">
        <f>IFERROR($BH648/$BH649-1,"")</f>
        <v/>
      </c>
      <c r="ET648" s="58">
        <f>IFERROR($BI648/$BI649-1,"")</f>
        <v/>
      </c>
      <c r="EU648" s="58">
        <f>IFERROR($BJ648/$BJ649-1,"")</f>
        <v/>
      </c>
      <c r="EV648" s="58">
        <f>IFERROR($BK648/$BK649-1,"")</f>
        <v/>
      </c>
      <c r="EW648" s="58">
        <f>IFERROR($BL648/$BL649-1,"")</f>
        <v/>
      </c>
      <c r="EX648" s="58">
        <f>IFERROR($BM648/$BM649-1,"")</f>
        <v/>
      </c>
      <c r="EY648" s="58">
        <f>IFERROR($BN648/$BN649-1,"")</f>
        <v/>
      </c>
      <c r="EZ648" s="58">
        <f>IFERROR($BO648/$BO649-1,"")</f>
        <v/>
      </c>
      <c r="FA648" s="58">
        <f>IFERROR($BP648/$BP649-1,"")</f>
        <v/>
      </c>
      <c r="FB648" s="58">
        <f>IFERROR($BQ648/$BQ649-1,"")</f>
        <v/>
      </c>
      <c r="FC648" s="58">
        <f>IFERROR($BR648/$BR649-1,"")</f>
        <v/>
      </c>
      <c r="FD648" s="58">
        <f>IFERROR($BS648/$BS649-1,"")</f>
        <v/>
      </c>
      <c r="FE648" s="58">
        <f>IFERROR($BT648/$BT649-1,"")</f>
        <v/>
      </c>
      <c r="FF648" s="58">
        <f>IFERROR($BU648/$BU649-1,"")</f>
        <v/>
      </c>
      <c r="FG648" s="58">
        <f>IFERROR($BV648/$BV649-1,"")</f>
        <v/>
      </c>
      <c r="FH648" s="58">
        <f>IFERROR($BW648/$BW649-1,"")</f>
        <v/>
      </c>
      <c r="FI648" s="58">
        <f>IFERROR($BX648/$BX649-1,"")</f>
        <v/>
      </c>
      <c r="FJ648" s="59">
        <f>$BY648-$BY649</f>
        <v/>
      </c>
      <c r="FK648" s="59">
        <f>$BZ648-$BZ649</f>
        <v/>
      </c>
      <c r="FL648" s="59">
        <f>$CA648-$CA649</f>
        <v/>
      </c>
      <c r="FM648" s="59">
        <f>$CB648-$CB649</f>
        <v/>
      </c>
      <c r="FN648" s="59">
        <f>$CC648-$CC649</f>
        <v/>
      </c>
      <c r="FO648" s="59">
        <f>$CD648-$CD649</f>
        <v/>
      </c>
      <c r="FP648" s="59">
        <f>$CE648-$CE649</f>
        <v/>
      </c>
      <c r="FQ648" s="59">
        <f>$CF648-$CF649</f>
        <v/>
      </c>
      <c r="FR648" s="59">
        <f>$CG648-$CG649</f>
        <v/>
      </c>
      <c r="FS648" s="59">
        <f>$CH648-$CH649</f>
        <v/>
      </c>
      <c r="FT648" s="59">
        <f>$CI648-$CI649</f>
        <v/>
      </c>
      <c r="FU648" s="59">
        <f>$CJ648-$CJ649</f>
        <v/>
      </c>
      <c r="FV648" s="59">
        <f>$CK648-$CK649</f>
        <v/>
      </c>
      <c r="FW648" s="59">
        <f>$CL648-$CL649</f>
        <v/>
      </c>
      <c r="FX648" s="59">
        <f>$CM648-$CM649</f>
        <v/>
      </c>
      <c r="FY648" s="59">
        <f>$CN648-$CN649</f>
        <v/>
      </c>
      <c r="FZ648" s="59">
        <f>$CO648-$CO649</f>
        <v/>
      </c>
      <c r="GA648" s="59">
        <f>$CP648-$CP649</f>
        <v/>
      </c>
      <c r="GB648" s="59">
        <f>$CQ648-$CQ649</f>
        <v/>
      </c>
      <c r="GC648" s="59">
        <f>$CR648-$CR649</f>
        <v/>
      </c>
      <c r="GD648" s="59">
        <f>$CS648-$CS649</f>
        <v/>
      </c>
      <c r="GE648" s="59">
        <f>$CT648-$CT649</f>
        <v/>
      </c>
    </row>
    <row r="649">
      <c r="CU649" s="58">
        <f>IFERROR($B649/$B650-1,"")</f>
        <v/>
      </c>
      <c r="CV649" s="59">
        <f>($F649-$F650)*100</f>
        <v/>
      </c>
      <c r="CW649" s="59">
        <f>($E649-$E650)*100</f>
        <v/>
      </c>
      <c r="CX649" s="58">
        <f>IFERROR($K649/$K650-1,"")</f>
        <v/>
      </c>
      <c r="CY649" s="59">
        <f>($AH649-$AH650)*100</f>
        <v/>
      </c>
      <c r="CZ649" s="59">
        <f>($AI649-$AI650)*100</f>
        <v/>
      </c>
      <c r="DA649" s="59">
        <f>($AJ649-$AJ650)*100</f>
        <v/>
      </c>
      <c r="DB649" s="59">
        <f>($AK649-$AK650)*100</f>
        <v/>
      </c>
      <c r="DC649" s="59">
        <f>($AL649-$AL650)*100</f>
        <v/>
      </c>
      <c r="DD649" s="59">
        <f>($AM649-$AM650)*100</f>
        <v/>
      </c>
      <c r="DE649" s="59">
        <f>($AN649-$AN650)*100</f>
        <v/>
      </c>
      <c r="DF649" s="59">
        <f>($AO649-$AO650)*100</f>
        <v/>
      </c>
      <c r="DG649" s="59">
        <f>($AP649-$AP650)*100</f>
        <v/>
      </c>
      <c r="DH649" s="59">
        <f>($AQ649-$AQ650)*100</f>
        <v/>
      </c>
      <c r="DI649" s="59">
        <f>($AR649-$AR650)*100</f>
        <v/>
      </c>
      <c r="DJ649" s="59">
        <f>($AS649-$AS650)*100</f>
        <v/>
      </c>
      <c r="DK649" s="59">
        <f>($AT649-$AT650)*100</f>
        <v/>
      </c>
      <c r="DL649" s="59">
        <f>($AU649-$AU650)*100</f>
        <v/>
      </c>
      <c r="DM649" s="59">
        <f>($AV649-$AV650)*100</f>
        <v/>
      </c>
      <c r="DN649" s="59">
        <f>($AW649-$AW650)*100</f>
        <v/>
      </c>
      <c r="DO649" s="59">
        <f>($AX649-$AX650)*100</f>
        <v/>
      </c>
      <c r="DP649" s="59">
        <f>($AY649-$AY650)*100</f>
        <v/>
      </c>
      <c r="DQ649" s="59">
        <f>($AZ649-$AZ650)*100</f>
        <v/>
      </c>
      <c r="DR649" s="59">
        <f>($BA649-$BA650)*100</f>
        <v/>
      </c>
      <c r="DS649" s="58">
        <f>IFERROR($N650/$N649-1,"")</f>
        <v/>
      </c>
      <c r="DT649" s="58">
        <f>IFERROR($O650/$O649-1,"")</f>
        <v/>
      </c>
      <c r="DU649" s="58">
        <f>IFERROR($P650/$P649-1,"")</f>
        <v/>
      </c>
      <c r="DV649" s="58">
        <f>IFERROR($Q650/$Q649-1,"")</f>
        <v/>
      </c>
      <c r="DW649" s="58">
        <f>IFERROR($R650/$R649-1,"")</f>
        <v/>
      </c>
      <c r="DX649" s="58">
        <f>IFERROR($S650/$S649-1,"")</f>
        <v/>
      </c>
      <c r="DY649" s="58">
        <f>IFERROR($T650/$T649-1,"")</f>
        <v/>
      </c>
      <c r="DZ649" s="58">
        <f>IFERROR($U650/$U649-1,"")</f>
        <v/>
      </c>
      <c r="EA649" s="58">
        <f>IFERROR($V650/$V649-1,"")</f>
        <v/>
      </c>
      <c r="EB649" s="58">
        <f>IFERROR($W650/$W649-1,"")</f>
        <v/>
      </c>
      <c r="EC649" s="58">
        <f>IFERROR($X650/$X649-1,"")</f>
        <v/>
      </c>
      <c r="ED649" s="58">
        <f>IFERROR($Y650/$Y649-1,"")</f>
        <v/>
      </c>
      <c r="EE649" s="58">
        <f>IFERROR($Z650/$Z649-1,"")</f>
        <v/>
      </c>
      <c r="EF649" s="58">
        <f>IFERROR($AA650/$AA649-1,"")</f>
        <v/>
      </c>
      <c r="EG649" s="58">
        <f>IFERROR($AB650/$AB649-1,"")</f>
        <v/>
      </c>
      <c r="EH649" s="58">
        <f>IFERROR($AC650/$AC649-1,"")</f>
        <v/>
      </c>
      <c r="EI649" s="58">
        <f>IFERROR($AD650/$AD649-1,"")</f>
        <v/>
      </c>
      <c r="EJ649" s="58">
        <f>IFERROR($AE650/$AE649-1,"")</f>
        <v/>
      </c>
      <c r="EK649" s="58">
        <f>IFERROR($AF650/$AF649-1,"")</f>
        <v/>
      </c>
      <c r="EL649" s="58">
        <f>IFERROR($AG650/$AG649-1,"")</f>
        <v/>
      </c>
      <c r="EM649" s="58">
        <f>IFERROR($BB649/$BB650-1,"")</f>
        <v/>
      </c>
      <c r="EN649" s="58">
        <f>IFERROR($BC649/$BC650-1,"")</f>
        <v/>
      </c>
      <c r="EO649" s="58">
        <f>IFERROR($BD649/$BD650-1,"")</f>
        <v/>
      </c>
      <c r="EP649" s="58">
        <f>IFERROR($BE649/$BE650-1,"")</f>
        <v/>
      </c>
      <c r="EQ649" s="58">
        <f>IFERROR($BF649/$BF650-1,"")</f>
        <v/>
      </c>
      <c r="ER649" s="58">
        <f>IFERROR($BG649/$BG650-1,"")</f>
        <v/>
      </c>
      <c r="ES649" s="58">
        <f>IFERROR($BH649/$BH650-1,"")</f>
        <v/>
      </c>
      <c r="ET649" s="58">
        <f>IFERROR($BI649/$BI650-1,"")</f>
        <v/>
      </c>
      <c r="EU649" s="58">
        <f>IFERROR($BJ649/$BJ650-1,"")</f>
        <v/>
      </c>
      <c r="EV649" s="58">
        <f>IFERROR($BK649/$BK650-1,"")</f>
        <v/>
      </c>
      <c r="EW649" s="58">
        <f>IFERROR($BL649/$BL650-1,"")</f>
        <v/>
      </c>
      <c r="EX649" s="58">
        <f>IFERROR($BM649/$BM650-1,"")</f>
        <v/>
      </c>
      <c r="EY649" s="58">
        <f>IFERROR($BN649/$BN650-1,"")</f>
        <v/>
      </c>
      <c r="EZ649" s="58">
        <f>IFERROR($BO649/$BO650-1,"")</f>
        <v/>
      </c>
      <c r="FA649" s="58">
        <f>IFERROR($BP649/$BP650-1,"")</f>
        <v/>
      </c>
      <c r="FB649" s="58">
        <f>IFERROR($BQ649/$BQ650-1,"")</f>
        <v/>
      </c>
      <c r="FC649" s="58">
        <f>IFERROR($BR649/$BR650-1,"")</f>
        <v/>
      </c>
      <c r="FD649" s="58">
        <f>IFERROR($BS649/$BS650-1,"")</f>
        <v/>
      </c>
      <c r="FE649" s="58">
        <f>IFERROR($BT649/$BT650-1,"")</f>
        <v/>
      </c>
      <c r="FF649" s="58">
        <f>IFERROR($BU649/$BU650-1,"")</f>
        <v/>
      </c>
      <c r="FG649" s="58">
        <f>IFERROR($BV649/$BV650-1,"")</f>
        <v/>
      </c>
      <c r="FH649" s="58">
        <f>IFERROR($BW649/$BW650-1,"")</f>
        <v/>
      </c>
      <c r="FI649" s="58">
        <f>IFERROR($BX649/$BX650-1,"")</f>
        <v/>
      </c>
      <c r="FJ649" s="59">
        <f>$BY649-$BY650</f>
        <v/>
      </c>
      <c r="FK649" s="59">
        <f>$BZ649-$BZ650</f>
        <v/>
      </c>
      <c r="FL649" s="59">
        <f>$CA649-$CA650</f>
        <v/>
      </c>
      <c r="FM649" s="59">
        <f>$CB649-$CB650</f>
        <v/>
      </c>
      <c r="FN649" s="59">
        <f>$CC649-$CC650</f>
        <v/>
      </c>
      <c r="FO649" s="59">
        <f>$CD649-$CD650</f>
        <v/>
      </c>
      <c r="FP649" s="59">
        <f>$CE649-$CE650</f>
        <v/>
      </c>
      <c r="FQ649" s="59">
        <f>$CF649-$CF650</f>
        <v/>
      </c>
      <c r="FR649" s="59">
        <f>$CG649-$CG650</f>
        <v/>
      </c>
      <c r="FS649" s="59">
        <f>$CH649-$CH650</f>
        <v/>
      </c>
      <c r="FT649" s="59">
        <f>$CI649-$CI650</f>
        <v/>
      </c>
      <c r="FU649" s="59">
        <f>$CJ649-$CJ650</f>
        <v/>
      </c>
      <c r="FV649" s="59">
        <f>$CK649-$CK650</f>
        <v/>
      </c>
      <c r="FW649" s="59">
        <f>$CL649-$CL650</f>
        <v/>
      </c>
      <c r="FX649" s="59">
        <f>$CM649-$CM650</f>
        <v/>
      </c>
      <c r="FY649" s="59">
        <f>$CN649-$CN650</f>
        <v/>
      </c>
      <c r="FZ649" s="59">
        <f>$CO649-$CO650</f>
        <v/>
      </c>
      <c r="GA649" s="59">
        <f>$CP649-$CP650</f>
        <v/>
      </c>
      <c r="GB649" s="59">
        <f>$CQ649-$CQ650</f>
        <v/>
      </c>
      <c r="GC649" s="59">
        <f>$CR649-$CR650</f>
        <v/>
      </c>
      <c r="GD649" s="59">
        <f>$CS649-$CS650</f>
        <v/>
      </c>
      <c r="GE649" s="59">
        <f>$CT649-$CT650</f>
        <v/>
      </c>
    </row>
    <row r="650">
      <c r="CU650" s="58">
        <f>IFERROR($B650/$B651-1,"")</f>
        <v/>
      </c>
      <c r="CV650" s="59">
        <f>($F650-$F651)*100</f>
        <v/>
      </c>
      <c r="CW650" s="59">
        <f>($E650-$E651)*100</f>
        <v/>
      </c>
      <c r="CX650" s="58">
        <f>IFERROR($K650/$K651-1,"")</f>
        <v/>
      </c>
      <c r="CY650" s="59">
        <f>($AH650-$AH651)*100</f>
        <v/>
      </c>
      <c r="CZ650" s="59">
        <f>($AI650-$AI651)*100</f>
        <v/>
      </c>
      <c r="DA650" s="59">
        <f>($AJ650-$AJ651)*100</f>
        <v/>
      </c>
      <c r="DB650" s="59">
        <f>($AK650-$AK651)*100</f>
        <v/>
      </c>
      <c r="DC650" s="59">
        <f>($AL650-$AL651)*100</f>
        <v/>
      </c>
      <c r="DD650" s="59">
        <f>($AM650-$AM651)*100</f>
        <v/>
      </c>
      <c r="DE650" s="59">
        <f>($AN650-$AN651)*100</f>
        <v/>
      </c>
      <c r="DF650" s="59">
        <f>($AO650-$AO651)*100</f>
        <v/>
      </c>
      <c r="DG650" s="59">
        <f>($AP650-$AP651)*100</f>
        <v/>
      </c>
      <c r="DH650" s="59">
        <f>($AQ650-$AQ651)*100</f>
        <v/>
      </c>
      <c r="DI650" s="59">
        <f>($AR650-$AR651)*100</f>
        <v/>
      </c>
      <c r="DJ650" s="59">
        <f>($AS650-$AS651)*100</f>
        <v/>
      </c>
      <c r="DK650" s="59">
        <f>($AT650-$AT651)*100</f>
        <v/>
      </c>
      <c r="DL650" s="59">
        <f>($AU650-$AU651)*100</f>
        <v/>
      </c>
      <c r="DM650" s="59">
        <f>($AV650-$AV651)*100</f>
        <v/>
      </c>
      <c r="DN650" s="59">
        <f>($AW650-$AW651)*100</f>
        <v/>
      </c>
      <c r="DO650" s="59">
        <f>($AX650-$AX651)*100</f>
        <v/>
      </c>
      <c r="DP650" s="59">
        <f>($AY650-$AY651)*100</f>
        <v/>
      </c>
      <c r="DQ650" s="59">
        <f>($AZ650-$AZ651)*100</f>
        <v/>
      </c>
      <c r="DR650" s="59">
        <f>($BA650-$BA651)*100</f>
        <v/>
      </c>
      <c r="DS650" s="58">
        <f>IFERROR($N651/$N650-1,"")</f>
        <v/>
      </c>
      <c r="DT650" s="58">
        <f>IFERROR($O651/$O650-1,"")</f>
        <v/>
      </c>
      <c r="DU650" s="58">
        <f>IFERROR($P651/$P650-1,"")</f>
        <v/>
      </c>
      <c r="DV650" s="58">
        <f>IFERROR($Q651/$Q650-1,"")</f>
        <v/>
      </c>
      <c r="DW650" s="58">
        <f>IFERROR($R651/$R650-1,"")</f>
        <v/>
      </c>
      <c r="DX650" s="58">
        <f>IFERROR($S651/$S650-1,"")</f>
        <v/>
      </c>
      <c r="DY650" s="58">
        <f>IFERROR($T651/$T650-1,"")</f>
        <v/>
      </c>
      <c r="DZ650" s="58">
        <f>IFERROR($U651/$U650-1,"")</f>
        <v/>
      </c>
      <c r="EA650" s="58">
        <f>IFERROR($V651/$V650-1,"")</f>
        <v/>
      </c>
      <c r="EB650" s="58">
        <f>IFERROR($W651/$W650-1,"")</f>
        <v/>
      </c>
      <c r="EC650" s="58">
        <f>IFERROR($X651/$X650-1,"")</f>
        <v/>
      </c>
      <c r="ED650" s="58">
        <f>IFERROR($Y651/$Y650-1,"")</f>
        <v/>
      </c>
      <c r="EE650" s="58">
        <f>IFERROR($Z651/$Z650-1,"")</f>
        <v/>
      </c>
      <c r="EF650" s="58">
        <f>IFERROR($AA651/$AA650-1,"")</f>
        <v/>
      </c>
      <c r="EG650" s="58">
        <f>IFERROR($AB651/$AB650-1,"")</f>
        <v/>
      </c>
      <c r="EH650" s="58">
        <f>IFERROR($AC651/$AC650-1,"")</f>
        <v/>
      </c>
      <c r="EI650" s="58">
        <f>IFERROR($AD651/$AD650-1,"")</f>
        <v/>
      </c>
      <c r="EJ650" s="58">
        <f>IFERROR($AE651/$AE650-1,"")</f>
        <v/>
      </c>
      <c r="EK650" s="58">
        <f>IFERROR($AF651/$AF650-1,"")</f>
        <v/>
      </c>
      <c r="EL650" s="58">
        <f>IFERROR($AG651/$AG650-1,"")</f>
        <v/>
      </c>
      <c r="EM650" s="58">
        <f>IFERROR($BB650/$BB651-1,"")</f>
        <v/>
      </c>
      <c r="EN650" s="58">
        <f>IFERROR($BC650/$BC651-1,"")</f>
        <v/>
      </c>
      <c r="EO650" s="58">
        <f>IFERROR($BD650/$BD651-1,"")</f>
        <v/>
      </c>
      <c r="EP650" s="58">
        <f>IFERROR($BE650/$BE651-1,"")</f>
        <v/>
      </c>
      <c r="EQ650" s="58">
        <f>IFERROR($BF650/$BF651-1,"")</f>
        <v/>
      </c>
      <c r="ER650" s="58">
        <f>IFERROR($BG650/$BG651-1,"")</f>
        <v/>
      </c>
      <c r="ES650" s="58">
        <f>IFERROR($BH650/$BH651-1,"")</f>
        <v/>
      </c>
      <c r="ET650" s="58">
        <f>IFERROR($BI650/$BI651-1,"")</f>
        <v/>
      </c>
      <c r="EU650" s="58">
        <f>IFERROR($BJ650/$BJ651-1,"")</f>
        <v/>
      </c>
      <c r="EV650" s="58">
        <f>IFERROR($BK650/$BK651-1,"")</f>
        <v/>
      </c>
      <c r="EW650" s="58">
        <f>IFERROR($BL650/$BL651-1,"")</f>
        <v/>
      </c>
      <c r="EX650" s="58">
        <f>IFERROR($BM650/$BM651-1,"")</f>
        <v/>
      </c>
      <c r="EY650" s="58">
        <f>IFERROR($BN650/$BN651-1,"")</f>
        <v/>
      </c>
      <c r="EZ650" s="58">
        <f>IFERROR($BO650/$BO651-1,"")</f>
        <v/>
      </c>
      <c r="FA650" s="58">
        <f>IFERROR($BP650/$BP651-1,"")</f>
        <v/>
      </c>
      <c r="FB650" s="58">
        <f>IFERROR($BQ650/$BQ651-1,"")</f>
        <v/>
      </c>
      <c r="FC650" s="58">
        <f>IFERROR($BR650/$BR651-1,"")</f>
        <v/>
      </c>
      <c r="FD650" s="58">
        <f>IFERROR($BS650/$BS651-1,"")</f>
        <v/>
      </c>
      <c r="FE650" s="58">
        <f>IFERROR($BT650/$BT651-1,"")</f>
        <v/>
      </c>
      <c r="FF650" s="58">
        <f>IFERROR($BU650/$BU651-1,"")</f>
        <v/>
      </c>
      <c r="FG650" s="58">
        <f>IFERROR($BV650/$BV651-1,"")</f>
        <v/>
      </c>
      <c r="FH650" s="58">
        <f>IFERROR($BW650/$BW651-1,"")</f>
        <v/>
      </c>
      <c r="FI650" s="58">
        <f>IFERROR($BX650/$BX651-1,"")</f>
        <v/>
      </c>
      <c r="FJ650" s="59">
        <f>$BY650-$BY651</f>
        <v/>
      </c>
      <c r="FK650" s="59">
        <f>$BZ650-$BZ651</f>
        <v/>
      </c>
      <c r="FL650" s="59">
        <f>$CA650-$CA651</f>
        <v/>
      </c>
      <c r="FM650" s="59">
        <f>$CB650-$CB651</f>
        <v/>
      </c>
      <c r="FN650" s="59">
        <f>$CC650-$CC651</f>
        <v/>
      </c>
      <c r="FO650" s="59">
        <f>$CD650-$CD651</f>
        <v/>
      </c>
      <c r="FP650" s="59">
        <f>$CE650-$CE651</f>
        <v/>
      </c>
      <c r="FQ650" s="59">
        <f>$CF650-$CF651</f>
        <v/>
      </c>
      <c r="FR650" s="59">
        <f>$CG650-$CG651</f>
        <v/>
      </c>
      <c r="FS650" s="59">
        <f>$CH650-$CH651</f>
        <v/>
      </c>
      <c r="FT650" s="59">
        <f>$CI650-$CI651</f>
        <v/>
      </c>
      <c r="FU650" s="59">
        <f>$CJ650-$CJ651</f>
        <v/>
      </c>
      <c r="FV650" s="59">
        <f>$CK650-$CK651</f>
        <v/>
      </c>
      <c r="FW650" s="59">
        <f>$CL650-$CL651</f>
        <v/>
      </c>
      <c r="FX650" s="59">
        <f>$CM650-$CM651</f>
        <v/>
      </c>
      <c r="FY650" s="59">
        <f>$CN650-$CN651</f>
        <v/>
      </c>
      <c r="FZ650" s="59">
        <f>$CO650-$CO651</f>
        <v/>
      </c>
      <c r="GA650" s="59">
        <f>$CP650-$CP651</f>
        <v/>
      </c>
      <c r="GB650" s="59">
        <f>$CQ650-$CQ651</f>
        <v/>
      </c>
      <c r="GC650" s="59">
        <f>$CR650-$CR651</f>
        <v/>
      </c>
      <c r="GD650" s="59">
        <f>$CS650-$CS651</f>
        <v/>
      </c>
      <c r="GE650" s="59">
        <f>$CT650-$CT651</f>
        <v/>
      </c>
    </row>
    <row r="651">
      <c r="CU651" s="58">
        <f>IFERROR($B651/$B652-1,"")</f>
        <v/>
      </c>
      <c r="CV651" s="59">
        <f>($F651-$F652)*100</f>
        <v/>
      </c>
      <c r="CW651" s="59">
        <f>($E651-$E652)*100</f>
        <v/>
      </c>
      <c r="CX651" s="58">
        <f>IFERROR($K651/$K652-1,"")</f>
        <v/>
      </c>
      <c r="CY651" s="59">
        <f>($AH651-$AH652)*100</f>
        <v/>
      </c>
      <c r="CZ651" s="59">
        <f>($AI651-$AI652)*100</f>
        <v/>
      </c>
      <c r="DA651" s="59">
        <f>($AJ651-$AJ652)*100</f>
        <v/>
      </c>
      <c r="DB651" s="59">
        <f>($AK651-$AK652)*100</f>
        <v/>
      </c>
      <c r="DC651" s="59">
        <f>($AL651-$AL652)*100</f>
        <v/>
      </c>
      <c r="DD651" s="59">
        <f>($AM651-$AM652)*100</f>
        <v/>
      </c>
      <c r="DE651" s="59">
        <f>($AN651-$AN652)*100</f>
        <v/>
      </c>
      <c r="DF651" s="59">
        <f>($AO651-$AO652)*100</f>
        <v/>
      </c>
      <c r="DG651" s="59">
        <f>($AP651-$AP652)*100</f>
        <v/>
      </c>
      <c r="DH651" s="59">
        <f>($AQ651-$AQ652)*100</f>
        <v/>
      </c>
      <c r="DI651" s="59">
        <f>($AR651-$AR652)*100</f>
        <v/>
      </c>
      <c r="DJ651" s="59">
        <f>($AS651-$AS652)*100</f>
        <v/>
      </c>
      <c r="DK651" s="59">
        <f>($AT651-$AT652)*100</f>
        <v/>
      </c>
      <c r="DL651" s="59">
        <f>($AU651-$AU652)*100</f>
        <v/>
      </c>
      <c r="DM651" s="59">
        <f>($AV651-$AV652)*100</f>
        <v/>
      </c>
      <c r="DN651" s="59">
        <f>($AW651-$AW652)*100</f>
        <v/>
      </c>
      <c r="DO651" s="59">
        <f>($AX651-$AX652)*100</f>
        <v/>
      </c>
      <c r="DP651" s="59">
        <f>($AY651-$AY652)*100</f>
        <v/>
      </c>
      <c r="DQ651" s="59">
        <f>($AZ651-$AZ652)*100</f>
        <v/>
      </c>
      <c r="DR651" s="59">
        <f>($BA651-$BA652)*100</f>
        <v/>
      </c>
      <c r="DS651" s="58">
        <f>IFERROR($N652/$N651-1,"")</f>
        <v/>
      </c>
      <c r="DT651" s="58">
        <f>IFERROR($O652/$O651-1,"")</f>
        <v/>
      </c>
      <c r="DU651" s="58">
        <f>IFERROR($P652/$P651-1,"")</f>
        <v/>
      </c>
      <c r="DV651" s="58">
        <f>IFERROR($Q652/$Q651-1,"")</f>
        <v/>
      </c>
      <c r="DW651" s="58">
        <f>IFERROR($R652/$R651-1,"")</f>
        <v/>
      </c>
      <c r="DX651" s="58">
        <f>IFERROR($S652/$S651-1,"")</f>
        <v/>
      </c>
      <c r="DY651" s="58">
        <f>IFERROR($T652/$T651-1,"")</f>
        <v/>
      </c>
      <c r="DZ651" s="58">
        <f>IFERROR($U652/$U651-1,"")</f>
        <v/>
      </c>
      <c r="EA651" s="58">
        <f>IFERROR($V652/$V651-1,"")</f>
        <v/>
      </c>
      <c r="EB651" s="58">
        <f>IFERROR($W652/$W651-1,"")</f>
        <v/>
      </c>
      <c r="EC651" s="58">
        <f>IFERROR($X652/$X651-1,"")</f>
        <v/>
      </c>
      <c r="ED651" s="58">
        <f>IFERROR($Y652/$Y651-1,"")</f>
        <v/>
      </c>
      <c r="EE651" s="58">
        <f>IFERROR($Z652/$Z651-1,"")</f>
        <v/>
      </c>
      <c r="EF651" s="58">
        <f>IFERROR($AA652/$AA651-1,"")</f>
        <v/>
      </c>
      <c r="EG651" s="58">
        <f>IFERROR($AB652/$AB651-1,"")</f>
        <v/>
      </c>
      <c r="EH651" s="58">
        <f>IFERROR($AC652/$AC651-1,"")</f>
        <v/>
      </c>
      <c r="EI651" s="58">
        <f>IFERROR($AD652/$AD651-1,"")</f>
        <v/>
      </c>
      <c r="EJ651" s="58">
        <f>IFERROR($AE652/$AE651-1,"")</f>
        <v/>
      </c>
      <c r="EK651" s="58">
        <f>IFERROR($AF652/$AF651-1,"")</f>
        <v/>
      </c>
      <c r="EL651" s="58">
        <f>IFERROR($AG652/$AG651-1,"")</f>
        <v/>
      </c>
      <c r="EM651" s="58">
        <f>IFERROR($BB651/$BB652-1,"")</f>
        <v/>
      </c>
      <c r="EN651" s="58">
        <f>IFERROR($BC651/$BC652-1,"")</f>
        <v/>
      </c>
      <c r="EO651" s="58">
        <f>IFERROR($BD651/$BD652-1,"")</f>
        <v/>
      </c>
      <c r="EP651" s="58">
        <f>IFERROR($BE651/$BE652-1,"")</f>
        <v/>
      </c>
      <c r="EQ651" s="58">
        <f>IFERROR($BF651/$BF652-1,"")</f>
        <v/>
      </c>
      <c r="ER651" s="58">
        <f>IFERROR($BG651/$BG652-1,"")</f>
        <v/>
      </c>
      <c r="ES651" s="58">
        <f>IFERROR($BH651/$BH652-1,"")</f>
        <v/>
      </c>
      <c r="ET651" s="58">
        <f>IFERROR($BI651/$BI652-1,"")</f>
        <v/>
      </c>
      <c r="EU651" s="58">
        <f>IFERROR($BJ651/$BJ652-1,"")</f>
        <v/>
      </c>
      <c r="EV651" s="58">
        <f>IFERROR($BK651/$BK652-1,"")</f>
        <v/>
      </c>
      <c r="EW651" s="58">
        <f>IFERROR($BL651/$BL652-1,"")</f>
        <v/>
      </c>
      <c r="EX651" s="58">
        <f>IFERROR($BM651/$BM652-1,"")</f>
        <v/>
      </c>
      <c r="EY651" s="58">
        <f>IFERROR($BN651/$BN652-1,"")</f>
        <v/>
      </c>
      <c r="EZ651" s="58">
        <f>IFERROR($BO651/$BO652-1,"")</f>
        <v/>
      </c>
      <c r="FA651" s="58">
        <f>IFERROR($BP651/$BP652-1,"")</f>
        <v/>
      </c>
      <c r="FB651" s="58">
        <f>IFERROR($BQ651/$BQ652-1,"")</f>
        <v/>
      </c>
      <c r="FC651" s="58">
        <f>IFERROR($BR651/$BR652-1,"")</f>
        <v/>
      </c>
      <c r="FD651" s="58">
        <f>IFERROR($BS651/$BS652-1,"")</f>
        <v/>
      </c>
      <c r="FE651" s="58">
        <f>IFERROR($BT651/$BT652-1,"")</f>
        <v/>
      </c>
      <c r="FF651" s="58">
        <f>IFERROR($BU651/$BU652-1,"")</f>
        <v/>
      </c>
      <c r="FG651" s="58">
        <f>IFERROR($BV651/$BV652-1,"")</f>
        <v/>
      </c>
      <c r="FH651" s="58">
        <f>IFERROR($BW651/$BW652-1,"")</f>
        <v/>
      </c>
      <c r="FI651" s="58">
        <f>IFERROR($BX651/$BX652-1,"")</f>
        <v/>
      </c>
      <c r="FJ651" s="59">
        <f>$BY651-$BY652</f>
        <v/>
      </c>
      <c r="FK651" s="59">
        <f>$BZ651-$BZ652</f>
        <v/>
      </c>
      <c r="FL651" s="59">
        <f>$CA651-$CA652</f>
        <v/>
      </c>
      <c r="FM651" s="59">
        <f>$CB651-$CB652</f>
        <v/>
      </c>
      <c r="FN651" s="59">
        <f>$CC651-$CC652</f>
        <v/>
      </c>
      <c r="FO651" s="59">
        <f>$CD651-$CD652</f>
        <v/>
      </c>
      <c r="FP651" s="59">
        <f>$CE651-$CE652</f>
        <v/>
      </c>
      <c r="FQ651" s="59">
        <f>$CF651-$CF652</f>
        <v/>
      </c>
      <c r="FR651" s="59">
        <f>$CG651-$CG652</f>
        <v/>
      </c>
      <c r="FS651" s="59">
        <f>$CH651-$CH652</f>
        <v/>
      </c>
      <c r="FT651" s="59">
        <f>$CI651-$CI652</f>
        <v/>
      </c>
      <c r="FU651" s="59">
        <f>$CJ651-$CJ652</f>
        <v/>
      </c>
      <c r="FV651" s="59">
        <f>$CK651-$CK652</f>
        <v/>
      </c>
      <c r="FW651" s="59">
        <f>$CL651-$CL652</f>
        <v/>
      </c>
      <c r="FX651" s="59">
        <f>$CM651-$CM652</f>
        <v/>
      </c>
      <c r="FY651" s="59">
        <f>$CN651-$CN652</f>
        <v/>
      </c>
      <c r="FZ651" s="59">
        <f>$CO651-$CO652</f>
        <v/>
      </c>
      <c r="GA651" s="59">
        <f>$CP651-$CP652</f>
        <v/>
      </c>
      <c r="GB651" s="59">
        <f>$CQ651-$CQ652</f>
        <v/>
      </c>
      <c r="GC651" s="59">
        <f>$CR651-$CR652</f>
        <v/>
      </c>
      <c r="GD651" s="59">
        <f>$CS651-$CS652</f>
        <v/>
      </c>
      <c r="GE651" s="59">
        <f>$CT651-$CT652</f>
        <v/>
      </c>
    </row>
    <row r="652">
      <c r="CU652" s="58">
        <f>IFERROR($B652/$B653-1,"")</f>
        <v/>
      </c>
      <c r="CV652" s="59">
        <f>($F652-$F653)*100</f>
        <v/>
      </c>
      <c r="CW652" s="59">
        <f>($E652-$E653)*100</f>
        <v/>
      </c>
      <c r="CX652" s="58">
        <f>IFERROR($K652/$K653-1,"")</f>
        <v/>
      </c>
      <c r="CY652" s="59">
        <f>($AH652-$AH653)*100</f>
        <v/>
      </c>
      <c r="CZ652" s="59">
        <f>($AI652-$AI653)*100</f>
        <v/>
      </c>
      <c r="DA652" s="59">
        <f>($AJ652-$AJ653)*100</f>
        <v/>
      </c>
      <c r="DB652" s="59">
        <f>($AK652-$AK653)*100</f>
        <v/>
      </c>
      <c r="DC652" s="59">
        <f>($AL652-$AL653)*100</f>
        <v/>
      </c>
      <c r="DD652" s="59">
        <f>($AM652-$AM653)*100</f>
        <v/>
      </c>
      <c r="DE652" s="59">
        <f>($AN652-$AN653)*100</f>
        <v/>
      </c>
      <c r="DF652" s="59">
        <f>($AO652-$AO653)*100</f>
        <v/>
      </c>
      <c r="DG652" s="59">
        <f>($AP652-$AP653)*100</f>
        <v/>
      </c>
      <c r="DH652" s="59">
        <f>($AQ652-$AQ653)*100</f>
        <v/>
      </c>
      <c r="DI652" s="59">
        <f>($AR652-$AR653)*100</f>
        <v/>
      </c>
      <c r="DJ652" s="59">
        <f>($AS652-$AS653)*100</f>
        <v/>
      </c>
      <c r="DK652" s="59">
        <f>($AT652-$AT653)*100</f>
        <v/>
      </c>
      <c r="DL652" s="59">
        <f>($AU652-$AU653)*100</f>
        <v/>
      </c>
      <c r="DM652" s="59">
        <f>($AV652-$AV653)*100</f>
        <v/>
      </c>
      <c r="DN652" s="59">
        <f>($AW652-$AW653)*100</f>
        <v/>
      </c>
      <c r="DO652" s="59">
        <f>($AX652-$AX653)*100</f>
        <v/>
      </c>
      <c r="DP652" s="59">
        <f>($AY652-$AY653)*100</f>
        <v/>
      </c>
      <c r="DQ652" s="59">
        <f>($AZ652-$AZ653)*100</f>
        <v/>
      </c>
      <c r="DR652" s="59">
        <f>($BA652-$BA653)*100</f>
        <v/>
      </c>
      <c r="DS652" s="58">
        <f>IFERROR($N653/$N652-1,"")</f>
        <v/>
      </c>
      <c r="DT652" s="58">
        <f>IFERROR($O653/$O652-1,"")</f>
        <v/>
      </c>
      <c r="DU652" s="58">
        <f>IFERROR($P653/$P652-1,"")</f>
        <v/>
      </c>
      <c r="DV652" s="58">
        <f>IFERROR($Q653/$Q652-1,"")</f>
        <v/>
      </c>
      <c r="DW652" s="58">
        <f>IFERROR($R653/$R652-1,"")</f>
        <v/>
      </c>
      <c r="DX652" s="58">
        <f>IFERROR($S653/$S652-1,"")</f>
        <v/>
      </c>
      <c r="DY652" s="58">
        <f>IFERROR($T653/$T652-1,"")</f>
        <v/>
      </c>
      <c r="DZ652" s="58">
        <f>IFERROR($U653/$U652-1,"")</f>
        <v/>
      </c>
      <c r="EA652" s="58">
        <f>IFERROR($V653/$V652-1,"")</f>
        <v/>
      </c>
      <c r="EB652" s="58">
        <f>IFERROR($W653/$W652-1,"")</f>
        <v/>
      </c>
      <c r="EC652" s="58">
        <f>IFERROR($X653/$X652-1,"")</f>
        <v/>
      </c>
      <c r="ED652" s="58">
        <f>IFERROR($Y653/$Y652-1,"")</f>
        <v/>
      </c>
      <c r="EE652" s="58">
        <f>IFERROR($Z653/$Z652-1,"")</f>
        <v/>
      </c>
      <c r="EF652" s="58">
        <f>IFERROR($AA653/$AA652-1,"")</f>
        <v/>
      </c>
      <c r="EG652" s="58">
        <f>IFERROR($AB653/$AB652-1,"")</f>
        <v/>
      </c>
      <c r="EH652" s="58">
        <f>IFERROR($AC653/$AC652-1,"")</f>
        <v/>
      </c>
      <c r="EI652" s="58">
        <f>IFERROR($AD653/$AD652-1,"")</f>
        <v/>
      </c>
      <c r="EJ652" s="58">
        <f>IFERROR($AE653/$AE652-1,"")</f>
        <v/>
      </c>
      <c r="EK652" s="58">
        <f>IFERROR($AF653/$AF652-1,"")</f>
        <v/>
      </c>
      <c r="EL652" s="58">
        <f>IFERROR($AG653/$AG652-1,"")</f>
        <v/>
      </c>
      <c r="EM652" s="58">
        <f>IFERROR($BB652/$BB653-1,"")</f>
        <v/>
      </c>
      <c r="EN652" s="58">
        <f>IFERROR($BC652/$BC653-1,"")</f>
        <v/>
      </c>
      <c r="EO652" s="58">
        <f>IFERROR($BD652/$BD653-1,"")</f>
        <v/>
      </c>
      <c r="EP652" s="58">
        <f>IFERROR($BE652/$BE653-1,"")</f>
        <v/>
      </c>
      <c r="EQ652" s="58">
        <f>IFERROR($BF652/$BF653-1,"")</f>
        <v/>
      </c>
      <c r="ER652" s="58">
        <f>IFERROR($BG652/$BG653-1,"")</f>
        <v/>
      </c>
      <c r="ES652" s="58">
        <f>IFERROR($BH652/$BH653-1,"")</f>
        <v/>
      </c>
      <c r="ET652" s="58">
        <f>IFERROR($BI652/$BI653-1,"")</f>
        <v/>
      </c>
      <c r="EU652" s="58">
        <f>IFERROR($BJ652/$BJ653-1,"")</f>
        <v/>
      </c>
      <c r="EV652" s="58">
        <f>IFERROR($BK652/$BK653-1,"")</f>
        <v/>
      </c>
      <c r="EW652" s="58">
        <f>IFERROR($BL652/$BL653-1,"")</f>
        <v/>
      </c>
      <c r="EX652" s="58">
        <f>IFERROR($BM652/$BM653-1,"")</f>
        <v/>
      </c>
      <c r="EY652" s="58">
        <f>IFERROR($BN652/$BN653-1,"")</f>
        <v/>
      </c>
      <c r="EZ652" s="58">
        <f>IFERROR($BO652/$BO653-1,"")</f>
        <v/>
      </c>
      <c r="FA652" s="58">
        <f>IFERROR($BP652/$BP653-1,"")</f>
        <v/>
      </c>
      <c r="FB652" s="58">
        <f>IFERROR($BQ652/$BQ653-1,"")</f>
        <v/>
      </c>
      <c r="FC652" s="58">
        <f>IFERROR($BR652/$BR653-1,"")</f>
        <v/>
      </c>
      <c r="FD652" s="58">
        <f>IFERROR($BS652/$BS653-1,"")</f>
        <v/>
      </c>
      <c r="FE652" s="58">
        <f>IFERROR($BT652/$BT653-1,"")</f>
        <v/>
      </c>
      <c r="FF652" s="58">
        <f>IFERROR($BU652/$BU653-1,"")</f>
        <v/>
      </c>
      <c r="FG652" s="58">
        <f>IFERROR($BV652/$BV653-1,"")</f>
        <v/>
      </c>
      <c r="FH652" s="58">
        <f>IFERROR($BW652/$BW653-1,"")</f>
        <v/>
      </c>
      <c r="FI652" s="58">
        <f>IFERROR($BX652/$BX653-1,"")</f>
        <v/>
      </c>
      <c r="FJ652" s="59">
        <f>$BY652-$BY653</f>
        <v/>
      </c>
      <c r="FK652" s="59">
        <f>$BZ652-$BZ653</f>
        <v/>
      </c>
      <c r="FL652" s="59">
        <f>$CA652-$CA653</f>
        <v/>
      </c>
      <c r="FM652" s="59">
        <f>$CB652-$CB653</f>
        <v/>
      </c>
      <c r="FN652" s="59">
        <f>$CC652-$CC653</f>
        <v/>
      </c>
      <c r="FO652" s="59">
        <f>$CD652-$CD653</f>
        <v/>
      </c>
      <c r="FP652" s="59">
        <f>$CE652-$CE653</f>
        <v/>
      </c>
      <c r="FQ652" s="59">
        <f>$CF652-$CF653</f>
        <v/>
      </c>
      <c r="FR652" s="59">
        <f>$CG652-$CG653</f>
        <v/>
      </c>
      <c r="FS652" s="59">
        <f>$CH652-$CH653</f>
        <v/>
      </c>
      <c r="FT652" s="59">
        <f>$CI652-$CI653</f>
        <v/>
      </c>
      <c r="FU652" s="59">
        <f>$CJ652-$CJ653</f>
        <v/>
      </c>
      <c r="FV652" s="59">
        <f>$CK652-$CK653</f>
        <v/>
      </c>
      <c r="FW652" s="59">
        <f>$CL652-$CL653</f>
        <v/>
      </c>
      <c r="FX652" s="59">
        <f>$CM652-$CM653</f>
        <v/>
      </c>
      <c r="FY652" s="59">
        <f>$CN652-$CN653</f>
        <v/>
      </c>
      <c r="FZ652" s="59">
        <f>$CO652-$CO653</f>
        <v/>
      </c>
      <c r="GA652" s="59">
        <f>$CP652-$CP653</f>
        <v/>
      </c>
      <c r="GB652" s="59">
        <f>$CQ652-$CQ653</f>
        <v/>
      </c>
      <c r="GC652" s="59">
        <f>$CR652-$CR653</f>
        <v/>
      </c>
      <c r="GD652" s="59">
        <f>$CS652-$CS653</f>
        <v/>
      </c>
      <c r="GE652" s="59">
        <f>$CT652-$CT653</f>
        <v/>
      </c>
    </row>
    <row r="653">
      <c r="CU653" s="58">
        <f>IFERROR($B653/$B654-1,"")</f>
        <v/>
      </c>
      <c r="CV653" s="59">
        <f>($F653-$F654)*100</f>
        <v/>
      </c>
      <c r="CW653" s="59">
        <f>($E653-$E654)*100</f>
        <v/>
      </c>
      <c r="CX653" s="58">
        <f>IFERROR($K653/$K654-1,"")</f>
        <v/>
      </c>
      <c r="CY653" s="59">
        <f>($AH653-$AH654)*100</f>
        <v/>
      </c>
      <c r="CZ653" s="59">
        <f>($AI653-$AI654)*100</f>
        <v/>
      </c>
      <c r="DA653" s="59">
        <f>($AJ653-$AJ654)*100</f>
        <v/>
      </c>
      <c r="DB653" s="59">
        <f>($AK653-$AK654)*100</f>
        <v/>
      </c>
      <c r="DC653" s="59">
        <f>($AL653-$AL654)*100</f>
        <v/>
      </c>
      <c r="DD653" s="59">
        <f>($AM653-$AM654)*100</f>
        <v/>
      </c>
      <c r="DE653" s="59">
        <f>($AN653-$AN654)*100</f>
        <v/>
      </c>
      <c r="DF653" s="59">
        <f>($AO653-$AO654)*100</f>
        <v/>
      </c>
      <c r="DG653" s="59">
        <f>($AP653-$AP654)*100</f>
        <v/>
      </c>
      <c r="DH653" s="59">
        <f>($AQ653-$AQ654)*100</f>
        <v/>
      </c>
      <c r="DI653" s="59">
        <f>($AR653-$AR654)*100</f>
        <v/>
      </c>
      <c r="DJ653" s="59">
        <f>($AS653-$AS654)*100</f>
        <v/>
      </c>
      <c r="DK653" s="59">
        <f>($AT653-$AT654)*100</f>
        <v/>
      </c>
      <c r="DL653" s="59">
        <f>($AU653-$AU654)*100</f>
        <v/>
      </c>
      <c r="DM653" s="59">
        <f>($AV653-$AV654)*100</f>
        <v/>
      </c>
      <c r="DN653" s="59">
        <f>($AW653-$AW654)*100</f>
        <v/>
      </c>
      <c r="DO653" s="59">
        <f>($AX653-$AX654)*100</f>
        <v/>
      </c>
      <c r="DP653" s="59">
        <f>($AY653-$AY654)*100</f>
        <v/>
      </c>
      <c r="DQ653" s="59">
        <f>($AZ653-$AZ654)*100</f>
        <v/>
      </c>
      <c r="DR653" s="59">
        <f>($BA653-$BA654)*100</f>
        <v/>
      </c>
      <c r="DS653" s="58">
        <f>IFERROR($N654/$N653-1,"")</f>
        <v/>
      </c>
      <c r="DT653" s="58">
        <f>IFERROR($O654/$O653-1,"")</f>
        <v/>
      </c>
      <c r="DU653" s="58">
        <f>IFERROR($P654/$P653-1,"")</f>
        <v/>
      </c>
      <c r="DV653" s="58">
        <f>IFERROR($Q654/$Q653-1,"")</f>
        <v/>
      </c>
      <c r="DW653" s="58">
        <f>IFERROR($R654/$R653-1,"")</f>
        <v/>
      </c>
      <c r="DX653" s="58">
        <f>IFERROR($S654/$S653-1,"")</f>
        <v/>
      </c>
      <c r="DY653" s="58">
        <f>IFERROR($T654/$T653-1,"")</f>
        <v/>
      </c>
      <c r="DZ653" s="58">
        <f>IFERROR($U654/$U653-1,"")</f>
        <v/>
      </c>
      <c r="EA653" s="58">
        <f>IFERROR($V654/$V653-1,"")</f>
        <v/>
      </c>
      <c r="EB653" s="58">
        <f>IFERROR($W654/$W653-1,"")</f>
        <v/>
      </c>
      <c r="EC653" s="58">
        <f>IFERROR($X654/$X653-1,"")</f>
        <v/>
      </c>
      <c r="ED653" s="58">
        <f>IFERROR($Y654/$Y653-1,"")</f>
        <v/>
      </c>
      <c r="EE653" s="58">
        <f>IFERROR($Z654/$Z653-1,"")</f>
        <v/>
      </c>
      <c r="EF653" s="58">
        <f>IFERROR($AA654/$AA653-1,"")</f>
        <v/>
      </c>
      <c r="EG653" s="58">
        <f>IFERROR($AB654/$AB653-1,"")</f>
        <v/>
      </c>
      <c r="EH653" s="58">
        <f>IFERROR($AC654/$AC653-1,"")</f>
        <v/>
      </c>
      <c r="EI653" s="58">
        <f>IFERROR($AD654/$AD653-1,"")</f>
        <v/>
      </c>
      <c r="EJ653" s="58">
        <f>IFERROR($AE654/$AE653-1,"")</f>
        <v/>
      </c>
      <c r="EK653" s="58">
        <f>IFERROR($AF654/$AF653-1,"")</f>
        <v/>
      </c>
      <c r="EL653" s="58">
        <f>IFERROR($AG654/$AG653-1,"")</f>
        <v/>
      </c>
      <c r="EM653" s="58">
        <f>IFERROR($BB653/$BB654-1,"")</f>
        <v/>
      </c>
      <c r="EN653" s="58">
        <f>IFERROR($BC653/$BC654-1,"")</f>
        <v/>
      </c>
      <c r="EO653" s="58">
        <f>IFERROR($BD653/$BD654-1,"")</f>
        <v/>
      </c>
      <c r="EP653" s="58">
        <f>IFERROR($BE653/$BE654-1,"")</f>
        <v/>
      </c>
      <c r="EQ653" s="58">
        <f>IFERROR($BF653/$BF654-1,"")</f>
        <v/>
      </c>
      <c r="ER653" s="58">
        <f>IFERROR($BG653/$BG654-1,"")</f>
        <v/>
      </c>
      <c r="ES653" s="58">
        <f>IFERROR($BH653/$BH654-1,"")</f>
        <v/>
      </c>
      <c r="ET653" s="58">
        <f>IFERROR($BI653/$BI654-1,"")</f>
        <v/>
      </c>
      <c r="EU653" s="58">
        <f>IFERROR($BJ653/$BJ654-1,"")</f>
        <v/>
      </c>
      <c r="EV653" s="58">
        <f>IFERROR($BK653/$BK654-1,"")</f>
        <v/>
      </c>
      <c r="EW653" s="58">
        <f>IFERROR($BL653/$BL654-1,"")</f>
        <v/>
      </c>
      <c r="EX653" s="58">
        <f>IFERROR($BM653/$BM654-1,"")</f>
        <v/>
      </c>
      <c r="EY653" s="58">
        <f>IFERROR($BN653/$BN654-1,"")</f>
        <v/>
      </c>
      <c r="EZ653" s="58">
        <f>IFERROR($BO653/$BO654-1,"")</f>
        <v/>
      </c>
      <c r="FA653" s="58">
        <f>IFERROR($BP653/$BP654-1,"")</f>
        <v/>
      </c>
      <c r="FB653" s="58">
        <f>IFERROR($BQ653/$BQ654-1,"")</f>
        <v/>
      </c>
      <c r="FC653" s="58">
        <f>IFERROR($BR653/$BR654-1,"")</f>
        <v/>
      </c>
      <c r="FD653" s="58">
        <f>IFERROR($BS653/$BS654-1,"")</f>
        <v/>
      </c>
      <c r="FE653" s="58">
        <f>IFERROR($BT653/$BT654-1,"")</f>
        <v/>
      </c>
      <c r="FF653" s="58">
        <f>IFERROR($BU653/$BU654-1,"")</f>
        <v/>
      </c>
      <c r="FG653" s="58">
        <f>IFERROR($BV653/$BV654-1,"")</f>
        <v/>
      </c>
      <c r="FH653" s="58">
        <f>IFERROR($BW653/$BW654-1,"")</f>
        <v/>
      </c>
      <c r="FI653" s="58">
        <f>IFERROR($BX653/$BX654-1,"")</f>
        <v/>
      </c>
      <c r="FJ653" s="59">
        <f>$BY653-$BY654</f>
        <v/>
      </c>
      <c r="FK653" s="59">
        <f>$BZ653-$BZ654</f>
        <v/>
      </c>
      <c r="FL653" s="59">
        <f>$CA653-$CA654</f>
        <v/>
      </c>
      <c r="FM653" s="59">
        <f>$CB653-$CB654</f>
        <v/>
      </c>
      <c r="FN653" s="59">
        <f>$CC653-$CC654</f>
        <v/>
      </c>
      <c r="FO653" s="59">
        <f>$CD653-$CD654</f>
        <v/>
      </c>
      <c r="FP653" s="59">
        <f>$CE653-$CE654</f>
        <v/>
      </c>
      <c r="FQ653" s="59">
        <f>$CF653-$CF654</f>
        <v/>
      </c>
      <c r="FR653" s="59">
        <f>$CG653-$CG654</f>
        <v/>
      </c>
      <c r="FS653" s="59">
        <f>$CH653-$CH654</f>
        <v/>
      </c>
      <c r="FT653" s="59">
        <f>$CI653-$CI654</f>
        <v/>
      </c>
      <c r="FU653" s="59">
        <f>$CJ653-$CJ654</f>
        <v/>
      </c>
      <c r="FV653" s="59">
        <f>$CK653-$CK654</f>
        <v/>
      </c>
      <c r="FW653" s="59">
        <f>$CL653-$CL654</f>
        <v/>
      </c>
      <c r="FX653" s="59">
        <f>$CM653-$CM654</f>
        <v/>
      </c>
      <c r="FY653" s="59">
        <f>$CN653-$CN654</f>
        <v/>
      </c>
      <c r="FZ653" s="59">
        <f>$CO653-$CO654</f>
        <v/>
      </c>
      <c r="GA653" s="59">
        <f>$CP653-$CP654</f>
        <v/>
      </c>
      <c r="GB653" s="59">
        <f>$CQ653-$CQ654</f>
        <v/>
      </c>
      <c r="GC653" s="59">
        <f>$CR653-$CR654</f>
        <v/>
      </c>
      <c r="GD653" s="59">
        <f>$CS653-$CS654</f>
        <v/>
      </c>
      <c r="GE653" s="59">
        <f>$CT653-$CT654</f>
        <v/>
      </c>
    </row>
    <row r="654">
      <c r="CU654" s="58">
        <f>IFERROR($B654/$B655-1,"")</f>
        <v/>
      </c>
      <c r="CV654" s="59">
        <f>($F654-$F655)*100</f>
        <v/>
      </c>
      <c r="CW654" s="59">
        <f>($E654-$E655)*100</f>
        <v/>
      </c>
      <c r="CX654" s="58">
        <f>IFERROR($K654/$K655-1,"")</f>
        <v/>
      </c>
      <c r="CY654" s="59">
        <f>($AH654-$AH655)*100</f>
        <v/>
      </c>
      <c r="CZ654" s="59">
        <f>($AI654-$AI655)*100</f>
        <v/>
      </c>
      <c r="DA654" s="59">
        <f>($AJ654-$AJ655)*100</f>
        <v/>
      </c>
      <c r="DB654" s="59">
        <f>($AK654-$AK655)*100</f>
        <v/>
      </c>
      <c r="DC654" s="59">
        <f>($AL654-$AL655)*100</f>
        <v/>
      </c>
      <c r="DD654" s="59">
        <f>($AM654-$AM655)*100</f>
        <v/>
      </c>
      <c r="DE654" s="59">
        <f>($AN654-$AN655)*100</f>
        <v/>
      </c>
      <c r="DF654" s="59">
        <f>($AO654-$AO655)*100</f>
        <v/>
      </c>
      <c r="DG654" s="59">
        <f>($AP654-$AP655)*100</f>
        <v/>
      </c>
      <c r="DH654" s="59">
        <f>($AQ654-$AQ655)*100</f>
        <v/>
      </c>
      <c r="DI654" s="59">
        <f>($AR654-$AR655)*100</f>
        <v/>
      </c>
      <c r="DJ654" s="59">
        <f>($AS654-$AS655)*100</f>
        <v/>
      </c>
      <c r="DK654" s="59">
        <f>($AT654-$AT655)*100</f>
        <v/>
      </c>
      <c r="DL654" s="59">
        <f>($AU654-$AU655)*100</f>
        <v/>
      </c>
      <c r="DM654" s="59">
        <f>($AV654-$AV655)*100</f>
        <v/>
      </c>
      <c r="DN654" s="59">
        <f>($AW654-$AW655)*100</f>
        <v/>
      </c>
      <c r="DO654" s="59">
        <f>($AX654-$AX655)*100</f>
        <v/>
      </c>
      <c r="DP654" s="59">
        <f>($AY654-$AY655)*100</f>
        <v/>
      </c>
      <c r="DQ654" s="59">
        <f>($AZ654-$AZ655)*100</f>
        <v/>
      </c>
      <c r="DR654" s="59">
        <f>($BA654-$BA655)*100</f>
        <v/>
      </c>
      <c r="DS654" s="58">
        <f>IFERROR($N655/$N654-1,"")</f>
        <v/>
      </c>
      <c r="DT654" s="58">
        <f>IFERROR($O655/$O654-1,"")</f>
        <v/>
      </c>
      <c r="DU654" s="58">
        <f>IFERROR($P655/$P654-1,"")</f>
        <v/>
      </c>
      <c r="DV654" s="58">
        <f>IFERROR($Q655/$Q654-1,"")</f>
        <v/>
      </c>
      <c r="DW654" s="58">
        <f>IFERROR($R655/$R654-1,"")</f>
        <v/>
      </c>
      <c r="DX654" s="58">
        <f>IFERROR($S655/$S654-1,"")</f>
        <v/>
      </c>
      <c r="DY654" s="58">
        <f>IFERROR($T655/$T654-1,"")</f>
        <v/>
      </c>
      <c r="DZ654" s="58">
        <f>IFERROR($U655/$U654-1,"")</f>
        <v/>
      </c>
      <c r="EA654" s="58">
        <f>IFERROR($V655/$V654-1,"")</f>
        <v/>
      </c>
      <c r="EB654" s="58">
        <f>IFERROR($W655/$W654-1,"")</f>
        <v/>
      </c>
      <c r="EC654" s="58">
        <f>IFERROR($X655/$X654-1,"")</f>
        <v/>
      </c>
      <c r="ED654" s="58">
        <f>IFERROR($Y655/$Y654-1,"")</f>
        <v/>
      </c>
      <c r="EE654" s="58">
        <f>IFERROR($Z655/$Z654-1,"")</f>
        <v/>
      </c>
      <c r="EF654" s="58">
        <f>IFERROR($AA655/$AA654-1,"")</f>
        <v/>
      </c>
      <c r="EG654" s="58">
        <f>IFERROR($AB655/$AB654-1,"")</f>
        <v/>
      </c>
      <c r="EH654" s="58">
        <f>IFERROR($AC655/$AC654-1,"")</f>
        <v/>
      </c>
      <c r="EI654" s="58">
        <f>IFERROR($AD655/$AD654-1,"")</f>
        <v/>
      </c>
      <c r="EJ654" s="58">
        <f>IFERROR($AE655/$AE654-1,"")</f>
        <v/>
      </c>
      <c r="EK654" s="58">
        <f>IFERROR($AF655/$AF654-1,"")</f>
        <v/>
      </c>
      <c r="EL654" s="58">
        <f>IFERROR($AG655/$AG654-1,"")</f>
        <v/>
      </c>
      <c r="EM654" s="58">
        <f>IFERROR($BB654/$BB655-1,"")</f>
        <v/>
      </c>
      <c r="EN654" s="58">
        <f>IFERROR($BC654/$BC655-1,"")</f>
        <v/>
      </c>
      <c r="EO654" s="58">
        <f>IFERROR($BD654/$BD655-1,"")</f>
        <v/>
      </c>
      <c r="EP654" s="58">
        <f>IFERROR($BE654/$BE655-1,"")</f>
        <v/>
      </c>
      <c r="EQ654" s="58">
        <f>IFERROR($BF654/$BF655-1,"")</f>
        <v/>
      </c>
      <c r="ER654" s="58">
        <f>IFERROR($BG654/$BG655-1,"")</f>
        <v/>
      </c>
      <c r="ES654" s="58">
        <f>IFERROR($BH654/$BH655-1,"")</f>
        <v/>
      </c>
      <c r="ET654" s="58">
        <f>IFERROR($BI654/$BI655-1,"")</f>
        <v/>
      </c>
      <c r="EU654" s="58">
        <f>IFERROR($BJ654/$BJ655-1,"")</f>
        <v/>
      </c>
      <c r="EV654" s="58">
        <f>IFERROR($BK654/$BK655-1,"")</f>
        <v/>
      </c>
      <c r="EW654" s="58">
        <f>IFERROR($BL654/$BL655-1,"")</f>
        <v/>
      </c>
      <c r="EX654" s="58">
        <f>IFERROR($BM654/$BM655-1,"")</f>
        <v/>
      </c>
      <c r="EY654" s="58">
        <f>IFERROR($BN654/$BN655-1,"")</f>
        <v/>
      </c>
      <c r="EZ654" s="58">
        <f>IFERROR($BO654/$BO655-1,"")</f>
        <v/>
      </c>
      <c r="FA654" s="58">
        <f>IFERROR($BP654/$BP655-1,"")</f>
        <v/>
      </c>
      <c r="FB654" s="58">
        <f>IFERROR($BQ654/$BQ655-1,"")</f>
        <v/>
      </c>
      <c r="FC654" s="58">
        <f>IFERROR($BR654/$BR655-1,"")</f>
        <v/>
      </c>
      <c r="FD654" s="58">
        <f>IFERROR($BS654/$BS655-1,"")</f>
        <v/>
      </c>
      <c r="FE654" s="58">
        <f>IFERROR($BT654/$BT655-1,"")</f>
        <v/>
      </c>
      <c r="FF654" s="58">
        <f>IFERROR($BU654/$BU655-1,"")</f>
        <v/>
      </c>
      <c r="FG654" s="58">
        <f>IFERROR($BV654/$BV655-1,"")</f>
        <v/>
      </c>
      <c r="FH654" s="58">
        <f>IFERROR($BW654/$BW655-1,"")</f>
        <v/>
      </c>
      <c r="FI654" s="58">
        <f>IFERROR($BX654/$BX655-1,"")</f>
        <v/>
      </c>
      <c r="FJ654" s="59">
        <f>$BY654-$BY655</f>
        <v/>
      </c>
      <c r="FK654" s="59">
        <f>$BZ654-$BZ655</f>
        <v/>
      </c>
      <c r="FL654" s="59">
        <f>$CA654-$CA655</f>
        <v/>
      </c>
      <c r="FM654" s="59">
        <f>$CB654-$CB655</f>
        <v/>
      </c>
      <c r="FN654" s="59">
        <f>$CC654-$CC655</f>
        <v/>
      </c>
      <c r="FO654" s="59">
        <f>$CD654-$CD655</f>
        <v/>
      </c>
      <c r="FP654" s="59">
        <f>$CE654-$CE655</f>
        <v/>
      </c>
      <c r="FQ654" s="59">
        <f>$CF654-$CF655</f>
        <v/>
      </c>
      <c r="FR654" s="59">
        <f>$CG654-$CG655</f>
        <v/>
      </c>
      <c r="FS654" s="59">
        <f>$CH654-$CH655</f>
        <v/>
      </c>
      <c r="FT654" s="59">
        <f>$CI654-$CI655</f>
        <v/>
      </c>
      <c r="FU654" s="59">
        <f>$CJ654-$CJ655</f>
        <v/>
      </c>
      <c r="FV654" s="59">
        <f>$CK654-$CK655</f>
        <v/>
      </c>
      <c r="FW654" s="59">
        <f>$CL654-$CL655</f>
        <v/>
      </c>
      <c r="FX654" s="59">
        <f>$CM654-$CM655</f>
        <v/>
      </c>
      <c r="FY654" s="59">
        <f>$CN654-$CN655</f>
        <v/>
      </c>
      <c r="FZ654" s="59">
        <f>$CO654-$CO655</f>
        <v/>
      </c>
      <c r="GA654" s="59">
        <f>$CP654-$CP655</f>
        <v/>
      </c>
      <c r="GB654" s="59">
        <f>$CQ654-$CQ655</f>
        <v/>
      </c>
      <c r="GC654" s="59">
        <f>$CR654-$CR655</f>
        <v/>
      </c>
      <c r="GD654" s="59">
        <f>$CS654-$CS655</f>
        <v/>
      </c>
      <c r="GE654" s="59">
        <f>$CT654-$CT655</f>
        <v/>
      </c>
    </row>
    <row r="655">
      <c r="CU655" s="58">
        <f>IFERROR($B655/$B656-1,"")</f>
        <v/>
      </c>
      <c r="CV655" s="59">
        <f>($F655-$F656)*100</f>
        <v/>
      </c>
      <c r="CW655" s="59">
        <f>($E655-$E656)*100</f>
        <v/>
      </c>
      <c r="CX655" s="58">
        <f>IFERROR($K655/$K656-1,"")</f>
        <v/>
      </c>
      <c r="CY655" s="59">
        <f>($AH655-$AH656)*100</f>
        <v/>
      </c>
      <c r="CZ655" s="59">
        <f>($AI655-$AI656)*100</f>
        <v/>
      </c>
      <c r="DA655" s="59">
        <f>($AJ655-$AJ656)*100</f>
        <v/>
      </c>
      <c r="DB655" s="59">
        <f>($AK655-$AK656)*100</f>
        <v/>
      </c>
      <c r="DC655" s="59">
        <f>($AL655-$AL656)*100</f>
        <v/>
      </c>
      <c r="DD655" s="59">
        <f>($AM655-$AM656)*100</f>
        <v/>
      </c>
      <c r="DE655" s="59">
        <f>($AN655-$AN656)*100</f>
        <v/>
      </c>
      <c r="DF655" s="59">
        <f>($AO655-$AO656)*100</f>
        <v/>
      </c>
      <c r="DG655" s="59">
        <f>($AP655-$AP656)*100</f>
        <v/>
      </c>
      <c r="DH655" s="59">
        <f>($AQ655-$AQ656)*100</f>
        <v/>
      </c>
      <c r="DI655" s="59">
        <f>($AR655-$AR656)*100</f>
        <v/>
      </c>
      <c r="DJ655" s="59">
        <f>($AS655-$AS656)*100</f>
        <v/>
      </c>
      <c r="DK655" s="59">
        <f>($AT655-$AT656)*100</f>
        <v/>
      </c>
      <c r="DL655" s="59">
        <f>($AU655-$AU656)*100</f>
        <v/>
      </c>
      <c r="DM655" s="59">
        <f>($AV655-$AV656)*100</f>
        <v/>
      </c>
      <c r="DN655" s="59">
        <f>($AW655-$AW656)*100</f>
        <v/>
      </c>
      <c r="DO655" s="59">
        <f>($AX655-$AX656)*100</f>
        <v/>
      </c>
      <c r="DP655" s="59">
        <f>($AY655-$AY656)*100</f>
        <v/>
      </c>
      <c r="DQ655" s="59">
        <f>($AZ655-$AZ656)*100</f>
        <v/>
      </c>
      <c r="DR655" s="59">
        <f>($BA655-$BA656)*100</f>
        <v/>
      </c>
      <c r="DS655" s="58">
        <f>IFERROR($N656/$N655-1,"")</f>
        <v/>
      </c>
      <c r="DT655" s="58">
        <f>IFERROR($O656/$O655-1,"")</f>
        <v/>
      </c>
      <c r="DU655" s="58">
        <f>IFERROR($P656/$P655-1,"")</f>
        <v/>
      </c>
      <c r="DV655" s="58">
        <f>IFERROR($Q656/$Q655-1,"")</f>
        <v/>
      </c>
      <c r="DW655" s="58">
        <f>IFERROR($R656/$R655-1,"")</f>
        <v/>
      </c>
      <c r="DX655" s="58">
        <f>IFERROR($S656/$S655-1,"")</f>
        <v/>
      </c>
      <c r="DY655" s="58">
        <f>IFERROR($T656/$T655-1,"")</f>
        <v/>
      </c>
      <c r="DZ655" s="58">
        <f>IFERROR($U656/$U655-1,"")</f>
        <v/>
      </c>
      <c r="EA655" s="58">
        <f>IFERROR($V656/$V655-1,"")</f>
        <v/>
      </c>
      <c r="EB655" s="58">
        <f>IFERROR($W656/$W655-1,"")</f>
        <v/>
      </c>
      <c r="EC655" s="58">
        <f>IFERROR($X656/$X655-1,"")</f>
        <v/>
      </c>
      <c r="ED655" s="58">
        <f>IFERROR($Y656/$Y655-1,"")</f>
        <v/>
      </c>
      <c r="EE655" s="58">
        <f>IFERROR($Z656/$Z655-1,"")</f>
        <v/>
      </c>
      <c r="EF655" s="58">
        <f>IFERROR($AA656/$AA655-1,"")</f>
        <v/>
      </c>
      <c r="EG655" s="58">
        <f>IFERROR($AB656/$AB655-1,"")</f>
        <v/>
      </c>
      <c r="EH655" s="58">
        <f>IFERROR($AC656/$AC655-1,"")</f>
        <v/>
      </c>
      <c r="EI655" s="58">
        <f>IFERROR($AD656/$AD655-1,"")</f>
        <v/>
      </c>
      <c r="EJ655" s="58">
        <f>IFERROR($AE656/$AE655-1,"")</f>
        <v/>
      </c>
      <c r="EK655" s="58">
        <f>IFERROR($AF656/$AF655-1,"")</f>
        <v/>
      </c>
      <c r="EL655" s="58">
        <f>IFERROR($AG656/$AG655-1,"")</f>
        <v/>
      </c>
      <c r="EM655" s="58">
        <f>IFERROR($BB655/$BB656-1,"")</f>
        <v/>
      </c>
      <c r="EN655" s="58">
        <f>IFERROR($BC655/$BC656-1,"")</f>
        <v/>
      </c>
      <c r="EO655" s="58">
        <f>IFERROR($BD655/$BD656-1,"")</f>
        <v/>
      </c>
      <c r="EP655" s="58">
        <f>IFERROR($BE655/$BE656-1,"")</f>
        <v/>
      </c>
      <c r="EQ655" s="58">
        <f>IFERROR($BF655/$BF656-1,"")</f>
        <v/>
      </c>
      <c r="ER655" s="58">
        <f>IFERROR($BG655/$BG656-1,"")</f>
        <v/>
      </c>
      <c r="ES655" s="58">
        <f>IFERROR($BH655/$BH656-1,"")</f>
        <v/>
      </c>
      <c r="ET655" s="58">
        <f>IFERROR($BI655/$BI656-1,"")</f>
        <v/>
      </c>
      <c r="EU655" s="58">
        <f>IFERROR($BJ655/$BJ656-1,"")</f>
        <v/>
      </c>
      <c r="EV655" s="58">
        <f>IFERROR($BK655/$BK656-1,"")</f>
        <v/>
      </c>
      <c r="EW655" s="58">
        <f>IFERROR($BL655/$BL656-1,"")</f>
        <v/>
      </c>
      <c r="EX655" s="58">
        <f>IFERROR($BM655/$BM656-1,"")</f>
        <v/>
      </c>
      <c r="EY655" s="58">
        <f>IFERROR($BN655/$BN656-1,"")</f>
        <v/>
      </c>
      <c r="EZ655" s="58">
        <f>IFERROR($BO655/$BO656-1,"")</f>
        <v/>
      </c>
      <c r="FA655" s="58">
        <f>IFERROR($BP655/$BP656-1,"")</f>
        <v/>
      </c>
      <c r="FB655" s="58">
        <f>IFERROR($BQ655/$BQ656-1,"")</f>
        <v/>
      </c>
      <c r="FC655" s="58">
        <f>IFERROR($BR655/$BR656-1,"")</f>
        <v/>
      </c>
      <c r="FD655" s="58">
        <f>IFERROR($BS655/$BS656-1,"")</f>
        <v/>
      </c>
      <c r="FE655" s="58">
        <f>IFERROR($BT655/$BT656-1,"")</f>
        <v/>
      </c>
      <c r="FF655" s="58">
        <f>IFERROR($BU655/$BU656-1,"")</f>
        <v/>
      </c>
      <c r="FG655" s="58">
        <f>IFERROR($BV655/$BV656-1,"")</f>
        <v/>
      </c>
      <c r="FH655" s="58">
        <f>IFERROR($BW655/$BW656-1,"")</f>
        <v/>
      </c>
      <c r="FI655" s="58">
        <f>IFERROR($BX655/$BX656-1,"")</f>
        <v/>
      </c>
      <c r="FJ655" s="59">
        <f>$BY655-$BY656</f>
        <v/>
      </c>
      <c r="FK655" s="59">
        <f>$BZ655-$BZ656</f>
        <v/>
      </c>
      <c r="FL655" s="59">
        <f>$CA655-$CA656</f>
        <v/>
      </c>
      <c r="FM655" s="59">
        <f>$CB655-$CB656</f>
        <v/>
      </c>
      <c r="FN655" s="59">
        <f>$CC655-$CC656</f>
        <v/>
      </c>
      <c r="FO655" s="59">
        <f>$CD655-$CD656</f>
        <v/>
      </c>
      <c r="FP655" s="59">
        <f>$CE655-$CE656</f>
        <v/>
      </c>
      <c r="FQ655" s="59">
        <f>$CF655-$CF656</f>
        <v/>
      </c>
      <c r="FR655" s="59">
        <f>$CG655-$CG656</f>
        <v/>
      </c>
      <c r="FS655" s="59">
        <f>$CH655-$CH656</f>
        <v/>
      </c>
      <c r="FT655" s="59">
        <f>$CI655-$CI656</f>
        <v/>
      </c>
      <c r="FU655" s="59">
        <f>$CJ655-$CJ656</f>
        <v/>
      </c>
      <c r="FV655" s="59">
        <f>$CK655-$CK656</f>
        <v/>
      </c>
      <c r="FW655" s="59">
        <f>$CL655-$CL656</f>
        <v/>
      </c>
      <c r="FX655" s="59">
        <f>$CM655-$CM656</f>
        <v/>
      </c>
      <c r="FY655" s="59">
        <f>$CN655-$CN656</f>
        <v/>
      </c>
      <c r="FZ655" s="59">
        <f>$CO655-$CO656</f>
        <v/>
      </c>
      <c r="GA655" s="59">
        <f>$CP655-$CP656</f>
        <v/>
      </c>
      <c r="GB655" s="59">
        <f>$CQ655-$CQ656</f>
        <v/>
      </c>
      <c r="GC655" s="59">
        <f>$CR655-$CR656</f>
        <v/>
      </c>
      <c r="GD655" s="59">
        <f>$CS655-$CS656</f>
        <v/>
      </c>
      <c r="GE655" s="59">
        <f>$CT655-$CT656</f>
        <v/>
      </c>
    </row>
    <row r="656">
      <c r="CU656" s="58">
        <f>IFERROR($B656/$B657-1,"")</f>
        <v/>
      </c>
      <c r="CV656" s="59">
        <f>($F656-$F657)*100</f>
        <v/>
      </c>
      <c r="CW656" s="59">
        <f>($E656-$E657)*100</f>
        <v/>
      </c>
      <c r="CX656" s="58">
        <f>IFERROR($K656/$K657-1,"")</f>
        <v/>
      </c>
      <c r="CY656" s="59">
        <f>($AH656-$AH657)*100</f>
        <v/>
      </c>
      <c r="CZ656" s="59">
        <f>($AI656-$AI657)*100</f>
        <v/>
      </c>
      <c r="DA656" s="59">
        <f>($AJ656-$AJ657)*100</f>
        <v/>
      </c>
      <c r="DB656" s="59">
        <f>($AK656-$AK657)*100</f>
        <v/>
      </c>
      <c r="DC656" s="59">
        <f>($AL656-$AL657)*100</f>
        <v/>
      </c>
      <c r="DD656" s="59">
        <f>($AM656-$AM657)*100</f>
        <v/>
      </c>
      <c r="DE656" s="59">
        <f>($AN656-$AN657)*100</f>
        <v/>
      </c>
      <c r="DF656" s="59">
        <f>($AO656-$AO657)*100</f>
        <v/>
      </c>
      <c r="DG656" s="59">
        <f>($AP656-$AP657)*100</f>
        <v/>
      </c>
      <c r="DH656" s="59">
        <f>($AQ656-$AQ657)*100</f>
        <v/>
      </c>
      <c r="DI656" s="59">
        <f>($AR656-$AR657)*100</f>
        <v/>
      </c>
      <c r="DJ656" s="59">
        <f>($AS656-$AS657)*100</f>
        <v/>
      </c>
      <c r="DK656" s="59">
        <f>($AT656-$AT657)*100</f>
        <v/>
      </c>
      <c r="DL656" s="59">
        <f>($AU656-$AU657)*100</f>
        <v/>
      </c>
      <c r="DM656" s="59">
        <f>($AV656-$AV657)*100</f>
        <v/>
      </c>
      <c r="DN656" s="59">
        <f>($AW656-$AW657)*100</f>
        <v/>
      </c>
      <c r="DO656" s="59">
        <f>($AX656-$AX657)*100</f>
        <v/>
      </c>
      <c r="DP656" s="59">
        <f>($AY656-$AY657)*100</f>
        <v/>
      </c>
      <c r="DQ656" s="59">
        <f>($AZ656-$AZ657)*100</f>
        <v/>
      </c>
      <c r="DR656" s="59">
        <f>($BA656-$BA657)*100</f>
        <v/>
      </c>
      <c r="DS656" s="58">
        <f>IFERROR($N657/$N656-1,"")</f>
        <v/>
      </c>
      <c r="DT656" s="58">
        <f>IFERROR($O657/$O656-1,"")</f>
        <v/>
      </c>
      <c r="DU656" s="58">
        <f>IFERROR($P657/$P656-1,"")</f>
        <v/>
      </c>
      <c r="DV656" s="58">
        <f>IFERROR($Q657/$Q656-1,"")</f>
        <v/>
      </c>
      <c r="DW656" s="58">
        <f>IFERROR($R657/$R656-1,"")</f>
        <v/>
      </c>
      <c r="DX656" s="58">
        <f>IFERROR($S657/$S656-1,"")</f>
        <v/>
      </c>
      <c r="DY656" s="58">
        <f>IFERROR($T657/$T656-1,"")</f>
        <v/>
      </c>
      <c r="DZ656" s="58">
        <f>IFERROR($U657/$U656-1,"")</f>
        <v/>
      </c>
      <c r="EA656" s="58">
        <f>IFERROR($V657/$V656-1,"")</f>
        <v/>
      </c>
      <c r="EB656" s="58">
        <f>IFERROR($W657/$W656-1,"")</f>
        <v/>
      </c>
      <c r="EC656" s="58">
        <f>IFERROR($X657/$X656-1,"")</f>
        <v/>
      </c>
      <c r="ED656" s="58">
        <f>IFERROR($Y657/$Y656-1,"")</f>
        <v/>
      </c>
      <c r="EE656" s="58">
        <f>IFERROR($Z657/$Z656-1,"")</f>
        <v/>
      </c>
      <c r="EF656" s="58">
        <f>IFERROR($AA657/$AA656-1,"")</f>
        <v/>
      </c>
      <c r="EG656" s="58">
        <f>IFERROR($AB657/$AB656-1,"")</f>
        <v/>
      </c>
      <c r="EH656" s="58">
        <f>IFERROR($AC657/$AC656-1,"")</f>
        <v/>
      </c>
      <c r="EI656" s="58">
        <f>IFERROR($AD657/$AD656-1,"")</f>
        <v/>
      </c>
      <c r="EJ656" s="58">
        <f>IFERROR($AE657/$AE656-1,"")</f>
        <v/>
      </c>
      <c r="EK656" s="58">
        <f>IFERROR($AF657/$AF656-1,"")</f>
        <v/>
      </c>
      <c r="EL656" s="58">
        <f>IFERROR($AG657/$AG656-1,"")</f>
        <v/>
      </c>
      <c r="EM656" s="58">
        <f>IFERROR($BB656/$BB657-1,"")</f>
        <v/>
      </c>
      <c r="EN656" s="58">
        <f>IFERROR($BC656/$BC657-1,"")</f>
        <v/>
      </c>
      <c r="EO656" s="58">
        <f>IFERROR($BD656/$BD657-1,"")</f>
        <v/>
      </c>
      <c r="EP656" s="58">
        <f>IFERROR($BE656/$BE657-1,"")</f>
        <v/>
      </c>
      <c r="EQ656" s="58">
        <f>IFERROR($BF656/$BF657-1,"")</f>
        <v/>
      </c>
      <c r="ER656" s="58">
        <f>IFERROR($BG656/$BG657-1,"")</f>
        <v/>
      </c>
      <c r="ES656" s="58">
        <f>IFERROR($BH656/$BH657-1,"")</f>
        <v/>
      </c>
      <c r="ET656" s="58">
        <f>IFERROR($BI656/$BI657-1,"")</f>
        <v/>
      </c>
      <c r="EU656" s="58">
        <f>IFERROR($BJ656/$BJ657-1,"")</f>
        <v/>
      </c>
      <c r="EV656" s="58">
        <f>IFERROR($BK656/$BK657-1,"")</f>
        <v/>
      </c>
      <c r="EW656" s="58">
        <f>IFERROR($BL656/$BL657-1,"")</f>
        <v/>
      </c>
      <c r="EX656" s="58">
        <f>IFERROR($BM656/$BM657-1,"")</f>
        <v/>
      </c>
      <c r="EY656" s="58">
        <f>IFERROR($BN656/$BN657-1,"")</f>
        <v/>
      </c>
      <c r="EZ656" s="58">
        <f>IFERROR($BO656/$BO657-1,"")</f>
        <v/>
      </c>
      <c r="FA656" s="58">
        <f>IFERROR($BP656/$BP657-1,"")</f>
        <v/>
      </c>
      <c r="FB656" s="58">
        <f>IFERROR($BQ656/$BQ657-1,"")</f>
        <v/>
      </c>
      <c r="FC656" s="58">
        <f>IFERROR($BR656/$BR657-1,"")</f>
        <v/>
      </c>
      <c r="FD656" s="58">
        <f>IFERROR($BS656/$BS657-1,"")</f>
        <v/>
      </c>
      <c r="FE656" s="58">
        <f>IFERROR($BT656/$BT657-1,"")</f>
        <v/>
      </c>
      <c r="FF656" s="58">
        <f>IFERROR($BU656/$BU657-1,"")</f>
        <v/>
      </c>
      <c r="FG656" s="58">
        <f>IFERROR($BV656/$BV657-1,"")</f>
        <v/>
      </c>
      <c r="FH656" s="58">
        <f>IFERROR($BW656/$BW657-1,"")</f>
        <v/>
      </c>
      <c r="FI656" s="58">
        <f>IFERROR($BX656/$BX657-1,"")</f>
        <v/>
      </c>
      <c r="FJ656" s="59">
        <f>$BY656-$BY657</f>
        <v/>
      </c>
      <c r="FK656" s="59">
        <f>$BZ656-$BZ657</f>
        <v/>
      </c>
      <c r="FL656" s="59">
        <f>$CA656-$CA657</f>
        <v/>
      </c>
      <c r="FM656" s="59">
        <f>$CB656-$CB657</f>
        <v/>
      </c>
      <c r="FN656" s="59">
        <f>$CC656-$CC657</f>
        <v/>
      </c>
      <c r="FO656" s="59">
        <f>$CD656-$CD657</f>
        <v/>
      </c>
      <c r="FP656" s="59">
        <f>$CE656-$CE657</f>
        <v/>
      </c>
      <c r="FQ656" s="59">
        <f>$CF656-$CF657</f>
        <v/>
      </c>
      <c r="FR656" s="59">
        <f>$CG656-$CG657</f>
        <v/>
      </c>
      <c r="FS656" s="59">
        <f>$CH656-$CH657</f>
        <v/>
      </c>
      <c r="FT656" s="59">
        <f>$CI656-$CI657</f>
        <v/>
      </c>
      <c r="FU656" s="59">
        <f>$CJ656-$CJ657</f>
        <v/>
      </c>
      <c r="FV656" s="59">
        <f>$CK656-$CK657</f>
        <v/>
      </c>
      <c r="FW656" s="59">
        <f>$CL656-$CL657</f>
        <v/>
      </c>
      <c r="FX656" s="59">
        <f>$CM656-$CM657</f>
        <v/>
      </c>
      <c r="FY656" s="59">
        <f>$CN656-$CN657</f>
        <v/>
      </c>
      <c r="FZ656" s="59">
        <f>$CO656-$CO657</f>
        <v/>
      </c>
      <c r="GA656" s="59">
        <f>$CP656-$CP657</f>
        <v/>
      </c>
      <c r="GB656" s="59">
        <f>$CQ656-$CQ657</f>
        <v/>
      </c>
      <c r="GC656" s="59">
        <f>$CR656-$CR657</f>
        <v/>
      </c>
      <c r="GD656" s="59">
        <f>$CS656-$CS657</f>
        <v/>
      </c>
      <c r="GE656" s="59">
        <f>$CT656-$CT657</f>
        <v/>
      </c>
    </row>
    <row r="657">
      <c r="CU657" s="58">
        <f>IFERROR($B657/$B658-1,"")</f>
        <v/>
      </c>
      <c r="CV657" s="59">
        <f>($F657-$F658)*100</f>
        <v/>
      </c>
      <c r="CW657" s="59">
        <f>($E657-$E658)*100</f>
        <v/>
      </c>
      <c r="CX657" s="58">
        <f>IFERROR($K657/$K658-1,"")</f>
        <v/>
      </c>
      <c r="CY657" s="59">
        <f>($AH657-$AH658)*100</f>
        <v/>
      </c>
      <c r="CZ657" s="59">
        <f>($AI657-$AI658)*100</f>
        <v/>
      </c>
      <c r="DA657" s="59">
        <f>($AJ657-$AJ658)*100</f>
        <v/>
      </c>
      <c r="DB657" s="59">
        <f>($AK657-$AK658)*100</f>
        <v/>
      </c>
      <c r="DC657" s="59">
        <f>($AL657-$AL658)*100</f>
        <v/>
      </c>
      <c r="DD657" s="59">
        <f>($AM657-$AM658)*100</f>
        <v/>
      </c>
      <c r="DE657" s="59">
        <f>($AN657-$AN658)*100</f>
        <v/>
      </c>
      <c r="DF657" s="59">
        <f>($AO657-$AO658)*100</f>
        <v/>
      </c>
      <c r="DG657" s="59">
        <f>($AP657-$AP658)*100</f>
        <v/>
      </c>
      <c r="DH657" s="59">
        <f>($AQ657-$AQ658)*100</f>
        <v/>
      </c>
      <c r="DI657" s="59">
        <f>($AR657-$AR658)*100</f>
        <v/>
      </c>
      <c r="DJ657" s="59">
        <f>($AS657-$AS658)*100</f>
        <v/>
      </c>
      <c r="DK657" s="59">
        <f>($AT657-$AT658)*100</f>
        <v/>
      </c>
      <c r="DL657" s="59">
        <f>($AU657-$AU658)*100</f>
        <v/>
      </c>
      <c r="DM657" s="59">
        <f>($AV657-$AV658)*100</f>
        <v/>
      </c>
      <c r="DN657" s="59">
        <f>($AW657-$AW658)*100</f>
        <v/>
      </c>
      <c r="DO657" s="59">
        <f>($AX657-$AX658)*100</f>
        <v/>
      </c>
      <c r="DP657" s="59">
        <f>($AY657-$AY658)*100</f>
        <v/>
      </c>
      <c r="DQ657" s="59">
        <f>($AZ657-$AZ658)*100</f>
        <v/>
      </c>
      <c r="DR657" s="59">
        <f>($BA657-$BA658)*100</f>
        <v/>
      </c>
      <c r="DS657" s="58">
        <f>IFERROR($N658/$N657-1,"")</f>
        <v/>
      </c>
      <c r="DT657" s="58">
        <f>IFERROR($O658/$O657-1,"")</f>
        <v/>
      </c>
      <c r="DU657" s="58">
        <f>IFERROR($P658/$P657-1,"")</f>
        <v/>
      </c>
      <c r="DV657" s="58">
        <f>IFERROR($Q658/$Q657-1,"")</f>
        <v/>
      </c>
      <c r="DW657" s="58">
        <f>IFERROR($R658/$R657-1,"")</f>
        <v/>
      </c>
      <c r="DX657" s="58">
        <f>IFERROR($S658/$S657-1,"")</f>
        <v/>
      </c>
      <c r="DY657" s="58">
        <f>IFERROR($T658/$T657-1,"")</f>
        <v/>
      </c>
      <c r="DZ657" s="58">
        <f>IFERROR($U658/$U657-1,"")</f>
        <v/>
      </c>
      <c r="EA657" s="58">
        <f>IFERROR($V658/$V657-1,"")</f>
        <v/>
      </c>
      <c r="EB657" s="58">
        <f>IFERROR($W658/$W657-1,"")</f>
        <v/>
      </c>
      <c r="EC657" s="58">
        <f>IFERROR($X658/$X657-1,"")</f>
        <v/>
      </c>
      <c r="ED657" s="58">
        <f>IFERROR($Y658/$Y657-1,"")</f>
        <v/>
      </c>
      <c r="EE657" s="58">
        <f>IFERROR($Z658/$Z657-1,"")</f>
        <v/>
      </c>
      <c r="EF657" s="58">
        <f>IFERROR($AA658/$AA657-1,"")</f>
        <v/>
      </c>
      <c r="EG657" s="58">
        <f>IFERROR($AB658/$AB657-1,"")</f>
        <v/>
      </c>
      <c r="EH657" s="58">
        <f>IFERROR($AC658/$AC657-1,"")</f>
        <v/>
      </c>
      <c r="EI657" s="58">
        <f>IFERROR($AD658/$AD657-1,"")</f>
        <v/>
      </c>
      <c r="EJ657" s="58">
        <f>IFERROR($AE658/$AE657-1,"")</f>
        <v/>
      </c>
      <c r="EK657" s="58">
        <f>IFERROR($AF658/$AF657-1,"")</f>
        <v/>
      </c>
      <c r="EL657" s="58">
        <f>IFERROR($AG658/$AG657-1,"")</f>
        <v/>
      </c>
      <c r="EM657" s="58">
        <f>IFERROR($BB657/$BB658-1,"")</f>
        <v/>
      </c>
      <c r="EN657" s="58">
        <f>IFERROR($BC657/$BC658-1,"")</f>
        <v/>
      </c>
      <c r="EO657" s="58">
        <f>IFERROR($BD657/$BD658-1,"")</f>
        <v/>
      </c>
      <c r="EP657" s="58">
        <f>IFERROR($BE657/$BE658-1,"")</f>
        <v/>
      </c>
      <c r="EQ657" s="58">
        <f>IFERROR($BF657/$BF658-1,"")</f>
        <v/>
      </c>
      <c r="ER657" s="58">
        <f>IFERROR($BG657/$BG658-1,"")</f>
        <v/>
      </c>
      <c r="ES657" s="58">
        <f>IFERROR($BH657/$BH658-1,"")</f>
        <v/>
      </c>
      <c r="ET657" s="58">
        <f>IFERROR($BI657/$BI658-1,"")</f>
        <v/>
      </c>
      <c r="EU657" s="58">
        <f>IFERROR($BJ657/$BJ658-1,"")</f>
        <v/>
      </c>
      <c r="EV657" s="58">
        <f>IFERROR($BK657/$BK658-1,"")</f>
        <v/>
      </c>
      <c r="EW657" s="58">
        <f>IFERROR($BL657/$BL658-1,"")</f>
        <v/>
      </c>
      <c r="EX657" s="58">
        <f>IFERROR($BM657/$BM658-1,"")</f>
        <v/>
      </c>
      <c r="EY657" s="58">
        <f>IFERROR($BN657/$BN658-1,"")</f>
        <v/>
      </c>
      <c r="EZ657" s="58">
        <f>IFERROR($BO657/$BO658-1,"")</f>
        <v/>
      </c>
      <c r="FA657" s="58">
        <f>IFERROR($BP657/$BP658-1,"")</f>
        <v/>
      </c>
      <c r="FB657" s="58">
        <f>IFERROR($BQ657/$BQ658-1,"")</f>
        <v/>
      </c>
      <c r="FC657" s="58">
        <f>IFERROR($BR657/$BR658-1,"")</f>
        <v/>
      </c>
      <c r="FD657" s="58">
        <f>IFERROR($BS657/$BS658-1,"")</f>
        <v/>
      </c>
      <c r="FE657" s="58">
        <f>IFERROR($BT657/$BT658-1,"")</f>
        <v/>
      </c>
      <c r="FF657" s="58">
        <f>IFERROR($BU657/$BU658-1,"")</f>
        <v/>
      </c>
      <c r="FG657" s="58">
        <f>IFERROR($BV657/$BV658-1,"")</f>
        <v/>
      </c>
      <c r="FH657" s="58">
        <f>IFERROR($BW657/$BW658-1,"")</f>
        <v/>
      </c>
      <c r="FI657" s="58">
        <f>IFERROR($BX657/$BX658-1,"")</f>
        <v/>
      </c>
      <c r="FJ657" s="59">
        <f>$BY657-$BY658</f>
        <v/>
      </c>
      <c r="FK657" s="59">
        <f>$BZ657-$BZ658</f>
        <v/>
      </c>
      <c r="FL657" s="59">
        <f>$CA657-$CA658</f>
        <v/>
      </c>
      <c r="FM657" s="59">
        <f>$CB657-$CB658</f>
        <v/>
      </c>
      <c r="FN657" s="59">
        <f>$CC657-$CC658</f>
        <v/>
      </c>
      <c r="FO657" s="59">
        <f>$CD657-$CD658</f>
        <v/>
      </c>
      <c r="FP657" s="59">
        <f>$CE657-$CE658</f>
        <v/>
      </c>
      <c r="FQ657" s="59">
        <f>$CF657-$CF658</f>
        <v/>
      </c>
      <c r="FR657" s="59">
        <f>$CG657-$CG658</f>
        <v/>
      </c>
      <c r="FS657" s="59">
        <f>$CH657-$CH658</f>
        <v/>
      </c>
      <c r="FT657" s="59">
        <f>$CI657-$CI658</f>
        <v/>
      </c>
      <c r="FU657" s="59">
        <f>$CJ657-$CJ658</f>
        <v/>
      </c>
      <c r="FV657" s="59">
        <f>$CK657-$CK658</f>
        <v/>
      </c>
      <c r="FW657" s="59">
        <f>$CL657-$CL658</f>
        <v/>
      </c>
      <c r="FX657" s="59">
        <f>$CM657-$CM658</f>
        <v/>
      </c>
      <c r="FY657" s="59">
        <f>$CN657-$CN658</f>
        <v/>
      </c>
      <c r="FZ657" s="59">
        <f>$CO657-$CO658</f>
        <v/>
      </c>
      <c r="GA657" s="59">
        <f>$CP657-$CP658</f>
        <v/>
      </c>
      <c r="GB657" s="59">
        <f>$CQ657-$CQ658</f>
        <v/>
      </c>
      <c r="GC657" s="59">
        <f>$CR657-$CR658</f>
        <v/>
      </c>
      <c r="GD657" s="59">
        <f>$CS657-$CS658</f>
        <v/>
      </c>
      <c r="GE657" s="59">
        <f>$CT657-$CT658</f>
        <v/>
      </c>
    </row>
    <row r="658">
      <c r="CU658" s="58">
        <f>IFERROR($B658/$B659-1,"")</f>
        <v/>
      </c>
      <c r="CV658" s="59">
        <f>($F658-$F659)*100</f>
        <v/>
      </c>
      <c r="CW658" s="59">
        <f>($E658-$E659)*100</f>
        <v/>
      </c>
      <c r="CX658" s="58">
        <f>IFERROR($K658/$K659-1,"")</f>
        <v/>
      </c>
      <c r="CY658" s="59">
        <f>($AH658-$AH659)*100</f>
        <v/>
      </c>
      <c r="CZ658" s="59">
        <f>($AI658-$AI659)*100</f>
        <v/>
      </c>
      <c r="DA658" s="59">
        <f>($AJ658-$AJ659)*100</f>
        <v/>
      </c>
      <c r="DB658" s="59">
        <f>($AK658-$AK659)*100</f>
        <v/>
      </c>
      <c r="DC658" s="59">
        <f>($AL658-$AL659)*100</f>
        <v/>
      </c>
      <c r="DD658" s="59">
        <f>($AM658-$AM659)*100</f>
        <v/>
      </c>
      <c r="DE658" s="59">
        <f>($AN658-$AN659)*100</f>
        <v/>
      </c>
      <c r="DF658" s="59">
        <f>($AO658-$AO659)*100</f>
        <v/>
      </c>
      <c r="DG658" s="59">
        <f>($AP658-$AP659)*100</f>
        <v/>
      </c>
      <c r="DH658" s="59">
        <f>($AQ658-$AQ659)*100</f>
        <v/>
      </c>
      <c r="DI658" s="59">
        <f>($AR658-$AR659)*100</f>
        <v/>
      </c>
      <c r="DJ658" s="59">
        <f>($AS658-$AS659)*100</f>
        <v/>
      </c>
      <c r="DK658" s="59">
        <f>($AT658-$AT659)*100</f>
        <v/>
      </c>
      <c r="DL658" s="59">
        <f>($AU658-$AU659)*100</f>
        <v/>
      </c>
      <c r="DM658" s="59">
        <f>($AV658-$AV659)*100</f>
        <v/>
      </c>
      <c r="DN658" s="59">
        <f>($AW658-$AW659)*100</f>
        <v/>
      </c>
      <c r="DO658" s="59">
        <f>($AX658-$AX659)*100</f>
        <v/>
      </c>
      <c r="DP658" s="59">
        <f>($AY658-$AY659)*100</f>
        <v/>
      </c>
      <c r="DQ658" s="59">
        <f>($AZ658-$AZ659)*100</f>
        <v/>
      </c>
      <c r="DR658" s="59">
        <f>($BA658-$BA659)*100</f>
        <v/>
      </c>
      <c r="DS658" s="58">
        <f>IFERROR($N659/$N658-1,"")</f>
        <v/>
      </c>
      <c r="DT658" s="58">
        <f>IFERROR($O659/$O658-1,"")</f>
        <v/>
      </c>
      <c r="DU658" s="58">
        <f>IFERROR($P659/$P658-1,"")</f>
        <v/>
      </c>
      <c r="DV658" s="58">
        <f>IFERROR($Q659/$Q658-1,"")</f>
        <v/>
      </c>
      <c r="DW658" s="58">
        <f>IFERROR($R659/$R658-1,"")</f>
        <v/>
      </c>
      <c r="DX658" s="58">
        <f>IFERROR($S659/$S658-1,"")</f>
        <v/>
      </c>
      <c r="DY658" s="58">
        <f>IFERROR($T659/$T658-1,"")</f>
        <v/>
      </c>
      <c r="DZ658" s="58">
        <f>IFERROR($U659/$U658-1,"")</f>
        <v/>
      </c>
      <c r="EA658" s="58">
        <f>IFERROR($V659/$V658-1,"")</f>
        <v/>
      </c>
      <c r="EB658" s="58">
        <f>IFERROR($W659/$W658-1,"")</f>
        <v/>
      </c>
      <c r="EC658" s="58">
        <f>IFERROR($X659/$X658-1,"")</f>
        <v/>
      </c>
      <c r="ED658" s="58">
        <f>IFERROR($Y659/$Y658-1,"")</f>
        <v/>
      </c>
      <c r="EE658" s="58">
        <f>IFERROR($Z659/$Z658-1,"")</f>
        <v/>
      </c>
      <c r="EF658" s="58">
        <f>IFERROR($AA659/$AA658-1,"")</f>
        <v/>
      </c>
      <c r="EG658" s="58">
        <f>IFERROR($AB659/$AB658-1,"")</f>
        <v/>
      </c>
      <c r="EH658" s="58">
        <f>IFERROR($AC659/$AC658-1,"")</f>
        <v/>
      </c>
      <c r="EI658" s="58">
        <f>IFERROR($AD659/$AD658-1,"")</f>
        <v/>
      </c>
      <c r="EJ658" s="58">
        <f>IFERROR($AE659/$AE658-1,"")</f>
        <v/>
      </c>
      <c r="EK658" s="58">
        <f>IFERROR($AF659/$AF658-1,"")</f>
        <v/>
      </c>
      <c r="EL658" s="58">
        <f>IFERROR($AG659/$AG658-1,"")</f>
        <v/>
      </c>
      <c r="EM658" s="58">
        <f>IFERROR($BB658/$BB659-1,"")</f>
        <v/>
      </c>
      <c r="EN658" s="58">
        <f>IFERROR($BC658/$BC659-1,"")</f>
        <v/>
      </c>
      <c r="EO658" s="58">
        <f>IFERROR($BD658/$BD659-1,"")</f>
        <v/>
      </c>
      <c r="EP658" s="58">
        <f>IFERROR($BE658/$BE659-1,"")</f>
        <v/>
      </c>
      <c r="EQ658" s="58">
        <f>IFERROR($BF658/$BF659-1,"")</f>
        <v/>
      </c>
      <c r="ER658" s="58">
        <f>IFERROR($BG658/$BG659-1,"")</f>
        <v/>
      </c>
      <c r="ES658" s="58">
        <f>IFERROR($BH658/$BH659-1,"")</f>
        <v/>
      </c>
      <c r="ET658" s="58">
        <f>IFERROR($BI658/$BI659-1,"")</f>
        <v/>
      </c>
      <c r="EU658" s="58">
        <f>IFERROR($BJ658/$BJ659-1,"")</f>
        <v/>
      </c>
      <c r="EV658" s="58">
        <f>IFERROR($BK658/$BK659-1,"")</f>
        <v/>
      </c>
      <c r="EW658" s="58">
        <f>IFERROR($BL658/$BL659-1,"")</f>
        <v/>
      </c>
      <c r="EX658" s="58">
        <f>IFERROR($BM658/$BM659-1,"")</f>
        <v/>
      </c>
      <c r="EY658" s="58">
        <f>IFERROR($BN658/$BN659-1,"")</f>
        <v/>
      </c>
      <c r="EZ658" s="58">
        <f>IFERROR($BO658/$BO659-1,"")</f>
        <v/>
      </c>
      <c r="FA658" s="58">
        <f>IFERROR($BP658/$BP659-1,"")</f>
        <v/>
      </c>
      <c r="FB658" s="58">
        <f>IFERROR($BQ658/$BQ659-1,"")</f>
        <v/>
      </c>
      <c r="FC658" s="58">
        <f>IFERROR($BR658/$BR659-1,"")</f>
        <v/>
      </c>
      <c r="FD658" s="58">
        <f>IFERROR($BS658/$BS659-1,"")</f>
        <v/>
      </c>
      <c r="FE658" s="58">
        <f>IFERROR($BT658/$BT659-1,"")</f>
        <v/>
      </c>
      <c r="FF658" s="58">
        <f>IFERROR($BU658/$BU659-1,"")</f>
        <v/>
      </c>
      <c r="FG658" s="58">
        <f>IFERROR($BV658/$BV659-1,"")</f>
        <v/>
      </c>
      <c r="FH658" s="58">
        <f>IFERROR($BW658/$BW659-1,"")</f>
        <v/>
      </c>
      <c r="FI658" s="58">
        <f>IFERROR($BX658/$BX659-1,"")</f>
        <v/>
      </c>
      <c r="FJ658" s="59">
        <f>$BY658-$BY659</f>
        <v/>
      </c>
      <c r="FK658" s="59">
        <f>$BZ658-$BZ659</f>
        <v/>
      </c>
      <c r="FL658" s="59">
        <f>$CA658-$CA659</f>
        <v/>
      </c>
      <c r="FM658" s="59">
        <f>$CB658-$CB659</f>
        <v/>
      </c>
      <c r="FN658" s="59">
        <f>$CC658-$CC659</f>
        <v/>
      </c>
      <c r="FO658" s="59">
        <f>$CD658-$CD659</f>
        <v/>
      </c>
      <c r="FP658" s="59">
        <f>$CE658-$CE659</f>
        <v/>
      </c>
      <c r="FQ658" s="59">
        <f>$CF658-$CF659</f>
        <v/>
      </c>
      <c r="FR658" s="59">
        <f>$CG658-$CG659</f>
        <v/>
      </c>
      <c r="FS658" s="59">
        <f>$CH658-$CH659</f>
        <v/>
      </c>
      <c r="FT658" s="59">
        <f>$CI658-$CI659</f>
        <v/>
      </c>
      <c r="FU658" s="59">
        <f>$CJ658-$CJ659</f>
        <v/>
      </c>
      <c r="FV658" s="59">
        <f>$CK658-$CK659</f>
        <v/>
      </c>
      <c r="FW658" s="59">
        <f>$CL658-$CL659</f>
        <v/>
      </c>
      <c r="FX658" s="59">
        <f>$CM658-$CM659</f>
        <v/>
      </c>
      <c r="FY658" s="59">
        <f>$CN658-$CN659</f>
        <v/>
      </c>
      <c r="FZ658" s="59">
        <f>$CO658-$CO659</f>
        <v/>
      </c>
      <c r="GA658" s="59">
        <f>$CP658-$CP659</f>
        <v/>
      </c>
      <c r="GB658" s="59">
        <f>$CQ658-$CQ659</f>
        <v/>
      </c>
      <c r="GC658" s="59">
        <f>$CR658-$CR659</f>
        <v/>
      </c>
      <c r="GD658" s="59">
        <f>$CS658-$CS659</f>
        <v/>
      </c>
      <c r="GE658" s="59">
        <f>$CT658-$CT659</f>
        <v/>
      </c>
    </row>
    <row r="659">
      <c r="CU659" s="58">
        <f>IFERROR($B659/$B660-1,"")</f>
        <v/>
      </c>
      <c r="CV659" s="59">
        <f>($F659-$F660)*100</f>
        <v/>
      </c>
      <c r="CW659" s="59">
        <f>($E659-$E660)*100</f>
        <v/>
      </c>
      <c r="CX659" s="58">
        <f>IFERROR($K659/$K660-1,"")</f>
        <v/>
      </c>
      <c r="CY659" s="59">
        <f>($AH659-$AH660)*100</f>
        <v/>
      </c>
      <c r="CZ659" s="59">
        <f>($AI659-$AI660)*100</f>
        <v/>
      </c>
      <c r="DA659" s="59">
        <f>($AJ659-$AJ660)*100</f>
        <v/>
      </c>
      <c r="DB659" s="59">
        <f>($AK659-$AK660)*100</f>
        <v/>
      </c>
      <c r="DC659" s="59">
        <f>($AL659-$AL660)*100</f>
        <v/>
      </c>
      <c r="DD659" s="59">
        <f>($AM659-$AM660)*100</f>
        <v/>
      </c>
      <c r="DE659" s="59">
        <f>($AN659-$AN660)*100</f>
        <v/>
      </c>
      <c r="DF659" s="59">
        <f>($AO659-$AO660)*100</f>
        <v/>
      </c>
      <c r="DG659" s="59">
        <f>($AP659-$AP660)*100</f>
        <v/>
      </c>
      <c r="DH659" s="59">
        <f>($AQ659-$AQ660)*100</f>
        <v/>
      </c>
      <c r="DI659" s="59">
        <f>($AR659-$AR660)*100</f>
        <v/>
      </c>
      <c r="DJ659" s="59">
        <f>($AS659-$AS660)*100</f>
        <v/>
      </c>
      <c r="DK659" s="59">
        <f>($AT659-$AT660)*100</f>
        <v/>
      </c>
      <c r="DL659" s="59">
        <f>($AU659-$AU660)*100</f>
        <v/>
      </c>
      <c r="DM659" s="59">
        <f>($AV659-$AV660)*100</f>
        <v/>
      </c>
      <c r="DN659" s="59">
        <f>($AW659-$AW660)*100</f>
        <v/>
      </c>
      <c r="DO659" s="59">
        <f>($AX659-$AX660)*100</f>
        <v/>
      </c>
      <c r="DP659" s="59">
        <f>($AY659-$AY660)*100</f>
        <v/>
      </c>
      <c r="DQ659" s="59">
        <f>($AZ659-$AZ660)*100</f>
        <v/>
      </c>
      <c r="DR659" s="59">
        <f>($BA659-$BA660)*100</f>
        <v/>
      </c>
      <c r="DS659" s="58">
        <f>IFERROR($N660/$N659-1,"")</f>
        <v/>
      </c>
      <c r="DT659" s="58">
        <f>IFERROR($O660/$O659-1,"")</f>
        <v/>
      </c>
      <c r="DU659" s="58">
        <f>IFERROR($P660/$P659-1,"")</f>
        <v/>
      </c>
      <c r="DV659" s="58">
        <f>IFERROR($Q660/$Q659-1,"")</f>
        <v/>
      </c>
      <c r="DW659" s="58">
        <f>IFERROR($R660/$R659-1,"")</f>
        <v/>
      </c>
      <c r="DX659" s="58">
        <f>IFERROR($S660/$S659-1,"")</f>
        <v/>
      </c>
      <c r="DY659" s="58">
        <f>IFERROR($T660/$T659-1,"")</f>
        <v/>
      </c>
      <c r="DZ659" s="58">
        <f>IFERROR($U660/$U659-1,"")</f>
        <v/>
      </c>
      <c r="EA659" s="58">
        <f>IFERROR($V660/$V659-1,"")</f>
        <v/>
      </c>
      <c r="EB659" s="58">
        <f>IFERROR($W660/$W659-1,"")</f>
        <v/>
      </c>
      <c r="EC659" s="58">
        <f>IFERROR($X660/$X659-1,"")</f>
        <v/>
      </c>
      <c r="ED659" s="58">
        <f>IFERROR($Y660/$Y659-1,"")</f>
        <v/>
      </c>
      <c r="EE659" s="58">
        <f>IFERROR($Z660/$Z659-1,"")</f>
        <v/>
      </c>
      <c r="EF659" s="58">
        <f>IFERROR($AA660/$AA659-1,"")</f>
        <v/>
      </c>
      <c r="EG659" s="58">
        <f>IFERROR($AB660/$AB659-1,"")</f>
        <v/>
      </c>
      <c r="EH659" s="58">
        <f>IFERROR($AC660/$AC659-1,"")</f>
        <v/>
      </c>
      <c r="EI659" s="58">
        <f>IFERROR($AD660/$AD659-1,"")</f>
        <v/>
      </c>
      <c r="EJ659" s="58">
        <f>IFERROR($AE660/$AE659-1,"")</f>
        <v/>
      </c>
      <c r="EK659" s="58">
        <f>IFERROR($AF660/$AF659-1,"")</f>
        <v/>
      </c>
      <c r="EL659" s="58">
        <f>IFERROR($AG660/$AG659-1,"")</f>
        <v/>
      </c>
      <c r="EM659" s="58">
        <f>IFERROR($BB659/$BB660-1,"")</f>
        <v/>
      </c>
      <c r="EN659" s="58">
        <f>IFERROR($BC659/$BC660-1,"")</f>
        <v/>
      </c>
      <c r="EO659" s="58">
        <f>IFERROR($BD659/$BD660-1,"")</f>
        <v/>
      </c>
      <c r="EP659" s="58">
        <f>IFERROR($BE659/$BE660-1,"")</f>
        <v/>
      </c>
      <c r="EQ659" s="58">
        <f>IFERROR($BF659/$BF660-1,"")</f>
        <v/>
      </c>
      <c r="ER659" s="58">
        <f>IFERROR($BG659/$BG660-1,"")</f>
        <v/>
      </c>
      <c r="ES659" s="58">
        <f>IFERROR($BH659/$BH660-1,"")</f>
        <v/>
      </c>
      <c r="ET659" s="58">
        <f>IFERROR($BI659/$BI660-1,"")</f>
        <v/>
      </c>
      <c r="EU659" s="58">
        <f>IFERROR($BJ659/$BJ660-1,"")</f>
        <v/>
      </c>
      <c r="EV659" s="58">
        <f>IFERROR($BK659/$BK660-1,"")</f>
        <v/>
      </c>
      <c r="EW659" s="58">
        <f>IFERROR($BL659/$BL660-1,"")</f>
        <v/>
      </c>
      <c r="EX659" s="58">
        <f>IFERROR($BM659/$BM660-1,"")</f>
        <v/>
      </c>
      <c r="EY659" s="58">
        <f>IFERROR($BN659/$BN660-1,"")</f>
        <v/>
      </c>
      <c r="EZ659" s="58">
        <f>IFERROR($BO659/$BO660-1,"")</f>
        <v/>
      </c>
      <c r="FA659" s="58">
        <f>IFERROR($BP659/$BP660-1,"")</f>
        <v/>
      </c>
      <c r="FB659" s="58">
        <f>IFERROR($BQ659/$BQ660-1,"")</f>
        <v/>
      </c>
      <c r="FC659" s="58">
        <f>IFERROR($BR659/$BR660-1,"")</f>
        <v/>
      </c>
      <c r="FD659" s="58">
        <f>IFERROR($BS659/$BS660-1,"")</f>
        <v/>
      </c>
      <c r="FE659" s="58">
        <f>IFERROR($BT659/$BT660-1,"")</f>
        <v/>
      </c>
      <c r="FF659" s="58">
        <f>IFERROR($BU659/$BU660-1,"")</f>
        <v/>
      </c>
      <c r="FG659" s="58">
        <f>IFERROR($BV659/$BV660-1,"")</f>
        <v/>
      </c>
      <c r="FH659" s="58">
        <f>IFERROR($BW659/$BW660-1,"")</f>
        <v/>
      </c>
      <c r="FI659" s="58">
        <f>IFERROR($BX659/$BX660-1,"")</f>
        <v/>
      </c>
      <c r="FJ659" s="59">
        <f>$BY659-$BY660</f>
        <v/>
      </c>
      <c r="FK659" s="59">
        <f>$BZ659-$BZ660</f>
        <v/>
      </c>
      <c r="FL659" s="59">
        <f>$CA659-$CA660</f>
        <v/>
      </c>
      <c r="FM659" s="59">
        <f>$CB659-$CB660</f>
        <v/>
      </c>
      <c r="FN659" s="59">
        <f>$CC659-$CC660</f>
        <v/>
      </c>
      <c r="FO659" s="59">
        <f>$CD659-$CD660</f>
        <v/>
      </c>
      <c r="FP659" s="59">
        <f>$CE659-$CE660</f>
        <v/>
      </c>
      <c r="FQ659" s="59">
        <f>$CF659-$CF660</f>
        <v/>
      </c>
      <c r="FR659" s="59">
        <f>$CG659-$CG660</f>
        <v/>
      </c>
      <c r="FS659" s="59">
        <f>$CH659-$CH660</f>
        <v/>
      </c>
      <c r="FT659" s="59">
        <f>$CI659-$CI660</f>
        <v/>
      </c>
      <c r="FU659" s="59">
        <f>$CJ659-$CJ660</f>
        <v/>
      </c>
      <c r="FV659" s="59">
        <f>$CK659-$CK660</f>
        <v/>
      </c>
      <c r="FW659" s="59">
        <f>$CL659-$CL660</f>
        <v/>
      </c>
      <c r="FX659" s="59">
        <f>$CM659-$CM660</f>
        <v/>
      </c>
      <c r="FY659" s="59">
        <f>$CN659-$CN660</f>
        <v/>
      </c>
      <c r="FZ659" s="59">
        <f>$CO659-$CO660</f>
        <v/>
      </c>
      <c r="GA659" s="59">
        <f>$CP659-$CP660</f>
        <v/>
      </c>
      <c r="GB659" s="59">
        <f>$CQ659-$CQ660</f>
        <v/>
      </c>
      <c r="GC659" s="59">
        <f>$CR659-$CR660</f>
        <v/>
      </c>
      <c r="GD659" s="59">
        <f>$CS659-$CS660</f>
        <v/>
      </c>
      <c r="GE659" s="59">
        <f>$CT659-$CT660</f>
        <v/>
      </c>
    </row>
    <row r="660">
      <c r="CU660" s="58">
        <f>IFERROR($B660/$B661-1,"")</f>
        <v/>
      </c>
      <c r="CV660" s="59">
        <f>($F660-$F661)*100</f>
        <v/>
      </c>
      <c r="CW660" s="59">
        <f>($E660-$E661)*100</f>
        <v/>
      </c>
      <c r="CX660" s="58">
        <f>IFERROR($K660/$K661-1,"")</f>
        <v/>
      </c>
      <c r="CY660" s="59">
        <f>($AH660-$AH661)*100</f>
        <v/>
      </c>
      <c r="CZ660" s="59">
        <f>($AI660-$AI661)*100</f>
        <v/>
      </c>
      <c r="DA660" s="59">
        <f>($AJ660-$AJ661)*100</f>
        <v/>
      </c>
      <c r="DB660" s="59">
        <f>($AK660-$AK661)*100</f>
        <v/>
      </c>
      <c r="DC660" s="59">
        <f>($AL660-$AL661)*100</f>
        <v/>
      </c>
      <c r="DD660" s="59">
        <f>($AM660-$AM661)*100</f>
        <v/>
      </c>
      <c r="DE660" s="59">
        <f>($AN660-$AN661)*100</f>
        <v/>
      </c>
      <c r="DF660" s="59">
        <f>($AO660-$AO661)*100</f>
        <v/>
      </c>
      <c r="DG660" s="59">
        <f>($AP660-$AP661)*100</f>
        <v/>
      </c>
      <c r="DH660" s="59">
        <f>($AQ660-$AQ661)*100</f>
        <v/>
      </c>
      <c r="DI660" s="59">
        <f>($AR660-$AR661)*100</f>
        <v/>
      </c>
      <c r="DJ660" s="59">
        <f>($AS660-$AS661)*100</f>
        <v/>
      </c>
      <c r="DK660" s="59">
        <f>($AT660-$AT661)*100</f>
        <v/>
      </c>
      <c r="DL660" s="59">
        <f>($AU660-$AU661)*100</f>
        <v/>
      </c>
      <c r="DM660" s="59">
        <f>($AV660-$AV661)*100</f>
        <v/>
      </c>
      <c r="DN660" s="59">
        <f>($AW660-$AW661)*100</f>
        <v/>
      </c>
      <c r="DO660" s="59">
        <f>($AX660-$AX661)*100</f>
        <v/>
      </c>
      <c r="DP660" s="59">
        <f>($AY660-$AY661)*100</f>
        <v/>
      </c>
      <c r="DQ660" s="59">
        <f>($AZ660-$AZ661)*100</f>
        <v/>
      </c>
      <c r="DR660" s="59">
        <f>($BA660-$BA661)*100</f>
        <v/>
      </c>
      <c r="DS660" s="58">
        <f>IFERROR($N661/$N660-1,"")</f>
        <v/>
      </c>
      <c r="DT660" s="58">
        <f>IFERROR($O661/$O660-1,"")</f>
        <v/>
      </c>
      <c r="DU660" s="58">
        <f>IFERROR($P661/$P660-1,"")</f>
        <v/>
      </c>
      <c r="DV660" s="58">
        <f>IFERROR($Q661/$Q660-1,"")</f>
        <v/>
      </c>
      <c r="DW660" s="58">
        <f>IFERROR($R661/$R660-1,"")</f>
        <v/>
      </c>
      <c r="DX660" s="58">
        <f>IFERROR($S661/$S660-1,"")</f>
        <v/>
      </c>
      <c r="DY660" s="58">
        <f>IFERROR($T661/$T660-1,"")</f>
        <v/>
      </c>
      <c r="DZ660" s="58">
        <f>IFERROR($U661/$U660-1,"")</f>
        <v/>
      </c>
      <c r="EA660" s="58">
        <f>IFERROR($V661/$V660-1,"")</f>
        <v/>
      </c>
      <c r="EB660" s="58">
        <f>IFERROR($W661/$W660-1,"")</f>
        <v/>
      </c>
      <c r="EC660" s="58">
        <f>IFERROR($X661/$X660-1,"")</f>
        <v/>
      </c>
      <c r="ED660" s="58">
        <f>IFERROR($Y661/$Y660-1,"")</f>
        <v/>
      </c>
      <c r="EE660" s="58">
        <f>IFERROR($Z661/$Z660-1,"")</f>
        <v/>
      </c>
      <c r="EF660" s="58">
        <f>IFERROR($AA661/$AA660-1,"")</f>
        <v/>
      </c>
      <c r="EG660" s="58">
        <f>IFERROR($AB661/$AB660-1,"")</f>
        <v/>
      </c>
      <c r="EH660" s="58">
        <f>IFERROR($AC661/$AC660-1,"")</f>
        <v/>
      </c>
      <c r="EI660" s="58">
        <f>IFERROR($AD661/$AD660-1,"")</f>
        <v/>
      </c>
      <c r="EJ660" s="58">
        <f>IFERROR($AE661/$AE660-1,"")</f>
        <v/>
      </c>
      <c r="EK660" s="58">
        <f>IFERROR($AF661/$AF660-1,"")</f>
        <v/>
      </c>
      <c r="EL660" s="58">
        <f>IFERROR($AG661/$AG660-1,"")</f>
        <v/>
      </c>
      <c r="EM660" s="58">
        <f>IFERROR($BB660/$BB661-1,"")</f>
        <v/>
      </c>
      <c r="EN660" s="58">
        <f>IFERROR($BC660/$BC661-1,"")</f>
        <v/>
      </c>
      <c r="EO660" s="58">
        <f>IFERROR($BD660/$BD661-1,"")</f>
        <v/>
      </c>
      <c r="EP660" s="58">
        <f>IFERROR($BE660/$BE661-1,"")</f>
        <v/>
      </c>
      <c r="EQ660" s="58">
        <f>IFERROR($BF660/$BF661-1,"")</f>
        <v/>
      </c>
      <c r="ER660" s="58">
        <f>IFERROR($BG660/$BG661-1,"")</f>
        <v/>
      </c>
      <c r="ES660" s="58">
        <f>IFERROR($BH660/$BH661-1,"")</f>
        <v/>
      </c>
      <c r="ET660" s="58">
        <f>IFERROR($BI660/$BI661-1,"")</f>
        <v/>
      </c>
      <c r="EU660" s="58">
        <f>IFERROR($BJ660/$BJ661-1,"")</f>
        <v/>
      </c>
      <c r="EV660" s="58">
        <f>IFERROR($BK660/$BK661-1,"")</f>
        <v/>
      </c>
      <c r="EW660" s="58">
        <f>IFERROR($BL660/$BL661-1,"")</f>
        <v/>
      </c>
      <c r="EX660" s="58">
        <f>IFERROR($BM660/$BM661-1,"")</f>
        <v/>
      </c>
      <c r="EY660" s="58">
        <f>IFERROR($BN660/$BN661-1,"")</f>
        <v/>
      </c>
      <c r="EZ660" s="58">
        <f>IFERROR($BO660/$BO661-1,"")</f>
        <v/>
      </c>
      <c r="FA660" s="58">
        <f>IFERROR($BP660/$BP661-1,"")</f>
        <v/>
      </c>
      <c r="FB660" s="58">
        <f>IFERROR($BQ660/$BQ661-1,"")</f>
        <v/>
      </c>
      <c r="FC660" s="58">
        <f>IFERROR($BR660/$BR661-1,"")</f>
        <v/>
      </c>
      <c r="FD660" s="58">
        <f>IFERROR($BS660/$BS661-1,"")</f>
        <v/>
      </c>
      <c r="FE660" s="58">
        <f>IFERROR($BT660/$BT661-1,"")</f>
        <v/>
      </c>
      <c r="FF660" s="58">
        <f>IFERROR($BU660/$BU661-1,"")</f>
        <v/>
      </c>
      <c r="FG660" s="58">
        <f>IFERROR($BV660/$BV661-1,"")</f>
        <v/>
      </c>
      <c r="FH660" s="58">
        <f>IFERROR($BW660/$BW661-1,"")</f>
        <v/>
      </c>
      <c r="FI660" s="58">
        <f>IFERROR($BX660/$BX661-1,"")</f>
        <v/>
      </c>
      <c r="FJ660" s="59">
        <f>$BY660-$BY661</f>
        <v/>
      </c>
      <c r="FK660" s="59">
        <f>$BZ660-$BZ661</f>
        <v/>
      </c>
      <c r="FL660" s="59">
        <f>$CA660-$CA661</f>
        <v/>
      </c>
      <c r="FM660" s="59">
        <f>$CB660-$CB661</f>
        <v/>
      </c>
      <c r="FN660" s="59">
        <f>$CC660-$CC661</f>
        <v/>
      </c>
      <c r="FO660" s="59">
        <f>$CD660-$CD661</f>
        <v/>
      </c>
      <c r="FP660" s="59">
        <f>$CE660-$CE661</f>
        <v/>
      </c>
      <c r="FQ660" s="59">
        <f>$CF660-$CF661</f>
        <v/>
      </c>
      <c r="FR660" s="59">
        <f>$CG660-$CG661</f>
        <v/>
      </c>
      <c r="FS660" s="59">
        <f>$CH660-$CH661</f>
        <v/>
      </c>
      <c r="FT660" s="59">
        <f>$CI660-$CI661</f>
        <v/>
      </c>
      <c r="FU660" s="59">
        <f>$CJ660-$CJ661</f>
        <v/>
      </c>
      <c r="FV660" s="59">
        <f>$CK660-$CK661</f>
        <v/>
      </c>
      <c r="FW660" s="59">
        <f>$CL660-$CL661</f>
        <v/>
      </c>
      <c r="FX660" s="59">
        <f>$CM660-$CM661</f>
        <v/>
      </c>
      <c r="FY660" s="59">
        <f>$CN660-$CN661</f>
        <v/>
      </c>
      <c r="FZ660" s="59">
        <f>$CO660-$CO661</f>
        <v/>
      </c>
      <c r="GA660" s="59">
        <f>$CP660-$CP661</f>
        <v/>
      </c>
      <c r="GB660" s="59">
        <f>$CQ660-$CQ661</f>
        <v/>
      </c>
      <c r="GC660" s="59">
        <f>$CR660-$CR661</f>
        <v/>
      </c>
      <c r="GD660" s="59">
        <f>$CS660-$CS661</f>
        <v/>
      </c>
      <c r="GE660" s="59">
        <f>$CT660-$CT661</f>
        <v/>
      </c>
    </row>
    <row r="661">
      <c r="CU661" s="58">
        <f>IFERROR($B661/$B662-1,"")</f>
        <v/>
      </c>
      <c r="CV661" s="59">
        <f>($F661-$F662)*100</f>
        <v/>
      </c>
      <c r="CW661" s="59">
        <f>($E661-$E662)*100</f>
        <v/>
      </c>
      <c r="CX661" s="58">
        <f>IFERROR($K661/$K662-1,"")</f>
        <v/>
      </c>
      <c r="CY661" s="59">
        <f>($AH661-$AH662)*100</f>
        <v/>
      </c>
      <c r="CZ661" s="59">
        <f>($AI661-$AI662)*100</f>
        <v/>
      </c>
      <c r="DA661" s="59">
        <f>($AJ661-$AJ662)*100</f>
        <v/>
      </c>
      <c r="DB661" s="59">
        <f>($AK661-$AK662)*100</f>
        <v/>
      </c>
      <c r="DC661" s="59">
        <f>($AL661-$AL662)*100</f>
        <v/>
      </c>
      <c r="DD661" s="59">
        <f>($AM661-$AM662)*100</f>
        <v/>
      </c>
      <c r="DE661" s="59">
        <f>($AN661-$AN662)*100</f>
        <v/>
      </c>
      <c r="DF661" s="59">
        <f>($AO661-$AO662)*100</f>
        <v/>
      </c>
      <c r="DG661" s="59">
        <f>($AP661-$AP662)*100</f>
        <v/>
      </c>
      <c r="DH661" s="59">
        <f>($AQ661-$AQ662)*100</f>
        <v/>
      </c>
      <c r="DI661" s="59">
        <f>($AR661-$AR662)*100</f>
        <v/>
      </c>
      <c r="DJ661" s="59">
        <f>($AS661-$AS662)*100</f>
        <v/>
      </c>
      <c r="DK661" s="59">
        <f>($AT661-$AT662)*100</f>
        <v/>
      </c>
      <c r="DL661" s="59">
        <f>($AU661-$AU662)*100</f>
        <v/>
      </c>
      <c r="DM661" s="59">
        <f>($AV661-$AV662)*100</f>
        <v/>
      </c>
      <c r="DN661" s="59">
        <f>($AW661-$AW662)*100</f>
        <v/>
      </c>
      <c r="DO661" s="59">
        <f>($AX661-$AX662)*100</f>
        <v/>
      </c>
      <c r="DP661" s="59">
        <f>($AY661-$AY662)*100</f>
        <v/>
      </c>
      <c r="DQ661" s="59">
        <f>($AZ661-$AZ662)*100</f>
        <v/>
      </c>
      <c r="DR661" s="59">
        <f>($BA661-$BA662)*100</f>
        <v/>
      </c>
      <c r="DS661" s="58">
        <f>IFERROR($N662/$N661-1,"")</f>
        <v/>
      </c>
      <c r="DT661" s="58">
        <f>IFERROR($O662/$O661-1,"")</f>
        <v/>
      </c>
      <c r="DU661" s="58">
        <f>IFERROR($P662/$P661-1,"")</f>
        <v/>
      </c>
      <c r="DV661" s="58">
        <f>IFERROR($Q662/$Q661-1,"")</f>
        <v/>
      </c>
      <c r="DW661" s="58">
        <f>IFERROR($R662/$R661-1,"")</f>
        <v/>
      </c>
      <c r="DX661" s="58">
        <f>IFERROR($S662/$S661-1,"")</f>
        <v/>
      </c>
      <c r="DY661" s="58">
        <f>IFERROR($T662/$T661-1,"")</f>
        <v/>
      </c>
      <c r="DZ661" s="58">
        <f>IFERROR($U662/$U661-1,"")</f>
        <v/>
      </c>
      <c r="EA661" s="58">
        <f>IFERROR($V662/$V661-1,"")</f>
        <v/>
      </c>
      <c r="EB661" s="58">
        <f>IFERROR($W662/$W661-1,"")</f>
        <v/>
      </c>
      <c r="EC661" s="58">
        <f>IFERROR($X662/$X661-1,"")</f>
        <v/>
      </c>
      <c r="ED661" s="58">
        <f>IFERROR($Y662/$Y661-1,"")</f>
        <v/>
      </c>
      <c r="EE661" s="58">
        <f>IFERROR($Z662/$Z661-1,"")</f>
        <v/>
      </c>
      <c r="EF661" s="58">
        <f>IFERROR($AA662/$AA661-1,"")</f>
        <v/>
      </c>
      <c r="EG661" s="58">
        <f>IFERROR($AB662/$AB661-1,"")</f>
        <v/>
      </c>
      <c r="EH661" s="58">
        <f>IFERROR($AC662/$AC661-1,"")</f>
        <v/>
      </c>
      <c r="EI661" s="58">
        <f>IFERROR($AD662/$AD661-1,"")</f>
        <v/>
      </c>
      <c r="EJ661" s="58">
        <f>IFERROR($AE662/$AE661-1,"")</f>
        <v/>
      </c>
      <c r="EK661" s="58">
        <f>IFERROR($AF662/$AF661-1,"")</f>
        <v/>
      </c>
      <c r="EL661" s="58">
        <f>IFERROR($AG662/$AG661-1,"")</f>
        <v/>
      </c>
      <c r="EM661" s="58">
        <f>IFERROR($BB661/$BB662-1,"")</f>
        <v/>
      </c>
      <c r="EN661" s="58">
        <f>IFERROR($BC661/$BC662-1,"")</f>
        <v/>
      </c>
      <c r="EO661" s="58">
        <f>IFERROR($BD661/$BD662-1,"")</f>
        <v/>
      </c>
      <c r="EP661" s="58">
        <f>IFERROR($BE661/$BE662-1,"")</f>
        <v/>
      </c>
      <c r="EQ661" s="58">
        <f>IFERROR($BF661/$BF662-1,"")</f>
        <v/>
      </c>
      <c r="ER661" s="58">
        <f>IFERROR($BG661/$BG662-1,"")</f>
        <v/>
      </c>
      <c r="ES661" s="58">
        <f>IFERROR($BH661/$BH662-1,"")</f>
        <v/>
      </c>
      <c r="ET661" s="58">
        <f>IFERROR($BI661/$BI662-1,"")</f>
        <v/>
      </c>
      <c r="EU661" s="58">
        <f>IFERROR($BJ661/$BJ662-1,"")</f>
        <v/>
      </c>
      <c r="EV661" s="58">
        <f>IFERROR($BK661/$BK662-1,"")</f>
        <v/>
      </c>
      <c r="EW661" s="58">
        <f>IFERROR($BL661/$BL662-1,"")</f>
        <v/>
      </c>
      <c r="EX661" s="58">
        <f>IFERROR($BM661/$BM662-1,"")</f>
        <v/>
      </c>
      <c r="EY661" s="58">
        <f>IFERROR($BN661/$BN662-1,"")</f>
        <v/>
      </c>
      <c r="EZ661" s="58">
        <f>IFERROR($BO661/$BO662-1,"")</f>
        <v/>
      </c>
      <c r="FA661" s="58">
        <f>IFERROR($BP661/$BP662-1,"")</f>
        <v/>
      </c>
      <c r="FB661" s="58">
        <f>IFERROR($BQ661/$BQ662-1,"")</f>
        <v/>
      </c>
      <c r="FC661" s="58">
        <f>IFERROR($BR661/$BR662-1,"")</f>
        <v/>
      </c>
      <c r="FD661" s="58">
        <f>IFERROR($BS661/$BS662-1,"")</f>
        <v/>
      </c>
      <c r="FE661" s="58">
        <f>IFERROR($BT661/$BT662-1,"")</f>
        <v/>
      </c>
      <c r="FF661" s="58">
        <f>IFERROR($BU661/$BU662-1,"")</f>
        <v/>
      </c>
      <c r="FG661" s="58">
        <f>IFERROR($BV661/$BV662-1,"")</f>
        <v/>
      </c>
      <c r="FH661" s="58">
        <f>IFERROR($BW661/$BW662-1,"")</f>
        <v/>
      </c>
      <c r="FI661" s="58">
        <f>IFERROR($BX661/$BX662-1,"")</f>
        <v/>
      </c>
      <c r="FJ661" s="59">
        <f>$BY661-$BY662</f>
        <v/>
      </c>
      <c r="FK661" s="59">
        <f>$BZ661-$BZ662</f>
        <v/>
      </c>
      <c r="FL661" s="59">
        <f>$CA661-$CA662</f>
        <v/>
      </c>
      <c r="FM661" s="59">
        <f>$CB661-$CB662</f>
        <v/>
      </c>
      <c r="FN661" s="59">
        <f>$CC661-$CC662</f>
        <v/>
      </c>
      <c r="FO661" s="59">
        <f>$CD661-$CD662</f>
        <v/>
      </c>
      <c r="FP661" s="59">
        <f>$CE661-$CE662</f>
        <v/>
      </c>
      <c r="FQ661" s="59">
        <f>$CF661-$CF662</f>
        <v/>
      </c>
      <c r="FR661" s="59">
        <f>$CG661-$CG662</f>
        <v/>
      </c>
      <c r="FS661" s="59">
        <f>$CH661-$CH662</f>
        <v/>
      </c>
      <c r="FT661" s="59">
        <f>$CI661-$CI662</f>
        <v/>
      </c>
      <c r="FU661" s="59">
        <f>$CJ661-$CJ662</f>
        <v/>
      </c>
      <c r="FV661" s="59">
        <f>$CK661-$CK662</f>
        <v/>
      </c>
      <c r="FW661" s="59">
        <f>$CL661-$CL662</f>
        <v/>
      </c>
      <c r="FX661" s="59">
        <f>$CM661-$CM662</f>
        <v/>
      </c>
      <c r="FY661" s="59">
        <f>$CN661-$CN662</f>
        <v/>
      </c>
      <c r="FZ661" s="59">
        <f>$CO661-$CO662</f>
        <v/>
      </c>
      <c r="GA661" s="59">
        <f>$CP661-$CP662</f>
        <v/>
      </c>
      <c r="GB661" s="59">
        <f>$CQ661-$CQ662</f>
        <v/>
      </c>
      <c r="GC661" s="59">
        <f>$CR661-$CR662</f>
        <v/>
      </c>
      <c r="GD661" s="59">
        <f>$CS661-$CS662</f>
        <v/>
      </c>
      <c r="GE661" s="59">
        <f>$CT661-$CT662</f>
        <v/>
      </c>
    </row>
    <row r="662">
      <c r="CU662" s="58">
        <f>IFERROR($B662/$B663-1,"")</f>
        <v/>
      </c>
      <c r="CV662" s="59">
        <f>($F662-$F663)*100</f>
        <v/>
      </c>
      <c r="CW662" s="59">
        <f>($E662-$E663)*100</f>
        <v/>
      </c>
      <c r="CX662" s="58">
        <f>IFERROR($K662/$K663-1,"")</f>
        <v/>
      </c>
      <c r="CY662" s="59">
        <f>($AH662-$AH663)*100</f>
        <v/>
      </c>
      <c r="CZ662" s="59">
        <f>($AI662-$AI663)*100</f>
        <v/>
      </c>
      <c r="DA662" s="59">
        <f>($AJ662-$AJ663)*100</f>
        <v/>
      </c>
      <c r="DB662" s="59">
        <f>($AK662-$AK663)*100</f>
        <v/>
      </c>
      <c r="DC662" s="59">
        <f>($AL662-$AL663)*100</f>
        <v/>
      </c>
      <c r="DD662" s="59">
        <f>($AM662-$AM663)*100</f>
        <v/>
      </c>
      <c r="DE662" s="59">
        <f>($AN662-$AN663)*100</f>
        <v/>
      </c>
      <c r="DF662" s="59">
        <f>($AO662-$AO663)*100</f>
        <v/>
      </c>
      <c r="DG662" s="59">
        <f>($AP662-$AP663)*100</f>
        <v/>
      </c>
      <c r="DH662" s="59">
        <f>($AQ662-$AQ663)*100</f>
        <v/>
      </c>
      <c r="DI662" s="59">
        <f>($AR662-$AR663)*100</f>
        <v/>
      </c>
      <c r="DJ662" s="59">
        <f>($AS662-$AS663)*100</f>
        <v/>
      </c>
      <c r="DK662" s="59">
        <f>($AT662-$AT663)*100</f>
        <v/>
      </c>
      <c r="DL662" s="59">
        <f>($AU662-$AU663)*100</f>
        <v/>
      </c>
      <c r="DM662" s="59">
        <f>($AV662-$AV663)*100</f>
        <v/>
      </c>
      <c r="DN662" s="59">
        <f>($AW662-$AW663)*100</f>
        <v/>
      </c>
      <c r="DO662" s="59">
        <f>($AX662-$AX663)*100</f>
        <v/>
      </c>
      <c r="DP662" s="59">
        <f>($AY662-$AY663)*100</f>
        <v/>
      </c>
      <c r="DQ662" s="59">
        <f>($AZ662-$AZ663)*100</f>
        <v/>
      </c>
      <c r="DR662" s="59">
        <f>($BA662-$BA663)*100</f>
        <v/>
      </c>
      <c r="DS662" s="58">
        <f>IFERROR($N663/$N662-1,"")</f>
        <v/>
      </c>
      <c r="DT662" s="58">
        <f>IFERROR($O663/$O662-1,"")</f>
        <v/>
      </c>
      <c r="DU662" s="58">
        <f>IFERROR($P663/$P662-1,"")</f>
        <v/>
      </c>
      <c r="DV662" s="58">
        <f>IFERROR($Q663/$Q662-1,"")</f>
        <v/>
      </c>
      <c r="DW662" s="58">
        <f>IFERROR($R663/$R662-1,"")</f>
        <v/>
      </c>
      <c r="DX662" s="58">
        <f>IFERROR($S663/$S662-1,"")</f>
        <v/>
      </c>
      <c r="DY662" s="58">
        <f>IFERROR($T663/$T662-1,"")</f>
        <v/>
      </c>
      <c r="DZ662" s="58">
        <f>IFERROR($U663/$U662-1,"")</f>
        <v/>
      </c>
      <c r="EA662" s="58">
        <f>IFERROR($V663/$V662-1,"")</f>
        <v/>
      </c>
      <c r="EB662" s="58">
        <f>IFERROR($W663/$W662-1,"")</f>
        <v/>
      </c>
      <c r="EC662" s="58">
        <f>IFERROR($X663/$X662-1,"")</f>
        <v/>
      </c>
      <c r="ED662" s="58">
        <f>IFERROR($Y663/$Y662-1,"")</f>
        <v/>
      </c>
      <c r="EE662" s="58">
        <f>IFERROR($Z663/$Z662-1,"")</f>
        <v/>
      </c>
      <c r="EF662" s="58">
        <f>IFERROR($AA663/$AA662-1,"")</f>
        <v/>
      </c>
      <c r="EG662" s="58">
        <f>IFERROR($AB663/$AB662-1,"")</f>
        <v/>
      </c>
      <c r="EH662" s="58">
        <f>IFERROR($AC663/$AC662-1,"")</f>
        <v/>
      </c>
      <c r="EI662" s="58">
        <f>IFERROR($AD663/$AD662-1,"")</f>
        <v/>
      </c>
      <c r="EJ662" s="58">
        <f>IFERROR($AE663/$AE662-1,"")</f>
        <v/>
      </c>
      <c r="EK662" s="58">
        <f>IFERROR($AF663/$AF662-1,"")</f>
        <v/>
      </c>
      <c r="EL662" s="58">
        <f>IFERROR($AG663/$AG662-1,"")</f>
        <v/>
      </c>
      <c r="EM662" s="58">
        <f>IFERROR($BB662/$BB663-1,"")</f>
        <v/>
      </c>
      <c r="EN662" s="58">
        <f>IFERROR($BC662/$BC663-1,"")</f>
        <v/>
      </c>
      <c r="EO662" s="58">
        <f>IFERROR($BD662/$BD663-1,"")</f>
        <v/>
      </c>
      <c r="EP662" s="58">
        <f>IFERROR($BE662/$BE663-1,"")</f>
        <v/>
      </c>
      <c r="EQ662" s="58">
        <f>IFERROR($BF662/$BF663-1,"")</f>
        <v/>
      </c>
      <c r="ER662" s="58">
        <f>IFERROR($BG662/$BG663-1,"")</f>
        <v/>
      </c>
      <c r="ES662" s="58">
        <f>IFERROR($BH662/$BH663-1,"")</f>
        <v/>
      </c>
      <c r="ET662" s="58">
        <f>IFERROR($BI662/$BI663-1,"")</f>
        <v/>
      </c>
      <c r="EU662" s="58">
        <f>IFERROR($BJ662/$BJ663-1,"")</f>
        <v/>
      </c>
      <c r="EV662" s="58">
        <f>IFERROR($BK662/$BK663-1,"")</f>
        <v/>
      </c>
      <c r="EW662" s="58">
        <f>IFERROR($BL662/$BL663-1,"")</f>
        <v/>
      </c>
      <c r="EX662" s="58">
        <f>IFERROR($BM662/$BM663-1,"")</f>
        <v/>
      </c>
      <c r="EY662" s="58">
        <f>IFERROR($BN662/$BN663-1,"")</f>
        <v/>
      </c>
      <c r="EZ662" s="58">
        <f>IFERROR($BO662/$BO663-1,"")</f>
        <v/>
      </c>
      <c r="FA662" s="58">
        <f>IFERROR($BP662/$BP663-1,"")</f>
        <v/>
      </c>
      <c r="FB662" s="58">
        <f>IFERROR($BQ662/$BQ663-1,"")</f>
        <v/>
      </c>
      <c r="FC662" s="58">
        <f>IFERROR($BR662/$BR663-1,"")</f>
        <v/>
      </c>
      <c r="FD662" s="58">
        <f>IFERROR($BS662/$BS663-1,"")</f>
        <v/>
      </c>
      <c r="FE662" s="58">
        <f>IFERROR($BT662/$BT663-1,"")</f>
        <v/>
      </c>
      <c r="FF662" s="58">
        <f>IFERROR($BU662/$BU663-1,"")</f>
        <v/>
      </c>
      <c r="FG662" s="58">
        <f>IFERROR($BV662/$BV663-1,"")</f>
        <v/>
      </c>
      <c r="FH662" s="58">
        <f>IFERROR($BW662/$BW663-1,"")</f>
        <v/>
      </c>
      <c r="FI662" s="58">
        <f>IFERROR($BX662/$BX663-1,"")</f>
        <v/>
      </c>
      <c r="FJ662" s="59">
        <f>$BY662-$BY663</f>
        <v/>
      </c>
      <c r="FK662" s="59">
        <f>$BZ662-$BZ663</f>
        <v/>
      </c>
      <c r="FL662" s="59">
        <f>$CA662-$CA663</f>
        <v/>
      </c>
      <c r="FM662" s="59">
        <f>$CB662-$CB663</f>
        <v/>
      </c>
      <c r="FN662" s="59">
        <f>$CC662-$CC663</f>
        <v/>
      </c>
      <c r="FO662" s="59">
        <f>$CD662-$CD663</f>
        <v/>
      </c>
      <c r="FP662" s="59">
        <f>$CE662-$CE663</f>
        <v/>
      </c>
      <c r="FQ662" s="59">
        <f>$CF662-$CF663</f>
        <v/>
      </c>
      <c r="FR662" s="59">
        <f>$CG662-$CG663</f>
        <v/>
      </c>
      <c r="FS662" s="59">
        <f>$CH662-$CH663</f>
        <v/>
      </c>
      <c r="FT662" s="59">
        <f>$CI662-$CI663</f>
        <v/>
      </c>
      <c r="FU662" s="59">
        <f>$CJ662-$CJ663</f>
        <v/>
      </c>
      <c r="FV662" s="59">
        <f>$CK662-$CK663</f>
        <v/>
      </c>
      <c r="FW662" s="59">
        <f>$CL662-$CL663</f>
        <v/>
      </c>
      <c r="FX662" s="59">
        <f>$CM662-$CM663</f>
        <v/>
      </c>
      <c r="FY662" s="59">
        <f>$CN662-$CN663</f>
        <v/>
      </c>
      <c r="FZ662" s="59">
        <f>$CO662-$CO663</f>
        <v/>
      </c>
      <c r="GA662" s="59">
        <f>$CP662-$CP663</f>
        <v/>
      </c>
      <c r="GB662" s="59">
        <f>$CQ662-$CQ663</f>
        <v/>
      </c>
      <c r="GC662" s="59">
        <f>$CR662-$CR663</f>
        <v/>
      </c>
      <c r="GD662" s="59">
        <f>$CS662-$CS663</f>
        <v/>
      </c>
      <c r="GE662" s="59">
        <f>$CT662-$CT663</f>
        <v/>
      </c>
    </row>
    <row r="663">
      <c r="CU663" s="58">
        <f>IFERROR($B663/$B664-1,"")</f>
        <v/>
      </c>
      <c r="CV663" s="59">
        <f>($F663-$F664)*100</f>
        <v/>
      </c>
      <c r="CW663" s="59">
        <f>($E663-$E664)*100</f>
        <v/>
      </c>
      <c r="CX663" s="58">
        <f>IFERROR($K663/$K664-1,"")</f>
        <v/>
      </c>
      <c r="CY663" s="59">
        <f>($AH663-$AH664)*100</f>
        <v/>
      </c>
      <c r="CZ663" s="59">
        <f>($AI663-$AI664)*100</f>
        <v/>
      </c>
      <c r="DA663" s="59">
        <f>($AJ663-$AJ664)*100</f>
        <v/>
      </c>
      <c r="DB663" s="59">
        <f>($AK663-$AK664)*100</f>
        <v/>
      </c>
      <c r="DC663" s="59">
        <f>($AL663-$AL664)*100</f>
        <v/>
      </c>
      <c r="DD663" s="59">
        <f>($AM663-$AM664)*100</f>
        <v/>
      </c>
      <c r="DE663" s="59">
        <f>($AN663-$AN664)*100</f>
        <v/>
      </c>
      <c r="DF663" s="59">
        <f>($AO663-$AO664)*100</f>
        <v/>
      </c>
      <c r="DG663" s="59">
        <f>($AP663-$AP664)*100</f>
        <v/>
      </c>
      <c r="DH663" s="59">
        <f>($AQ663-$AQ664)*100</f>
        <v/>
      </c>
      <c r="DI663" s="59">
        <f>($AR663-$AR664)*100</f>
        <v/>
      </c>
      <c r="DJ663" s="59">
        <f>($AS663-$AS664)*100</f>
        <v/>
      </c>
      <c r="DK663" s="59">
        <f>($AT663-$AT664)*100</f>
        <v/>
      </c>
      <c r="DL663" s="59">
        <f>($AU663-$AU664)*100</f>
        <v/>
      </c>
      <c r="DM663" s="59">
        <f>($AV663-$AV664)*100</f>
        <v/>
      </c>
      <c r="DN663" s="59">
        <f>($AW663-$AW664)*100</f>
        <v/>
      </c>
      <c r="DO663" s="59">
        <f>($AX663-$AX664)*100</f>
        <v/>
      </c>
      <c r="DP663" s="59">
        <f>($AY663-$AY664)*100</f>
        <v/>
      </c>
      <c r="DQ663" s="59">
        <f>($AZ663-$AZ664)*100</f>
        <v/>
      </c>
      <c r="DR663" s="59">
        <f>($BA663-$BA664)*100</f>
        <v/>
      </c>
      <c r="DS663" s="58">
        <f>IFERROR($N664/$N663-1,"")</f>
        <v/>
      </c>
      <c r="DT663" s="58">
        <f>IFERROR($O664/$O663-1,"")</f>
        <v/>
      </c>
      <c r="DU663" s="58">
        <f>IFERROR($P664/$P663-1,"")</f>
        <v/>
      </c>
      <c r="DV663" s="58">
        <f>IFERROR($Q664/$Q663-1,"")</f>
        <v/>
      </c>
      <c r="DW663" s="58">
        <f>IFERROR($R664/$R663-1,"")</f>
        <v/>
      </c>
      <c r="DX663" s="58">
        <f>IFERROR($S664/$S663-1,"")</f>
        <v/>
      </c>
      <c r="DY663" s="58">
        <f>IFERROR($T664/$T663-1,"")</f>
        <v/>
      </c>
      <c r="DZ663" s="58">
        <f>IFERROR($U664/$U663-1,"")</f>
        <v/>
      </c>
      <c r="EA663" s="58">
        <f>IFERROR($V664/$V663-1,"")</f>
        <v/>
      </c>
      <c r="EB663" s="58">
        <f>IFERROR($W664/$W663-1,"")</f>
        <v/>
      </c>
      <c r="EC663" s="58">
        <f>IFERROR($X664/$X663-1,"")</f>
        <v/>
      </c>
      <c r="ED663" s="58">
        <f>IFERROR($Y664/$Y663-1,"")</f>
        <v/>
      </c>
      <c r="EE663" s="58">
        <f>IFERROR($Z664/$Z663-1,"")</f>
        <v/>
      </c>
      <c r="EF663" s="58">
        <f>IFERROR($AA664/$AA663-1,"")</f>
        <v/>
      </c>
      <c r="EG663" s="58">
        <f>IFERROR($AB664/$AB663-1,"")</f>
        <v/>
      </c>
      <c r="EH663" s="58">
        <f>IFERROR($AC664/$AC663-1,"")</f>
        <v/>
      </c>
      <c r="EI663" s="58">
        <f>IFERROR($AD664/$AD663-1,"")</f>
        <v/>
      </c>
      <c r="EJ663" s="58">
        <f>IFERROR($AE664/$AE663-1,"")</f>
        <v/>
      </c>
      <c r="EK663" s="58">
        <f>IFERROR($AF664/$AF663-1,"")</f>
        <v/>
      </c>
      <c r="EL663" s="58">
        <f>IFERROR($AG664/$AG663-1,"")</f>
        <v/>
      </c>
      <c r="EM663" s="58">
        <f>IFERROR($BB663/$BB664-1,"")</f>
        <v/>
      </c>
      <c r="EN663" s="58">
        <f>IFERROR($BC663/$BC664-1,"")</f>
        <v/>
      </c>
      <c r="EO663" s="58">
        <f>IFERROR($BD663/$BD664-1,"")</f>
        <v/>
      </c>
      <c r="EP663" s="58">
        <f>IFERROR($BE663/$BE664-1,"")</f>
        <v/>
      </c>
      <c r="EQ663" s="58">
        <f>IFERROR($BF663/$BF664-1,"")</f>
        <v/>
      </c>
      <c r="ER663" s="58">
        <f>IFERROR($BG663/$BG664-1,"")</f>
        <v/>
      </c>
      <c r="ES663" s="58">
        <f>IFERROR($BH663/$BH664-1,"")</f>
        <v/>
      </c>
      <c r="ET663" s="58">
        <f>IFERROR($BI663/$BI664-1,"")</f>
        <v/>
      </c>
      <c r="EU663" s="58">
        <f>IFERROR($BJ663/$BJ664-1,"")</f>
        <v/>
      </c>
      <c r="EV663" s="58">
        <f>IFERROR($BK663/$BK664-1,"")</f>
        <v/>
      </c>
      <c r="EW663" s="58">
        <f>IFERROR($BL663/$BL664-1,"")</f>
        <v/>
      </c>
      <c r="EX663" s="58">
        <f>IFERROR($BM663/$BM664-1,"")</f>
        <v/>
      </c>
      <c r="EY663" s="58">
        <f>IFERROR($BN663/$BN664-1,"")</f>
        <v/>
      </c>
      <c r="EZ663" s="58">
        <f>IFERROR($BO663/$BO664-1,"")</f>
        <v/>
      </c>
      <c r="FA663" s="58">
        <f>IFERROR($BP663/$BP664-1,"")</f>
        <v/>
      </c>
      <c r="FB663" s="58">
        <f>IFERROR($BQ663/$BQ664-1,"")</f>
        <v/>
      </c>
      <c r="FC663" s="58">
        <f>IFERROR($BR663/$BR664-1,"")</f>
        <v/>
      </c>
      <c r="FD663" s="58">
        <f>IFERROR($BS663/$BS664-1,"")</f>
        <v/>
      </c>
      <c r="FE663" s="58">
        <f>IFERROR($BT663/$BT664-1,"")</f>
        <v/>
      </c>
      <c r="FF663" s="58">
        <f>IFERROR($BU663/$BU664-1,"")</f>
        <v/>
      </c>
      <c r="FG663" s="58">
        <f>IFERROR($BV663/$BV664-1,"")</f>
        <v/>
      </c>
      <c r="FH663" s="58">
        <f>IFERROR($BW663/$BW664-1,"")</f>
        <v/>
      </c>
      <c r="FI663" s="58">
        <f>IFERROR($BX663/$BX664-1,"")</f>
        <v/>
      </c>
      <c r="FJ663" s="59">
        <f>$BY663-$BY664</f>
        <v/>
      </c>
      <c r="FK663" s="59">
        <f>$BZ663-$BZ664</f>
        <v/>
      </c>
      <c r="FL663" s="59">
        <f>$CA663-$CA664</f>
        <v/>
      </c>
      <c r="FM663" s="59">
        <f>$CB663-$CB664</f>
        <v/>
      </c>
      <c r="FN663" s="59">
        <f>$CC663-$CC664</f>
        <v/>
      </c>
      <c r="FO663" s="59">
        <f>$CD663-$CD664</f>
        <v/>
      </c>
      <c r="FP663" s="59">
        <f>$CE663-$CE664</f>
        <v/>
      </c>
      <c r="FQ663" s="59">
        <f>$CF663-$CF664</f>
        <v/>
      </c>
      <c r="FR663" s="59">
        <f>$CG663-$CG664</f>
        <v/>
      </c>
      <c r="FS663" s="59">
        <f>$CH663-$CH664</f>
        <v/>
      </c>
      <c r="FT663" s="59">
        <f>$CI663-$CI664</f>
        <v/>
      </c>
      <c r="FU663" s="59">
        <f>$CJ663-$CJ664</f>
        <v/>
      </c>
      <c r="FV663" s="59">
        <f>$CK663-$CK664</f>
        <v/>
      </c>
      <c r="FW663" s="59">
        <f>$CL663-$CL664</f>
        <v/>
      </c>
      <c r="FX663" s="59">
        <f>$CM663-$CM664</f>
        <v/>
      </c>
      <c r="FY663" s="59">
        <f>$CN663-$CN664</f>
        <v/>
      </c>
      <c r="FZ663" s="59">
        <f>$CO663-$CO664</f>
        <v/>
      </c>
      <c r="GA663" s="59">
        <f>$CP663-$CP664</f>
        <v/>
      </c>
      <c r="GB663" s="59">
        <f>$CQ663-$CQ664</f>
        <v/>
      </c>
      <c r="GC663" s="59">
        <f>$CR663-$CR664</f>
        <v/>
      </c>
      <c r="GD663" s="59">
        <f>$CS663-$CS664</f>
        <v/>
      </c>
      <c r="GE663" s="59">
        <f>$CT663-$CT664</f>
        <v/>
      </c>
    </row>
    <row r="664">
      <c r="CU664" s="58">
        <f>IFERROR($B664/$B665-1,"")</f>
        <v/>
      </c>
      <c r="CV664" s="59">
        <f>($F664-$F665)*100</f>
        <v/>
      </c>
      <c r="CW664" s="59">
        <f>($E664-$E665)*100</f>
        <v/>
      </c>
      <c r="CX664" s="58">
        <f>IFERROR($K664/$K665-1,"")</f>
        <v/>
      </c>
      <c r="CY664" s="59">
        <f>($AH664-$AH665)*100</f>
        <v/>
      </c>
      <c r="CZ664" s="59">
        <f>($AI664-$AI665)*100</f>
        <v/>
      </c>
      <c r="DA664" s="59">
        <f>($AJ664-$AJ665)*100</f>
        <v/>
      </c>
      <c r="DB664" s="59">
        <f>($AK664-$AK665)*100</f>
        <v/>
      </c>
      <c r="DC664" s="59">
        <f>($AL664-$AL665)*100</f>
        <v/>
      </c>
      <c r="DD664" s="59">
        <f>($AM664-$AM665)*100</f>
        <v/>
      </c>
      <c r="DE664" s="59">
        <f>($AN664-$AN665)*100</f>
        <v/>
      </c>
      <c r="DF664" s="59">
        <f>($AO664-$AO665)*100</f>
        <v/>
      </c>
      <c r="DG664" s="59">
        <f>($AP664-$AP665)*100</f>
        <v/>
      </c>
      <c r="DH664" s="59">
        <f>($AQ664-$AQ665)*100</f>
        <v/>
      </c>
      <c r="DI664" s="59">
        <f>($AR664-$AR665)*100</f>
        <v/>
      </c>
      <c r="DJ664" s="59">
        <f>($AS664-$AS665)*100</f>
        <v/>
      </c>
      <c r="DK664" s="59">
        <f>($AT664-$AT665)*100</f>
        <v/>
      </c>
      <c r="DL664" s="59">
        <f>($AU664-$AU665)*100</f>
        <v/>
      </c>
      <c r="DM664" s="59">
        <f>($AV664-$AV665)*100</f>
        <v/>
      </c>
      <c r="DN664" s="59">
        <f>($AW664-$AW665)*100</f>
        <v/>
      </c>
      <c r="DO664" s="59">
        <f>($AX664-$AX665)*100</f>
        <v/>
      </c>
      <c r="DP664" s="59">
        <f>($AY664-$AY665)*100</f>
        <v/>
      </c>
      <c r="DQ664" s="59">
        <f>($AZ664-$AZ665)*100</f>
        <v/>
      </c>
      <c r="DR664" s="59">
        <f>($BA664-$BA665)*100</f>
        <v/>
      </c>
      <c r="DS664" s="58">
        <f>IFERROR($N665/$N664-1,"")</f>
        <v/>
      </c>
      <c r="DT664" s="58">
        <f>IFERROR($O665/$O664-1,"")</f>
        <v/>
      </c>
      <c r="DU664" s="58">
        <f>IFERROR($P665/$P664-1,"")</f>
        <v/>
      </c>
      <c r="DV664" s="58">
        <f>IFERROR($Q665/$Q664-1,"")</f>
        <v/>
      </c>
      <c r="DW664" s="58">
        <f>IFERROR($R665/$R664-1,"")</f>
        <v/>
      </c>
      <c r="DX664" s="58">
        <f>IFERROR($S665/$S664-1,"")</f>
        <v/>
      </c>
      <c r="DY664" s="58">
        <f>IFERROR($T665/$T664-1,"")</f>
        <v/>
      </c>
      <c r="DZ664" s="58">
        <f>IFERROR($U665/$U664-1,"")</f>
        <v/>
      </c>
      <c r="EA664" s="58">
        <f>IFERROR($V665/$V664-1,"")</f>
        <v/>
      </c>
      <c r="EB664" s="58">
        <f>IFERROR($W665/$W664-1,"")</f>
        <v/>
      </c>
      <c r="EC664" s="58">
        <f>IFERROR($X665/$X664-1,"")</f>
        <v/>
      </c>
      <c r="ED664" s="58">
        <f>IFERROR($Y665/$Y664-1,"")</f>
        <v/>
      </c>
      <c r="EE664" s="58">
        <f>IFERROR($Z665/$Z664-1,"")</f>
        <v/>
      </c>
      <c r="EF664" s="58">
        <f>IFERROR($AA665/$AA664-1,"")</f>
        <v/>
      </c>
      <c r="EG664" s="58">
        <f>IFERROR($AB665/$AB664-1,"")</f>
        <v/>
      </c>
      <c r="EH664" s="58">
        <f>IFERROR($AC665/$AC664-1,"")</f>
        <v/>
      </c>
      <c r="EI664" s="58">
        <f>IFERROR($AD665/$AD664-1,"")</f>
        <v/>
      </c>
      <c r="EJ664" s="58">
        <f>IFERROR($AE665/$AE664-1,"")</f>
        <v/>
      </c>
      <c r="EK664" s="58">
        <f>IFERROR($AF665/$AF664-1,"")</f>
        <v/>
      </c>
      <c r="EL664" s="58">
        <f>IFERROR($AG665/$AG664-1,"")</f>
        <v/>
      </c>
      <c r="EM664" s="58">
        <f>IFERROR($BB664/$BB665-1,"")</f>
        <v/>
      </c>
      <c r="EN664" s="58">
        <f>IFERROR($BC664/$BC665-1,"")</f>
        <v/>
      </c>
      <c r="EO664" s="58">
        <f>IFERROR($BD664/$BD665-1,"")</f>
        <v/>
      </c>
      <c r="EP664" s="58">
        <f>IFERROR($BE664/$BE665-1,"")</f>
        <v/>
      </c>
      <c r="EQ664" s="58">
        <f>IFERROR($BF664/$BF665-1,"")</f>
        <v/>
      </c>
      <c r="ER664" s="58">
        <f>IFERROR($BG664/$BG665-1,"")</f>
        <v/>
      </c>
      <c r="ES664" s="58">
        <f>IFERROR($BH664/$BH665-1,"")</f>
        <v/>
      </c>
      <c r="ET664" s="58">
        <f>IFERROR($BI664/$BI665-1,"")</f>
        <v/>
      </c>
      <c r="EU664" s="58">
        <f>IFERROR($BJ664/$BJ665-1,"")</f>
        <v/>
      </c>
      <c r="EV664" s="58">
        <f>IFERROR($BK664/$BK665-1,"")</f>
        <v/>
      </c>
      <c r="EW664" s="58">
        <f>IFERROR($BL664/$BL665-1,"")</f>
        <v/>
      </c>
      <c r="EX664" s="58">
        <f>IFERROR($BM664/$BM665-1,"")</f>
        <v/>
      </c>
      <c r="EY664" s="58">
        <f>IFERROR($BN664/$BN665-1,"")</f>
        <v/>
      </c>
      <c r="EZ664" s="58">
        <f>IFERROR($BO664/$BO665-1,"")</f>
        <v/>
      </c>
      <c r="FA664" s="58">
        <f>IFERROR($BP664/$BP665-1,"")</f>
        <v/>
      </c>
      <c r="FB664" s="58">
        <f>IFERROR($BQ664/$BQ665-1,"")</f>
        <v/>
      </c>
      <c r="FC664" s="58">
        <f>IFERROR($BR664/$BR665-1,"")</f>
        <v/>
      </c>
      <c r="FD664" s="58">
        <f>IFERROR($BS664/$BS665-1,"")</f>
        <v/>
      </c>
      <c r="FE664" s="58">
        <f>IFERROR($BT664/$BT665-1,"")</f>
        <v/>
      </c>
      <c r="FF664" s="58">
        <f>IFERROR($BU664/$BU665-1,"")</f>
        <v/>
      </c>
      <c r="FG664" s="58">
        <f>IFERROR($BV664/$BV665-1,"")</f>
        <v/>
      </c>
      <c r="FH664" s="58">
        <f>IFERROR($BW664/$BW665-1,"")</f>
        <v/>
      </c>
      <c r="FI664" s="58">
        <f>IFERROR($BX664/$BX665-1,"")</f>
        <v/>
      </c>
      <c r="FJ664" s="59">
        <f>$BY664-$BY665</f>
        <v/>
      </c>
      <c r="FK664" s="59">
        <f>$BZ664-$BZ665</f>
        <v/>
      </c>
      <c r="FL664" s="59">
        <f>$CA664-$CA665</f>
        <v/>
      </c>
      <c r="FM664" s="59">
        <f>$CB664-$CB665</f>
        <v/>
      </c>
      <c r="FN664" s="59">
        <f>$CC664-$CC665</f>
        <v/>
      </c>
      <c r="FO664" s="59">
        <f>$CD664-$CD665</f>
        <v/>
      </c>
      <c r="FP664" s="59">
        <f>$CE664-$CE665</f>
        <v/>
      </c>
      <c r="FQ664" s="59">
        <f>$CF664-$CF665</f>
        <v/>
      </c>
      <c r="FR664" s="59">
        <f>$CG664-$CG665</f>
        <v/>
      </c>
      <c r="FS664" s="59">
        <f>$CH664-$CH665</f>
        <v/>
      </c>
      <c r="FT664" s="59">
        <f>$CI664-$CI665</f>
        <v/>
      </c>
      <c r="FU664" s="59">
        <f>$CJ664-$CJ665</f>
        <v/>
      </c>
      <c r="FV664" s="59">
        <f>$CK664-$CK665</f>
        <v/>
      </c>
      <c r="FW664" s="59">
        <f>$CL664-$CL665</f>
        <v/>
      </c>
      <c r="FX664" s="59">
        <f>$CM664-$CM665</f>
        <v/>
      </c>
      <c r="FY664" s="59">
        <f>$CN664-$CN665</f>
        <v/>
      </c>
      <c r="FZ664" s="59">
        <f>$CO664-$CO665</f>
        <v/>
      </c>
      <c r="GA664" s="59">
        <f>$CP664-$CP665</f>
        <v/>
      </c>
      <c r="GB664" s="59">
        <f>$CQ664-$CQ665</f>
        <v/>
      </c>
      <c r="GC664" s="59">
        <f>$CR664-$CR665</f>
        <v/>
      </c>
      <c r="GD664" s="59">
        <f>$CS664-$CS665</f>
        <v/>
      </c>
      <c r="GE664" s="59">
        <f>$CT664-$CT665</f>
        <v/>
      </c>
    </row>
    <row r="665">
      <c r="CU665" s="58">
        <f>IFERROR($B665/$B666-1,"")</f>
        <v/>
      </c>
      <c r="CV665" s="59">
        <f>($F665-$F666)*100</f>
        <v/>
      </c>
      <c r="CW665" s="59">
        <f>($E665-$E666)*100</f>
        <v/>
      </c>
      <c r="CX665" s="58">
        <f>IFERROR($K665/$K666-1,"")</f>
        <v/>
      </c>
      <c r="CY665" s="59">
        <f>($AH665-$AH666)*100</f>
        <v/>
      </c>
      <c r="CZ665" s="59">
        <f>($AI665-$AI666)*100</f>
        <v/>
      </c>
      <c r="DA665" s="59">
        <f>($AJ665-$AJ666)*100</f>
        <v/>
      </c>
      <c r="DB665" s="59">
        <f>($AK665-$AK666)*100</f>
        <v/>
      </c>
      <c r="DC665" s="59">
        <f>($AL665-$AL666)*100</f>
        <v/>
      </c>
      <c r="DD665" s="59">
        <f>($AM665-$AM666)*100</f>
        <v/>
      </c>
      <c r="DE665" s="59">
        <f>($AN665-$AN666)*100</f>
        <v/>
      </c>
      <c r="DF665" s="59">
        <f>($AO665-$AO666)*100</f>
        <v/>
      </c>
      <c r="DG665" s="59">
        <f>($AP665-$AP666)*100</f>
        <v/>
      </c>
      <c r="DH665" s="59">
        <f>($AQ665-$AQ666)*100</f>
        <v/>
      </c>
      <c r="DI665" s="59">
        <f>($AR665-$AR666)*100</f>
        <v/>
      </c>
      <c r="DJ665" s="59">
        <f>($AS665-$AS666)*100</f>
        <v/>
      </c>
      <c r="DK665" s="59">
        <f>($AT665-$AT666)*100</f>
        <v/>
      </c>
      <c r="DL665" s="59">
        <f>($AU665-$AU666)*100</f>
        <v/>
      </c>
      <c r="DM665" s="59">
        <f>($AV665-$AV666)*100</f>
        <v/>
      </c>
      <c r="DN665" s="59">
        <f>($AW665-$AW666)*100</f>
        <v/>
      </c>
      <c r="DO665" s="59">
        <f>($AX665-$AX666)*100</f>
        <v/>
      </c>
      <c r="DP665" s="59">
        <f>($AY665-$AY666)*100</f>
        <v/>
      </c>
      <c r="DQ665" s="59">
        <f>($AZ665-$AZ666)*100</f>
        <v/>
      </c>
      <c r="DR665" s="59">
        <f>($BA665-$BA666)*100</f>
        <v/>
      </c>
      <c r="DS665" s="58">
        <f>IFERROR($N666/$N665-1,"")</f>
        <v/>
      </c>
      <c r="DT665" s="58">
        <f>IFERROR($O666/$O665-1,"")</f>
        <v/>
      </c>
      <c r="DU665" s="58">
        <f>IFERROR($P666/$P665-1,"")</f>
        <v/>
      </c>
      <c r="DV665" s="58">
        <f>IFERROR($Q666/$Q665-1,"")</f>
        <v/>
      </c>
      <c r="DW665" s="58">
        <f>IFERROR($R666/$R665-1,"")</f>
        <v/>
      </c>
      <c r="DX665" s="58">
        <f>IFERROR($S666/$S665-1,"")</f>
        <v/>
      </c>
      <c r="DY665" s="58">
        <f>IFERROR($T666/$T665-1,"")</f>
        <v/>
      </c>
      <c r="DZ665" s="58">
        <f>IFERROR($U666/$U665-1,"")</f>
        <v/>
      </c>
      <c r="EA665" s="58">
        <f>IFERROR($V666/$V665-1,"")</f>
        <v/>
      </c>
      <c r="EB665" s="58">
        <f>IFERROR($W666/$W665-1,"")</f>
        <v/>
      </c>
      <c r="EC665" s="58">
        <f>IFERROR($X666/$X665-1,"")</f>
        <v/>
      </c>
      <c r="ED665" s="58">
        <f>IFERROR($Y666/$Y665-1,"")</f>
        <v/>
      </c>
      <c r="EE665" s="58">
        <f>IFERROR($Z666/$Z665-1,"")</f>
        <v/>
      </c>
      <c r="EF665" s="58">
        <f>IFERROR($AA666/$AA665-1,"")</f>
        <v/>
      </c>
      <c r="EG665" s="58">
        <f>IFERROR($AB666/$AB665-1,"")</f>
        <v/>
      </c>
      <c r="EH665" s="58">
        <f>IFERROR($AC666/$AC665-1,"")</f>
        <v/>
      </c>
      <c r="EI665" s="58">
        <f>IFERROR($AD666/$AD665-1,"")</f>
        <v/>
      </c>
      <c r="EJ665" s="58">
        <f>IFERROR($AE666/$AE665-1,"")</f>
        <v/>
      </c>
      <c r="EK665" s="58">
        <f>IFERROR($AF666/$AF665-1,"")</f>
        <v/>
      </c>
      <c r="EL665" s="58">
        <f>IFERROR($AG666/$AG665-1,"")</f>
        <v/>
      </c>
      <c r="EM665" s="58">
        <f>IFERROR($BB665/$BB666-1,"")</f>
        <v/>
      </c>
      <c r="EN665" s="58">
        <f>IFERROR($BC665/$BC666-1,"")</f>
        <v/>
      </c>
      <c r="EO665" s="58">
        <f>IFERROR($BD665/$BD666-1,"")</f>
        <v/>
      </c>
      <c r="EP665" s="58">
        <f>IFERROR($BE665/$BE666-1,"")</f>
        <v/>
      </c>
      <c r="EQ665" s="58">
        <f>IFERROR($BF665/$BF666-1,"")</f>
        <v/>
      </c>
      <c r="ER665" s="58">
        <f>IFERROR($BG665/$BG666-1,"")</f>
        <v/>
      </c>
      <c r="ES665" s="58">
        <f>IFERROR($BH665/$BH666-1,"")</f>
        <v/>
      </c>
      <c r="ET665" s="58">
        <f>IFERROR($BI665/$BI666-1,"")</f>
        <v/>
      </c>
      <c r="EU665" s="58">
        <f>IFERROR($BJ665/$BJ666-1,"")</f>
        <v/>
      </c>
      <c r="EV665" s="58">
        <f>IFERROR($BK665/$BK666-1,"")</f>
        <v/>
      </c>
      <c r="EW665" s="58">
        <f>IFERROR($BL665/$BL666-1,"")</f>
        <v/>
      </c>
      <c r="EX665" s="58">
        <f>IFERROR($BM665/$BM666-1,"")</f>
        <v/>
      </c>
      <c r="EY665" s="58">
        <f>IFERROR($BN665/$BN666-1,"")</f>
        <v/>
      </c>
      <c r="EZ665" s="58">
        <f>IFERROR($BO665/$BO666-1,"")</f>
        <v/>
      </c>
      <c r="FA665" s="58">
        <f>IFERROR($BP665/$BP666-1,"")</f>
        <v/>
      </c>
      <c r="FB665" s="58">
        <f>IFERROR($BQ665/$BQ666-1,"")</f>
        <v/>
      </c>
      <c r="FC665" s="58">
        <f>IFERROR($BR665/$BR666-1,"")</f>
        <v/>
      </c>
      <c r="FD665" s="58">
        <f>IFERROR($BS665/$BS666-1,"")</f>
        <v/>
      </c>
      <c r="FE665" s="58">
        <f>IFERROR($BT665/$BT666-1,"")</f>
        <v/>
      </c>
      <c r="FF665" s="58">
        <f>IFERROR($BU665/$BU666-1,"")</f>
        <v/>
      </c>
      <c r="FG665" s="58">
        <f>IFERROR($BV665/$BV666-1,"")</f>
        <v/>
      </c>
      <c r="FH665" s="58">
        <f>IFERROR($BW665/$BW666-1,"")</f>
        <v/>
      </c>
      <c r="FI665" s="58">
        <f>IFERROR($BX665/$BX666-1,"")</f>
        <v/>
      </c>
      <c r="FJ665" s="59">
        <f>$BY665-$BY666</f>
        <v/>
      </c>
      <c r="FK665" s="59">
        <f>$BZ665-$BZ666</f>
        <v/>
      </c>
      <c r="FL665" s="59">
        <f>$CA665-$CA666</f>
        <v/>
      </c>
      <c r="FM665" s="59">
        <f>$CB665-$CB666</f>
        <v/>
      </c>
      <c r="FN665" s="59">
        <f>$CC665-$CC666</f>
        <v/>
      </c>
      <c r="FO665" s="59">
        <f>$CD665-$CD666</f>
        <v/>
      </c>
      <c r="FP665" s="59">
        <f>$CE665-$CE666</f>
        <v/>
      </c>
      <c r="FQ665" s="59">
        <f>$CF665-$CF666</f>
        <v/>
      </c>
      <c r="FR665" s="59">
        <f>$CG665-$CG666</f>
        <v/>
      </c>
      <c r="FS665" s="59">
        <f>$CH665-$CH666</f>
        <v/>
      </c>
      <c r="FT665" s="59">
        <f>$CI665-$CI666</f>
        <v/>
      </c>
      <c r="FU665" s="59">
        <f>$CJ665-$CJ666</f>
        <v/>
      </c>
      <c r="FV665" s="59">
        <f>$CK665-$CK666</f>
        <v/>
      </c>
      <c r="FW665" s="59">
        <f>$CL665-$CL666</f>
        <v/>
      </c>
      <c r="FX665" s="59">
        <f>$CM665-$CM666</f>
        <v/>
      </c>
      <c r="FY665" s="59">
        <f>$CN665-$CN666</f>
        <v/>
      </c>
      <c r="FZ665" s="59">
        <f>$CO665-$CO666</f>
        <v/>
      </c>
      <c r="GA665" s="59">
        <f>$CP665-$CP666</f>
        <v/>
      </c>
      <c r="GB665" s="59">
        <f>$CQ665-$CQ666</f>
        <v/>
      </c>
      <c r="GC665" s="59">
        <f>$CR665-$CR666</f>
        <v/>
      </c>
      <c r="GD665" s="59">
        <f>$CS665-$CS666</f>
        <v/>
      </c>
      <c r="GE665" s="59">
        <f>$CT665-$CT666</f>
        <v/>
      </c>
    </row>
    <row r="666">
      <c r="CU666" s="58">
        <f>IFERROR($B666/$B667-1,"")</f>
        <v/>
      </c>
      <c r="CV666" s="59">
        <f>($F666-$F667)*100</f>
        <v/>
      </c>
      <c r="CW666" s="59">
        <f>($E666-$E667)*100</f>
        <v/>
      </c>
      <c r="CX666" s="58">
        <f>IFERROR($K666/$K667-1,"")</f>
        <v/>
      </c>
      <c r="CY666" s="59">
        <f>($AH666-$AH667)*100</f>
        <v/>
      </c>
      <c r="CZ666" s="59">
        <f>($AI666-$AI667)*100</f>
        <v/>
      </c>
      <c r="DA666" s="59">
        <f>($AJ666-$AJ667)*100</f>
        <v/>
      </c>
      <c r="DB666" s="59">
        <f>($AK666-$AK667)*100</f>
        <v/>
      </c>
      <c r="DC666" s="59">
        <f>($AL666-$AL667)*100</f>
        <v/>
      </c>
      <c r="DD666" s="59">
        <f>($AM666-$AM667)*100</f>
        <v/>
      </c>
      <c r="DE666" s="59">
        <f>($AN666-$AN667)*100</f>
        <v/>
      </c>
      <c r="DF666" s="59">
        <f>($AO666-$AO667)*100</f>
        <v/>
      </c>
      <c r="DG666" s="59">
        <f>($AP666-$AP667)*100</f>
        <v/>
      </c>
      <c r="DH666" s="59">
        <f>($AQ666-$AQ667)*100</f>
        <v/>
      </c>
      <c r="DI666" s="59">
        <f>($AR666-$AR667)*100</f>
        <v/>
      </c>
      <c r="DJ666" s="59">
        <f>($AS666-$AS667)*100</f>
        <v/>
      </c>
      <c r="DK666" s="59">
        <f>($AT666-$AT667)*100</f>
        <v/>
      </c>
      <c r="DL666" s="59">
        <f>($AU666-$AU667)*100</f>
        <v/>
      </c>
      <c r="DM666" s="59">
        <f>($AV666-$AV667)*100</f>
        <v/>
      </c>
      <c r="DN666" s="59">
        <f>($AW666-$AW667)*100</f>
        <v/>
      </c>
      <c r="DO666" s="59">
        <f>($AX666-$AX667)*100</f>
        <v/>
      </c>
      <c r="DP666" s="59">
        <f>($AY666-$AY667)*100</f>
        <v/>
      </c>
      <c r="DQ666" s="59">
        <f>($AZ666-$AZ667)*100</f>
        <v/>
      </c>
      <c r="DR666" s="59">
        <f>($BA666-$BA667)*100</f>
        <v/>
      </c>
      <c r="DS666" s="58">
        <f>IFERROR($N667/$N666-1,"")</f>
        <v/>
      </c>
      <c r="DT666" s="58">
        <f>IFERROR($O667/$O666-1,"")</f>
        <v/>
      </c>
      <c r="DU666" s="58">
        <f>IFERROR($P667/$P666-1,"")</f>
        <v/>
      </c>
      <c r="DV666" s="58">
        <f>IFERROR($Q667/$Q666-1,"")</f>
        <v/>
      </c>
      <c r="DW666" s="58">
        <f>IFERROR($R667/$R666-1,"")</f>
        <v/>
      </c>
      <c r="DX666" s="58">
        <f>IFERROR($S667/$S666-1,"")</f>
        <v/>
      </c>
      <c r="DY666" s="58">
        <f>IFERROR($T667/$T666-1,"")</f>
        <v/>
      </c>
      <c r="DZ666" s="58">
        <f>IFERROR($U667/$U666-1,"")</f>
        <v/>
      </c>
      <c r="EA666" s="58">
        <f>IFERROR($V667/$V666-1,"")</f>
        <v/>
      </c>
      <c r="EB666" s="58">
        <f>IFERROR($W667/$W666-1,"")</f>
        <v/>
      </c>
      <c r="EC666" s="58">
        <f>IFERROR($X667/$X666-1,"")</f>
        <v/>
      </c>
      <c r="ED666" s="58">
        <f>IFERROR($Y667/$Y666-1,"")</f>
        <v/>
      </c>
      <c r="EE666" s="58">
        <f>IFERROR($Z667/$Z666-1,"")</f>
        <v/>
      </c>
      <c r="EF666" s="58">
        <f>IFERROR($AA667/$AA666-1,"")</f>
        <v/>
      </c>
      <c r="EG666" s="58">
        <f>IFERROR($AB667/$AB666-1,"")</f>
        <v/>
      </c>
      <c r="EH666" s="58">
        <f>IFERROR($AC667/$AC666-1,"")</f>
        <v/>
      </c>
      <c r="EI666" s="58">
        <f>IFERROR($AD667/$AD666-1,"")</f>
        <v/>
      </c>
      <c r="EJ666" s="58">
        <f>IFERROR($AE667/$AE666-1,"")</f>
        <v/>
      </c>
      <c r="EK666" s="58">
        <f>IFERROR($AF667/$AF666-1,"")</f>
        <v/>
      </c>
      <c r="EL666" s="58">
        <f>IFERROR($AG667/$AG666-1,"")</f>
        <v/>
      </c>
      <c r="EM666" s="58">
        <f>IFERROR($BB666/$BB667-1,"")</f>
        <v/>
      </c>
      <c r="EN666" s="58">
        <f>IFERROR($BC666/$BC667-1,"")</f>
        <v/>
      </c>
      <c r="EO666" s="58">
        <f>IFERROR($BD666/$BD667-1,"")</f>
        <v/>
      </c>
      <c r="EP666" s="58">
        <f>IFERROR($BE666/$BE667-1,"")</f>
        <v/>
      </c>
      <c r="EQ666" s="58">
        <f>IFERROR($BF666/$BF667-1,"")</f>
        <v/>
      </c>
      <c r="ER666" s="58">
        <f>IFERROR($BG666/$BG667-1,"")</f>
        <v/>
      </c>
      <c r="ES666" s="58">
        <f>IFERROR($BH666/$BH667-1,"")</f>
        <v/>
      </c>
      <c r="ET666" s="58">
        <f>IFERROR($BI666/$BI667-1,"")</f>
        <v/>
      </c>
      <c r="EU666" s="58">
        <f>IFERROR($BJ666/$BJ667-1,"")</f>
        <v/>
      </c>
      <c r="EV666" s="58">
        <f>IFERROR($BK666/$BK667-1,"")</f>
        <v/>
      </c>
      <c r="EW666" s="58">
        <f>IFERROR($BL666/$BL667-1,"")</f>
        <v/>
      </c>
      <c r="EX666" s="58">
        <f>IFERROR($BM666/$BM667-1,"")</f>
        <v/>
      </c>
      <c r="EY666" s="58">
        <f>IFERROR($BN666/$BN667-1,"")</f>
        <v/>
      </c>
      <c r="EZ666" s="58">
        <f>IFERROR($BO666/$BO667-1,"")</f>
        <v/>
      </c>
      <c r="FA666" s="58">
        <f>IFERROR($BP666/$BP667-1,"")</f>
        <v/>
      </c>
      <c r="FB666" s="58">
        <f>IFERROR($BQ666/$BQ667-1,"")</f>
        <v/>
      </c>
      <c r="FC666" s="58">
        <f>IFERROR($BR666/$BR667-1,"")</f>
        <v/>
      </c>
      <c r="FD666" s="58">
        <f>IFERROR($BS666/$BS667-1,"")</f>
        <v/>
      </c>
      <c r="FE666" s="58">
        <f>IFERROR($BT666/$BT667-1,"")</f>
        <v/>
      </c>
      <c r="FF666" s="58">
        <f>IFERROR($BU666/$BU667-1,"")</f>
        <v/>
      </c>
      <c r="FG666" s="58">
        <f>IFERROR($BV666/$BV667-1,"")</f>
        <v/>
      </c>
      <c r="FH666" s="58">
        <f>IFERROR($BW666/$BW667-1,"")</f>
        <v/>
      </c>
      <c r="FI666" s="58">
        <f>IFERROR($BX666/$BX667-1,"")</f>
        <v/>
      </c>
      <c r="FJ666" s="59">
        <f>$BY666-$BY667</f>
        <v/>
      </c>
      <c r="FK666" s="59">
        <f>$BZ666-$BZ667</f>
        <v/>
      </c>
      <c r="FL666" s="59">
        <f>$CA666-$CA667</f>
        <v/>
      </c>
      <c r="FM666" s="59">
        <f>$CB666-$CB667</f>
        <v/>
      </c>
      <c r="FN666" s="59">
        <f>$CC666-$CC667</f>
        <v/>
      </c>
      <c r="FO666" s="59">
        <f>$CD666-$CD667</f>
        <v/>
      </c>
      <c r="FP666" s="59">
        <f>$CE666-$CE667</f>
        <v/>
      </c>
      <c r="FQ666" s="59">
        <f>$CF666-$CF667</f>
        <v/>
      </c>
      <c r="FR666" s="59">
        <f>$CG666-$CG667</f>
        <v/>
      </c>
      <c r="FS666" s="59">
        <f>$CH666-$CH667</f>
        <v/>
      </c>
      <c r="FT666" s="59">
        <f>$CI666-$CI667</f>
        <v/>
      </c>
      <c r="FU666" s="59">
        <f>$CJ666-$CJ667</f>
        <v/>
      </c>
      <c r="FV666" s="59">
        <f>$CK666-$CK667</f>
        <v/>
      </c>
      <c r="FW666" s="59">
        <f>$CL666-$CL667</f>
        <v/>
      </c>
      <c r="FX666" s="59">
        <f>$CM666-$CM667</f>
        <v/>
      </c>
      <c r="FY666" s="59">
        <f>$CN666-$CN667</f>
        <v/>
      </c>
      <c r="FZ666" s="59">
        <f>$CO666-$CO667</f>
        <v/>
      </c>
      <c r="GA666" s="59">
        <f>$CP666-$CP667</f>
        <v/>
      </c>
      <c r="GB666" s="59">
        <f>$CQ666-$CQ667</f>
        <v/>
      </c>
      <c r="GC666" s="59">
        <f>$CR666-$CR667</f>
        <v/>
      </c>
      <c r="GD666" s="59">
        <f>$CS666-$CS667</f>
        <v/>
      </c>
      <c r="GE666" s="59">
        <f>$CT666-$CT667</f>
        <v/>
      </c>
    </row>
    <row r="667">
      <c r="CU667" s="58">
        <f>IFERROR($B667/$B668-1,"")</f>
        <v/>
      </c>
      <c r="CV667" s="59">
        <f>($F667-$F668)*100</f>
        <v/>
      </c>
      <c r="CW667" s="59">
        <f>($E667-$E668)*100</f>
        <v/>
      </c>
      <c r="CX667" s="58">
        <f>IFERROR($K667/$K668-1,"")</f>
        <v/>
      </c>
      <c r="CY667" s="59">
        <f>($AH667-$AH668)*100</f>
        <v/>
      </c>
      <c r="CZ667" s="59">
        <f>($AI667-$AI668)*100</f>
        <v/>
      </c>
      <c r="DA667" s="59">
        <f>($AJ667-$AJ668)*100</f>
        <v/>
      </c>
      <c r="DB667" s="59">
        <f>($AK667-$AK668)*100</f>
        <v/>
      </c>
      <c r="DC667" s="59">
        <f>($AL667-$AL668)*100</f>
        <v/>
      </c>
      <c r="DD667" s="59">
        <f>($AM667-$AM668)*100</f>
        <v/>
      </c>
      <c r="DE667" s="59">
        <f>($AN667-$AN668)*100</f>
        <v/>
      </c>
      <c r="DF667" s="59">
        <f>($AO667-$AO668)*100</f>
        <v/>
      </c>
      <c r="DG667" s="59">
        <f>($AP667-$AP668)*100</f>
        <v/>
      </c>
      <c r="DH667" s="59">
        <f>($AQ667-$AQ668)*100</f>
        <v/>
      </c>
      <c r="DI667" s="59">
        <f>($AR667-$AR668)*100</f>
        <v/>
      </c>
      <c r="DJ667" s="59">
        <f>($AS667-$AS668)*100</f>
        <v/>
      </c>
      <c r="DK667" s="59">
        <f>($AT667-$AT668)*100</f>
        <v/>
      </c>
      <c r="DL667" s="59">
        <f>($AU667-$AU668)*100</f>
        <v/>
      </c>
      <c r="DM667" s="59">
        <f>($AV667-$AV668)*100</f>
        <v/>
      </c>
      <c r="DN667" s="59">
        <f>($AW667-$AW668)*100</f>
        <v/>
      </c>
      <c r="DO667" s="59">
        <f>($AX667-$AX668)*100</f>
        <v/>
      </c>
      <c r="DP667" s="59">
        <f>($AY667-$AY668)*100</f>
        <v/>
      </c>
      <c r="DQ667" s="59">
        <f>($AZ667-$AZ668)*100</f>
        <v/>
      </c>
      <c r="DR667" s="59">
        <f>($BA667-$BA668)*100</f>
        <v/>
      </c>
      <c r="DS667" s="58">
        <f>IFERROR($N668/$N667-1,"")</f>
        <v/>
      </c>
      <c r="DT667" s="58">
        <f>IFERROR($O668/$O667-1,"")</f>
        <v/>
      </c>
      <c r="DU667" s="58">
        <f>IFERROR($P668/$P667-1,"")</f>
        <v/>
      </c>
      <c r="DV667" s="58">
        <f>IFERROR($Q668/$Q667-1,"")</f>
        <v/>
      </c>
      <c r="DW667" s="58">
        <f>IFERROR($R668/$R667-1,"")</f>
        <v/>
      </c>
      <c r="DX667" s="58">
        <f>IFERROR($S668/$S667-1,"")</f>
        <v/>
      </c>
      <c r="DY667" s="58">
        <f>IFERROR($T668/$T667-1,"")</f>
        <v/>
      </c>
      <c r="DZ667" s="58">
        <f>IFERROR($U668/$U667-1,"")</f>
        <v/>
      </c>
      <c r="EA667" s="58">
        <f>IFERROR($V668/$V667-1,"")</f>
        <v/>
      </c>
      <c r="EB667" s="58">
        <f>IFERROR($W668/$W667-1,"")</f>
        <v/>
      </c>
      <c r="EC667" s="58">
        <f>IFERROR($X668/$X667-1,"")</f>
        <v/>
      </c>
      <c r="ED667" s="58">
        <f>IFERROR($Y668/$Y667-1,"")</f>
        <v/>
      </c>
      <c r="EE667" s="58">
        <f>IFERROR($Z668/$Z667-1,"")</f>
        <v/>
      </c>
      <c r="EF667" s="58">
        <f>IFERROR($AA668/$AA667-1,"")</f>
        <v/>
      </c>
      <c r="EG667" s="58">
        <f>IFERROR($AB668/$AB667-1,"")</f>
        <v/>
      </c>
      <c r="EH667" s="58">
        <f>IFERROR($AC668/$AC667-1,"")</f>
        <v/>
      </c>
      <c r="EI667" s="58">
        <f>IFERROR($AD668/$AD667-1,"")</f>
        <v/>
      </c>
      <c r="EJ667" s="58">
        <f>IFERROR($AE668/$AE667-1,"")</f>
        <v/>
      </c>
      <c r="EK667" s="58">
        <f>IFERROR($AF668/$AF667-1,"")</f>
        <v/>
      </c>
      <c r="EL667" s="58">
        <f>IFERROR($AG668/$AG667-1,"")</f>
        <v/>
      </c>
      <c r="EM667" s="58">
        <f>IFERROR($BB667/$BB668-1,"")</f>
        <v/>
      </c>
      <c r="EN667" s="58">
        <f>IFERROR($BC667/$BC668-1,"")</f>
        <v/>
      </c>
      <c r="EO667" s="58">
        <f>IFERROR($BD667/$BD668-1,"")</f>
        <v/>
      </c>
      <c r="EP667" s="58">
        <f>IFERROR($BE667/$BE668-1,"")</f>
        <v/>
      </c>
      <c r="EQ667" s="58">
        <f>IFERROR($BF667/$BF668-1,"")</f>
        <v/>
      </c>
      <c r="ER667" s="58">
        <f>IFERROR($BG667/$BG668-1,"")</f>
        <v/>
      </c>
      <c r="ES667" s="58">
        <f>IFERROR($BH667/$BH668-1,"")</f>
        <v/>
      </c>
      <c r="ET667" s="58">
        <f>IFERROR($BI667/$BI668-1,"")</f>
        <v/>
      </c>
      <c r="EU667" s="58">
        <f>IFERROR($BJ667/$BJ668-1,"")</f>
        <v/>
      </c>
      <c r="EV667" s="58">
        <f>IFERROR($BK667/$BK668-1,"")</f>
        <v/>
      </c>
      <c r="EW667" s="58">
        <f>IFERROR($BL667/$BL668-1,"")</f>
        <v/>
      </c>
      <c r="EX667" s="58">
        <f>IFERROR($BM667/$BM668-1,"")</f>
        <v/>
      </c>
      <c r="EY667" s="58">
        <f>IFERROR($BN667/$BN668-1,"")</f>
        <v/>
      </c>
      <c r="EZ667" s="58">
        <f>IFERROR($BO667/$BO668-1,"")</f>
        <v/>
      </c>
      <c r="FA667" s="58">
        <f>IFERROR($BP667/$BP668-1,"")</f>
        <v/>
      </c>
      <c r="FB667" s="58">
        <f>IFERROR($BQ667/$BQ668-1,"")</f>
        <v/>
      </c>
      <c r="FC667" s="58">
        <f>IFERROR($BR667/$BR668-1,"")</f>
        <v/>
      </c>
      <c r="FD667" s="58">
        <f>IFERROR($BS667/$BS668-1,"")</f>
        <v/>
      </c>
      <c r="FE667" s="58">
        <f>IFERROR($BT667/$BT668-1,"")</f>
        <v/>
      </c>
      <c r="FF667" s="58">
        <f>IFERROR($BU667/$BU668-1,"")</f>
        <v/>
      </c>
      <c r="FG667" s="58">
        <f>IFERROR($BV667/$BV668-1,"")</f>
        <v/>
      </c>
      <c r="FH667" s="58">
        <f>IFERROR($BW667/$BW668-1,"")</f>
        <v/>
      </c>
      <c r="FI667" s="58">
        <f>IFERROR($BX667/$BX668-1,"")</f>
        <v/>
      </c>
      <c r="FJ667" s="59">
        <f>$BY667-$BY668</f>
        <v/>
      </c>
      <c r="FK667" s="59">
        <f>$BZ667-$BZ668</f>
        <v/>
      </c>
      <c r="FL667" s="59">
        <f>$CA667-$CA668</f>
        <v/>
      </c>
      <c r="FM667" s="59">
        <f>$CB667-$CB668</f>
        <v/>
      </c>
      <c r="FN667" s="59">
        <f>$CC667-$CC668</f>
        <v/>
      </c>
      <c r="FO667" s="59">
        <f>$CD667-$CD668</f>
        <v/>
      </c>
      <c r="FP667" s="59">
        <f>$CE667-$CE668</f>
        <v/>
      </c>
      <c r="FQ667" s="59">
        <f>$CF667-$CF668</f>
        <v/>
      </c>
      <c r="FR667" s="59">
        <f>$CG667-$CG668</f>
        <v/>
      </c>
      <c r="FS667" s="59">
        <f>$CH667-$CH668</f>
        <v/>
      </c>
      <c r="FT667" s="59">
        <f>$CI667-$CI668</f>
        <v/>
      </c>
      <c r="FU667" s="59">
        <f>$CJ667-$CJ668</f>
        <v/>
      </c>
      <c r="FV667" s="59">
        <f>$CK667-$CK668</f>
        <v/>
      </c>
      <c r="FW667" s="59">
        <f>$CL667-$CL668</f>
        <v/>
      </c>
      <c r="FX667" s="59">
        <f>$CM667-$CM668</f>
        <v/>
      </c>
      <c r="FY667" s="59">
        <f>$CN667-$CN668</f>
        <v/>
      </c>
      <c r="FZ667" s="59">
        <f>$CO667-$CO668</f>
        <v/>
      </c>
      <c r="GA667" s="59">
        <f>$CP667-$CP668</f>
        <v/>
      </c>
      <c r="GB667" s="59">
        <f>$CQ667-$CQ668</f>
        <v/>
      </c>
      <c r="GC667" s="59">
        <f>$CR667-$CR668</f>
        <v/>
      </c>
      <c r="GD667" s="59">
        <f>$CS667-$CS668</f>
        <v/>
      </c>
      <c r="GE667" s="59">
        <f>$CT667-$CT668</f>
        <v/>
      </c>
    </row>
    <row r="668">
      <c r="CU668" s="58">
        <f>IFERROR($B668/$B669-1,"")</f>
        <v/>
      </c>
      <c r="CV668" s="59">
        <f>($F668-$F669)*100</f>
        <v/>
      </c>
      <c r="CW668" s="59">
        <f>($E668-$E669)*100</f>
        <v/>
      </c>
      <c r="CX668" s="58">
        <f>IFERROR($K668/$K669-1,"")</f>
        <v/>
      </c>
      <c r="CY668" s="59">
        <f>($AH668-$AH669)*100</f>
        <v/>
      </c>
      <c r="CZ668" s="59">
        <f>($AI668-$AI669)*100</f>
        <v/>
      </c>
      <c r="DA668" s="59">
        <f>($AJ668-$AJ669)*100</f>
        <v/>
      </c>
      <c r="DB668" s="59">
        <f>($AK668-$AK669)*100</f>
        <v/>
      </c>
      <c r="DC668" s="59">
        <f>($AL668-$AL669)*100</f>
        <v/>
      </c>
      <c r="DD668" s="59">
        <f>($AM668-$AM669)*100</f>
        <v/>
      </c>
      <c r="DE668" s="59">
        <f>($AN668-$AN669)*100</f>
        <v/>
      </c>
      <c r="DF668" s="59">
        <f>($AO668-$AO669)*100</f>
        <v/>
      </c>
      <c r="DG668" s="59">
        <f>($AP668-$AP669)*100</f>
        <v/>
      </c>
      <c r="DH668" s="59">
        <f>($AQ668-$AQ669)*100</f>
        <v/>
      </c>
      <c r="DI668" s="59">
        <f>($AR668-$AR669)*100</f>
        <v/>
      </c>
      <c r="DJ668" s="59">
        <f>($AS668-$AS669)*100</f>
        <v/>
      </c>
      <c r="DK668" s="59">
        <f>($AT668-$AT669)*100</f>
        <v/>
      </c>
      <c r="DL668" s="59">
        <f>($AU668-$AU669)*100</f>
        <v/>
      </c>
      <c r="DM668" s="59">
        <f>($AV668-$AV669)*100</f>
        <v/>
      </c>
      <c r="DN668" s="59">
        <f>($AW668-$AW669)*100</f>
        <v/>
      </c>
      <c r="DO668" s="59">
        <f>($AX668-$AX669)*100</f>
        <v/>
      </c>
      <c r="DP668" s="59">
        <f>($AY668-$AY669)*100</f>
        <v/>
      </c>
      <c r="DQ668" s="59">
        <f>($AZ668-$AZ669)*100</f>
        <v/>
      </c>
      <c r="DR668" s="59">
        <f>($BA668-$BA669)*100</f>
        <v/>
      </c>
      <c r="DS668" s="58">
        <f>IFERROR($N669/$N668-1,"")</f>
        <v/>
      </c>
      <c r="DT668" s="58">
        <f>IFERROR($O669/$O668-1,"")</f>
        <v/>
      </c>
      <c r="DU668" s="58">
        <f>IFERROR($P669/$P668-1,"")</f>
        <v/>
      </c>
      <c r="DV668" s="58">
        <f>IFERROR($Q669/$Q668-1,"")</f>
        <v/>
      </c>
      <c r="DW668" s="58">
        <f>IFERROR($R669/$R668-1,"")</f>
        <v/>
      </c>
      <c r="DX668" s="58">
        <f>IFERROR($S669/$S668-1,"")</f>
        <v/>
      </c>
      <c r="DY668" s="58">
        <f>IFERROR($T669/$T668-1,"")</f>
        <v/>
      </c>
      <c r="DZ668" s="58">
        <f>IFERROR($U669/$U668-1,"")</f>
        <v/>
      </c>
      <c r="EA668" s="58">
        <f>IFERROR($V669/$V668-1,"")</f>
        <v/>
      </c>
      <c r="EB668" s="58">
        <f>IFERROR($W669/$W668-1,"")</f>
        <v/>
      </c>
      <c r="EC668" s="58">
        <f>IFERROR($X669/$X668-1,"")</f>
        <v/>
      </c>
      <c r="ED668" s="58">
        <f>IFERROR($Y669/$Y668-1,"")</f>
        <v/>
      </c>
      <c r="EE668" s="58">
        <f>IFERROR($Z669/$Z668-1,"")</f>
        <v/>
      </c>
      <c r="EF668" s="58">
        <f>IFERROR($AA669/$AA668-1,"")</f>
        <v/>
      </c>
      <c r="EG668" s="58">
        <f>IFERROR($AB669/$AB668-1,"")</f>
        <v/>
      </c>
      <c r="EH668" s="58">
        <f>IFERROR($AC669/$AC668-1,"")</f>
        <v/>
      </c>
      <c r="EI668" s="58">
        <f>IFERROR($AD669/$AD668-1,"")</f>
        <v/>
      </c>
      <c r="EJ668" s="58">
        <f>IFERROR($AE669/$AE668-1,"")</f>
        <v/>
      </c>
      <c r="EK668" s="58">
        <f>IFERROR($AF669/$AF668-1,"")</f>
        <v/>
      </c>
      <c r="EL668" s="58">
        <f>IFERROR($AG669/$AG668-1,"")</f>
        <v/>
      </c>
      <c r="EM668" s="58">
        <f>IFERROR($BB668/$BB669-1,"")</f>
        <v/>
      </c>
      <c r="EN668" s="58">
        <f>IFERROR($BC668/$BC669-1,"")</f>
        <v/>
      </c>
      <c r="EO668" s="58">
        <f>IFERROR($BD668/$BD669-1,"")</f>
        <v/>
      </c>
      <c r="EP668" s="58">
        <f>IFERROR($BE668/$BE669-1,"")</f>
        <v/>
      </c>
      <c r="EQ668" s="58">
        <f>IFERROR($BF668/$BF669-1,"")</f>
        <v/>
      </c>
      <c r="ER668" s="58">
        <f>IFERROR($BG668/$BG669-1,"")</f>
        <v/>
      </c>
      <c r="ES668" s="58">
        <f>IFERROR($BH668/$BH669-1,"")</f>
        <v/>
      </c>
      <c r="ET668" s="58">
        <f>IFERROR($BI668/$BI669-1,"")</f>
        <v/>
      </c>
      <c r="EU668" s="58">
        <f>IFERROR($BJ668/$BJ669-1,"")</f>
        <v/>
      </c>
      <c r="EV668" s="58">
        <f>IFERROR($BK668/$BK669-1,"")</f>
        <v/>
      </c>
      <c r="EW668" s="58">
        <f>IFERROR($BL668/$BL669-1,"")</f>
        <v/>
      </c>
      <c r="EX668" s="58">
        <f>IFERROR($BM668/$BM669-1,"")</f>
        <v/>
      </c>
      <c r="EY668" s="58">
        <f>IFERROR($BN668/$BN669-1,"")</f>
        <v/>
      </c>
      <c r="EZ668" s="58">
        <f>IFERROR($BO668/$BO669-1,"")</f>
        <v/>
      </c>
      <c r="FA668" s="58">
        <f>IFERROR($BP668/$BP669-1,"")</f>
        <v/>
      </c>
      <c r="FB668" s="58">
        <f>IFERROR($BQ668/$BQ669-1,"")</f>
        <v/>
      </c>
      <c r="FC668" s="58">
        <f>IFERROR($BR668/$BR669-1,"")</f>
        <v/>
      </c>
      <c r="FD668" s="58">
        <f>IFERROR($BS668/$BS669-1,"")</f>
        <v/>
      </c>
      <c r="FE668" s="58">
        <f>IFERROR($BT668/$BT669-1,"")</f>
        <v/>
      </c>
      <c r="FF668" s="58">
        <f>IFERROR($BU668/$BU669-1,"")</f>
        <v/>
      </c>
      <c r="FG668" s="58">
        <f>IFERROR($BV668/$BV669-1,"")</f>
        <v/>
      </c>
      <c r="FH668" s="58">
        <f>IFERROR($BW668/$BW669-1,"")</f>
        <v/>
      </c>
      <c r="FI668" s="58">
        <f>IFERROR($BX668/$BX669-1,"")</f>
        <v/>
      </c>
      <c r="FJ668" s="59">
        <f>$BY668-$BY669</f>
        <v/>
      </c>
      <c r="FK668" s="59">
        <f>$BZ668-$BZ669</f>
        <v/>
      </c>
      <c r="FL668" s="59">
        <f>$CA668-$CA669</f>
        <v/>
      </c>
      <c r="FM668" s="59">
        <f>$CB668-$CB669</f>
        <v/>
      </c>
      <c r="FN668" s="59">
        <f>$CC668-$CC669</f>
        <v/>
      </c>
      <c r="FO668" s="59">
        <f>$CD668-$CD669</f>
        <v/>
      </c>
      <c r="FP668" s="59">
        <f>$CE668-$CE669</f>
        <v/>
      </c>
      <c r="FQ668" s="59">
        <f>$CF668-$CF669</f>
        <v/>
      </c>
      <c r="FR668" s="59">
        <f>$CG668-$CG669</f>
        <v/>
      </c>
      <c r="FS668" s="59">
        <f>$CH668-$CH669</f>
        <v/>
      </c>
      <c r="FT668" s="59">
        <f>$CI668-$CI669</f>
        <v/>
      </c>
      <c r="FU668" s="59">
        <f>$CJ668-$CJ669</f>
        <v/>
      </c>
      <c r="FV668" s="59">
        <f>$CK668-$CK669</f>
        <v/>
      </c>
      <c r="FW668" s="59">
        <f>$CL668-$CL669</f>
        <v/>
      </c>
      <c r="FX668" s="59">
        <f>$CM668-$CM669</f>
        <v/>
      </c>
      <c r="FY668" s="59">
        <f>$CN668-$CN669</f>
        <v/>
      </c>
      <c r="FZ668" s="59">
        <f>$CO668-$CO669</f>
        <v/>
      </c>
      <c r="GA668" s="59">
        <f>$CP668-$CP669</f>
        <v/>
      </c>
      <c r="GB668" s="59">
        <f>$CQ668-$CQ669</f>
        <v/>
      </c>
      <c r="GC668" s="59">
        <f>$CR668-$CR669</f>
        <v/>
      </c>
      <c r="GD668" s="59">
        <f>$CS668-$CS669</f>
        <v/>
      </c>
      <c r="GE668" s="59">
        <f>$CT668-$CT669</f>
        <v/>
      </c>
    </row>
    <row r="669">
      <c r="CU669" s="58">
        <f>IFERROR($B669/$B670-1,"")</f>
        <v/>
      </c>
      <c r="CV669" s="59">
        <f>($F669-$F670)*100</f>
        <v/>
      </c>
      <c r="CW669" s="59">
        <f>($E669-$E670)*100</f>
        <v/>
      </c>
      <c r="CX669" s="58">
        <f>IFERROR($K669/$K670-1,"")</f>
        <v/>
      </c>
      <c r="CY669" s="59">
        <f>($AH669-$AH670)*100</f>
        <v/>
      </c>
      <c r="CZ669" s="59">
        <f>($AI669-$AI670)*100</f>
        <v/>
      </c>
      <c r="DA669" s="59">
        <f>($AJ669-$AJ670)*100</f>
        <v/>
      </c>
      <c r="DB669" s="59">
        <f>($AK669-$AK670)*100</f>
        <v/>
      </c>
      <c r="DC669" s="59">
        <f>($AL669-$AL670)*100</f>
        <v/>
      </c>
      <c r="DD669" s="59">
        <f>($AM669-$AM670)*100</f>
        <v/>
      </c>
      <c r="DE669" s="59">
        <f>($AN669-$AN670)*100</f>
        <v/>
      </c>
      <c r="DF669" s="59">
        <f>($AO669-$AO670)*100</f>
        <v/>
      </c>
      <c r="DG669" s="59">
        <f>($AP669-$AP670)*100</f>
        <v/>
      </c>
      <c r="DH669" s="59">
        <f>($AQ669-$AQ670)*100</f>
        <v/>
      </c>
      <c r="DI669" s="59">
        <f>($AR669-$AR670)*100</f>
        <v/>
      </c>
      <c r="DJ669" s="59">
        <f>($AS669-$AS670)*100</f>
        <v/>
      </c>
      <c r="DK669" s="59">
        <f>($AT669-$AT670)*100</f>
        <v/>
      </c>
      <c r="DL669" s="59">
        <f>($AU669-$AU670)*100</f>
        <v/>
      </c>
      <c r="DM669" s="59">
        <f>($AV669-$AV670)*100</f>
        <v/>
      </c>
      <c r="DN669" s="59">
        <f>($AW669-$AW670)*100</f>
        <v/>
      </c>
      <c r="DO669" s="59">
        <f>($AX669-$AX670)*100</f>
        <v/>
      </c>
      <c r="DP669" s="59">
        <f>($AY669-$AY670)*100</f>
        <v/>
      </c>
      <c r="DQ669" s="59">
        <f>($AZ669-$AZ670)*100</f>
        <v/>
      </c>
      <c r="DR669" s="59">
        <f>($BA669-$BA670)*100</f>
        <v/>
      </c>
      <c r="DS669" s="58">
        <f>IFERROR($N670/$N669-1,"")</f>
        <v/>
      </c>
      <c r="DT669" s="58">
        <f>IFERROR($O670/$O669-1,"")</f>
        <v/>
      </c>
      <c r="DU669" s="58">
        <f>IFERROR($P670/$P669-1,"")</f>
        <v/>
      </c>
      <c r="DV669" s="58">
        <f>IFERROR($Q670/$Q669-1,"")</f>
        <v/>
      </c>
      <c r="DW669" s="58">
        <f>IFERROR($R670/$R669-1,"")</f>
        <v/>
      </c>
      <c r="DX669" s="58">
        <f>IFERROR($S670/$S669-1,"")</f>
        <v/>
      </c>
      <c r="DY669" s="58">
        <f>IFERROR($T670/$T669-1,"")</f>
        <v/>
      </c>
      <c r="DZ669" s="58">
        <f>IFERROR($U670/$U669-1,"")</f>
        <v/>
      </c>
      <c r="EA669" s="58">
        <f>IFERROR($V670/$V669-1,"")</f>
        <v/>
      </c>
      <c r="EB669" s="58">
        <f>IFERROR($W670/$W669-1,"")</f>
        <v/>
      </c>
      <c r="EC669" s="58">
        <f>IFERROR($X670/$X669-1,"")</f>
        <v/>
      </c>
      <c r="ED669" s="58">
        <f>IFERROR($Y670/$Y669-1,"")</f>
        <v/>
      </c>
      <c r="EE669" s="58">
        <f>IFERROR($Z670/$Z669-1,"")</f>
        <v/>
      </c>
      <c r="EF669" s="58">
        <f>IFERROR($AA670/$AA669-1,"")</f>
        <v/>
      </c>
      <c r="EG669" s="58">
        <f>IFERROR($AB670/$AB669-1,"")</f>
        <v/>
      </c>
      <c r="EH669" s="58">
        <f>IFERROR($AC670/$AC669-1,"")</f>
        <v/>
      </c>
      <c r="EI669" s="58">
        <f>IFERROR($AD670/$AD669-1,"")</f>
        <v/>
      </c>
      <c r="EJ669" s="58">
        <f>IFERROR($AE670/$AE669-1,"")</f>
        <v/>
      </c>
      <c r="EK669" s="58">
        <f>IFERROR($AF670/$AF669-1,"")</f>
        <v/>
      </c>
      <c r="EL669" s="58">
        <f>IFERROR($AG670/$AG669-1,"")</f>
        <v/>
      </c>
      <c r="EM669" s="58">
        <f>IFERROR($BB669/$BB670-1,"")</f>
        <v/>
      </c>
      <c r="EN669" s="58">
        <f>IFERROR($BC669/$BC670-1,"")</f>
        <v/>
      </c>
      <c r="EO669" s="58">
        <f>IFERROR($BD669/$BD670-1,"")</f>
        <v/>
      </c>
      <c r="EP669" s="58">
        <f>IFERROR($BE669/$BE670-1,"")</f>
        <v/>
      </c>
      <c r="EQ669" s="58">
        <f>IFERROR($BF669/$BF670-1,"")</f>
        <v/>
      </c>
      <c r="ER669" s="58">
        <f>IFERROR($BG669/$BG670-1,"")</f>
        <v/>
      </c>
      <c r="ES669" s="58">
        <f>IFERROR($BH669/$BH670-1,"")</f>
        <v/>
      </c>
      <c r="ET669" s="58">
        <f>IFERROR($BI669/$BI670-1,"")</f>
        <v/>
      </c>
      <c r="EU669" s="58">
        <f>IFERROR($BJ669/$BJ670-1,"")</f>
        <v/>
      </c>
      <c r="EV669" s="58">
        <f>IFERROR($BK669/$BK670-1,"")</f>
        <v/>
      </c>
      <c r="EW669" s="58">
        <f>IFERROR($BL669/$BL670-1,"")</f>
        <v/>
      </c>
      <c r="EX669" s="58">
        <f>IFERROR($BM669/$BM670-1,"")</f>
        <v/>
      </c>
      <c r="EY669" s="58">
        <f>IFERROR($BN669/$BN670-1,"")</f>
        <v/>
      </c>
      <c r="EZ669" s="58">
        <f>IFERROR($BO669/$BO670-1,"")</f>
        <v/>
      </c>
      <c r="FA669" s="58">
        <f>IFERROR($BP669/$BP670-1,"")</f>
        <v/>
      </c>
      <c r="FB669" s="58">
        <f>IFERROR($BQ669/$BQ670-1,"")</f>
        <v/>
      </c>
      <c r="FC669" s="58">
        <f>IFERROR($BR669/$BR670-1,"")</f>
        <v/>
      </c>
      <c r="FD669" s="58">
        <f>IFERROR($BS669/$BS670-1,"")</f>
        <v/>
      </c>
      <c r="FE669" s="58">
        <f>IFERROR($BT669/$BT670-1,"")</f>
        <v/>
      </c>
      <c r="FF669" s="58">
        <f>IFERROR($BU669/$BU670-1,"")</f>
        <v/>
      </c>
      <c r="FG669" s="58">
        <f>IFERROR($BV669/$BV670-1,"")</f>
        <v/>
      </c>
      <c r="FH669" s="58">
        <f>IFERROR($BW669/$BW670-1,"")</f>
        <v/>
      </c>
      <c r="FI669" s="58">
        <f>IFERROR($BX669/$BX670-1,"")</f>
        <v/>
      </c>
      <c r="FJ669" s="59">
        <f>$BY669-$BY670</f>
        <v/>
      </c>
      <c r="FK669" s="59">
        <f>$BZ669-$BZ670</f>
        <v/>
      </c>
      <c r="FL669" s="59">
        <f>$CA669-$CA670</f>
        <v/>
      </c>
      <c r="FM669" s="59">
        <f>$CB669-$CB670</f>
        <v/>
      </c>
      <c r="FN669" s="59">
        <f>$CC669-$CC670</f>
        <v/>
      </c>
      <c r="FO669" s="59">
        <f>$CD669-$CD670</f>
        <v/>
      </c>
      <c r="FP669" s="59">
        <f>$CE669-$CE670</f>
        <v/>
      </c>
      <c r="FQ669" s="59">
        <f>$CF669-$CF670</f>
        <v/>
      </c>
      <c r="FR669" s="59">
        <f>$CG669-$CG670</f>
        <v/>
      </c>
      <c r="FS669" s="59">
        <f>$CH669-$CH670</f>
        <v/>
      </c>
      <c r="FT669" s="59">
        <f>$CI669-$CI670</f>
        <v/>
      </c>
      <c r="FU669" s="59">
        <f>$CJ669-$CJ670</f>
        <v/>
      </c>
      <c r="FV669" s="59">
        <f>$CK669-$CK670</f>
        <v/>
      </c>
      <c r="FW669" s="59">
        <f>$CL669-$CL670</f>
        <v/>
      </c>
      <c r="FX669" s="59">
        <f>$CM669-$CM670</f>
        <v/>
      </c>
      <c r="FY669" s="59">
        <f>$CN669-$CN670</f>
        <v/>
      </c>
      <c r="FZ669" s="59">
        <f>$CO669-$CO670</f>
        <v/>
      </c>
      <c r="GA669" s="59">
        <f>$CP669-$CP670</f>
        <v/>
      </c>
      <c r="GB669" s="59">
        <f>$CQ669-$CQ670</f>
        <v/>
      </c>
      <c r="GC669" s="59">
        <f>$CR669-$CR670</f>
        <v/>
      </c>
      <c r="GD669" s="59">
        <f>$CS669-$CS670</f>
        <v/>
      </c>
      <c r="GE669" s="59">
        <f>$CT669-$CT670</f>
        <v/>
      </c>
    </row>
    <row r="670">
      <c r="CU670" s="58">
        <f>IFERROR($B670/$B671-1,"")</f>
        <v/>
      </c>
      <c r="CV670" s="59">
        <f>($F670-$F671)*100</f>
        <v/>
      </c>
      <c r="CW670" s="59">
        <f>($E670-$E671)*100</f>
        <v/>
      </c>
      <c r="CX670" s="58">
        <f>IFERROR($K670/$K671-1,"")</f>
        <v/>
      </c>
      <c r="CY670" s="59">
        <f>($AH670-$AH671)*100</f>
        <v/>
      </c>
      <c r="CZ670" s="59">
        <f>($AI670-$AI671)*100</f>
        <v/>
      </c>
      <c r="DA670" s="59">
        <f>($AJ670-$AJ671)*100</f>
        <v/>
      </c>
      <c r="DB670" s="59">
        <f>($AK670-$AK671)*100</f>
        <v/>
      </c>
      <c r="DC670" s="59">
        <f>($AL670-$AL671)*100</f>
        <v/>
      </c>
      <c r="DD670" s="59">
        <f>($AM670-$AM671)*100</f>
        <v/>
      </c>
      <c r="DE670" s="59">
        <f>($AN670-$AN671)*100</f>
        <v/>
      </c>
      <c r="DF670" s="59">
        <f>($AO670-$AO671)*100</f>
        <v/>
      </c>
      <c r="DG670" s="59">
        <f>($AP670-$AP671)*100</f>
        <v/>
      </c>
      <c r="DH670" s="59">
        <f>($AQ670-$AQ671)*100</f>
        <v/>
      </c>
      <c r="DI670" s="59">
        <f>($AR670-$AR671)*100</f>
        <v/>
      </c>
      <c r="DJ670" s="59">
        <f>($AS670-$AS671)*100</f>
        <v/>
      </c>
      <c r="DK670" s="59">
        <f>($AT670-$AT671)*100</f>
        <v/>
      </c>
      <c r="DL670" s="59">
        <f>($AU670-$AU671)*100</f>
        <v/>
      </c>
      <c r="DM670" s="59">
        <f>($AV670-$AV671)*100</f>
        <v/>
      </c>
      <c r="DN670" s="59">
        <f>($AW670-$AW671)*100</f>
        <v/>
      </c>
      <c r="DO670" s="59">
        <f>($AX670-$AX671)*100</f>
        <v/>
      </c>
      <c r="DP670" s="59">
        <f>($AY670-$AY671)*100</f>
        <v/>
      </c>
      <c r="DQ670" s="59">
        <f>($AZ670-$AZ671)*100</f>
        <v/>
      </c>
      <c r="DR670" s="59">
        <f>($BA670-$BA671)*100</f>
        <v/>
      </c>
      <c r="DS670" s="58">
        <f>IFERROR($N671/$N670-1,"")</f>
        <v/>
      </c>
      <c r="DT670" s="58">
        <f>IFERROR($O671/$O670-1,"")</f>
        <v/>
      </c>
      <c r="DU670" s="58">
        <f>IFERROR($P671/$P670-1,"")</f>
        <v/>
      </c>
      <c r="DV670" s="58">
        <f>IFERROR($Q671/$Q670-1,"")</f>
        <v/>
      </c>
      <c r="DW670" s="58">
        <f>IFERROR($R671/$R670-1,"")</f>
        <v/>
      </c>
      <c r="DX670" s="58">
        <f>IFERROR($S671/$S670-1,"")</f>
        <v/>
      </c>
      <c r="DY670" s="58">
        <f>IFERROR($T671/$T670-1,"")</f>
        <v/>
      </c>
      <c r="DZ670" s="58">
        <f>IFERROR($U671/$U670-1,"")</f>
        <v/>
      </c>
      <c r="EA670" s="58">
        <f>IFERROR($V671/$V670-1,"")</f>
        <v/>
      </c>
      <c r="EB670" s="58">
        <f>IFERROR($W671/$W670-1,"")</f>
        <v/>
      </c>
      <c r="EC670" s="58">
        <f>IFERROR($X671/$X670-1,"")</f>
        <v/>
      </c>
      <c r="ED670" s="58">
        <f>IFERROR($Y671/$Y670-1,"")</f>
        <v/>
      </c>
      <c r="EE670" s="58">
        <f>IFERROR($Z671/$Z670-1,"")</f>
        <v/>
      </c>
      <c r="EF670" s="58">
        <f>IFERROR($AA671/$AA670-1,"")</f>
        <v/>
      </c>
      <c r="EG670" s="58">
        <f>IFERROR($AB671/$AB670-1,"")</f>
        <v/>
      </c>
      <c r="EH670" s="58">
        <f>IFERROR($AC671/$AC670-1,"")</f>
        <v/>
      </c>
      <c r="EI670" s="58">
        <f>IFERROR($AD671/$AD670-1,"")</f>
        <v/>
      </c>
      <c r="EJ670" s="58">
        <f>IFERROR($AE671/$AE670-1,"")</f>
        <v/>
      </c>
      <c r="EK670" s="58">
        <f>IFERROR($AF671/$AF670-1,"")</f>
        <v/>
      </c>
      <c r="EL670" s="58">
        <f>IFERROR($AG671/$AG670-1,"")</f>
        <v/>
      </c>
      <c r="EM670" s="58">
        <f>IFERROR($BB670/$BB671-1,"")</f>
        <v/>
      </c>
      <c r="EN670" s="58">
        <f>IFERROR($BC670/$BC671-1,"")</f>
        <v/>
      </c>
      <c r="EO670" s="58">
        <f>IFERROR($BD670/$BD671-1,"")</f>
        <v/>
      </c>
      <c r="EP670" s="58">
        <f>IFERROR($BE670/$BE671-1,"")</f>
        <v/>
      </c>
      <c r="EQ670" s="58">
        <f>IFERROR($BF670/$BF671-1,"")</f>
        <v/>
      </c>
      <c r="ER670" s="58">
        <f>IFERROR($BG670/$BG671-1,"")</f>
        <v/>
      </c>
      <c r="ES670" s="58">
        <f>IFERROR($BH670/$BH671-1,"")</f>
        <v/>
      </c>
      <c r="ET670" s="58">
        <f>IFERROR($BI670/$BI671-1,"")</f>
        <v/>
      </c>
      <c r="EU670" s="58">
        <f>IFERROR($BJ670/$BJ671-1,"")</f>
        <v/>
      </c>
      <c r="EV670" s="58">
        <f>IFERROR($BK670/$BK671-1,"")</f>
        <v/>
      </c>
      <c r="EW670" s="58">
        <f>IFERROR($BL670/$BL671-1,"")</f>
        <v/>
      </c>
      <c r="EX670" s="58">
        <f>IFERROR($BM670/$BM671-1,"")</f>
        <v/>
      </c>
      <c r="EY670" s="58">
        <f>IFERROR($BN670/$BN671-1,"")</f>
        <v/>
      </c>
      <c r="EZ670" s="58">
        <f>IFERROR($BO670/$BO671-1,"")</f>
        <v/>
      </c>
      <c r="FA670" s="58">
        <f>IFERROR($BP670/$BP671-1,"")</f>
        <v/>
      </c>
      <c r="FB670" s="58">
        <f>IFERROR($BQ670/$BQ671-1,"")</f>
        <v/>
      </c>
      <c r="FC670" s="58">
        <f>IFERROR($BR670/$BR671-1,"")</f>
        <v/>
      </c>
      <c r="FD670" s="58">
        <f>IFERROR($BS670/$BS671-1,"")</f>
        <v/>
      </c>
      <c r="FE670" s="58">
        <f>IFERROR($BT670/$BT671-1,"")</f>
        <v/>
      </c>
      <c r="FF670" s="58">
        <f>IFERROR($BU670/$BU671-1,"")</f>
        <v/>
      </c>
      <c r="FG670" s="58">
        <f>IFERROR($BV670/$BV671-1,"")</f>
        <v/>
      </c>
      <c r="FH670" s="58">
        <f>IFERROR($BW670/$BW671-1,"")</f>
        <v/>
      </c>
      <c r="FI670" s="58">
        <f>IFERROR($BX670/$BX671-1,"")</f>
        <v/>
      </c>
      <c r="FJ670" s="59">
        <f>$BY670-$BY671</f>
        <v/>
      </c>
      <c r="FK670" s="59">
        <f>$BZ670-$BZ671</f>
        <v/>
      </c>
      <c r="FL670" s="59">
        <f>$CA670-$CA671</f>
        <v/>
      </c>
      <c r="FM670" s="59">
        <f>$CB670-$CB671</f>
        <v/>
      </c>
      <c r="FN670" s="59">
        <f>$CC670-$CC671</f>
        <v/>
      </c>
      <c r="FO670" s="59">
        <f>$CD670-$CD671</f>
        <v/>
      </c>
      <c r="FP670" s="59">
        <f>$CE670-$CE671</f>
        <v/>
      </c>
      <c r="FQ670" s="59">
        <f>$CF670-$CF671</f>
        <v/>
      </c>
      <c r="FR670" s="59">
        <f>$CG670-$CG671</f>
        <v/>
      </c>
      <c r="FS670" s="59">
        <f>$CH670-$CH671</f>
        <v/>
      </c>
      <c r="FT670" s="59">
        <f>$CI670-$CI671</f>
        <v/>
      </c>
      <c r="FU670" s="59">
        <f>$CJ670-$CJ671</f>
        <v/>
      </c>
      <c r="FV670" s="59">
        <f>$CK670-$CK671</f>
        <v/>
      </c>
      <c r="FW670" s="59">
        <f>$CL670-$CL671</f>
        <v/>
      </c>
      <c r="FX670" s="59">
        <f>$CM670-$CM671</f>
        <v/>
      </c>
      <c r="FY670" s="59">
        <f>$CN670-$CN671</f>
        <v/>
      </c>
      <c r="FZ670" s="59">
        <f>$CO670-$CO671</f>
        <v/>
      </c>
      <c r="GA670" s="59">
        <f>$CP670-$CP671</f>
        <v/>
      </c>
      <c r="GB670" s="59">
        <f>$CQ670-$CQ671</f>
        <v/>
      </c>
      <c r="GC670" s="59">
        <f>$CR670-$CR671</f>
        <v/>
      </c>
      <c r="GD670" s="59">
        <f>$CS670-$CS671</f>
        <v/>
      </c>
      <c r="GE670" s="59">
        <f>$CT670-$CT671</f>
        <v/>
      </c>
    </row>
    <row r="671">
      <c r="CU671" s="58">
        <f>IFERROR($B671/$B672-1,"")</f>
        <v/>
      </c>
      <c r="CV671" s="59">
        <f>($F671-$F672)*100</f>
        <v/>
      </c>
      <c r="CW671" s="59">
        <f>($E671-$E672)*100</f>
        <v/>
      </c>
      <c r="CX671" s="58">
        <f>IFERROR($K671/$K672-1,"")</f>
        <v/>
      </c>
      <c r="CY671" s="59">
        <f>($AH671-$AH672)*100</f>
        <v/>
      </c>
      <c r="CZ671" s="59">
        <f>($AI671-$AI672)*100</f>
        <v/>
      </c>
      <c r="DA671" s="59">
        <f>($AJ671-$AJ672)*100</f>
        <v/>
      </c>
      <c r="DB671" s="59">
        <f>($AK671-$AK672)*100</f>
        <v/>
      </c>
      <c r="DC671" s="59">
        <f>($AL671-$AL672)*100</f>
        <v/>
      </c>
      <c r="DD671" s="59">
        <f>($AM671-$AM672)*100</f>
        <v/>
      </c>
      <c r="DE671" s="59">
        <f>($AN671-$AN672)*100</f>
        <v/>
      </c>
      <c r="DF671" s="59">
        <f>($AO671-$AO672)*100</f>
        <v/>
      </c>
      <c r="DG671" s="59">
        <f>($AP671-$AP672)*100</f>
        <v/>
      </c>
      <c r="DH671" s="59">
        <f>($AQ671-$AQ672)*100</f>
        <v/>
      </c>
      <c r="DI671" s="59">
        <f>($AR671-$AR672)*100</f>
        <v/>
      </c>
      <c r="DJ671" s="59">
        <f>($AS671-$AS672)*100</f>
        <v/>
      </c>
      <c r="DK671" s="59">
        <f>($AT671-$AT672)*100</f>
        <v/>
      </c>
      <c r="DL671" s="59">
        <f>($AU671-$AU672)*100</f>
        <v/>
      </c>
      <c r="DM671" s="59">
        <f>($AV671-$AV672)*100</f>
        <v/>
      </c>
      <c r="DN671" s="59">
        <f>($AW671-$AW672)*100</f>
        <v/>
      </c>
      <c r="DO671" s="59">
        <f>($AX671-$AX672)*100</f>
        <v/>
      </c>
      <c r="DP671" s="59">
        <f>($AY671-$AY672)*100</f>
        <v/>
      </c>
      <c r="DQ671" s="59">
        <f>($AZ671-$AZ672)*100</f>
        <v/>
      </c>
      <c r="DR671" s="59">
        <f>($BA671-$BA672)*100</f>
        <v/>
      </c>
      <c r="DS671" s="58">
        <f>IFERROR($N672/$N671-1,"")</f>
        <v/>
      </c>
      <c r="DT671" s="58">
        <f>IFERROR($O672/$O671-1,"")</f>
        <v/>
      </c>
      <c r="DU671" s="58">
        <f>IFERROR($P672/$P671-1,"")</f>
        <v/>
      </c>
      <c r="DV671" s="58">
        <f>IFERROR($Q672/$Q671-1,"")</f>
        <v/>
      </c>
      <c r="DW671" s="58">
        <f>IFERROR($R672/$R671-1,"")</f>
        <v/>
      </c>
      <c r="DX671" s="58">
        <f>IFERROR($S672/$S671-1,"")</f>
        <v/>
      </c>
      <c r="DY671" s="58">
        <f>IFERROR($T672/$T671-1,"")</f>
        <v/>
      </c>
      <c r="DZ671" s="58">
        <f>IFERROR($U672/$U671-1,"")</f>
        <v/>
      </c>
      <c r="EA671" s="58">
        <f>IFERROR($V672/$V671-1,"")</f>
        <v/>
      </c>
      <c r="EB671" s="58">
        <f>IFERROR($W672/$W671-1,"")</f>
        <v/>
      </c>
      <c r="EC671" s="58">
        <f>IFERROR($X672/$X671-1,"")</f>
        <v/>
      </c>
      <c r="ED671" s="58">
        <f>IFERROR($Y672/$Y671-1,"")</f>
        <v/>
      </c>
      <c r="EE671" s="58">
        <f>IFERROR($Z672/$Z671-1,"")</f>
        <v/>
      </c>
      <c r="EF671" s="58">
        <f>IFERROR($AA672/$AA671-1,"")</f>
        <v/>
      </c>
      <c r="EG671" s="58">
        <f>IFERROR($AB672/$AB671-1,"")</f>
        <v/>
      </c>
      <c r="EH671" s="58">
        <f>IFERROR($AC672/$AC671-1,"")</f>
        <v/>
      </c>
      <c r="EI671" s="58">
        <f>IFERROR($AD672/$AD671-1,"")</f>
        <v/>
      </c>
      <c r="EJ671" s="58">
        <f>IFERROR($AE672/$AE671-1,"")</f>
        <v/>
      </c>
      <c r="EK671" s="58">
        <f>IFERROR($AF672/$AF671-1,"")</f>
        <v/>
      </c>
      <c r="EL671" s="58">
        <f>IFERROR($AG672/$AG671-1,"")</f>
        <v/>
      </c>
      <c r="EM671" s="58">
        <f>IFERROR($BB671/$BB672-1,"")</f>
        <v/>
      </c>
      <c r="EN671" s="58">
        <f>IFERROR($BC671/$BC672-1,"")</f>
        <v/>
      </c>
      <c r="EO671" s="58">
        <f>IFERROR($BD671/$BD672-1,"")</f>
        <v/>
      </c>
      <c r="EP671" s="58">
        <f>IFERROR($BE671/$BE672-1,"")</f>
        <v/>
      </c>
      <c r="EQ671" s="58">
        <f>IFERROR($BF671/$BF672-1,"")</f>
        <v/>
      </c>
      <c r="ER671" s="58">
        <f>IFERROR($BG671/$BG672-1,"")</f>
        <v/>
      </c>
      <c r="ES671" s="58">
        <f>IFERROR($BH671/$BH672-1,"")</f>
        <v/>
      </c>
      <c r="ET671" s="58">
        <f>IFERROR($BI671/$BI672-1,"")</f>
        <v/>
      </c>
      <c r="EU671" s="58">
        <f>IFERROR($BJ671/$BJ672-1,"")</f>
        <v/>
      </c>
      <c r="EV671" s="58">
        <f>IFERROR($BK671/$BK672-1,"")</f>
        <v/>
      </c>
      <c r="EW671" s="58">
        <f>IFERROR($BL671/$BL672-1,"")</f>
        <v/>
      </c>
      <c r="EX671" s="58">
        <f>IFERROR($BM671/$BM672-1,"")</f>
        <v/>
      </c>
      <c r="EY671" s="58">
        <f>IFERROR($BN671/$BN672-1,"")</f>
        <v/>
      </c>
      <c r="EZ671" s="58">
        <f>IFERROR($BO671/$BO672-1,"")</f>
        <v/>
      </c>
      <c r="FA671" s="58">
        <f>IFERROR($BP671/$BP672-1,"")</f>
        <v/>
      </c>
      <c r="FB671" s="58">
        <f>IFERROR($BQ671/$BQ672-1,"")</f>
        <v/>
      </c>
      <c r="FC671" s="58">
        <f>IFERROR($BR671/$BR672-1,"")</f>
        <v/>
      </c>
      <c r="FD671" s="58">
        <f>IFERROR($BS671/$BS672-1,"")</f>
        <v/>
      </c>
      <c r="FE671" s="58">
        <f>IFERROR($BT671/$BT672-1,"")</f>
        <v/>
      </c>
      <c r="FF671" s="58">
        <f>IFERROR($BU671/$BU672-1,"")</f>
        <v/>
      </c>
      <c r="FG671" s="58">
        <f>IFERROR($BV671/$BV672-1,"")</f>
        <v/>
      </c>
      <c r="FH671" s="58">
        <f>IFERROR($BW671/$BW672-1,"")</f>
        <v/>
      </c>
      <c r="FI671" s="58">
        <f>IFERROR($BX671/$BX672-1,"")</f>
        <v/>
      </c>
      <c r="FJ671" s="59">
        <f>$BY671-$BY672</f>
        <v/>
      </c>
      <c r="FK671" s="59">
        <f>$BZ671-$BZ672</f>
        <v/>
      </c>
      <c r="FL671" s="59">
        <f>$CA671-$CA672</f>
        <v/>
      </c>
      <c r="FM671" s="59">
        <f>$CB671-$CB672</f>
        <v/>
      </c>
      <c r="FN671" s="59">
        <f>$CC671-$CC672</f>
        <v/>
      </c>
      <c r="FO671" s="59">
        <f>$CD671-$CD672</f>
        <v/>
      </c>
      <c r="FP671" s="59">
        <f>$CE671-$CE672</f>
        <v/>
      </c>
      <c r="FQ671" s="59">
        <f>$CF671-$CF672</f>
        <v/>
      </c>
      <c r="FR671" s="59">
        <f>$CG671-$CG672</f>
        <v/>
      </c>
      <c r="FS671" s="59">
        <f>$CH671-$CH672</f>
        <v/>
      </c>
      <c r="FT671" s="59">
        <f>$CI671-$CI672</f>
        <v/>
      </c>
      <c r="FU671" s="59">
        <f>$CJ671-$CJ672</f>
        <v/>
      </c>
      <c r="FV671" s="59">
        <f>$CK671-$CK672</f>
        <v/>
      </c>
      <c r="FW671" s="59">
        <f>$CL671-$CL672</f>
        <v/>
      </c>
      <c r="FX671" s="59">
        <f>$CM671-$CM672</f>
        <v/>
      </c>
      <c r="FY671" s="59">
        <f>$CN671-$CN672</f>
        <v/>
      </c>
      <c r="FZ671" s="59">
        <f>$CO671-$CO672</f>
        <v/>
      </c>
      <c r="GA671" s="59">
        <f>$CP671-$CP672</f>
        <v/>
      </c>
      <c r="GB671" s="59">
        <f>$CQ671-$CQ672</f>
        <v/>
      </c>
      <c r="GC671" s="59">
        <f>$CR671-$CR672</f>
        <v/>
      </c>
      <c r="GD671" s="59">
        <f>$CS671-$CS672</f>
        <v/>
      </c>
      <c r="GE671" s="59">
        <f>$CT671-$CT672</f>
        <v/>
      </c>
    </row>
    <row r="672">
      <c r="CU672" s="58">
        <f>IFERROR($B672/$B673-1,"")</f>
        <v/>
      </c>
      <c r="CV672" s="59">
        <f>($F672-$F673)*100</f>
        <v/>
      </c>
      <c r="CW672" s="59">
        <f>($E672-$E673)*100</f>
        <v/>
      </c>
      <c r="CX672" s="58">
        <f>IFERROR($K672/$K673-1,"")</f>
        <v/>
      </c>
      <c r="CY672" s="59">
        <f>($AH672-$AH673)*100</f>
        <v/>
      </c>
      <c r="CZ672" s="59">
        <f>($AI672-$AI673)*100</f>
        <v/>
      </c>
      <c r="DA672" s="59">
        <f>($AJ672-$AJ673)*100</f>
        <v/>
      </c>
      <c r="DB672" s="59">
        <f>($AK672-$AK673)*100</f>
        <v/>
      </c>
      <c r="DC672" s="59">
        <f>($AL672-$AL673)*100</f>
        <v/>
      </c>
      <c r="DD672" s="59">
        <f>($AM672-$AM673)*100</f>
        <v/>
      </c>
      <c r="DE672" s="59">
        <f>($AN672-$AN673)*100</f>
        <v/>
      </c>
      <c r="DF672" s="59">
        <f>($AO672-$AO673)*100</f>
        <v/>
      </c>
      <c r="DG672" s="59">
        <f>($AP672-$AP673)*100</f>
        <v/>
      </c>
      <c r="DH672" s="59">
        <f>($AQ672-$AQ673)*100</f>
        <v/>
      </c>
      <c r="DI672" s="59">
        <f>($AR672-$AR673)*100</f>
        <v/>
      </c>
      <c r="DJ672" s="59">
        <f>($AS672-$AS673)*100</f>
        <v/>
      </c>
      <c r="DK672" s="59">
        <f>($AT672-$AT673)*100</f>
        <v/>
      </c>
      <c r="DL672" s="59">
        <f>($AU672-$AU673)*100</f>
        <v/>
      </c>
      <c r="DM672" s="59">
        <f>($AV672-$AV673)*100</f>
        <v/>
      </c>
      <c r="DN672" s="59">
        <f>($AW672-$AW673)*100</f>
        <v/>
      </c>
      <c r="DO672" s="59">
        <f>($AX672-$AX673)*100</f>
        <v/>
      </c>
      <c r="DP672" s="59">
        <f>($AY672-$AY673)*100</f>
        <v/>
      </c>
      <c r="DQ672" s="59">
        <f>($AZ672-$AZ673)*100</f>
        <v/>
      </c>
      <c r="DR672" s="59">
        <f>($BA672-$BA673)*100</f>
        <v/>
      </c>
      <c r="DS672" s="58">
        <f>IFERROR($N673/$N672-1,"")</f>
        <v/>
      </c>
      <c r="DT672" s="58">
        <f>IFERROR($O673/$O672-1,"")</f>
        <v/>
      </c>
      <c r="DU672" s="58">
        <f>IFERROR($P673/$P672-1,"")</f>
        <v/>
      </c>
      <c r="DV672" s="58">
        <f>IFERROR($Q673/$Q672-1,"")</f>
        <v/>
      </c>
      <c r="DW672" s="58">
        <f>IFERROR($R673/$R672-1,"")</f>
        <v/>
      </c>
      <c r="DX672" s="58">
        <f>IFERROR($S673/$S672-1,"")</f>
        <v/>
      </c>
      <c r="DY672" s="58">
        <f>IFERROR($T673/$T672-1,"")</f>
        <v/>
      </c>
      <c r="DZ672" s="58">
        <f>IFERROR($U673/$U672-1,"")</f>
        <v/>
      </c>
      <c r="EA672" s="58">
        <f>IFERROR($V673/$V672-1,"")</f>
        <v/>
      </c>
      <c r="EB672" s="58">
        <f>IFERROR($W673/$W672-1,"")</f>
        <v/>
      </c>
      <c r="EC672" s="58">
        <f>IFERROR($X673/$X672-1,"")</f>
        <v/>
      </c>
      <c r="ED672" s="58">
        <f>IFERROR($Y673/$Y672-1,"")</f>
        <v/>
      </c>
      <c r="EE672" s="58">
        <f>IFERROR($Z673/$Z672-1,"")</f>
        <v/>
      </c>
      <c r="EF672" s="58">
        <f>IFERROR($AA673/$AA672-1,"")</f>
        <v/>
      </c>
      <c r="EG672" s="58">
        <f>IFERROR($AB673/$AB672-1,"")</f>
        <v/>
      </c>
      <c r="EH672" s="58">
        <f>IFERROR($AC673/$AC672-1,"")</f>
        <v/>
      </c>
      <c r="EI672" s="58">
        <f>IFERROR($AD673/$AD672-1,"")</f>
        <v/>
      </c>
      <c r="EJ672" s="58">
        <f>IFERROR($AE673/$AE672-1,"")</f>
        <v/>
      </c>
      <c r="EK672" s="58">
        <f>IFERROR($AF673/$AF672-1,"")</f>
        <v/>
      </c>
      <c r="EL672" s="58">
        <f>IFERROR($AG673/$AG672-1,"")</f>
        <v/>
      </c>
      <c r="EM672" s="58">
        <f>IFERROR($BB672/$BB673-1,"")</f>
        <v/>
      </c>
      <c r="EN672" s="58">
        <f>IFERROR($BC672/$BC673-1,"")</f>
        <v/>
      </c>
      <c r="EO672" s="58">
        <f>IFERROR($BD672/$BD673-1,"")</f>
        <v/>
      </c>
      <c r="EP672" s="58">
        <f>IFERROR($BE672/$BE673-1,"")</f>
        <v/>
      </c>
      <c r="EQ672" s="58">
        <f>IFERROR($BF672/$BF673-1,"")</f>
        <v/>
      </c>
      <c r="ER672" s="58">
        <f>IFERROR($BG672/$BG673-1,"")</f>
        <v/>
      </c>
      <c r="ES672" s="58">
        <f>IFERROR($BH672/$BH673-1,"")</f>
        <v/>
      </c>
      <c r="ET672" s="58">
        <f>IFERROR($BI672/$BI673-1,"")</f>
        <v/>
      </c>
      <c r="EU672" s="58">
        <f>IFERROR($BJ672/$BJ673-1,"")</f>
        <v/>
      </c>
      <c r="EV672" s="58">
        <f>IFERROR($BK672/$BK673-1,"")</f>
        <v/>
      </c>
      <c r="EW672" s="58">
        <f>IFERROR($BL672/$BL673-1,"")</f>
        <v/>
      </c>
      <c r="EX672" s="58">
        <f>IFERROR($BM672/$BM673-1,"")</f>
        <v/>
      </c>
      <c r="EY672" s="58">
        <f>IFERROR($BN672/$BN673-1,"")</f>
        <v/>
      </c>
      <c r="EZ672" s="58">
        <f>IFERROR($BO672/$BO673-1,"")</f>
        <v/>
      </c>
      <c r="FA672" s="58">
        <f>IFERROR($BP672/$BP673-1,"")</f>
        <v/>
      </c>
      <c r="FB672" s="58">
        <f>IFERROR($BQ672/$BQ673-1,"")</f>
        <v/>
      </c>
      <c r="FC672" s="58">
        <f>IFERROR($BR672/$BR673-1,"")</f>
        <v/>
      </c>
      <c r="FD672" s="58">
        <f>IFERROR($BS672/$BS673-1,"")</f>
        <v/>
      </c>
      <c r="FE672" s="58">
        <f>IFERROR($BT672/$BT673-1,"")</f>
        <v/>
      </c>
      <c r="FF672" s="58">
        <f>IFERROR($BU672/$BU673-1,"")</f>
        <v/>
      </c>
      <c r="FG672" s="58">
        <f>IFERROR($BV672/$BV673-1,"")</f>
        <v/>
      </c>
      <c r="FH672" s="58">
        <f>IFERROR($BW672/$BW673-1,"")</f>
        <v/>
      </c>
      <c r="FI672" s="58">
        <f>IFERROR($BX672/$BX673-1,"")</f>
        <v/>
      </c>
      <c r="FJ672" s="59">
        <f>$BY672-$BY673</f>
        <v/>
      </c>
      <c r="FK672" s="59">
        <f>$BZ672-$BZ673</f>
        <v/>
      </c>
      <c r="FL672" s="59">
        <f>$CA672-$CA673</f>
        <v/>
      </c>
      <c r="FM672" s="59">
        <f>$CB672-$CB673</f>
        <v/>
      </c>
      <c r="FN672" s="59">
        <f>$CC672-$CC673</f>
        <v/>
      </c>
      <c r="FO672" s="59">
        <f>$CD672-$CD673</f>
        <v/>
      </c>
      <c r="FP672" s="59">
        <f>$CE672-$CE673</f>
        <v/>
      </c>
      <c r="FQ672" s="59">
        <f>$CF672-$CF673</f>
        <v/>
      </c>
      <c r="FR672" s="59">
        <f>$CG672-$CG673</f>
        <v/>
      </c>
      <c r="FS672" s="59">
        <f>$CH672-$CH673</f>
        <v/>
      </c>
      <c r="FT672" s="59">
        <f>$CI672-$CI673</f>
        <v/>
      </c>
      <c r="FU672" s="59">
        <f>$CJ672-$CJ673</f>
        <v/>
      </c>
      <c r="FV672" s="59">
        <f>$CK672-$CK673</f>
        <v/>
      </c>
      <c r="FW672" s="59">
        <f>$CL672-$CL673</f>
        <v/>
      </c>
      <c r="FX672" s="59">
        <f>$CM672-$CM673</f>
        <v/>
      </c>
      <c r="FY672" s="59">
        <f>$CN672-$CN673</f>
        <v/>
      </c>
      <c r="FZ672" s="59">
        <f>$CO672-$CO673</f>
        <v/>
      </c>
      <c r="GA672" s="59">
        <f>$CP672-$CP673</f>
        <v/>
      </c>
      <c r="GB672" s="59">
        <f>$CQ672-$CQ673</f>
        <v/>
      </c>
      <c r="GC672" s="59">
        <f>$CR672-$CR673</f>
        <v/>
      </c>
      <c r="GD672" s="59">
        <f>$CS672-$CS673</f>
        <v/>
      </c>
      <c r="GE672" s="59">
        <f>$CT672-$CT673</f>
        <v/>
      </c>
    </row>
    <row r="673">
      <c r="CU673" s="58">
        <f>IFERROR($B673/$B674-1,"")</f>
        <v/>
      </c>
      <c r="CV673" s="59">
        <f>($F673-$F674)*100</f>
        <v/>
      </c>
      <c r="CW673" s="59">
        <f>($E673-$E674)*100</f>
        <v/>
      </c>
      <c r="CX673" s="58">
        <f>IFERROR($K673/$K674-1,"")</f>
        <v/>
      </c>
      <c r="CY673" s="59">
        <f>($AH673-$AH674)*100</f>
        <v/>
      </c>
      <c r="CZ673" s="59">
        <f>($AI673-$AI674)*100</f>
        <v/>
      </c>
      <c r="DA673" s="59">
        <f>($AJ673-$AJ674)*100</f>
        <v/>
      </c>
      <c r="DB673" s="59">
        <f>($AK673-$AK674)*100</f>
        <v/>
      </c>
      <c r="DC673" s="59">
        <f>($AL673-$AL674)*100</f>
        <v/>
      </c>
      <c r="DD673" s="59">
        <f>($AM673-$AM674)*100</f>
        <v/>
      </c>
      <c r="DE673" s="59">
        <f>($AN673-$AN674)*100</f>
        <v/>
      </c>
      <c r="DF673" s="59">
        <f>($AO673-$AO674)*100</f>
        <v/>
      </c>
      <c r="DG673" s="59">
        <f>($AP673-$AP674)*100</f>
        <v/>
      </c>
      <c r="DH673" s="59">
        <f>($AQ673-$AQ674)*100</f>
        <v/>
      </c>
      <c r="DI673" s="59">
        <f>($AR673-$AR674)*100</f>
        <v/>
      </c>
      <c r="DJ673" s="59">
        <f>($AS673-$AS674)*100</f>
        <v/>
      </c>
      <c r="DK673" s="59">
        <f>($AT673-$AT674)*100</f>
        <v/>
      </c>
      <c r="DL673" s="59">
        <f>($AU673-$AU674)*100</f>
        <v/>
      </c>
      <c r="DM673" s="59">
        <f>($AV673-$AV674)*100</f>
        <v/>
      </c>
      <c r="DN673" s="59">
        <f>($AW673-$AW674)*100</f>
        <v/>
      </c>
      <c r="DO673" s="59">
        <f>($AX673-$AX674)*100</f>
        <v/>
      </c>
      <c r="DP673" s="59">
        <f>($AY673-$AY674)*100</f>
        <v/>
      </c>
      <c r="DQ673" s="59">
        <f>($AZ673-$AZ674)*100</f>
        <v/>
      </c>
      <c r="DR673" s="59">
        <f>($BA673-$BA674)*100</f>
        <v/>
      </c>
      <c r="DS673" s="58">
        <f>IFERROR($N674/$N673-1,"")</f>
        <v/>
      </c>
      <c r="DT673" s="58">
        <f>IFERROR($O674/$O673-1,"")</f>
        <v/>
      </c>
      <c r="DU673" s="58">
        <f>IFERROR($P674/$P673-1,"")</f>
        <v/>
      </c>
      <c r="DV673" s="58">
        <f>IFERROR($Q674/$Q673-1,"")</f>
        <v/>
      </c>
      <c r="DW673" s="58">
        <f>IFERROR($R674/$R673-1,"")</f>
        <v/>
      </c>
      <c r="DX673" s="58">
        <f>IFERROR($S674/$S673-1,"")</f>
        <v/>
      </c>
      <c r="DY673" s="58">
        <f>IFERROR($T674/$T673-1,"")</f>
        <v/>
      </c>
      <c r="DZ673" s="58">
        <f>IFERROR($U674/$U673-1,"")</f>
        <v/>
      </c>
      <c r="EA673" s="58">
        <f>IFERROR($V674/$V673-1,"")</f>
        <v/>
      </c>
      <c r="EB673" s="58">
        <f>IFERROR($W674/$W673-1,"")</f>
        <v/>
      </c>
      <c r="EC673" s="58">
        <f>IFERROR($X674/$X673-1,"")</f>
        <v/>
      </c>
      <c r="ED673" s="58">
        <f>IFERROR($Y674/$Y673-1,"")</f>
        <v/>
      </c>
      <c r="EE673" s="58">
        <f>IFERROR($Z674/$Z673-1,"")</f>
        <v/>
      </c>
      <c r="EF673" s="58">
        <f>IFERROR($AA674/$AA673-1,"")</f>
        <v/>
      </c>
      <c r="EG673" s="58">
        <f>IFERROR($AB674/$AB673-1,"")</f>
        <v/>
      </c>
      <c r="EH673" s="58">
        <f>IFERROR($AC674/$AC673-1,"")</f>
        <v/>
      </c>
      <c r="EI673" s="58">
        <f>IFERROR($AD674/$AD673-1,"")</f>
        <v/>
      </c>
      <c r="EJ673" s="58">
        <f>IFERROR($AE674/$AE673-1,"")</f>
        <v/>
      </c>
      <c r="EK673" s="58">
        <f>IFERROR($AF674/$AF673-1,"")</f>
        <v/>
      </c>
      <c r="EL673" s="58">
        <f>IFERROR($AG674/$AG673-1,"")</f>
        <v/>
      </c>
      <c r="EM673" s="58">
        <f>IFERROR($BB673/$BB674-1,"")</f>
        <v/>
      </c>
      <c r="EN673" s="58">
        <f>IFERROR($BC673/$BC674-1,"")</f>
        <v/>
      </c>
      <c r="EO673" s="58">
        <f>IFERROR($BD673/$BD674-1,"")</f>
        <v/>
      </c>
      <c r="EP673" s="58">
        <f>IFERROR($BE673/$BE674-1,"")</f>
        <v/>
      </c>
      <c r="EQ673" s="58">
        <f>IFERROR($BF673/$BF674-1,"")</f>
        <v/>
      </c>
      <c r="ER673" s="58">
        <f>IFERROR($BG673/$BG674-1,"")</f>
        <v/>
      </c>
      <c r="ES673" s="58">
        <f>IFERROR($BH673/$BH674-1,"")</f>
        <v/>
      </c>
      <c r="ET673" s="58">
        <f>IFERROR($BI673/$BI674-1,"")</f>
        <v/>
      </c>
      <c r="EU673" s="58">
        <f>IFERROR($BJ673/$BJ674-1,"")</f>
        <v/>
      </c>
      <c r="EV673" s="58">
        <f>IFERROR($BK673/$BK674-1,"")</f>
        <v/>
      </c>
      <c r="EW673" s="58">
        <f>IFERROR($BL673/$BL674-1,"")</f>
        <v/>
      </c>
      <c r="EX673" s="58">
        <f>IFERROR($BM673/$BM674-1,"")</f>
        <v/>
      </c>
      <c r="EY673" s="58">
        <f>IFERROR($BN673/$BN674-1,"")</f>
        <v/>
      </c>
      <c r="EZ673" s="58">
        <f>IFERROR($BO673/$BO674-1,"")</f>
        <v/>
      </c>
      <c r="FA673" s="58">
        <f>IFERROR($BP673/$BP674-1,"")</f>
        <v/>
      </c>
      <c r="FB673" s="58">
        <f>IFERROR($BQ673/$BQ674-1,"")</f>
        <v/>
      </c>
      <c r="FC673" s="58">
        <f>IFERROR($BR673/$BR674-1,"")</f>
        <v/>
      </c>
      <c r="FD673" s="58">
        <f>IFERROR($BS673/$BS674-1,"")</f>
        <v/>
      </c>
      <c r="FE673" s="58">
        <f>IFERROR($BT673/$BT674-1,"")</f>
        <v/>
      </c>
      <c r="FF673" s="58">
        <f>IFERROR($BU673/$BU674-1,"")</f>
        <v/>
      </c>
      <c r="FG673" s="58">
        <f>IFERROR($BV673/$BV674-1,"")</f>
        <v/>
      </c>
      <c r="FH673" s="58">
        <f>IFERROR($BW673/$BW674-1,"")</f>
        <v/>
      </c>
      <c r="FI673" s="58">
        <f>IFERROR($BX673/$BX674-1,"")</f>
        <v/>
      </c>
      <c r="FJ673" s="59">
        <f>$BY673-$BY674</f>
        <v/>
      </c>
      <c r="FK673" s="59">
        <f>$BZ673-$BZ674</f>
        <v/>
      </c>
      <c r="FL673" s="59">
        <f>$CA673-$CA674</f>
        <v/>
      </c>
      <c r="FM673" s="59">
        <f>$CB673-$CB674</f>
        <v/>
      </c>
      <c r="FN673" s="59">
        <f>$CC673-$CC674</f>
        <v/>
      </c>
      <c r="FO673" s="59">
        <f>$CD673-$CD674</f>
        <v/>
      </c>
      <c r="FP673" s="59">
        <f>$CE673-$CE674</f>
        <v/>
      </c>
      <c r="FQ673" s="59">
        <f>$CF673-$CF674</f>
        <v/>
      </c>
      <c r="FR673" s="59">
        <f>$CG673-$CG674</f>
        <v/>
      </c>
      <c r="FS673" s="59">
        <f>$CH673-$CH674</f>
        <v/>
      </c>
      <c r="FT673" s="59">
        <f>$CI673-$CI674</f>
        <v/>
      </c>
      <c r="FU673" s="59">
        <f>$CJ673-$CJ674</f>
        <v/>
      </c>
      <c r="FV673" s="59">
        <f>$CK673-$CK674</f>
        <v/>
      </c>
      <c r="FW673" s="59">
        <f>$CL673-$CL674</f>
        <v/>
      </c>
      <c r="FX673" s="59">
        <f>$CM673-$CM674</f>
        <v/>
      </c>
      <c r="FY673" s="59">
        <f>$CN673-$CN674</f>
        <v/>
      </c>
      <c r="FZ673" s="59">
        <f>$CO673-$CO674</f>
        <v/>
      </c>
      <c r="GA673" s="59">
        <f>$CP673-$CP674</f>
        <v/>
      </c>
      <c r="GB673" s="59">
        <f>$CQ673-$CQ674</f>
        <v/>
      </c>
      <c r="GC673" s="59">
        <f>$CR673-$CR674</f>
        <v/>
      </c>
      <c r="GD673" s="59">
        <f>$CS673-$CS674</f>
        <v/>
      </c>
      <c r="GE673" s="59">
        <f>$CT673-$CT674</f>
        <v/>
      </c>
    </row>
    <row r="674">
      <c r="CU674" s="58">
        <f>IFERROR($B674/$B675-1,"")</f>
        <v/>
      </c>
      <c r="CV674" s="59">
        <f>($F674-$F675)*100</f>
        <v/>
      </c>
      <c r="CW674" s="59">
        <f>($E674-$E675)*100</f>
        <v/>
      </c>
      <c r="CX674" s="58">
        <f>IFERROR($K674/$K675-1,"")</f>
        <v/>
      </c>
      <c r="CY674" s="59">
        <f>($AH674-$AH675)*100</f>
        <v/>
      </c>
      <c r="CZ674" s="59">
        <f>($AI674-$AI675)*100</f>
        <v/>
      </c>
      <c r="DA674" s="59">
        <f>($AJ674-$AJ675)*100</f>
        <v/>
      </c>
      <c r="DB674" s="59">
        <f>($AK674-$AK675)*100</f>
        <v/>
      </c>
      <c r="DC674" s="59">
        <f>($AL674-$AL675)*100</f>
        <v/>
      </c>
      <c r="DD674" s="59">
        <f>($AM674-$AM675)*100</f>
        <v/>
      </c>
      <c r="DE674" s="59">
        <f>($AN674-$AN675)*100</f>
        <v/>
      </c>
      <c r="DF674" s="59">
        <f>($AO674-$AO675)*100</f>
        <v/>
      </c>
      <c r="DG674" s="59">
        <f>($AP674-$AP675)*100</f>
        <v/>
      </c>
      <c r="DH674" s="59">
        <f>($AQ674-$AQ675)*100</f>
        <v/>
      </c>
      <c r="DI674" s="59">
        <f>($AR674-$AR675)*100</f>
        <v/>
      </c>
      <c r="DJ674" s="59">
        <f>($AS674-$AS675)*100</f>
        <v/>
      </c>
      <c r="DK674" s="59">
        <f>($AT674-$AT675)*100</f>
        <v/>
      </c>
      <c r="DL674" s="59">
        <f>($AU674-$AU675)*100</f>
        <v/>
      </c>
      <c r="DM674" s="59">
        <f>($AV674-$AV675)*100</f>
        <v/>
      </c>
      <c r="DN674" s="59">
        <f>($AW674-$AW675)*100</f>
        <v/>
      </c>
      <c r="DO674" s="59">
        <f>($AX674-$AX675)*100</f>
        <v/>
      </c>
      <c r="DP674" s="59">
        <f>($AY674-$AY675)*100</f>
        <v/>
      </c>
      <c r="DQ674" s="59">
        <f>($AZ674-$AZ675)*100</f>
        <v/>
      </c>
      <c r="DR674" s="59">
        <f>($BA674-$BA675)*100</f>
        <v/>
      </c>
      <c r="DS674" s="58">
        <f>IFERROR($N675/$N674-1,"")</f>
        <v/>
      </c>
      <c r="DT674" s="58">
        <f>IFERROR($O675/$O674-1,"")</f>
        <v/>
      </c>
      <c r="DU674" s="58">
        <f>IFERROR($P675/$P674-1,"")</f>
        <v/>
      </c>
      <c r="DV674" s="58">
        <f>IFERROR($Q675/$Q674-1,"")</f>
        <v/>
      </c>
      <c r="DW674" s="58">
        <f>IFERROR($R675/$R674-1,"")</f>
        <v/>
      </c>
      <c r="DX674" s="58">
        <f>IFERROR($S675/$S674-1,"")</f>
        <v/>
      </c>
      <c r="DY674" s="58">
        <f>IFERROR($T675/$T674-1,"")</f>
        <v/>
      </c>
      <c r="DZ674" s="58">
        <f>IFERROR($U675/$U674-1,"")</f>
        <v/>
      </c>
      <c r="EA674" s="58">
        <f>IFERROR($V675/$V674-1,"")</f>
        <v/>
      </c>
      <c r="EB674" s="58">
        <f>IFERROR($W675/$W674-1,"")</f>
        <v/>
      </c>
      <c r="EC674" s="58">
        <f>IFERROR($X675/$X674-1,"")</f>
        <v/>
      </c>
      <c r="ED674" s="58">
        <f>IFERROR($Y675/$Y674-1,"")</f>
        <v/>
      </c>
      <c r="EE674" s="58">
        <f>IFERROR($Z675/$Z674-1,"")</f>
        <v/>
      </c>
      <c r="EF674" s="58">
        <f>IFERROR($AA675/$AA674-1,"")</f>
        <v/>
      </c>
      <c r="EG674" s="58">
        <f>IFERROR($AB675/$AB674-1,"")</f>
        <v/>
      </c>
      <c r="EH674" s="58">
        <f>IFERROR($AC675/$AC674-1,"")</f>
        <v/>
      </c>
      <c r="EI674" s="58">
        <f>IFERROR($AD675/$AD674-1,"")</f>
        <v/>
      </c>
      <c r="EJ674" s="58">
        <f>IFERROR($AE675/$AE674-1,"")</f>
        <v/>
      </c>
      <c r="EK674" s="58">
        <f>IFERROR($AF675/$AF674-1,"")</f>
        <v/>
      </c>
      <c r="EL674" s="58">
        <f>IFERROR($AG675/$AG674-1,"")</f>
        <v/>
      </c>
      <c r="EM674" s="58">
        <f>IFERROR($BB674/$BB675-1,"")</f>
        <v/>
      </c>
      <c r="EN674" s="58">
        <f>IFERROR($BC674/$BC675-1,"")</f>
        <v/>
      </c>
      <c r="EO674" s="58">
        <f>IFERROR($BD674/$BD675-1,"")</f>
        <v/>
      </c>
      <c r="EP674" s="58">
        <f>IFERROR($BE674/$BE675-1,"")</f>
        <v/>
      </c>
      <c r="EQ674" s="58">
        <f>IFERROR($BF674/$BF675-1,"")</f>
        <v/>
      </c>
      <c r="ER674" s="58">
        <f>IFERROR($BG674/$BG675-1,"")</f>
        <v/>
      </c>
      <c r="ES674" s="58">
        <f>IFERROR($BH674/$BH675-1,"")</f>
        <v/>
      </c>
      <c r="ET674" s="58">
        <f>IFERROR($BI674/$BI675-1,"")</f>
        <v/>
      </c>
      <c r="EU674" s="58">
        <f>IFERROR($BJ674/$BJ675-1,"")</f>
        <v/>
      </c>
      <c r="EV674" s="58">
        <f>IFERROR($BK674/$BK675-1,"")</f>
        <v/>
      </c>
      <c r="EW674" s="58">
        <f>IFERROR($BL674/$BL675-1,"")</f>
        <v/>
      </c>
      <c r="EX674" s="58">
        <f>IFERROR($BM674/$BM675-1,"")</f>
        <v/>
      </c>
      <c r="EY674" s="58">
        <f>IFERROR($BN674/$BN675-1,"")</f>
        <v/>
      </c>
      <c r="EZ674" s="58">
        <f>IFERROR($BO674/$BO675-1,"")</f>
        <v/>
      </c>
      <c r="FA674" s="58">
        <f>IFERROR($BP674/$BP675-1,"")</f>
        <v/>
      </c>
      <c r="FB674" s="58">
        <f>IFERROR($BQ674/$BQ675-1,"")</f>
        <v/>
      </c>
      <c r="FC674" s="58">
        <f>IFERROR($BR674/$BR675-1,"")</f>
        <v/>
      </c>
      <c r="FD674" s="58">
        <f>IFERROR($BS674/$BS675-1,"")</f>
        <v/>
      </c>
      <c r="FE674" s="58">
        <f>IFERROR($BT674/$BT675-1,"")</f>
        <v/>
      </c>
      <c r="FF674" s="58">
        <f>IFERROR($BU674/$BU675-1,"")</f>
        <v/>
      </c>
      <c r="FG674" s="58">
        <f>IFERROR($BV674/$BV675-1,"")</f>
        <v/>
      </c>
      <c r="FH674" s="58">
        <f>IFERROR($BW674/$BW675-1,"")</f>
        <v/>
      </c>
      <c r="FI674" s="58">
        <f>IFERROR($BX674/$BX675-1,"")</f>
        <v/>
      </c>
      <c r="FJ674" s="59">
        <f>$BY674-$BY675</f>
        <v/>
      </c>
      <c r="FK674" s="59">
        <f>$BZ674-$BZ675</f>
        <v/>
      </c>
      <c r="FL674" s="59">
        <f>$CA674-$CA675</f>
        <v/>
      </c>
      <c r="FM674" s="59">
        <f>$CB674-$CB675</f>
        <v/>
      </c>
      <c r="FN674" s="59">
        <f>$CC674-$CC675</f>
        <v/>
      </c>
      <c r="FO674" s="59">
        <f>$CD674-$CD675</f>
        <v/>
      </c>
      <c r="FP674" s="59">
        <f>$CE674-$CE675</f>
        <v/>
      </c>
      <c r="FQ674" s="59">
        <f>$CF674-$CF675</f>
        <v/>
      </c>
      <c r="FR674" s="59">
        <f>$CG674-$CG675</f>
        <v/>
      </c>
      <c r="FS674" s="59">
        <f>$CH674-$CH675</f>
        <v/>
      </c>
      <c r="FT674" s="59">
        <f>$CI674-$CI675</f>
        <v/>
      </c>
      <c r="FU674" s="59">
        <f>$CJ674-$CJ675</f>
        <v/>
      </c>
      <c r="FV674" s="59">
        <f>$CK674-$CK675</f>
        <v/>
      </c>
      <c r="FW674" s="59">
        <f>$CL674-$CL675</f>
        <v/>
      </c>
      <c r="FX674" s="59">
        <f>$CM674-$CM675</f>
        <v/>
      </c>
      <c r="FY674" s="59">
        <f>$CN674-$CN675</f>
        <v/>
      </c>
      <c r="FZ674" s="59">
        <f>$CO674-$CO675</f>
        <v/>
      </c>
      <c r="GA674" s="59">
        <f>$CP674-$CP675</f>
        <v/>
      </c>
      <c r="GB674" s="59">
        <f>$CQ674-$CQ675</f>
        <v/>
      </c>
      <c r="GC674" s="59">
        <f>$CR674-$CR675</f>
        <v/>
      </c>
      <c r="GD674" s="59">
        <f>$CS674-$CS675</f>
        <v/>
      </c>
      <c r="GE674" s="59">
        <f>$CT674-$CT675</f>
        <v/>
      </c>
    </row>
    <row r="675">
      <c r="CU675" s="58">
        <f>IFERROR($B675/$B676-1,"")</f>
        <v/>
      </c>
      <c r="CV675" s="59">
        <f>($F675-$F676)*100</f>
        <v/>
      </c>
      <c r="CW675" s="59">
        <f>($E675-$E676)*100</f>
        <v/>
      </c>
      <c r="CX675" s="58">
        <f>IFERROR($K675/$K676-1,"")</f>
        <v/>
      </c>
      <c r="CY675" s="59">
        <f>($AH675-$AH676)*100</f>
        <v/>
      </c>
      <c r="CZ675" s="59">
        <f>($AI675-$AI676)*100</f>
        <v/>
      </c>
      <c r="DA675" s="59">
        <f>($AJ675-$AJ676)*100</f>
        <v/>
      </c>
      <c r="DB675" s="59">
        <f>($AK675-$AK676)*100</f>
        <v/>
      </c>
      <c r="DC675" s="59">
        <f>($AL675-$AL676)*100</f>
        <v/>
      </c>
      <c r="DD675" s="59">
        <f>($AM675-$AM676)*100</f>
        <v/>
      </c>
      <c r="DE675" s="59">
        <f>($AN675-$AN676)*100</f>
        <v/>
      </c>
      <c r="DF675" s="59">
        <f>($AO675-$AO676)*100</f>
        <v/>
      </c>
      <c r="DG675" s="59">
        <f>($AP675-$AP676)*100</f>
        <v/>
      </c>
      <c r="DH675" s="59">
        <f>($AQ675-$AQ676)*100</f>
        <v/>
      </c>
      <c r="DI675" s="59">
        <f>($AR675-$AR676)*100</f>
        <v/>
      </c>
      <c r="DJ675" s="59">
        <f>($AS675-$AS676)*100</f>
        <v/>
      </c>
      <c r="DK675" s="59">
        <f>($AT675-$AT676)*100</f>
        <v/>
      </c>
      <c r="DL675" s="59">
        <f>($AU675-$AU676)*100</f>
        <v/>
      </c>
      <c r="DM675" s="59">
        <f>($AV675-$AV676)*100</f>
        <v/>
      </c>
      <c r="DN675" s="59">
        <f>($AW675-$AW676)*100</f>
        <v/>
      </c>
      <c r="DO675" s="59">
        <f>($AX675-$AX676)*100</f>
        <v/>
      </c>
      <c r="DP675" s="59">
        <f>($AY675-$AY676)*100</f>
        <v/>
      </c>
      <c r="DQ675" s="59">
        <f>($AZ675-$AZ676)*100</f>
        <v/>
      </c>
      <c r="DR675" s="59">
        <f>($BA675-$BA676)*100</f>
        <v/>
      </c>
      <c r="DS675" s="58">
        <f>IFERROR($N676/$N675-1,"")</f>
        <v/>
      </c>
      <c r="DT675" s="58">
        <f>IFERROR($O676/$O675-1,"")</f>
        <v/>
      </c>
      <c r="DU675" s="58">
        <f>IFERROR($P676/$P675-1,"")</f>
        <v/>
      </c>
      <c r="DV675" s="58">
        <f>IFERROR($Q676/$Q675-1,"")</f>
        <v/>
      </c>
      <c r="DW675" s="58">
        <f>IFERROR($R676/$R675-1,"")</f>
        <v/>
      </c>
      <c r="DX675" s="58">
        <f>IFERROR($S676/$S675-1,"")</f>
        <v/>
      </c>
      <c r="DY675" s="58">
        <f>IFERROR($T676/$T675-1,"")</f>
        <v/>
      </c>
      <c r="DZ675" s="58">
        <f>IFERROR($U676/$U675-1,"")</f>
        <v/>
      </c>
      <c r="EA675" s="58">
        <f>IFERROR($V676/$V675-1,"")</f>
        <v/>
      </c>
      <c r="EB675" s="58">
        <f>IFERROR($W676/$W675-1,"")</f>
        <v/>
      </c>
      <c r="EC675" s="58">
        <f>IFERROR($X676/$X675-1,"")</f>
        <v/>
      </c>
      <c r="ED675" s="58">
        <f>IFERROR($Y676/$Y675-1,"")</f>
        <v/>
      </c>
      <c r="EE675" s="58">
        <f>IFERROR($Z676/$Z675-1,"")</f>
        <v/>
      </c>
      <c r="EF675" s="58">
        <f>IFERROR($AA676/$AA675-1,"")</f>
        <v/>
      </c>
      <c r="EG675" s="58">
        <f>IFERROR($AB676/$AB675-1,"")</f>
        <v/>
      </c>
      <c r="EH675" s="58">
        <f>IFERROR($AC676/$AC675-1,"")</f>
        <v/>
      </c>
      <c r="EI675" s="58">
        <f>IFERROR($AD676/$AD675-1,"")</f>
        <v/>
      </c>
      <c r="EJ675" s="58">
        <f>IFERROR($AE676/$AE675-1,"")</f>
        <v/>
      </c>
      <c r="EK675" s="58">
        <f>IFERROR($AF676/$AF675-1,"")</f>
        <v/>
      </c>
      <c r="EL675" s="58">
        <f>IFERROR($AG676/$AG675-1,"")</f>
        <v/>
      </c>
      <c r="EM675" s="58">
        <f>IFERROR($BB675/$BB676-1,"")</f>
        <v/>
      </c>
      <c r="EN675" s="58">
        <f>IFERROR($BC675/$BC676-1,"")</f>
        <v/>
      </c>
      <c r="EO675" s="58">
        <f>IFERROR($BD675/$BD676-1,"")</f>
        <v/>
      </c>
      <c r="EP675" s="58">
        <f>IFERROR($BE675/$BE676-1,"")</f>
        <v/>
      </c>
      <c r="EQ675" s="58">
        <f>IFERROR($BF675/$BF676-1,"")</f>
        <v/>
      </c>
      <c r="ER675" s="58">
        <f>IFERROR($BG675/$BG676-1,"")</f>
        <v/>
      </c>
      <c r="ES675" s="58">
        <f>IFERROR($BH675/$BH676-1,"")</f>
        <v/>
      </c>
      <c r="ET675" s="58">
        <f>IFERROR($BI675/$BI676-1,"")</f>
        <v/>
      </c>
      <c r="EU675" s="58">
        <f>IFERROR($BJ675/$BJ676-1,"")</f>
        <v/>
      </c>
      <c r="EV675" s="58">
        <f>IFERROR($BK675/$BK676-1,"")</f>
        <v/>
      </c>
      <c r="EW675" s="58">
        <f>IFERROR($BL675/$BL676-1,"")</f>
        <v/>
      </c>
      <c r="EX675" s="58">
        <f>IFERROR($BM675/$BM676-1,"")</f>
        <v/>
      </c>
      <c r="EY675" s="58">
        <f>IFERROR($BN675/$BN676-1,"")</f>
        <v/>
      </c>
      <c r="EZ675" s="58">
        <f>IFERROR($BO675/$BO676-1,"")</f>
        <v/>
      </c>
      <c r="FA675" s="58">
        <f>IFERROR($BP675/$BP676-1,"")</f>
        <v/>
      </c>
      <c r="FB675" s="58">
        <f>IFERROR($BQ675/$BQ676-1,"")</f>
        <v/>
      </c>
      <c r="FC675" s="58">
        <f>IFERROR($BR675/$BR676-1,"")</f>
        <v/>
      </c>
      <c r="FD675" s="58">
        <f>IFERROR($BS675/$BS676-1,"")</f>
        <v/>
      </c>
      <c r="FE675" s="58">
        <f>IFERROR($BT675/$BT676-1,"")</f>
        <v/>
      </c>
      <c r="FF675" s="58">
        <f>IFERROR($BU675/$BU676-1,"")</f>
        <v/>
      </c>
      <c r="FG675" s="58">
        <f>IFERROR($BV675/$BV676-1,"")</f>
        <v/>
      </c>
      <c r="FH675" s="58">
        <f>IFERROR($BW675/$BW676-1,"")</f>
        <v/>
      </c>
      <c r="FI675" s="58">
        <f>IFERROR($BX675/$BX676-1,"")</f>
        <v/>
      </c>
      <c r="FJ675" s="59">
        <f>$BY675-$BY676</f>
        <v/>
      </c>
      <c r="FK675" s="59">
        <f>$BZ675-$BZ676</f>
        <v/>
      </c>
      <c r="FL675" s="59">
        <f>$CA675-$CA676</f>
        <v/>
      </c>
      <c r="FM675" s="59">
        <f>$CB675-$CB676</f>
        <v/>
      </c>
      <c r="FN675" s="59">
        <f>$CC675-$CC676</f>
        <v/>
      </c>
      <c r="FO675" s="59">
        <f>$CD675-$CD676</f>
        <v/>
      </c>
      <c r="FP675" s="59">
        <f>$CE675-$CE676</f>
        <v/>
      </c>
      <c r="FQ675" s="59">
        <f>$CF675-$CF676</f>
        <v/>
      </c>
      <c r="FR675" s="59">
        <f>$CG675-$CG676</f>
        <v/>
      </c>
      <c r="FS675" s="59">
        <f>$CH675-$CH676</f>
        <v/>
      </c>
      <c r="FT675" s="59">
        <f>$CI675-$CI676</f>
        <v/>
      </c>
      <c r="FU675" s="59">
        <f>$CJ675-$CJ676</f>
        <v/>
      </c>
      <c r="FV675" s="59">
        <f>$CK675-$CK676</f>
        <v/>
      </c>
      <c r="FW675" s="59">
        <f>$CL675-$CL676</f>
        <v/>
      </c>
      <c r="FX675" s="59">
        <f>$CM675-$CM676</f>
        <v/>
      </c>
      <c r="FY675" s="59">
        <f>$CN675-$CN676</f>
        <v/>
      </c>
      <c r="FZ675" s="59">
        <f>$CO675-$CO676</f>
        <v/>
      </c>
      <c r="GA675" s="59">
        <f>$CP675-$CP676</f>
        <v/>
      </c>
      <c r="GB675" s="59">
        <f>$CQ675-$CQ676</f>
        <v/>
      </c>
      <c r="GC675" s="59">
        <f>$CR675-$CR676</f>
        <v/>
      </c>
      <c r="GD675" s="59">
        <f>$CS675-$CS676</f>
        <v/>
      </c>
      <c r="GE675" s="59">
        <f>$CT675-$CT676</f>
        <v/>
      </c>
    </row>
    <row r="676">
      <c r="CU676" s="58">
        <f>IFERROR($B676/$B677-1,"")</f>
        <v/>
      </c>
      <c r="CV676" s="59">
        <f>($F676-$F677)*100</f>
        <v/>
      </c>
      <c r="CW676" s="59">
        <f>($E676-$E677)*100</f>
        <v/>
      </c>
      <c r="CX676" s="58">
        <f>IFERROR($K676/$K677-1,"")</f>
        <v/>
      </c>
      <c r="CY676" s="59">
        <f>($AH676-$AH677)*100</f>
        <v/>
      </c>
      <c r="CZ676" s="59">
        <f>($AI676-$AI677)*100</f>
        <v/>
      </c>
      <c r="DA676" s="59">
        <f>($AJ676-$AJ677)*100</f>
        <v/>
      </c>
      <c r="DB676" s="59">
        <f>($AK676-$AK677)*100</f>
        <v/>
      </c>
      <c r="DC676" s="59">
        <f>($AL676-$AL677)*100</f>
        <v/>
      </c>
      <c r="DD676" s="59">
        <f>($AM676-$AM677)*100</f>
        <v/>
      </c>
      <c r="DE676" s="59">
        <f>($AN676-$AN677)*100</f>
        <v/>
      </c>
      <c r="DF676" s="59">
        <f>($AO676-$AO677)*100</f>
        <v/>
      </c>
      <c r="DG676" s="59">
        <f>($AP676-$AP677)*100</f>
        <v/>
      </c>
      <c r="DH676" s="59">
        <f>($AQ676-$AQ677)*100</f>
        <v/>
      </c>
      <c r="DI676" s="59">
        <f>($AR676-$AR677)*100</f>
        <v/>
      </c>
      <c r="DJ676" s="59">
        <f>($AS676-$AS677)*100</f>
        <v/>
      </c>
      <c r="DK676" s="59">
        <f>($AT676-$AT677)*100</f>
        <v/>
      </c>
      <c r="DL676" s="59">
        <f>($AU676-$AU677)*100</f>
        <v/>
      </c>
      <c r="DM676" s="59">
        <f>($AV676-$AV677)*100</f>
        <v/>
      </c>
      <c r="DN676" s="59">
        <f>($AW676-$AW677)*100</f>
        <v/>
      </c>
      <c r="DO676" s="59">
        <f>($AX676-$AX677)*100</f>
        <v/>
      </c>
      <c r="DP676" s="59">
        <f>($AY676-$AY677)*100</f>
        <v/>
      </c>
      <c r="DQ676" s="59">
        <f>($AZ676-$AZ677)*100</f>
        <v/>
      </c>
      <c r="DR676" s="59">
        <f>($BA676-$BA677)*100</f>
        <v/>
      </c>
      <c r="DS676" s="58">
        <f>IFERROR($N677/$N676-1,"")</f>
        <v/>
      </c>
      <c r="DT676" s="58">
        <f>IFERROR($O677/$O676-1,"")</f>
        <v/>
      </c>
      <c r="DU676" s="58">
        <f>IFERROR($P677/$P676-1,"")</f>
        <v/>
      </c>
      <c r="DV676" s="58">
        <f>IFERROR($Q677/$Q676-1,"")</f>
        <v/>
      </c>
      <c r="DW676" s="58">
        <f>IFERROR($R677/$R676-1,"")</f>
        <v/>
      </c>
      <c r="DX676" s="58">
        <f>IFERROR($S677/$S676-1,"")</f>
        <v/>
      </c>
      <c r="DY676" s="58">
        <f>IFERROR($T677/$T676-1,"")</f>
        <v/>
      </c>
      <c r="DZ676" s="58">
        <f>IFERROR($U677/$U676-1,"")</f>
        <v/>
      </c>
      <c r="EA676" s="58">
        <f>IFERROR($V677/$V676-1,"")</f>
        <v/>
      </c>
      <c r="EB676" s="58">
        <f>IFERROR($W677/$W676-1,"")</f>
        <v/>
      </c>
      <c r="EC676" s="58">
        <f>IFERROR($X677/$X676-1,"")</f>
        <v/>
      </c>
      <c r="ED676" s="58">
        <f>IFERROR($Y677/$Y676-1,"")</f>
        <v/>
      </c>
      <c r="EE676" s="58">
        <f>IFERROR($Z677/$Z676-1,"")</f>
        <v/>
      </c>
      <c r="EF676" s="58">
        <f>IFERROR($AA677/$AA676-1,"")</f>
        <v/>
      </c>
      <c r="EG676" s="58">
        <f>IFERROR($AB677/$AB676-1,"")</f>
        <v/>
      </c>
      <c r="EH676" s="58">
        <f>IFERROR($AC677/$AC676-1,"")</f>
        <v/>
      </c>
      <c r="EI676" s="58">
        <f>IFERROR($AD677/$AD676-1,"")</f>
        <v/>
      </c>
      <c r="EJ676" s="58">
        <f>IFERROR($AE677/$AE676-1,"")</f>
        <v/>
      </c>
      <c r="EK676" s="58">
        <f>IFERROR($AF677/$AF676-1,"")</f>
        <v/>
      </c>
      <c r="EL676" s="58">
        <f>IFERROR($AG677/$AG676-1,"")</f>
        <v/>
      </c>
      <c r="EM676" s="58">
        <f>IFERROR($BB676/$BB677-1,"")</f>
        <v/>
      </c>
      <c r="EN676" s="58">
        <f>IFERROR($BC676/$BC677-1,"")</f>
        <v/>
      </c>
      <c r="EO676" s="58">
        <f>IFERROR($BD676/$BD677-1,"")</f>
        <v/>
      </c>
      <c r="EP676" s="58">
        <f>IFERROR($BE676/$BE677-1,"")</f>
        <v/>
      </c>
      <c r="EQ676" s="58">
        <f>IFERROR($BF676/$BF677-1,"")</f>
        <v/>
      </c>
      <c r="ER676" s="58">
        <f>IFERROR($BG676/$BG677-1,"")</f>
        <v/>
      </c>
      <c r="ES676" s="58">
        <f>IFERROR($BH676/$BH677-1,"")</f>
        <v/>
      </c>
      <c r="ET676" s="58">
        <f>IFERROR($BI676/$BI677-1,"")</f>
        <v/>
      </c>
      <c r="EU676" s="58">
        <f>IFERROR($BJ676/$BJ677-1,"")</f>
        <v/>
      </c>
      <c r="EV676" s="58">
        <f>IFERROR($BK676/$BK677-1,"")</f>
        <v/>
      </c>
      <c r="EW676" s="58">
        <f>IFERROR($BL676/$BL677-1,"")</f>
        <v/>
      </c>
      <c r="EX676" s="58">
        <f>IFERROR($BM676/$BM677-1,"")</f>
        <v/>
      </c>
      <c r="EY676" s="58">
        <f>IFERROR($BN676/$BN677-1,"")</f>
        <v/>
      </c>
      <c r="EZ676" s="58">
        <f>IFERROR($BO676/$BO677-1,"")</f>
        <v/>
      </c>
      <c r="FA676" s="58">
        <f>IFERROR($BP676/$BP677-1,"")</f>
        <v/>
      </c>
      <c r="FB676" s="58">
        <f>IFERROR($BQ676/$BQ677-1,"")</f>
        <v/>
      </c>
      <c r="FC676" s="58">
        <f>IFERROR($BR676/$BR677-1,"")</f>
        <v/>
      </c>
      <c r="FD676" s="58">
        <f>IFERROR($BS676/$BS677-1,"")</f>
        <v/>
      </c>
      <c r="FE676" s="58">
        <f>IFERROR($BT676/$BT677-1,"")</f>
        <v/>
      </c>
      <c r="FF676" s="58">
        <f>IFERROR($BU676/$BU677-1,"")</f>
        <v/>
      </c>
      <c r="FG676" s="58">
        <f>IFERROR($BV676/$BV677-1,"")</f>
        <v/>
      </c>
      <c r="FH676" s="58">
        <f>IFERROR($BW676/$BW677-1,"")</f>
        <v/>
      </c>
      <c r="FI676" s="58">
        <f>IFERROR($BX676/$BX677-1,"")</f>
        <v/>
      </c>
      <c r="FJ676" s="59">
        <f>$BY676-$BY677</f>
        <v/>
      </c>
      <c r="FK676" s="59">
        <f>$BZ676-$BZ677</f>
        <v/>
      </c>
      <c r="FL676" s="59">
        <f>$CA676-$CA677</f>
        <v/>
      </c>
      <c r="FM676" s="59">
        <f>$CB676-$CB677</f>
        <v/>
      </c>
      <c r="FN676" s="59">
        <f>$CC676-$CC677</f>
        <v/>
      </c>
      <c r="FO676" s="59">
        <f>$CD676-$CD677</f>
        <v/>
      </c>
      <c r="FP676" s="59">
        <f>$CE676-$CE677</f>
        <v/>
      </c>
      <c r="FQ676" s="59">
        <f>$CF676-$CF677</f>
        <v/>
      </c>
      <c r="FR676" s="59">
        <f>$CG676-$CG677</f>
        <v/>
      </c>
      <c r="FS676" s="59">
        <f>$CH676-$CH677</f>
        <v/>
      </c>
      <c r="FT676" s="59">
        <f>$CI676-$CI677</f>
        <v/>
      </c>
      <c r="FU676" s="59">
        <f>$CJ676-$CJ677</f>
        <v/>
      </c>
      <c r="FV676" s="59">
        <f>$CK676-$CK677</f>
        <v/>
      </c>
      <c r="FW676" s="59">
        <f>$CL676-$CL677</f>
        <v/>
      </c>
      <c r="FX676" s="59">
        <f>$CM676-$CM677</f>
        <v/>
      </c>
      <c r="FY676" s="59">
        <f>$CN676-$CN677</f>
        <v/>
      </c>
      <c r="FZ676" s="59">
        <f>$CO676-$CO677</f>
        <v/>
      </c>
      <c r="GA676" s="59">
        <f>$CP676-$CP677</f>
        <v/>
      </c>
      <c r="GB676" s="59">
        <f>$CQ676-$CQ677</f>
        <v/>
      </c>
      <c r="GC676" s="59">
        <f>$CR676-$CR677</f>
        <v/>
      </c>
      <c r="GD676" s="59">
        <f>$CS676-$CS677</f>
        <v/>
      </c>
      <c r="GE676" s="59">
        <f>$CT676-$CT677</f>
        <v/>
      </c>
    </row>
    <row r="677">
      <c r="CU677" s="58">
        <f>IFERROR($B677/$B678-1,"")</f>
        <v/>
      </c>
      <c r="CV677" s="59">
        <f>($F677-$F678)*100</f>
        <v/>
      </c>
      <c r="CW677" s="59">
        <f>($E677-$E678)*100</f>
        <v/>
      </c>
      <c r="CX677" s="58">
        <f>IFERROR($K677/$K678-1,"")</f>
        <v/>
      </c>
      <c r="CY677" s="59">
        <f>($AH677-$AH678)*100</f>
        <v/>
      </c>
      <c r="CZ677" s="59">
        <f>($AI677-$AI678)*100</f>
        <v/>
      </c>
      <c r="DA677" s="59">
        <f>($AJ677-$AJ678)*100</f>
        <v/>
      </c>
      <c r="DB677" s="59">
        <f>($AK677-$AK678)*100</f>
        <v/>
      </c>
      <c r="DC677" s="59">
        <f>($AL677-$AL678)*100</f>
        <v/>
      </c>
      <c r="DD677" s="59">
        <f>($AM677-$AM678)*100</f>
        <v/>
      </c>
      <c r="DE677" s="59">
        <f>($AN677-$AN678)*100</f>
        <v/>
      </c>
      <c r="DF677" s="59">
        <f>($AO677-$AO678)*100</f>
        <v/>
      </c>
      <c r="DG677" s="59">
        <f>($AP677-$AP678)*100</f>
        <v/>
      </c>
      <c r="DH677" s="59">
        <f>($AQ677-$AQ678)*100</f>
        <v/>
      </c>
      <c r="DI677" s="59">
        <f>($AR677-$AR678)*100</f>
        <v/>
      </c>
      <c r="DJ677" s="59">
        <f>($AS677-$AS678)*100</f>
        <v/>
      </c>
      <c r="DK677" s="59">
        <f>($AT677-$AT678)*100</f>
        <v/>
      </c>
      <c r="DL677" s="59">
        <f>($AU677-$AU678)*100</f>
        <v/>
      </c>
      <c r="DM677" s="59">
        <f>($AV677-$AV678)*100</f>
        <v/>
      </c>
      <c r="DN677" s="59">
        <f>($AW677-$AW678)*100</f>
        <v/>
      </c>
      <c r="DO677" s="59">
        <f>($AX677-$AX678)*100</f>
        <v/>
      </c>
      <c r="DP677" s="59">
        <f>($AY677-$AY678)*100</f>
        <v/>
      </c>
      <c r="DQ677" s="59">
        <f>($AZ677-$AZ678)*100</f>
        <v/>
      </c>
      <c r="DR677" s="59">
        <f>($BA677-$BA678)*100</f>
        <v/>
      </c>
      <c r="DS677" s="58">
        <f>IFERROR($N678/$N677-1,"")</f>
        <v/>
      </c>
      <c r="DT677" s="58">
        <f>IFERROR($O678/$O677-1,"")</f>
        <v/>
      </c>
      <c r="DU677" s="58">
        <f>IFERROR($P678/$P677-1,"")</f>
        <v/>
      </c>
      <c r="DV677" s="58">
        <f>IFERROR($Q678/$Q677-1,"")</f>
        <v/>
      </c>
      <c r="DW677" s="58">
        <f>IFERROR($R678/$R677-1,"")</f>
        <v/>
      </c>
      <c r="DX677" s="58">
        <f>IFERROR($S678/$S677-1,"")</f>
        <v/>
      </c>
      <c r="DY677" s="58">
        <f>IFERROR($T678/$T677-1,"")</f>
        <v/>
      </c>
      <c r="DZ677" s="58">
        <f>IFERROR($U678/$U677-1,"")</f>
        <v/>
      </c>
      <c r="EA677" s="58">
        <f>IFERROR($V678/$V677-1,"")</f>
        <v/>
      </c>
      <c r="EB677" s="58">
        <f>IFERROR($W678/$W677-1,"")</f>
        <v/>
      </c>
      <c r="EC677" s="58">
        <f>IFERROR($X678/$X677-1,"")</f>
        <v/>
      </c>
      <c r="ED677" s="58">
        <f>IFERROR($Y678/$Y677-1,"")</f>
        <v/>
      </c>
      <c r="EE677" s="58">
        <f>IFERROR($Z678/$Z677-1,"")</f>
        <v/>
      </c>
      <c r="EF677" s="58">
        <f>IFERROR($AA678/$AA677-1,"")</f>
        <v/>
      </c>
      <c r="EG677" s="58">
        <f>IFERROR($AB678/$AB677-1,"")</f>
        <v/>
      </c>
      <c r="EH677" s="58">
        <f>IFERROR($AC678/$AC677-1,"")</f>
        <v/>
      </c>
      <c r="EI677" s="58">
        <f>IFERROR($AD678/$AD677-1,"")</f>
        <v/>
      </c>
      <c r="EJ677" s="58">
        <f>IFERROR($AE678/$AE677-1,"")</f>
        <v/>
      </c>
      <c r="EK677" s="58">
        <f>IFERROR($AF678/$AF677-1,"")</f>
        <v/>
      </c>
      <c r="EL677" s="58">
        <f>IFERROR($AG678/$AG677-1,"")</f>
        <v/>
      </c>
      <c r="EM677" s="58">
        <f>IFERROR($BB677/$BB678-1,"")</f>
        <v/>
      </c>
      <c r="EN677" s="58">
        <f>IFERROR($BC677/$BC678-1,"")</f>
        <v/>
      </c>
      <c r="EO677" s="58">
        <f>IFERROR($BD677/$BD678-1,"")</f>
        <v/>
      </c>
      <c r="EP677" s="58">
        <f>IFERROR($BE677/$BE678-1,"")</f>
        <v/>
      </c>
      <c r="EQ677" s="58">
        <f>IFERROR($BF677/$BF678-1,"")</f>
        <v/>
      </c>
      <c r="ER677" s="58">
        <f>IFERROR($BG677/$BG678-1,"")</f>
        <v/>
      </c>
      <c r="ES677" s="58">
        <f>IFERROR($BH677/$BH678-1,"")</f>
        <v/>
      </c>
      <c r="ET677" s="58">
        <f>IFERROR($BI677/$BI678-1,"")</f>
        <v/>
      </c>
      <c r="EU677" s="58">
        <f>IFERROR($BJ677/$BJ678-1,"")</f>
        <v/>
      </c>
      <c r="EV677" s="58">
        <f>IFERROR($BK677/$BK678-1,"")</f>
        <v/>
      </c>
      <c r="EW677" s="58">
        <f>IFERROR($BL677/$BL678-1,"")</f>
        <v/>
      </c>
      <c r="EX677" s="58">
        <f>IFERROR($BM677/$BM678-1,"")</f>
        <v/>
      </c>
      <c r="EY677" s="58">
        <f>IFERROR($BN677/$BN678-1,"")</f>
        <v/>
      </c>
      <c r="EZ677" s="58">
        <f>IFERROR($BO677/$BO678-1,"")</f>
        <v/>
      </c>
      <c r="FA677" s="58">
        <f>IFERROR($BP677/$BP678-1,"")</f>
        <v/>
      </c>
      <c r="FB677" s="58">
        <f>IFERROR($BQ677/$BQ678-1,"")</f>
        <v/>
      </c>
      <c r="FC677" s="58">
        <f>IFERROR($BR677/$BR678-1,"")</f>
        <v/>
      </c>
      <c r="FD677" s="58">
        <f>IFERROR($BS677/$BS678-1,"")</f>
        <v/>
      </c>
      <c r="FE677" s="58">
        <f>IFERROR($BT677/$BT678-1,"")</f>
        <v/>
      </c>
      <c r="FF677" s="58">
        <f>IFERROR($BU677/$BU678-1,"")</f>
        <v/>
      </c>
      <c r="FG677" s="58">
        <f>IFERROR($BV677/$BV678-1,"")</f>
        <v/>
      </c>
      <c r="FH677" s="58">
        <f>IFERROR($BW677/$BW678-1,"")</f>
        <v/>
      </c>
      <c r="FI677" s="58">
        <f>IFERROR($BX677/$BX678-1,"")</f>
        <v/>
      </c>
      <c r="FJ677" s="59">
        <f>$BY677-$BY678</f>
        <v/>
      </c>
      <c r="FK677" s="59">
        <f>$BZ677-$BZ678</f>
        <v/>
      </c>
      <c r="FL677" s="59">
        <f>$CA677-$CA678</f>
        <v/>
      </c>
      <c r="FM677" s="59">
        <f>$CB677-$CB678</f>
        <v/>
      </c>
      <c r="FN677" s="59">
        <f>$CC677-$CC678</f>
        <v/>
      </c>
      <c r="FO677" s="59">
        <f>$CD677-$CD678</f>
        <v/>
      </c>
      <c r="FP677" s="59">
        <f>$CE677-$CE678</f>
        <v/>
      </c>
      <c r="FQ677" s="59">
        <f>$CF677-$CF678</f>
        <v/>
      </c>
      <c r="FR677" s="59">
        <f>$CG677-$CG678</f>
        <v/>
      </c>
      <c r="FS677" s="59">
        <f>$CH677-$CH678</f>
        <v/>
      </c>
      <c r="FT677" s="59">
        <f>$CI677-$CI678</f>
        <v/>
      </c>
      <c r="FU677" s="59">
        <f>$CJ677-$CJ678</f>
        <v/>
      </c>
      <c r="FV677" s="59">
        <f>$CK677-$CK678</f>
        <v/>
      </c>
      <c r="FW677" s="59">
        <f>$CL677-$CL678</f>
        <v/>
      </c>
      <c r="FX677" s="59">
        <f>$CM677-$CM678</f>
        <v/>
      </c>
      <c r="FY677" s="59">
        <f>$CN677-$CN678</f>
        <v/>
      </c>
      <c r="FZ677" s="59">
        <f>$CO677-$CO678</f>
        <v/>
      </c>
      <c r="GA677" s="59">
        <f>$CP677-$CP678</f>
        <v/>
      </c>
      <c r="GB677" s="59">
        <f>$CQ677-$CQ678</f>
        <v/>
      </c>
      <c r="GC677" s="59">
        <f>$CR677-$CR678</f>
        <v/>
      </c>
      <c r="GD677" s="59">
        <f>$CS677-$CS678</f>
        <v/>
      </c>
      <c r="GE677" s="59">
        <f>$CT677-$CT678</f>
        <v/>
      </c>
    </row>
    <row r="678">
      <c r="CU678" s="58">
        <f>IFERROR($B678/$B679-1,"")</f>
        <v/>
      </c>
      <c r="CV678" s="59">
        <f>($F678-$F679)*100</f>
        <v/>
      </c>
      <c r="CW678" s="59">
        <f>($E678-$E679)*100</f>
        <v/>
      </c>
      <c r="CX678" s="58">
        <f>IFERROR($K678/$K679-1,"")</f>
        <v/>
      </c>
      <c r="CY678" s="59">
        <f>($AH678-$AH679)*100</f>
        <v/>
      </c>
      <c r="CZ678" s="59">
        <f>($AI678-$AI679)*100</f>
        <v/>
      </c>
      <c r="DA678" s="59">
        <f>($AJ678-$AJ679)*100</f>
        <v/>
      </c>
      <c r="DB678" s="59">
        <f>($AK678-$AK679)*100</f>
        <v/>
      </c>
      <c r="DC678" s="59">
        <f>($AL678-$AL679)*100</f>
        <v/>
      </c>
      <c r="DD678" s="59">
        <f>($AM678-$AM679)*100</f>
        <v/>
      </c>
      <c r="DE678" s="59">
        <f>($AN678-$AN679)*100</f>
        <v/>
      </c>
      <c r="DF678" s="59">
        <f>($AO678-$AO679)*100</f>
        <v/>
      </c>
      <c r="DG678" s="59">
        <f>($AP678-$AP679)*100</f>
        <v/>
      </c>
      <c r="DH678" s="59">
        <f>($AQ678-$AQ679)*100</f>
        <v/>
      </c>
      <c r="DI678" s="59">
        <f>($AR678-$AR679)*100</f>
        <v/>
      </c>
      <c r="DJ678" s="59">
        <f>($AS678-$AS679)*100</f>
        <v/>
      </c>
      <c r="DK678" s="59">
        <f>($AT678-$AT679)*100</f>
        <v/>
      </c>
      <c r="DL678" s="59">
        <f>($AU678-$AU679)*100</f>
        <v/>
      </c>
      <c r="DM678" s="59">
        <f>($AV678-$AV679)*100</f>
        <v/>
      </c>
      <c r="DN678" s="59">
        <f>($AW678-$AW679)*100</f>
        <v/>
      </c>
      <c r="DO678" s="59">
        <f>($AX678-$AX679)*100</f>
        <v/>
      </c>
      <c r="DP678" s="59">
        <f>($AY678-$AY679)*100</f>
        <v/>
      </c>
      <c r="DQ678" s="59">
        <f>($AZ678-$AZ679)*100</f>
        <v/>
      </c>
      <c r="DR678" s="59">
        <f>($BA678-$BA679)*100</f>
        <v/>
      </c>
      <c r="DS678" s="58">
        <f>IFERROR($N679/$N678-1,"")</f>
        <v/>
      </c>
      <c r="DT678" s="58">
        <f>IFERROR($O679/$O678-1,"")</f>
        <v/>
      </c>
      <c r="DU678" s="58">
        <f>IFERROR($P679/$P678-1,"")</f>
        <v/>
      </c>
      <c r="DV678" s="58">
        <f>IFERROR($Q679/$Q678-1,"")</f>
        <v/>
      </c>
      <c r="DW678" s="58">
        <f>IFERROR($R679/$R678-1,"")</f>
        <v/>
      </c>
      <c r="DX678" s="58">
        <f>IFERROR($S679/$S678-1,"")</f>
        <v/>
      </c>
      <c r="DY678" s="58">
        <f>IFERROR($T679/$T678-1,"")</f>
        <v/>
      </c>
      <c r="DZ678" s="58">
        <f>IFERROR($U679/$U678-1,"")</f>
        <v/>
      </c>
      <c r="EA678" s="58">
        <f>IFERROR($V679/$V678-1,"")</f>
        <v/>
      </c>
      <c r="EB678" s="58">
        <f>IFERROR($W679/$W678-1,"")</f>
        <v/>
      </c>
      <c r="EC678" s="58">
        <f>IFERROR($X679/$X678-1,"")</f>
        <v/>
      </c>
      <c r="ED678" s="58">
        <f>IFERROR($Y679/$Y678-1,"")</f>
        <v/>
      </c>
      <c r="EE678" s="58">
        <f>IFERROR($Z679/$Z678-1,"")</f>
        <v/>
      </c>
      <c r="EF678" s="58">
        <f>IFERROR($AA679/$AA678-1,"")</f>
        <v/>
      </c>
      <c r="EG678" s="58">
        <f>IFERROR($AB679/$AB678-1,"")</f>
        <v/>
      </c>
      <c r="EH678" s="58">
        <f>IFERROR($AC679/$AC678-1,"")</f>
        <v/>
      </c>
      <c r="EI678" s="58">
        <f>IFERROR($AD679/$AD678-1,"")</f>
        <v/>
      </c>
      <c r="EJ678" s="58">
        <f>IFERROR($AE679/$AE678-1,"")</f>
        <v/>
      </c>
      <c r="EK678" s="58">
        <f>IFERROR($AF679/$AF678-1,"")</f>
        <v/>
      </c>
      <c r="EL678" s="58">
        <f>IFERROR($AG679/$AG678-1,"")</f>
        <v/>
      </c>
      <c r="EM678" s="58">
        <f>IFERROR($BB678/$BB679-1,"")</f>
        <v/>
      </c>
      <c r="EN678" s="58">
        <f>IFERROR($BC678/$BC679-1,"")</f>
        <v/>
      </c>
      <c r="EO678" s="58">
        <f>IFERROR($BD678/$BD679-1,"")</f>
        <v/>
      </c>
      <c r="EP678" s="58">
        <f>IFERROR($BE678/$BE679-1,"")</f>
        <v/>
      </c>
      <c r="EQ678" s="58">
        <f>IFERROR($BF678/$BF679-1,"")</f>
        <v/>
      </c>
      <c r="ER678" s="58">
        <f>IFERROR($BG678/$BG679-1,"")</f>
        <v/>
      </c>
      <c r="ES678" s="58">
        <f>IFERROR($BH678/$BH679-1,"")</f>
        <v/>
      </c>
      <c r="ET678" s="58">
        <f>IFERROR($BI678/$BI679-1,"")</f>
        <v/>
      </c>
      <c r="EU678" s="58">
        <f>IFERROR($BJ678/$BJ679-1,"")</f>
        <v/>
      </c>
      <c r="EV678" s="58">
        <f>IFERROR($BK678/$BK679-1,"")</f>
        <v/>
      </c>
      <c r="EW678" s="58">
        <f>IFERROR($BL678/$BL679-1,"")</f>
        <v/>
      </c>
      <c r="EX678" s="58">
        <f>IFERROR($BM678/$BM679-1,"")</f>
        <v/>
      </c>
      <c r="EY678" s="58">
        <f>IFERROR($BN678/$BN679-1,"")</f>
        <v/>
      </c>
      <c r="EZ678" s="58">
        <f>IFERROR($BO678/$BO679-1,"")</f>
        <v/>
      </c>
      <c r="FA678" s="58">
        <f>IFERROR($BP678/$BP679-1,"")</f>
        <v/>
      </c>
      <c r="FB678" s="58">
        <f>IFERROR($BQ678/$BQ679-1,"")</f>
        <v/>
      </c>
      <c r="FC678" s="58">
        <f>IFERROR($BR678/$BR679-1,"")</f>
        <v/>
      </c>
      <c r="FD678" s="58">
        <f>IFERROR($BS678/$BS679-1,"")</f>
        <v/>
      </c>
      <c r="FE678" s="58">
        <f>IFERROR($BT678/$BT679-1,"")</f>
        <v/>
      </c>
      <c r="FF678" s="58">
        <f>IFERROR($BU678/$BU679-1,"")</f>
        <v/>
      </c>
      <c r="FG678" s="58">
        <f>IFERROR($BV678/$BV679-1,"")</f>
        <v/>
      </c>
      <c r="FH678" s="58">
        <f>IFERROR($BW678/$BW679-1,"")</f>
        <v/>
      </c>
      <c r="FI678" s="58">
        <f>IFERROR($BX678/$BX679-1,"")</f>
        <v/>
      </c>
      <c r="FJ678" s="59">
        <f>$BY678-$BY679</f>
        <v/>
      </c>
      <c r="FK678" s="59">
        <f>$BZ678-$BZ679</f>
        <v/>
      </c>
      <c r="FL678" s="59">
        <f>$CA678-$CA679</f>
        <v/>
      </c>
      <c r="FM678" s="59">
        <f>$CB678-$CB679</f>
        <v/>
      </c>
      <c r="FN678" s="59">
        <f>$CC678-$CC679</f>
        <v/>
      </c>
      <c r="FO678" s="59">
        <f>$CD678-$CD679</f>
        <v/>
      </c>
      <c r="FP678" s="59">
        <f>$CE678-$CE679</f>
        <v/>
      </c>
      <c r="FQ678" s="59">
        <f>$CF678-$CF679</f>
        <v/>
      </c>
      <c r="FR678" s="59">
        <f>$CG678-$CG679</f>
        <v/>
      </c>
      <c r="FS678" s="59">
        <f>$CH678-$CH679</f>
        <v/>
      </c>
      <c r="FT678" s="59">
        <f>$CI678-$CI679</f>
        <v/>
      </c>
      <c r="FU678" s="59">
        <f>$CJ678-$CJ679</f>
        <v/>
      </c>
      <c r="FV678" s="59">
        <f>$CK678-$CK679</f>
        <v/>
      </c>
      <c r="FW678" s="59">
        <f>$CL678-$CL679</f>
        <v/>
      </c>
      <c r="FX678" s="59">
        <f>$CM678-$CM679</f>
        <v/>
      </c>
      <c r="FY678" s="59">
        <f>$CN678-$CN679</f>
        <v/>
      </c>
      <c r="FZ678" s="59">
        <f>$CO678-$CO679</f>
        <v/>
      </c>
      <c r="GA678" s="59">
        <f>$CP678-$CP679</f>
        <v/>
      </c>
      <c r="GB678" s="59">
        <f>$CQ678-$CQ679</f>
        <v/>
      </c>
      <c r="GC678" s="59">
        <f>$CR678-$CR679</f>
        <v/>
      </c>
      <c r="GD678" s="59">
        <f>$CS678-$CS679</f>
        <v/>
      </c>
      <c r="GE678" s="59">
        <f>$CT678-$CT679</f>
        <v/>
      </c>
    </row>
    <row r="679">
      <c r="CU679" s="58">
        <f>IFERROR($B679/$B680-1,"")</f>
        <v/>
      </c>
      <c r="CV679" s="59">
        <f>($F679-$F680)*100</f>
        <v/>
      </c>
      <c r="CW679" s="59">
        <f>($E679-$E680)*100</f>
        <v/>
      </c>
      <c r="CX679" s="58">
        <f>IFERROR($K679/$K680-1,"")</f>
        <v/>
      </c>
      <c r="CY679" s="59">
        <f>($AH679-$AH680)*100</f>
        <v/>
      </c>
      <c r="CZ679" s="59">
        <f>($AI679-$AI680)*100</f>
        <v/>
      </c>
      <c r="DA679" s="59">
        <f>($AJ679-$AJ680)*100</f>
        <v/>
      </c>
      <c r="DB679" s="59">
        <f>($AK679-$AK680)*100</f>
        <v/>
      </c>
      <c r="DC679" s="59">
        <f>($AL679-$AL680)*100</f>
        <v/>
      </c>
      <c r="DD679" s="59">
        <f>($AM679-$AM680)*100</f>
        <v/>
      </c>
      <c r="DE679" s="59">
        <f>($AN679-$AN680)*100</f>
        <v/>
      </c>
      <c r="DF679" s="59">
        <f>($AO679-$AO680)*100</f>
        <v/>
      </c>
      <c r="DG679" s="59">
        <f>($AP679-$AP680)*100</f>
        <v/>
      </c>
      <c r="DH679" s="59">
        <f>($AQ679-$AQ680)*100</f>
        <v/>
      </c>
      <c r="DI679" s="59">
        <f>($AR679-$AR680)*100</f>
        <v/>
      </c>
      <c r="DJ679" s="59">
        <f>($AS679-$AS680)*100</f>
        <v/>
      </c>
      <c r="DK679" s="59">
        <f>($AT679-$AT680)*100</f>
        <v/>
      </c>
      <c r="DL679" s="59">
        <f>($AU679-$AU680)*100</f>
        <v/>
      </c>
      <c r="DM679" s="59">
        <f>($AV679-$AV680)*100</f>
        <v/>
      </c>
      <c r="DN679" s="59">
        <f>($AW679-$AW680)*100</f>
        <v/>
      </c>
      <c r="DO679" s="59">
        <f>($AX679-$AX680)*100</f>
        <v/>
      </c>
      <c r="DP679" s="59">
        <f>($AY679-$AY680)*100</f>
        <v/>
      </c>
      <c r="DQ679" s="59">
        <f>($AZ679-$AZ680)*100</f>
        <v/>
      </c>
      <c r="DR679" s="59">
        <f>($BA679-$BA680)*100</f>
        <v/>
      </c>
      <c r="DS679" s="58">
        <f>IFERROR($N680/$N679-1,"")</f>
        <v/>
      </c>
      <c r="DT679" s="58">
        <f>IFERROR($O680/$O679-1,"")</f>
        <v/>
      </c>
      <c r="DU679" s="58">
        <f>IFERROR($P680/$P679-1,"")</f>
        <v/>
      </c>
      <c r="DV679" s="58">
        <f>IFERROR($Q680/$Q679-1,"")</f>
        <v/>
      </c>
      <c r="DW679" s="58">
        <f>IFERROR($R680/$R679-1,"")</f>
        <v/>
      </c>
      <c r="DX679" s="58">
        <f>IFERROR($S680/$S679-1,"")</f>
        <v/>
      </c>
      <c r="DY679" s="58">
        <f>IFERROR($T680/$T679-1,"")</f>
        <v/>
      </c>
      <c r="DZ679" s="58">
        <f>IFERROR($U680/$U679-1,"")</f>
        <v/>
      </c>
      <c r="EA679" s="58">
        <f>IFERROR($V680/$V679-1,"")</f>
        <v/>
      </c>
      <c r="EB679" s="58">
        <f>IFERROR($W680/$W679-1,"")</f>
        <v/>
      </c>
      <c r="EC679" s="58">
        <f>IFERROR($X680/$X679-1,"")</f>
        <v/>
      </c>
      <c r="ED679" s="58">
        <f>IFERROR($Y680/$Y679-1,"")</f>
        <v/>
      </c>
      <c r="EE679" s="58">
        <f>IFERROR($Z680/$Z679-1,"")</f>
        <v/>
      </c>
      <c r="EF679" s="58">
        <f>IFERROR($AA680/$AA679-1,"")</f>
        <v/>
      </c>
      <c r="EG679" s="58">
        <f>IFERROR($AB680/$AB679-1,"")</f>
        <v/>
      </c>
      <c r="EH679" s="58">
        <f>IFERROR($AC680/$AC679-1,"")</f>
        <v/>
      </c>
      <c r="EI679" s="58">
        <f>IFERROR($AD680/$AD679-1,"")</f>
        <v/>
      </c>
      <c r="EJ679" s="58">
        <f>IFERROR($AE680/$AE679-1,"")</f>
        <v/>
      </c>
      <c r="EK679" s="58">
        <f>IFERROR($AF680/$AF679-1,"")</f>
        <v/>
      </c>
      <c r="EL679" s="58">
        <f>IFERROR($AG680/$AG679-1,"")</f>
        <v/>
      </c>
      <c r="EM679" s="58">
        <f>IFERROR($BB679/$BB680-1,"")</f>
        <v/>
      </c>
      <c r="EN679" s="58">
        <f>IFERROR($BC679/$BC680-1,"")</f>
        <v/>
      </c>
      <c r="EO679" s="58">
        <f>IFERROR($BD679/$BD680-1,"")</f>
        <v/>
      </c>
      <c r="EP679" s="58">
        <f>IFERROR($BE679/$BE680-1,"")</f>
        <v/>
      </c>
      <c r="EQ679" s="58">
        <f>IFERROR($BF679/$BF680-1,"")</f>
        <v/>
      </c>
      <c r="ER679" s="58">
        <f>IFERROR($BG679/$BG680-1,"")</f>
        <v/>
      </c>
      <c r="ES679" s="58">
        <f>IFERROR($BH679/$BH680-1,"")</f>
        <v/>
      </c>
      <c r="ET679" s="58">
        <f>IFERROR($BI679/$BI680-1,"")</f>
        <v/>
      </c>
      <c r="EU679" s="58">
        <f>IFERROR($BJ679/$BJ680-1,"")</f>
        <v/>
      </c>
      <c r="EV679" s="58">
        <f>IFERROR($BK679/$BK680-1,"")</f>
        <v/>
      </c>
      <c r="EW679" s="58">
        <f>IFERROR($BL679/$BL680-1,"")</f>
        <v/>
      </c>
      <c r="EX679" s="58">
        <f>IFERROR($BM679/$BM680-1,"")</f>
        <v/>
      </c>
      <c r="EY679" s="58">
        <f>IFERROR($BN679/$BN680-1,"")</f>
        <v/>
      </c>
      <c r="EZ679" s="58">
        <f>IFERROR($BO679/$BO680-1,"")</f>
        <v/>
      </c>
      <c r="FA679" s="58">
        <f>IFERROR($BP679/$BP680-1,"")</f>
        <v/>
      </c>
      <c r="FB679" s="58">
        <f>IFERROR($BQ679/$BQ680-1,"")</f>
        <v/>
      </c>
      <c r="FC679" s="58">
        <f>IFERROR($BR679/$BR680-1,"")</f>
        <v/>
      </c>
      <c r="FD679" s="58">
        <f>IFERROR($BS679/$BS680-1,"")</f>
        <v/>
      </c>
      <c r="FE679" s="58">
        <f>IFERROR($BT679/$BT680-1,"")</f>
        <v/>
      </c>
      <c r="FF679" s="58">
        <f>IFERROR($BU679/$BU680-1,"")</f>
        <v/>
      </c>
      <c r="FG679" s="58">
        <f>IFERROR($BV679/$BV680-1,"")</f>
        <v/>
      </c>
      <c r="FH679" s="58">
        <f>IFERROR($BW679/$BW680-1,"")</f>
        <v/>
      </c>
      <c r="FI679" s="58">
        <f>IFERROR($BX679/$BX680-1,"")</f>
        <v/>
      </c>
      <c r="FJ679" s="59">
        <f>$BY679-$BY680</f>
        <v/>
      </c>
      <c r="FK679" s="59">
        <f>$BZ679-$BZ680</f>
        <v/>
      </c>
      <c r="FL679" s="59">
        <f>$CA679-$CA680</f>
        <v/>
      </c>
      <c r="FM679" s="59">
        <f>$CB679-$CB680</f>
        <v/>
      </c>
      <c r="FN679" s="59">
        <f>$CC679-$CC680</f>
        <v/>
      </c>
      <c r="FO679" s="59">
        <f>$CD679-$CD680</f>
        <v/>
      </c>
      <c r="FP679" s="59">
        <f>$CE679-$CE680</f>
        <v/>
      </c>
      <c r="FQ679" s="59">
        <f>$CF679-$CF680</f>
        <v/>
      </c>
      <c r="FR679" s="59">
        <f>$CG679-$CG680</f>
        <v/>
      </c>
      <c r="FS679" s="59">
        <f>$CH679-$CH680</f>
        <v/>
      </c>
      <c r="FT679" s="59">
        <f>$CI679-$CI680</f>
        <v/>
      </c>
      <c r="FU679" s="59">
        <f>$CJ679-$CJ680</f>
        <v/>
      </c>
      <c r="FV679" s="59">
        <f>$CK679-$CK680</f>
        <v/>
      </c>
      <c r="FW679" s="59">
        <f>$CL679-$CL680</f>
        <v/>
      </c>
      <c r="FX679" s="59">
        <f>$CM679-$CM680</f>
        <v/>
      </c>
      <c r="FY679" s="59">
        <f>$CN679-$CN680</f>
        <v/>
      </c>
      <c r="FZ679" s="59">
        <f>$CO679-$CO680</f>
        <v/>
      </c>
      <c r="GA679" s="59">
        <f>$CP679-$CP680</f>
        <v/>
      </c>
      <c r="GB679" s="59">
        <f>$CQ679-$CQ680</f>
        <v/>
      </c>
      <c r="GC679" s="59">
        <f>$CR679-$CR680</f>
        <v/>
      </c>
      <c r="GD679" s="59">
        <f>$CS679-$CS680</f>
        <v/>
      </c>
      <c r="GE679" s="59">
        <f>$CT679-$CT680</f>
        <v/>
      </c>
    </row>
    <row r="680">
      <c r="CU680" s="58">
        <f>IFERROR($B680/$B681-1,"")</f>
        <v/>
      </c>
      <c r="CV680" s="59">
        <f>($F680-$F681)*100</f>
        <v/>
      </c>
      <c r="CW680" s="59">
        <f>($E680-$E681)*100</f>
        <v/>
      </c>
      <c r="CX680" s="58">
        <f>IFERROR($K680/$K681-1,"")</f>
        <v/>
      </c>
      <c r="CY680" s="59">
        <f>($AH680-$AH681)*100</f>
        <v/>
      </c>
      <c r="CZ680" s="59">
        <f>($AI680-$AI681)*100</f>
        <v/>
      </c>
      <c r="DA680" s="59">
        <f>($AJ680-$AJ681)*100</f>
        <v/>
      </c>
      <c r="DB680" s="59">
        <f>($AK680-$AK681)*100</f>
        <v/>
      </c>
      <c r="DC680" s="59">
        <f>($AL680-$AL681)*100</f>
        <v/>
      </c>
      <c r="DD680" s="59">
        <f>($AM680-$AM681)*100</f>
        <v/>
      </c>
      <c r="DE680" s="59">
        <f>($AN680-$AN681)*100</f>
        <v/>
      </c>
      <c r="DF680" s="59">
        <f>($AO680-$AO681)*100</f>
        <v/>
      </c>
      <c r="DG680" s="59">
        <f>($AP680-$AP681)*100</f>
        <v/>
      </c>
      <c r="DH680" s="59">
        <f>($AQ680-$AQ681)*100</f>
        <v/>
      </c>
      <c r="DI680" s="59">
        <f>($AR680-$AR681)*100</f>
        <v/>
      </c>
      <c r="DJ680" s="59">
        <f>($AS680-$AS681)*100</f>
        <v/>
      </c>
      <c r="DK680" s="59">
        <f>($AT680-$AT681)*100</f>
        <v/>
      </c>
      <c r="DL680" s="59">
        <f>($AU680-$AU681)*100</f>
        <v/>
      </c>
      <c r="DM680" s="59">
        <f>($AV680-$AV681)*100</f>
        <v/>
      </c>
      <c r="DN680" s="59">
        <f>($AW680-$AW681)*100</f>
        <v/>
      </c>
      <c r="DO680" s="59">
        <f>($AX680-$AX681)*100</f>
        <v/>
      </c>
      <c r="DP680" s="59">
        <f>($AY680-$AY681)*100</f>
        <v/>
      </c>
      <c r="DQ680" s="59">
        <f>($AZ680-$AZ681)*100</f>
        <v/>
      </c>
      <c r="DR680" s="59">
        <f>($BA680-$BA681)*100</f>
        <v/>
      </c>
      <c r="DS680" s="58">
        <f>IFERROR($N681/$N680-1,"")</f>
        <v/>
      </c>
      <c r="DT680" s="58">
        <f>IFERROR($O681/$O680-1,"")</f>
        <v/>
      </c>
      <c r="DU680" s="58">
        <f>IFERROR($P681/$P680-1,"")</f>
        <v/>
      </c>
      <c r="DV680" s="58">
        <f>IFERROR($Q681/$Q680-1,"")</f>
        <v/>
      </c>
      <c r="DW680" s="58">
        <f>IFERROR($R681/$R680-1,"")</f>
        <v/>
      </c>
      <c r="DX680" s="58">
        <f>IFERROR($S681/$S680-1,"")</f>
        <v/>
      </c>
      <c r="DY680" s="58">
        <f>IFERROR($T681/$T680-1,"")</f>
        <v/>
      </c>
      <c r="DZ680" s="58">
        <f>IFERROR($U681/$U680-1,"")</f>
        <v/>
      </c>
      <c r="EA680" s="58">
        <f>IFERROR($V681/$V680-1,"")</f>
        <v/>
      </c>
      <c r="EB680" s="58">
        <f>IFERROR($W681/$W680-1,"")</f>
        <v/>
      </c>
      <c r="EC680" s="58">
        <f>IFERROR($X681/$X680-1,"")</f>
        <v/>
      </c>
      <c r="ED680" s="58">
        <f>IFERROR($Y681/$Y680-1,"")</f>
        <v/>
      </c>
      <c r="EE680" s="58">
        <f>IFERROR($Z681/$Z680-1,"")</f>
        <v/>
      </c>
      <c r="EF680" s="58">
        <f>IFERROR($AA681/$AA680-1,"")</f>
        <v/>
      </c>
      <c r="EG680" s="58">
        <f>IFERROR($AB681/$AB680-1,"")</f>
        <v/>
      </c>
      <c r="EH680" s="58">
        <f>IFERROR($AC681/$AC680-1,"")</f>
        <v/>
      </c>
      <c r="EI680" s="58">
        <f>IFERROR($AD681/$AD680-1,"")</f>
        <v/>
      </c>
      <c r="EJ680" s="58">
        <f>IFERROR($AE681/$AE680-1,"")</f>
        <v/>
      </c>
      <c r="EK680" s="58">
        <f>IFERROR($AF681/$AF680-1,"")</f>
        <v/>
      </c>
      <c r="EL680" s="58">
        <f>IFERROR($AG681/$AG680-1,"")</f>
        <v/>
      </c>
      <c r="EM680" s="58">
        <f>IFERROR($BB680/$BB681-1,"")</f>
        <v/>
      </c>
      <c r="EN680" s="58">
        <f>IFERROR($BC680/$BC681-1,"")</f>
        <v/>
      </c>
      <c r="EO680" s="58">
        <f>IFERROR($BD680/$BD681-1,"")</f>
        <v/>
      </c>
      <c r="EP680" s="58">
        <f>IFERROR($BE680/$BE681-1,"")</f>
        <v/>
      </c>
      <c r="EQ680" s="58">
        <f>IFERROR($BF680/$BF681-1,"")</f>
        <v/>
      </c>
      <c r="ER680" s="58">
        <f>IFERROR($BG680/$BG681-1,"")</f>
        <v/>
      </c>
      <c r="ES680" s="58">
        <f>IFERROR($BH680/$BH681-1,"")</f>
        <v/>
      </c>
      <c r="ET680" s="58">
        <f>IFERROR($BI680/$BI681-1,"")</f>
        <v/>
      </c>
      <c r="EU680" s="58">
        <f>IFERROR($BJ680/$BJ681-1,"")</f>
        <v/>
      </c>
      <c r="EV680" s="58">
        <f>IFERROR($BK680/$BK681-1,"")</f>
        <v/>
      </c>
      <c r="EW680" s="58">
        <f>IFERROR($BL680/$BL681-1,"")</f>
        <v/>
      </c>
      <c r="EX680" s="58">
        <f>IFERROR($BM680/$BM681-1,"")</f>
        <v/>
      </c>
      <c r="EY680" s="58">
        <f>IFERROR($BN680/$BN681-1,"")</f>
        <v/>
      </c>
      <c r="EZ680" s="58">
        <f>IFERROR($BO680/$BO681-1,"")</f>
        <v/>
      </c>
      <c r="FA680" s="58">
        <f>IFERROR($BP680/$BP681-1,"")</f>
        <v/>
      </c>
      <c r="FB680" s="58">
        <f>IFERROR($BQ680/$BQ681-1,"")</f>
        <v/>
      </c>
      <c r="FC680" s="58">
        <f>IFERROR($BR680/$BR681-1,"")</f>
        <v/>
      </c>
      <c r="FD680" s="58">
        <f>IFERROR($BS680/$BS681-1,"")</f>
        <v/>
      </c>
      <c r="FE680" s="58">
        <f>IFERROR($BT680/$BT681-1,"")</f>
        <v/>
      </c>
      <c r="FF680" s="58">
        <f>IFERROR($BU680/$BU681-1,"")</f>
        <v/>
      </c>
      <c r="FG680" s="58">
        <f>IFERROR($BV680/$BV681-1,"")</f>
        <v/>
      </c>
      <c r="FH680" s="58">
        <f>IFERROR($BW680/$BW681-1,"")</f>
        <v/>
      </c>
      <c r="FI680" s="58">
        <f>IFERROR($BX680/$BX681-1,"")</f>
        <v/>
      </c>
      <c r="FJ680" s="59">
        <f>$BY680-$BY681</f>
        <v/>
      </c>
      <c r="FK680" s="59">
        <f>$BZ680-$BZ681</f>
        <v/>
      </c>
      <c r="FL680" s="59">
        <f>$CA680-$CA681</f>
        <v/>
      </c>
      <c r="FM680" s="59">
        <f>$CB680-$CB681</f>
        <v/>
      </c>
      <c r="FN680" s="59">
        <f>$CC680-$CC681</f>
        <v/>
      </c>
      <c r="FO680" s="59">
        <f>$CD680-$CD681</f>
        <v/>
      </c>
      <c r="FP680" s="59">
        <f>$CE680-$CE681</f>
        <v/>
      </c>
      <c r="FQ680" s="59">
        <f>$CF680-$CF681</f>
        <v/>
      </c>
      <c r="FR680" s="59">
        <f>$CG680-$CG681</f>
        <v/>
      </c>
      <c r="FS680" s="59">
        <f>$CH680-$CH681</f>
        <v/>
      </c>
      <c r="FT680" s="59">
        <f>$CI680-$CI681</f>
        <v/>
      </c>
      <c r="FU680" s="59">
        <f>$CJ680-$CJ681</f>
        <v/>
      </c>
      <c r="FV680" s="59">
        <f>$CK680-$CK681</f>
        <v/>
      </c>
      <c r="FW680" s="59">
        <f>$CL680-$CL681</f>
        <v/>
      </c>
      <c r="FX680" s="59">
        <f>$CM680-$CM681</f>
        <v/>
      </c>
      <c r="FY680" s="59">
        <f>$CN680-$CN681</f>
        <v/>
      </c>
      <c r="FZ680" s="59">
        <f>$CO680-$CO681</f>
        <v/>
      </c>
      <c r="GA680" s="59">
        <f>$CP680-$CP681</f>
        <v/>
      </c>
      <c r="GB680" s="59">
        <f>$CQ680-$CQ681</f>
        <v/>
      </c>
      <c r="GC680" s="59">
        <f>$CR680-$CR681</f>
        <v/>
      </c>
      <c r="GD680" s="59">
        <f>$CS680-$CS681</f>
        <v/>
      </c>
      <c r="GE680" s="59">
        <f>$CT680-$CT681</f>
        <v/>
      </c>
    </row>
    <row r="681">
      <c r="CU681" s="58">
        <f>IFERROR($B681/$B682-1,"")</f>
        <v/>
      </c>
      <c r="CV681" s="59">
        <f>($F681-$F682)*100</f>
        <v/>
      </c>
      <c r="CW681" s="59">
        <f>($E681-$E682)*100</f>
        <v/>
      </c>
      <c r="CX681" s="58">
        <f>IFERROR($K681/$K682-1,"")</f>
        <v/>
      </c>
      <c r="CY681" s="59">
        <f>($AH681-$AH682)*100</f>
        <v/>
      </c>
      <c r="CZ681" s="59">
        <f>($AI681-$AI682)*100</f>
        <v/>
      </c>
      <c r="DA681" s="59">
        <f>($AJ681-$AJ682)*100</f>
        <v/>
      </c>
      <c r="DB681" s="59">
        <f>($AK681-$AK682)*100</f>
        <v/>
      </c>
      <c r="DC681" s="59">
        <f>($AL681-$AL682)*100</f>
        <v/>
      </c>
      <c r="DD681" s="59">
        <f>($AM681-$AM682)*100</f>
        <v/>
      </c>
      <c r="DE681" s="59">
        <f>($AN681-$AN682)*100</f>
        <v/>
      </c>
      <c r="DF681" s="59">
        <f>($AO681-$AO682)*100</f>
        <v/>
      </c>
      <c r="DG681" s="59">
        <f>($AP681-$AP682)*100</f>
        <v/>
      </c>
      <c r="DH681" s="59">
        <f>($AQ681-$AQ682)*100</f>
        <v/>
      </c>
      <c r="DI681" s="59">
        <f>($AR681-$AR682)*100</f>
        <v/>
      </c>
      <c r="DJ681" s="59">
        <f>($AS681-$AS682)*100</f>
        <v/>
      </c>
      <c r="DK681" s="59">
        <f>($AT681-$AT682)*100</f>
        <v/>
      </c>
      <c r="DL681" s="59">
        <f>($AU681-$AU682)*100</f>
        <v/>
      </c>
      <c r="DM681" s="59">
        <f>($AV681-$AV682)*100</f>
        <v/>
      </c>
      <c r="DN681" s="59">
        <f>($AW681-$AW682)*100</f>
        <v/>
      </c>
      <c r="DO681" s="59">
        <f>($AX681-$AX682)*100</f>
        <v/>
      </c>
      <c r="DP681" s="59">
        <f>($AY681-$AY682)*100</f>
        <v/>
      </c>
      <c r="DQ681" s="59">
        <f>($AZ681-$AZ682)*100</f>
        <v/>
      </c>
      <c r="DR681" s="59">
        <f>($BA681-$BA682)*100</f>
        <v/>
      </c>
      <c r="DS681" s="58">
        <f>IFERROR($N682/$N681-1,"")</f>
        <v/>
      </c>
      <c r="DT681" s="58">
        <f>IFERROR($O682/$O681-1,"")</f>
        <v/>
      </c>
      <c r="DU681" s="58">
        <f>IFERROR($P682/$P681-1,"")</f>
        <v/>
      </c>
      <c r="DV681" s="58">
        <f>IFERROR($Q682/$Q681-1,"")</f>
        <v/>
      </c>
      <c r="DW681" s="58">
        <f>IFERROR($R682/$R681-1,"")</f>
        <v/>
      </c>
      <c r="DX681" s="58">
        <f>IFERROR($S682/$S681-1,"")</f>
        <v/>
      </c>
      <c r="DY681" s="58">
        <f>IFERROR($T682/$T681-1,"")</f>
        <v/>
      </c>
      <c r="DZ681" s="58">
        <f>IFERROR($U682/$U681-1,"")</f>
        <v/>
      </c>
      <c r="EA681" s="58">
        <f>IFERROR($V682/$V681-1,"")</f>
        <v/>
      </c>
      <c r="EB681" s="58">
        <f>IFERROR($W682/$W681-1,"")</f>
        <v/>
      </c>
      <c r="EC681" s="58">
        <f>IFERROR($X682/$X681-1,"")</f>
        <v/>
      </c>
      <c r="ED681" s="58">
        <f>IFERROR($Y682/$Y681-1,"")</f>
        <v/>
      </c>
      <c r="EE681" s="58">
        <f>IFERROR($Z682/$Z681-1,"")</f>
        <v/>
      </c>
      <c r="EF681" s="58">
        <f>IFERROR($AA682/$AA681-1,"")</f>
        <v/>
      </c>
      <c r="EG681" s="58">
        <f>IFERROR($AB682/$AB681-1,"")</f>
        <v/>
      </c>
      <c r="EH681" s="58">
        <f>IFERROR($AC682/$AC681-1,"")</f>
        <v/>
      </c>
      <c r="EI681" s="58">
        <f>IFERROR($AD682/$AD681-1,"")</f>
        <v/>
      </c>
      <c r="EJ681" s="58">
        <f>IFERROR($AE682/$AE681-1,"")</f>
        <v/>
      </c>
      <c r="EK681" s="58">
        <f>IFERROR($AF682/$AF681-1,"")</f>
        <v/>
      </c>
      <c r="EL681" s="58">
        <f>IFERROR($AG682/$AG681-1,"")</f>
        <v/>
      </c>
      <c r="EM681" s="58">
        <f>IFERROR($BB681/$BB682-1,"")</f>
        <v/>
      </c>
      <c r="EN681" s="58">
        <f>IFERROR($BC681/$BC682-1,"")</f>
        <v/>
      </c>
      <c r="EO681" s="58">
        <f>IFERROR($BD681/$BD682-1,"")</f>
        <v/>
      </c>
      <c r="EP681" s="58">
        <f>IFERROR($BE681/$BE682-1,"")</f>
        <v/>
      </c>
      <c r="EQ681" s="58">
        <f>IFERROR($BF681/$BF682-1,"")</f>
        <v/>
      </c>
      <c r="ER681" s="58">
        <f>IFERROR($BG681/$BG682-1,"")</f>
        <v/>
      </c>
      <c r="ES681" s="58">
        <f>IFERROR($BH681/$BH682-1,"")</f>
        <v/>
      </c>
      <c r="ET681" s="58">
        <f>IFERROR($BI681/$BI682-1,"")</f>
        <v/>
      </c>
      <c r="EU681" s="58">
        <f>IFERROR($BJ681/$BJ682-1,"")</f>
        <v/>
      </c>
      <c r="EV681" s="58">
        <f>IFERROR($BK681/$BK682-1,"")</f>
        <v/>
      </c>
      <c r="EW681" s="58">
        <f>IFERROR($BL681/$BL682-1,"")</f>
        <v/>
      </c>
      <c r="EX681" s="58">
        <f>IFERROR($BM681/$BM682-1,"")</f>
        <v/>
      </c>
      <c r="EY681" s="58">
        <f>IFERROR($BN681/$BN682-1,"")</f>
        <v/>
      </c>
      <c r="EZ681" s="58">
        <f>IFERROR($BO681/$BO682-1,"")</f>
        <v/>
      </c>
      <c r="FA681" s="58">
        <f>IFERROR($BP681/$BP682-1,"")</f>
        <v/>
      </c>
      <c r="FB681" s="58">
        <f>IFERROR($BQ681/$BQ682-1,"")</f>
        <v/>
      </c>
      <c r="FC681" s="58">
        <f>IFERROR($BR681/$BR682-1,"")</f>
        <v/>
      </c>
      <c r="FD681" s="58">
        <f>IFERROR($BS681/$BS682-1,"")</f>
        <v/>
      </c>
      <c r="FE681" s="58">
        <f>IFERROR($BT681/$BT682-1,"")</f>
        <v/>
      </c>
      <c r="FF681" s="58">
        <f>IFERROR($BU681/$BU682-1,"")</f>
        <v/>
      </c>
      <c r="FG681" s="58">
        <f>IFERROR($BV681/$BV682-1,"")</f>
        <v/>
      </c>
      <c r="FH681" s="58">
        <f>IFERROR($BW681/$BW682-1,"")</f>
        <v/>
      </c>
      <c r="FI681" s="58">
        <f>IFERROR($BX681/$BX682-1,"")</f>
        <v/>
      </c>
      <c r="FJ681" s="59">
        <f>$BY681-$BY682</f>
        <v/>
      </c>
      <c r="FK681" s="59">
        <f>$BZ681-$BZ682</f>
        <v/>
      </c>
      <c r="FL681" s="59">
        <f>$CA681-$CA682</f>
        <v/>
      </c>
      <c r="FM681" s="59">
        <f>$CB681-$CB682</f>
        <v/>
      </c>
      <c r="FN681" s="59">
        <f>$CC681-$CC682</f>
        <v/>
      </c>
      <c r="FO681" s="59">
        <f>$CD681-$CD682</f>
        <v/>
      </c>
      <c r="FP681" s="59">
        <f>$CE681-$CE682</f>
        <v/>
      </c>
      <c r="FQ681" s="59">
        <f>$CF681-$CF682</f>
        <v/>
      </c>
      <c r="FR681" s="59">
        <f>$CG681-$CG682</f>
        <v/>
      </c>
      <c r="FS681" s="59">
        <f>$CH681-$CH682</f>
        <v/>
      </c>
      <c r="FT681" s="59">
        <f>$CI681-$CI682</f>
        <v/>
      </c>
      <c r="FU681" s="59">
        <f>$CJ681-$CJ682</f>
        <v/>
      </c>
      <c r="FV681" s="59">
        <f>$CK681-$CK682</f>
        <v/>
      </c>
      <c r="FW681" s="59">
        <f>$CL681-$CL682</f>
        <v/>
      </c>
      <c r="FX681" s="59">
        <f>$CM681-$CM682</f>
        <v/>
      </c>
      <c r="FY681" s="59">
        <f>$CN681-$CN682</f>
        <v/>
      </c>
      <c r="FZ681" s="59">
        <f>$CO681-$CO682</f>
        <v/>
      </c>
      <c r="GA681" s="59">
        <f>$CP681-$CP682</f>
        <v/>
      </c>
      <c r="GB681" s="59">
        <f>$CQ681-$CQ682</f>
        <v/>
      </c>
      <c r="GC681" s="59">
        <f>$CR681-$CR682</f>
        <v/>
      </c>
      <c r="GD681" s="59">
        <f>$CS681-$CS682</f>
        <v/>
      </c>
      <c r="GE681" s="59">
        <f>$CT681-$CT682</f>
        <v/>
      </c>
    </row>
    <row r="682">
      <c r="CU682" s="58">
        <f>IFERROR($B682/$B683-1,"")</f>
        <v/>
      </c>
      <c r="CV682" s="59">
        <f>($F682-$F683)*100</f>
        <v/>
      </c>
      <c r="CW682" s="59">
        <f>($E682-$E683)*100</f>
        <v/>
      </c>
      <c r="CX682" s="58">
        <f>IFERROR($K682/$K683-1,"")</f>
        <v/>
      </c>
      <c r="CY682" s="59">
        <f>($AH682-$AH683)*100</f>
        <v/>
      </c>
      <c r="CZ682" s="59">
        <f>($AI682-$AI683)*100</f>
        <v/>
      </c>
      <c r="DA682" s="59">
        <f>($AJ682-$AJ683)*100</f>
        <v/>
      </c>
      <c r="DB682" s="59">
        <f>($AK682-$AK683)*100</f>
        <v/>
      </c>
      <c r="DC682" s="59">
        <f>($AL682-$AL683)*100</f>
        <v/>
      </c>
      <c r="DD682" s="59">
        <f>($AM682-$AM683)*100</f>
        <v/>
      </c>
      <c r="DE682" s="59">
        <f>($AN682-$AN683)*100</f>
        <v/>
      </c>
      <c r="DF682" s="59">
        <f>($AO682-$AO683)*100</f>
        <v/>
      </c>
      <c r="DG682" s="59">
        <f>($AP682-$AP683)*100</f>
        <v/>
      </c>
      <c r="DH682" s="59">
        <f>($AQ682-$AQ683)*100</f>
        <v/>
      </c>
      <c r="DI682" s="59">
        <f>($AR682-$AR683)*100</f>
        <v/>
      </c>
      <c r="DJ682" s="59">
        <f>($AS682-$AS683)*100</f>
        <v/>
      </c>
      <c r="DK682" s="59">
        <f>($AT682-$AT683)*100</f>
        <v/>
      </c>
      <c r="DL682" s="59">
        <f>($AU682-$AU683)*100</f>
        <v/>
      </c>
      <c r="DM682" s="59">
        <f>($AV682-$AV683)*100</f>
        <v/>
      </c>
      <c r="DN682" s="59">
        <f>($AW682-$AW683)*100</f>
        <v/>
      </c>
      <c r="DO682" s="59">
        <f>($AX682-$AX683)*100</f>
        <v/>
      </c>
      <c r="DP682" s="59">
        <f>($AY682-$AY683)*100</f>
        <v/>
      </c>
      <c r="DQ682" s="59">
        <f>($AZ682-$AZ683)*100</f>
        <v/>
      </c>
      <c r="DR682" s="59">
        <f>($BA682-$BA683)*100</f>
        <v/>
      </c>
      <c r="DS682" s="58">
        <f>IFERROR($N683/$N682-1,"")</f>
        <v/>
      </c>
      <c r="DT682" s="58">
        <f>IFERROR($O683/$O682-1,"")</f>
        <v/>
      </c>
      <c r="DU682" s="58">
        <f>IFERROR($P683/$P682-1,"")</f>
        <v/>
      </c>
      <c r="DV682" s="58">
        <f>IFERROR($Q683/$Q682-1,"")</f>
        <v/>
      </c>
      <c r="DW682" s="58">
        <f>IFERROR($R683/$R682-1,"")</f>
        <v/>
      </c>
      <c r="DX682" s="58">
        <f>IFERROR($S683/$S682-1,"")</f>
        <v/>
      </c>
      <c r="DY682" s="58">
        <f>IFERROR($T683/$T682-1,"")</f>
        <v/>
      </c>
      <c r="DZ682" s="58">
        <f>IFERROR($U683/$U682-1,"")</f>
        <v/>
      </c>
      <c r="EA682" s="58">
        <f>IFERROR($V683/$V682-1,"")</f>
        <v/>
      </c>
      <c r="EB682" s="58">
        <f>IFERROR($W683/$W682-1,"")</f>
        <v/>
      </c>
      <c r="EC682" s="58">
        <f>IFERROR($X683/$X682-1,"")</f>
        <v/>
      </c>
      <c r="ED682" s="58">
        <f>IFERROR($Y683/$Y682-1,"")</f>
        <v/>
      </c>
      <c r="EE682" s="58">
        <f>IFERROR($Z683/$Z682-1,"")</f>
        <v/>
      </c>
      <c r="EF682" s="58">
        <f>IFERROR($AA683/$AA682-1,"")</f>
        <v/>
      </c>
      <c r="EG682" s="58">
        <f>IFERROR($AB683/$AB682-1,"")</f>
        <v/>
      </c>
      <c r="EH682" s="58">
        <f>IFERROR($AC683/$AC682-1,"")</f>
        <v/>
      </c>
      <c r="EI682" s="58">
        <f>IFERROR($AD683/$AD682-1,"")</f>
        <v/>
      </c>
      <c r="EJ682" s="58">
        <f>IFERROR($AE683/$AE682-1,"")</f>
        <v/>
      </c>
      <c r="EK682" s="58">
        <f>IFERROR($AF683/$AF682-1,"")</f>
        <v/>
      </c>
      <c r="EL682" s="58">
        <f>IFERROR($AG683/$AG682-1,"")</f>
        <v/>
      </c>
      <c r="EM682" s="58">
        <f>IFERROR($BB682/$BB683-1,"")</f>
        <v/>
      </c>
      <c r="EN682" s="58">
        <f>IFERROR($BC682/$BC683-1,"")</f>
        <v/>
      </c>
      <c r="EO682" s="58">
        <f>IFERROR($BD682/$BD683-1,"")</f>
        <v/>
      </c>
      <c r="EP682" s="58">
        <f>IFERROR($BE682/$BE683-1,"")</f>
        <v/>
      </c>
      <c r="EQ682" s="58">
        <f>IFERROR($BF682/$BF683-1,"")</f>
        <v/>
      </c>
      <c r="ER682" s="58">
        <f>IFERROR($BG682/$BG683-1,"")</f>
        <v/>
      </c>
      <c r="ES682" s="58">
        <f>IFERROR($BH682/$BH683-1,"")</f>
        <v/>
      </c>
      <c r="ET682" s="58">
        <f>IFERROR($BI682/$BI683-1,"")</f>
        <v/>
      </c>
      <c r="EU682" s="58">
        <f>IFERROR($BJ682/$BJ683-1,"")</f>
        <v/>
      </c>
      <c r="EV682" s="58">
        <f>IFERROR($BK682/$BK683-1,"")</f>
        <v/>
      </c>
      <c r="EW682" s="58">
        <f>IFERROR($BL682/$BL683-1,"")</f>
        <v/>
      </c>
      <c r="EX682" s="58">
        <f>IFERROR($BM682/$BM683-1,"")</f>
        <v/>
      </c>
      <c r="EY682" s="58">
        <f>IFERROR($BN682/$BN683-1,"")</f>
        <v/>
      </c>
      <c r="EZ682" s="58">
        <f>IFERROR($BO682/$BO683-1,"")</f>
        <v/>
      </c>
      <c r="FA682" s="58">
        <f>IFERROR($BP682/$BP683-1,"")</f>
        <v/>
      </c>
      <c r="FB682" s="58">
        <f>IFERROR($BQ682/$BQ683-1,"")</f>
        <v/>
      </c>
      <c r="FC682" s="58">
        <f>IFERROR($BR682/$BR683-1,"")</f>
        <v/>
      </c>
      <c r="FD682" s="58">
        <f>IFERROR($BS682/$BS683-1,"")</f>
        <v/>
      </c>
      <c r="FE682" s="58">
        <f>IFERROR($BT682/$BT683-1,"")</f>
        <v/>
      </c>
      <c r="FF682" s="58">
        <f>IFERROR($BU682/$BU683-1,"")</f>
        <v/>
      </c>
      <c r="FG682" s="58">
        <f>IFERROR($BV682/$BV683-1,"")</f>
        <v/>
      </c>
      <c r="FH682" s="58">
        <f>IFERROR($BW682/$BW683-1,"")</f>
        <v/>
      </c>
      <c r="FI682" s="58">
        <f>IFERROR($BX682/$BX683-1,"")</f>
        <v/>
      </c>
      <c r="FJ682" s="59">
        <f>$BY682-$BY683</f>
        <v/>
      </c>
      <c r="FK682" s="59">
        <f>$BZ682-$BZ683</f>
        <v/>
      </c>
      <c r="FL682" s="59">
        <f>$CA682-$CA683</f>
        <v/>
      </c>
      <c r="FM682" s="59">
        <f>$CB682-$CB683</f>
        <v/>
      </c>
      <c r="FN682" s="59">
        <f>$CC682-$CC683</f>
        <v/>
      </c>
      <c r="FO682" s="59">
        <f>$CD682-$CD683</f>
        <v/>
      </c>
      <c r="FP682" s="59">
        <f>$CE682-$CE683</f>
        <v/>
      </c>
      <c r="FQ682" s="59">
        <f>$CF682-$CF683</f>
        <v/>
      </c>
      <c r="FR682" s="59">
        <f>$CG682-$CG683</f>
        <v/>
      </c>
      <c r="FS682" s="59">
        <f>$CH682-$CH683</f>
        <v/>
      </c>
      <c r="FT682" s="59">
        <f>$CI682-$CI683</f>
        <v/>
      </c>
      <c r="FU682" s="59">
        <f>$CJ682-$CJ683</f>
        <v/>
      </c>
      <c r="FV682" s="59">
        <f>$CK682-$CK683</f>
        <v/>
      </c>
      <c r="FW682" s="59">
        <f>$CL682-$CL683</f>
        <v/>
      </c>
      <c r="FX682" s="59">
        <f>$CM682-$CM683</f>
        <v/>
      </c>
      <c r="FY682" s="59">
        <f>$CN682-$CN683</f>
        <v/>
      </c>
      <c r="FZ682" s="59">
        <f>$CO682-$CO683</f>
        <v/>
      </c>
      <c r="GA682" s="59">
        <f>$CP682-$CP683</f>
        <v/>
      </c>
      <c r="GB682" s="59">
        <f>$CQ682-$CQ683</f>
        <v/>
      </c>
      <c r="GC682" s="59">
        <f>$CR682-$CR683</f>
        <v/>
      </c>
      <c r="GD682" s="59">
        <f>$CS682-$CS683</f>
        <v/>
      </c>
      <c r="GE682" s="59">
        <f>$CT682-$CT683</f>
        <v/>
      </c>
    </row>
    <row r="683">
      <c r="CU683" s="58">
        <f>IFERROR($B683/$B684-1,"")</f>
        <v/>
      </c>
      <c r="CV683" s="59">
        <f>($F683-$F684)*100</f>
        <v/>
      </c>
      <c r="CW683" s="59">
        <f>($E683-$E684)*100</f>
        <v/>
      </c>
      <c r="CX683" s="58">
        <f>IFERROR($K683/$K684-1,"")</f>
        <v/>
      </c>
      <c r="CY683" s="59">
        <f>($AH683-$AH684)*100</f>
        <v/>
      </c>
      <c r="CZ683" s="59">
        <f>($AI683-$AI684)*100</f>
        <v/>
      </c>
      <c r="DA683" s="59">
        <f>($AJ683-$AJ684)*100</f>
        <v/>
      </c>
      <c r="DB683" s="59">
        <f>($AK683-$AK684)*100</f>
        <v/>
      </c>
      <c r="DC683" s="59">
        <f>($AL683-$AL684)*100</f>
        <v/>
      </c>
      <c r="DD683" s="59">
        <f>($AM683-$AM684)*100</f>
        <v/>
      </c>
      <c r="DE683" s="59">
        <f>($AN683-$AN684)*100</f>
        <v/>
      </c>
      <c r="DF683" s="59">
        <f>($AO683-$AO684)*100</f>
        <v/>
      </c>
      <c r="DG683" s="59">
        <f>($AP683-$AP684)*100</f>
        <v/>
      </c>
      <c r="DH683" s="59">
        <f>($AQ683-$AQ684)*100</f>
        <v/>
      </c>
      <c r="DI683" s="59">
        <f>($AR683-$AR684)*100</f>
        <v/>
      </c>
      <c r="DJ683" s="59">
        <f>($AS683-$AS684)*100</f>
        <v/>
      </c>
      <c r="DK683" s="59">
        <f>($AT683-$AT684)*100</f>
        <v/>
      </c>
      <c r="DL683" s="59">
        <f>($AU683-$AU684)*100</f>
        <v/>
      </c>
      <c r="DM683" s="59">
        <f>($AV683-$AV684)*100</f>
        <v/>
      </c>
      <c r="DN683" s="59">
        <f>($AW683-$AW684)*100</f>
        <v/>
      </c>
      <c r="DO683" s="59">
        <f>($AX683-$AX684)*100</f>
        <v/>
      </c>
      <c r="DP683" s="59">
        <f>($AY683-$AY684)*100</f>
        <v/>
      </c>
      <c r="DQ683" s="59">
        <f>($AZ683-$AZ684)*100</f>
        <v/>
      </c>
      <c r="DR683" s="59">
        <f>($BA683-$BA684)*100</f>
        <v/>
      </c>
      <c r="DS683" s="58">
        <f>IFERROR($N684/$N683-1,"")</f>
        <v/>
      </c>
      <c r="DT683" s="58">
        <f>IFERROR($O684/$O683-1,"")</f>
        <v/>
      </c>
      <c r="DU683" s="58">
        <f>IFERROR($P684/$P683-1,"")</f>
        <v/>
      </c>
      <c r="DV683" s="58">
        <f>IFERROR($Q684/$Q683-1,"")</f>
        <v/>
      </c>
      <c r="DW683" s="58">
        <f>IFERROR($R684/$R683-1,"")</f>
        <v/>
      </c>
      <c r="DX683" s="58">
        <f>IFERROR($S684/$S683-1,"")</f>
        <v/>
      </c>
      <c r="DY683" s="58">
        <f>IFERROR($T684/$T683-1,"")</f>
        <v/>
      </c>
      <c r="DZ683" s="58">
        <f>IFERROR($U684/$U683-1,"")</f>
        <v/>
      </c>
      <c r="EA683" s="58">
        <f>IFERROR($V684/$V683-1,"")</f>
        <v/>
      </c>
      <c r="EB683" s="58">
        <f>IFERROR($W684/$W683-1,"")</f>
        <v/>
      </c>
      <c r="EC683" s="58">
        <f>IFERROR($X684/$X683-1,"")</f>
        <v/>
      </c>
      <c r="ED683" s="58">
        <f>IFERROR($Y684/$Y683-1,"")</f>
        <v/>
      </c>
      <c r="EE683" s="58">
        <f>IFERROR($Z684/$Z683-1,"")</f>
        <v/>
      </c>
      <c r="EF683" s="58">
        <f>IFERROR($AA684/$AA683-1,"")</f>
        <v/>
      </c>
      <c r="EG683" s="58">
        <f>IFERROR($AB684/$AB683-1,"")</f>
        <v/>
      </c>
      <c r="EH683" s="58">
        <f>IFERROR($AC684/$AC683-1,"")</f>
        <v/>
      </c>
      <c r="EI683" s="58">
        <f>IFERROR($AD684/$AD683-1,"")</f>
        <v/>
      </c>
      <c r="EJ683" s="58">
        <f>IFERROR($AE684/$AE683-1,"")</f>
        <v/>
      </c>
      <c r="EK683" s="58">
        <f>IFERROR($AF684/$AF683-1,"")</f>
        <v/>
      </c>
      <c r="EL683" s="58">
        <f>IFERROR($AG684/$AG683-1,"")</f>
        <v/>
      </c>
      <c r="EM683" s="58">
        <f>IFERROR($BB683/$BB684-1,"")</f>
        <v/>
      </c>
      <c r="EN683" s="58">
        <f>IFERROR($BC683/$BC684-1,"")</f>
        <v/>
      </c>
      <c r="EO683" s="58">
        <f>IFERROR($BD683/$BD684-1,"")</f>
        <v/>
      </c>
      <c r="EP683" s="58">
        <f>IFERROR($BE683/$BE684-1,"")</f>
        <v/>
      </c>
      <c r="EQ683" s="58">
        <f>IFERROR($BF683/$BF684-1,"")</f>
        <v/>
      </c>
      <c r="ER683" s="58">
        <f>IFERROR($BG683/$BG684-1,"")</f>
        <v/>
      </c>
      <c r="ES683" s="58">
        <f>IFERROR($BH683/$BH684-1,"")</f>
        <v/>
      </c>
      <c r="ET683" s="58">
        <f>IFERROR($BI683/$BI684-1,"")</f>
        <v/>
      </c>
      <c r="EU683" s="58">
        <f>IFERROR($BJ683/$BJ684-1,"")</f>
        <v/>
      </c>
      <c r="EV683" s="58">
        <f>IFERROR($BK683/$BK684-1,"")</f>
        <v/>
      </c>
      <c r="EW683" s="58">
        <f>IFERROR($BL683/$BL684-1,"")</f>
        <v/>
      </c>
      <c r="EX683" s="58">
        <f>IFERROR($BM683/$BM684-1,"")</f>
        <v/>
      </c>
      <c r="EY683" s="58">
        <f>IFERROR($BN683/$BN684-1,"")</f>
        <v/>
      </c>
      <c r="EZ683" s="58">
        <f>IFERROR($BO683/$BO684-1,"")</f>
        <v/>
      </c>
      <c r="FA683" s="58">
        <f>IFERROR($BP683/$BP684-1,"")</f>
        <v/>
      </c>
      <c r="FB683" s="58">
        <f>IFERROR($BQ683/$BQ684-1,"")</f>
        <v/>
      </c>
      <c r="FC683" s="58">
        <f>IFERROR($BR683/$BR684-1,"")</f>
        <v/>
      </c>
      <c r="FD683" s="58">
        <f>IFERROR($BS683/$BS684-1,"")</f>
        <v/>
      </c>
      <c r="FE683" s="58">
        <f>IFERROR($BT683/$BT684-1,"")</f>
        <v/>
      </c>
      <c r="FF683" s="58">
        <f>IFERROR($BU683/$BU684-1,"")</f>
        <v/>
      </c>
      <c r="FG683" s="58">
        <f>IFERROR($BV683/$BV684-1,"")</f>
        <v/>
      </c>
      <c r="FH683" s="58">
        <f>IFERROR($BW683/$BW684-1,"")</f>
        <v/>
      </c>
      <c r="FI683" s="58">
        <f>IFERROR($BX683/$BX684-1,"")</f>
        <v/>
      </c>
      <c r="FJ683" s="59">
        <f>$BY683-$BY684</f>
        <v/>
      </c>
      <c r="FK683" s="59">
        <f>$BZ683-$BZ684</f>
        <v/>
      </c>
      <c r="FL683" s="59">
        <f>$CA683-$CA684</f>
        <v/>
      </c>
      <c r="FM683" s="59">
        <f>$CB683-$CB684</f>
        <v/>
      </c>
      <c r="FN683" s="59">
        <f>$CC683-$CC684</f>
        <v/>
      </c>
      <c r="FO683" s="59">
        <f>$CD683-$CD684</f>
        <v/>
      </c>
      <c r="FP683" s="59">
        <f>$CE683-$CE684</f>
        <v/>
      </c>
      <c r="FQ683" s="59">
        <f>$CF683-$CF684</f>
        <v/>
      </c>
      <c r="FR683" s="59">
        <f>$CG683-$CG684</f>
        <v/>
      </c>
      <c r="FS683" s="59">
        <f>$CH683-$CH684</f>
        <v/>
      </c>
      <c r="FT683" s="59">
        <f>$CI683-$CI684</f>
        <v/>
      </c>
      <c r="FU683" s="59">
        <f>$CJ683-$CJ684</f>
        <v/>
      </c>
      <c r="FV683" s="59">
        <f>$CK683-$CK684</f>
        <v/>
      </c>
      <c r="FW683" s="59">
        <f>$CL683-$CL684</f>
        <v/>
      </c>
      <c r="FX683" s="59">
        <f>$CM683-$CM684</f>
        <v/>
      </c>
      <c r="FY683" s="59">
        <f>$CN683-$CN684</f>
        <v/>
      </c>
      <c r="FZ683" s="59">
        <f>$CO683-$CO684</f>
        <v/>
      </c>
      <c r="GA683" s="59">
        <f>$CP683-$CP684</f>
        <v/>
      </c>
      <c r="GB683" s="59">
        <f>$CQ683-$CQ684</f>
        <v/>
      </c>
      <c r="GC683" s="59">
        <f>$CR683-$CR684</f>
        <v/>
      </c>
      <c r="GD683" s="59">
        <f>$CS683-$CS684</f>
        <v/>
      </c>
      <c r="GE683" s="59">
        <f>$CT683-$CT684</f>
        <v/>
      </c>
    </row>
    <row r="684">
      <c r="CU684" s="58">
        <f>IFERROR($B684/$B685-1,"")</f>
        <v/>
      </c>
      <c r="CV684" s="59">
        <f>($F684-$F685)*100</f>
        <v/>
      </c>
      <c r="CW684" s="59">
        <f>($E684-$E685)*100</f>
        <v/>
      </c>
      <c r="CX684" s="58">
        <f>IFERROR($K684/$K685-1,"")</f>
        <v/>
      </c>
      <c r="CY684" s="59">
        <f>($AH684-$AH685)*100</f>
        <v/>
      </c>
      <c r="CZ684" s="59">
        <f>($AI684-$AI685)*100</f>
        <v/>
      </c>
      <c r="DA684" s="59">
        <f>($AJ684-$AJ685)*100</f>
        <v/>
      </c>
      <c r="DB684" s="59">
        <f>($AK684-$AK685)*100</f>
        <v/>
      </c>
      <c r="DC684" s="59">
        <f>($AL684-$AL685)*100</f>
        <v/>
      </c>
      <c r="DD684" s="59">
        <f>($AM684-$AM685)*100</f>
        <v/>
      </c>
      <c r="DE684" s="59">
        <f>($AN684-$AN685)*100</f>
        <v/>
      </c>
      <c r="DF684" s="59">
        <f>($AO684-$AO685)*100</f>
        <v/>
      </c>
      <c r="DG684" s="59">
        <f>($AP684-$AP685)*100</f>
        <v/>
      </c>
      <c r="DH684" s="59">
        <f>($AQ684-$AQ685)*100</f>
        <v/>
      </c>
      <c r="DI684" s="59">
        <f>($AR684-$AR685)*100</f>
        <v/>
      </c>
      <c r="DJ684" s="59">
        <f>($AS684-$AS685)*100</f>
        <v/>
      </c>
      <c r="DK684" s="59">
        <f>($AT684-$AT685)*100</f>
        <v/>
      </c>
      <c r="DL684" s="59">
        <f>($AU684-$AU685)*100</f>
        <v/>
      </c>
      <c r="DM684" s="59">
        <f>($AV684-$AV685)*100</f>
        <v/>
      </c>
      <c r="DN684" s="59">
        <f>($AW684-$AW685)*100</f>
        <v/>
      </c>
      <c r="DO684" s="59">
        <f>($AX684-$AX685)*100</f>
        <v/>
      </c>
      <c r="DP684" s="59">
        <f>($AY684-$AY685)*100</f>
        <v/>
      </c>
      <c r="DQ684" s="59">
        <f>($AZ684-$AZ685)*100</f>
        <v/>
      </c>
      <c r="DR684" s="59">
        <f>($BA684-$BA685)*100</f>
        <v/>
      </c>
      <c r="DS684" s="58">
        <f>IFERROR($N685/$N684-1,"")</f>
        <v/>
      </c>
      <c r="DT684" s="58">
        <f>IFERROR($O685/$O684-1,"")</f>
        <v/>
      </c>
      <c r="DU684" s="58">
        <f>IFERROR($P685/$P684-1,"")</f>
        <v/>
      </c>
      <c r="DV684" s="58">
        <f>IFERROR($Q685/$Q684-1,"")</f>
        <v/>
      </c>
      <c r="DW684" s="58">
        <f>IFERROR($R685/$R684-1,"")</f>
        <v/>
      </c>
      <c r="DX684" s="58">
        <f>IFERROR($S685/$S684-1,"")</f>
        <v/>
      </c>
      <c r="DY684" s="58">
        <f>IFERROR($T685/$T684-1,"")</f>
        <v/>
      </c>
      <c r="DZ684" s="58">
        <f>IFERROR($U685/$U684-1,"")</f>
        <v/>
      </c>
      <c r="EA684" s="58">
        <f>IFERROR($V685/$V684-1,"")</f>
        <v/>
      </c>
      <c r="EB684" s="58">
        <f>IFERROR($W685/$W684-1,"")</f>
        <v/>
      </c>
      <c r="EC684" s="58">
        <f>IFERROR($X685/$X684-1,"")</f>
        <v/>
      </c>
      <c r="ED684" s="58">
        <f>IFERROR($Y685/$Y684-1,"")</f>
        <v/>
      </c>
      <c r="EE684" s="58">
        <f>IFERROR($Z685/$Z684-1,"")</f>
        <v/>
      </c>
      <c r="EF684" s="58">
        <f>IFERROR($AA685/$AA684-1,"")</f>
        <v/>
      </c>
      <c r="EG684" s="58">
        <f>IFERROR($AB685/$AB684-1,"")</f>
        <v/>
      </c>
      <c r="EH684" s="58">
        <f>IFERROR($AC685/$AC684-1,"")</f>
        <v/>
      </c>
      <c r="EI684" s="58">
        <f>IFERROR($AD685/$AD684-1,"")</f>
        <v/>
      </c>
      <c r="EJ684" s="58">
        <f>IFERROR($AE685/$AE684-1,"")</f>
        <v/>
      </c>
      <c r="EK684" s="58">
        <f>IFERROR($AF685/$AF684-1,"")</f>
        <v/>
      </c>
      <c r="EL684" s="58">
        <f>IFERROR($AG685/$AG684-1,"")</f>
        <v/>
      </c>
      <c r="EM684" s="58">
        <f>IFERROR($BB684/$BB685-1,"")</f>
        <v/>
      </c>
      <c r="EN684" s="58">
        <f>IFERROR($BC684/$BC685-1,"")</f>
        <v/>
      </c>
      <c r="EO684" s="58">
        <f>IFERROR($BD684/$BD685-1,"")</f>
        <v/>
      </c>
      <c r="EP684" s="58">
        <f>IFERROR($BE684/$BE685-1,"")</f>
        <v/>
      </c>
      <c r="EQ684" s="58">
        <f>IFERROR($BF684/$BF685-1,"")</f>
        <v/>
      </c>
      <c r="ER684" s="58">
        <f>IFERROR($BG684/$BG685-1,"")</f>
        <v/>
      </c>
      <c r="ES684" s="58">
        <f>IFERROR($BH684/$BH685-1,"")</f>
        <v/>
      </c>
      <c r="ET684" s="58">
        <f>IFERROR($BI684/$BI685-1,"")</f>
        <v/>
      </c>
      <c r="EU684" s="58">
        <f>IFERROR($BJ684/$BJ685-1,"")</f>
        <v/>
      </c>
      <c r="EV684" s="58">
        <f>IFERROR($BK684/$BK685-1,"")</f>
        <v/>
      </c>
      <c r="EW684" s="58">
        <f>IFERROR($BL684/$BL685-1,"")</f>
        <v/>
      </c>
      <c r="EX684" s="58">
        <f>IFERROR($BM684/$BM685-1,"")</f>
        <v/>
      </c>
      <c r="EY684" s="58">
        <f>IFERROR($BN684/$BN685-1,"")</f>
        <v/>
      </c>
      <c r="EZ684" s="58">
        <f>IFERROR($BO684/$BO685-1,"")</f>
        <v/>
      </c>
      <c r="FA684" s="58">
        <f>IFERROR($BP684/$BP685-1,"")</f>
        <v/>
      </c>
      <c r="FB684" s="58">
        <f>IFERROR($BQ684/$BQ685-1,"")</f>
        <v/>
      </c>
      <c r="FC684" s="58">
        <f>IFERROR($BR684/$BR685-1,"")</f>
        <v/>
      </c>
      <c r="FD684" s="58">
        <f>IFERROR($BS684/$BS685-1,"")</f>
        <v/>
      </c>
      <c r="FE684" s="58">
        <f>IFERROR($BT684/$BT685-1,"")</f>
        <v/>
      </c>
      <c r="FF684" s="58">
        <f>IFERROR($BU684/$BU685-1,"")</f>
        <v/>
      </c>
      <c r="FG684" s="58">
        <f>IFERROR($BV684/$BV685-1,"")</f>
        <v/>
      </c>
      <c r="FH684" s="58">
        <f>IFERROR($BW684/$BW685-1,"")</f>
        <v/>
      </c>
      <c r="FI684" s="58">
        <f>IFERROR($BX684/$BX685-1,"")</f>
        <v/>
      </c>
      <c r="FJ684" s="59">
        <f>$BY684-$BY685</f>
        <v/>
      </c>
      <c r="FK684" s="59">
        <f>$BZ684-$BZ685</f>
        <v/>
      </c>
      <c r="FL684" s="59">
        <f>$CA684-$CA685</f>
        <v/>
      </c>
      <c r="FM684" s="59">
        <f>$CB684-$CB685</f>
        <v/>
      </c>
      <c r="FN684" s="59">
        <f>$CC684-$CC685</f>
        <v/>
      </c>
      <c r="FO684" s="59">
        <f>$CD684-$CD685</f>
        <v/>
      </c>
      <c r="FP684" s="59">
        <f>$CE684-$CE685</f>
        <v/>
      </c>
      <c r="FQ684" s="59">
        <f>$CF684-$CF685</f>
        <v/>
      </c>
      <c r="FR684" s="59">
        <f>$CG684-$CG685</f>
        <v/>
      </c>
      <c r="FS684" s="59">
        <f>$CH684-$CH685</f>
        <v/>
      </c>
      <c r="FT684" s="59">
        <f>$CI684-$CI685</f>
        <v/>
      </c>
      <c r="FU684" s="59">
        <f>$CJ684-$CJ685</f>
        <v/>
      </c>
      <c r="FV684" s="59">
        <f>$CK684-$CK685</f>
        <v/>
      </c>
      <c r="FW684" s="59">
        <f>$CL684-$CL685</f>
        <v/>
      </c>
      <c r="FX684" s="59">
        <f>$CM684-$CM685</f>
        <v/>
      </c>
      <c r="FY684" s="59">
        <f>$CN684-$CN685</f>
        <v/>
      </c>
      <c r="FZ684" s="59">
        <f>$CO684-$CO685</f>
        <v/>
      </c>
      <c r="GA684" s="59">
        <f>$CP684-$CP685</f>
        <v/>
      </c>
      <c r="GB684" s="59">
        <f>$CQ684-$CQ685</f>
        <v/>
      </c>
      <c r="GC684" s="59">
        <f>$CR684-$CR685</f>
        <v/>
      </c>
      <c r="GD684" s="59">
        <f>$CS684-$CS685</f>
        <v/>
      </c>
      <c r="GE684" s="59">
        <f>$CT684-$CT685</f>
        <v/>
      </c>
    </row>
    <row r="685">
      <c r="CU685" s="58">
        <f>IFERROR($B685/$B686-1,"")</f>
        <v/>
      </c>
      <c r="CV685" s="59">
        <f>($F685-$F686)*100</f>
        <v/>
      </c>
      <c r="CW685" s="59">
        <f>($E685-$E686)*100</f>
        <v/>
      </c>
      <c r="CX685" s="58">
        <f>IFERROR($K685/$K686-1,"")</f>
        <v/>
      </c>
      <c r="CY685" s="59">
        <f>($AH685-$AH686)*100</f>
        <v/>
      </c>
      <c r="CZ685" s="59">
        <f>($AI685-$AI686)*100</f>
        <v/>
      </c>
      <c r="DA685" s="59">
        <f>($AJ685-$AJ686)*100</f>
        <v/>
      </c>
      <c r="DB685" s="59">
        <f>($AK685-$AK686)*100</f>
        <v/>
      </c>
      <c r="DC685" s="59">
        <f>($AL685-$AL686)*100</f>
        <v/>
      </c>
      <c r="DD685" s="59">
        <f>($AM685-$AM686)*100</f>
        <v/>
      </c>
      <c r="DE685" s="59">
        <f>($AN685-$AN686)*100</f>
        <v/>
      </c>
      <c r="DF685" s="59">
        <f>($AO685-$AO686)*100</f>
        <v/>
      </c>
      <c r="DG685" s="59">
        <f>($AP685-$AP686)*100</f>
        <v/>
      </c>
      <c r="DH685" s="59">
        <f>($AQ685-$AQ686)*100</f>
        <v/>
      </c>
      <c r="DI685" s="59">
        <f>($AR685-$AR686)*100</f>
        <v/>
      </c>
      <c r="DJ685" s="59">
        <f>($AS685-$AS686)*100</f>
        <v/>
      </c>
      <c r="DK685" s="59">
        <f>($AT685-$AT686)*100</f>
        <v/>
      </c>
      <c r="DL685" s="59">
        <f>($AU685-$AU686)*100</f>
        <v/>
      </c>
      <c r="DM685" s="59">
        <f>($AV685-$AV686)*100</f>
        <v/>
      </c>
      <c r="DN685" s="59">
        <f>($AW685-$AW686)*100</f>
        <v/>
      </c>
      <c r="DO685" s="59">
        <f>($AX685-$AX686)*100</f>
        <v/>
      </c>
      <c r="DP685" s="59">
        <f>($AY685-$AY686)*100</f>
        <v/>
      </c>
      <c r="DQ685" s="59">
        <f>($AZ685-$AZ686)*100</f>
        <v/>
      </c>
      <c r="DR685" s="59">
        <f>($BA685-$BA686)*100</f>
        <v/>
      </c>
      <c r="DS685" s="58">
        <f>IFERROR($N686/$N685-1,"")</f>
        <v/>
      </c>
      <c r="DT685" s="58">
        <f>IFERROR($O686/$O685-1,"")</f>
        <v/>
      </c>
      <c r="DU685" s="58">
        <f>IFERROR($P686/$P685-1,"")</f>
        <v/>
      </c>
      <c r="DV685" s="58">
        <f>IFERROR($Q686/$Q685-1,"")</f>
        <v/>
      </c>
      <c r="DW685" s="58">
        <f>IFERROR($R686/$R685-1,"")</f>
        <v/>
      </c>
      <c r="DX685" s="58">
        <f>IFERROR($S686/$S685-1,"")</f>
        <v/>
      </c>
      <c r="DY685" s="58">
        <f>IFERROR($T686/$T685-1,"")</f>
        <v/>
      </c>
      <c r="DZ685" s="58">
        <f>IFERROR($U686/$U685-1,"")</f>
        <v/>
      </c>
      <c r="EA685" s="58">
        <f>IFERROR($V686/$V685-1,"")</f>
        <v/>
      </c>
      <c r="EB685" s="58">
        <f>IFERROR($W686/$W685-1,"")</f>
        <v/>
      </c>
      <c r="EC685" s="58">
        <f>IFERROR($X686/$X685-1,"")</f>
        <v/>
      </c>
      <c r="ED685" s="58">
        <f>IFERROR($Y686/$Y685-1,"")</f>
        <v/>
      </c>
      <c r="EE685" s="58">
        <f>IFERROR($Z686/$Z685-1,"")</f>
        <v/>
      </c>
      <c r="EF685" s="58">
        <f>IFERROR($AA686/$AA685-1,"")</f>
        <v/>
      </c>
      <c r="EG685" s="58">
        <f>IFERROR($AB686/$AB685-1,"")</f>
        <v/>
      </c>
      <c r="EH685" s="58">
        <f>IFERROR($AC686/$AC685-1,"")</f>
        <v/>
      </c>
      <c r="EI685" s="58">
        <f>IFERROR($AD686/$AD685-1,"")</f>
        <v/>
      </c>
      <c r="EJ685" s="58">
        <f>IFERROR($AE686/$AE685-1,"")</f>
        <v/>
      </c>
      <c r="EK685" s="58">
        <f>IFERROR($AF686/$AF685-1,"")</f>
        <v/>
      </c>
      <c r="EL685" s="58">
        <f>IFERROR($AG686/$AG685-1,"")</f>
        <v/>
      </c>
      <c r="EM685" s="58">
        <f>IFERROR($BB685/$BB686-1,"")</f>
        <v/>
      </c>
      <c r="EN685" s="58">
        <f>IFERROR($BC685/$BC686-1,"")</f>
        <v/>
      </c>
      <c r="EO685" s="58">
        <f>IFERROR($BD685/$BD686-1,"")</f>
        <v/>
      </c>
      <c r="EP685" s="58">
        <f>IFERROR($BE685/$BE686-1,"")</f>
        <v/>
      </c>
      <c r="EQ685" s="58">
        <f>IFERROR($BF685/$BF686-1,"")</f>
        <v/>
      </c>
      <c r="ER685" s="58">
        <f>IFERROR($BG685/$BG686-1,"")</f>
        <v/>
      </c>
      <c r="ES685" s="58">
        <f>IFERROR($BH685/$BH686-1,"")</f>
        <v/>
      </c>
      <c r="ET685" s="58">
        <f>IFERROR($BI685/$BI686-1,"")</f>
        <v/>
      </c>
      <c r="EU685" s="58">
        <f>IFERROR($BJ685/$BJ686-1,"")</f>
        <v/>
      </c>
      <c r="EV685" s="58">
        <f>IFERROR($BK685/$BK686-1,"")</f>
        <v/>
      </c>
      <c r="EW685" s="58">
        <f>IFERROR($BL685/$BL686-1,"")</f>
        <v/>
      </c>
      <c r="EX685" s="58">
        <f>IFERROR($BM685/$BM686-1,"")</f>
        <v/>
      </c>
      <c r="EY685" s="58">
        <f>IFERROR($BN685/$BN686-1,"")</f>
        <v/>
      </c>
      <c r="EZ685" s="58">
        <f>IFERROR($BO685/$BO686-1,"")</f>
        <v/>
      </c>
      <c r="FA685" s="58">
        <f>IFERROR($BP685/$BP686-1,"")</f>
        <v/>
      </c>
      <c r="FB685" s="58">
        <f>IFERROR($BQ685/$BQ686-1,"")</f>
        <v/>
      </c>
      <c r="FC685" s="58">
        <f>IFERROR($BR685/$BR686-1,"")</f>
        <v/>
      </c>
      <c r="FD685" s="58">
        <f>IFERROR($BS685/$BS686-1,"")</f>
        <v/>
      </c>
      <c r="FE685" s="58">
        <f>IFERROR($BT685/$BT686-1,"")</f>
        <v/>
      </c>
      <c r="FF685" s="58">
        <f>IFERROR($BU685/$BU686-1,"")</f>
        <v/>
      </c>
      <c r="FG685" s="58">
        <f>IFERROR($BV685/$BV686-1,"")</f>
        <v/>
      </c>
      <c r="FH685" s="58">
        <f>IFERROR($BW685/$BW686-1,"")</f>
        <v/>
      </c>
      <c r="FI685" s="58">
        <f>IFERROR($BX685/$BX686-1,"")</f>
        <v/>
      </c>
      <c r="FJ685" s="59">
        <f>$BY685-$BY686</f>
        <v/>
      </c>
      <c r="FK685" s="59">
        <f>$BZ685-$BZ686</f>
        <v/>
      </c>
      <c r="FL685" s="59">
        <f>$CA685-$CA686</f>
        <v/>
      </c>
      <c r="FM685" s="59">
        <f>$CB685-$CB686</f>
        <v/>
      </c>
      <c r="FN685" s="59">
        <f>$CC685-$CC686</f>
        <v/>
      </c>
      <c r="FO685" s="59">
        <f>$CD685-$CD686</f>
        <v/>
      </c>
      <c r="FP685" s="59">
        <f>$CE685-$CE686</f>
        <v/>
      </c>
      <c r="FQ685" s="59">
        <f>$CF685-$CF686</f>
        <v/>
      </c>
      <c r="FR685" s="59">
        <f>$CG685-$CG686</f>
        <v/>
      </c>
      <c r="FS685" s="59">
        <f>$CH685-$CH686</f>
        <v/>
      </c>
      <c r="FT685" s="59">
        <f>$CI685-$CI686</f>
        <v/>
      </c>
      <c r="FU685" s="59">
        <f>$CJ685-$CJ686</f>
        <v/>
      </c>
      <c r="FV685" s="59">
        <f>$CK685-$CK686</f>
        <v/>
      </c>
      <c r="FW685" s="59">
        <f>$CL685-$CL686</f>
        <v/>
      </c>
      <c r="FX685" s="59">
        <f>$CM685-$CM686</f>
        <v/>
      </c>
      <c r="FY685" s="59">
        <f>$CN685-$CN686</f>
        <v/>
      </c>
      <c r="FZ685" s="59">
        <f>$CO685-$CO686</f>
        <v/>
      </c>
      <c r="GA685" s="59">
        <f>$CP685-$CP686</f>
        <v/>
      </c>
      <c r="GB685" s="59">
        <f>$CQ685-$CQ686</f>
        <v/>
      </c>
      <c r="GC685" s="59">
        <f>$CR685-$CR686</f>
        <v/>
      </c>
      <c r="GD685" s="59">
        <f>$CS685-$CS686</f>
        <v/>
      </c>
      <c r="GE685" s="59">
        <f>$CT685-$CT686</f>
        <v/>
      </c>
    </row>
    <row r="686">
      <c r="CU686" s="58">
        <f>IFERROR($B686/$B687-1,"")</f>
        <v/>
      </c>
      <c r="CV686" s="59">
        <f>($F686-$F687)*100</f>
        <v/>
      </c>
      <c r="CW686" s="59">
        <f>($E686-$E687)*100</f>
        <v/>
      </c>
      <c r="CX686" s="58">
        <f>IFERROR($K686/$K687-1,"")</f>
        <v/>
      </c>
      <c r="CY686" s="59">
        <f>($AH686-$AH687)*100</f>
        <v/>
      </c>
      <c r="CZ686" s="59">
        <f>($AI686-$AI687)*100</f>
        <v/>
      </c>
      <c r="DA686" s="59">
        <f>($AJ686-$AJ687)*100</f>
        <v/>
      </c>
      <c r="DB686" s="59">
        <f>($AK686-$AK687)*100</f>
        <v/>
      </c>
      <c r="DC686" s="59">
        <f>($AL686-$AL687)*100</f>
        <v/>
      </c>
      <c r="DD686" s="59">
        <f>($AM686-$AM687)*100</f>
        <v/>
      </c>
      <c r="DE686" s="59">
        <f>($AN686-$AN687)*100</f>
        <v/>
      </c>
      <c r="DF686" s="59">
        <f>($AO686-$AO687)*100</f>
        <v/>
      </c>
      <c r="DG686" s="59">
        <f>($AP686-$AP687)*100</f>
        <v/>
      </c>
      <c r="DH686" s="59">
        <f>($AQ686-$AQ687)*100</f>
        <v/>
      </c>
      <c r="DI686" s="59">
        <f>($AR686-$AR687)*100</f>
        <v/>
      </c>
      <c r="DJ686" s="59">
        <f>($AS686-$AS687)*100</f>
        <v/>
      </c>
      <c r="DK686" s="59">
        <f>($AT686-$AT687)*100</f>
        <v/>
      </c>
      <c r="DL686" s="59">
        <f>($AU686-$AU687)*100</f>
        <v/>
      </c>
      <c r="DM686" s="59">
        <f>($AV686-$AV687)*100</f>
        <v/>
      </c>
      <c r="DN686" s="59">
        <f>($AW686-$AW687)*100</f>
        <v/>
      </c>
      <c r="DO686" s="59">
        <f>($AX686-$AX687)*100</f>
        <v/>
      </c>
      <c r="DP686" s="59">
        <f>($AY686-$AY687)*100</f>
        <v/>
      </c>
      <c r="DQ686" s="59">
        <f>($AZ686-$AZ687)*100</f>
        <v/>
      </c>
      <c r="DR686" s="59">
        <f>($BA686-$BA687)*100</f>
        <v/>
      </c>
      <c r="DS686" s="58">
        <f>IFERROR($N687/$N686-1,"")</f>
        <v/>
      </c>
      <c r="DT686" s="58">
        <f>IFERROR($O687/$O686-1,"")</f>
        <v/>
      </c>
      <c r="DU686" s="58">
        <f>IFERROR($P687/$P686-1,"")</f>
        <v/>
      </c>
      <c r="DV686" s="58">
        <f>IFERROR($Q687/$Q686-1,"")</f>
        <v/>
      </c>
      <c r="DW686" s="58">
        <f>IFERROR($R687/$R686-1,"")</f>
        <v/>
      </c>
      <c r="DX686" s="58">
        <f>IFERROR($S687/$S686-1,"")</f>
        <v/>
      </c>
      <c r="DY686" s="58">
        <f>IFERROR($T687/$T686-1,"")</f>
        <v/>
      </c>
      <c r="DZ686" s="58">
        <f>IFERROR($U687/$U686-1,"")</f>
        <v/>
      </c>
      <c r="EA686" s="58">
        <f>IFERROR($V687/$V686-1,"")</f>
        <v/>
      </c>
      <c r="EB686" s="58">
        <f>IFERROR($W687/$W686-1,"")</f>
        <v/>
      </c>
      <c r="EC686" s="58">
        <f>IFERROR($X687/$X686-1,"")</f>
        <v/>
      </c>
      <c r="ED686" s="58">
        <f>IFERROR($Y687/$Y686-1,"")</f>
        <v/>
      </c>
      <c r="EE686" s="58">
        <f>IFERROR($Z687/$Z686-1,"")</f>
        <v/>
      </c>
      <c r="EF686" s="58">
        <f>IFERROR($AA687/$AA686-1,"")</f>
        <v/>
      </c>
      <c r="EG686" s="58">
        <f>IFERROR($AB687/$AB686-1,"")</f>
        <v/>
      </c>
      <c r="EH686" s="58">
        <f>IFERROR($AC687/$AC686-1,"")</f>
        <v/>
      </c>
      <c r="EI686" s="58">
        <f>IFERROR($AD687/$AD686-1,"")</f>
        <v/>
      </c>
      <c r="EJ686" s="58">
        <f>IFERROR($AE687/$AE686-1,"")</f>
        <v/>
      </c>
      <c r="EK686" s="58">
        <f>IFERROR($AF687/$AF686-1,"")</f>
        <v/>
      </c>
      <c r="EL686" s="58">
        <f>IFERROR($AG687/$AG686-1,"")</f>
        <v/>
      </c>
      <c r="EM686" s="58">
        <f>IFERROR($BB686/$BB687-1,"")</f>
        <v/>
      </c>
      <c r="EN686" s="58">
        <f>IFERROR($BC686/$BC687-1,"")</f>
        <v/>
      </c>
      <c r="EO686" s="58">
        <f>IFERROR($BD686/$BD687-1,"")</f>
        <v/>
      </c>
      <c r="EP686" s="58">
        <f>IFERROR($BE686/$BE687-1,"")</f>
        <v/>
      </c>
      <c r="EQ686" s="58">
        <f>IFERROR($BF686/$BF687-1,"")</f>
        <v/>
      </c>
      <c r="ER686" s="58">
        <f>IFERROR($BG686/$BG687-1,"")</f>
        <v/>
      </c>
      <c r="ES686" s="58">
        <f>IFERROR($BH686/$BH687-1,"")</f>
        <v/>
      </c>
      <c r="ET686" s="58">
        <f>IFERROR($BI686/$BI687-1,"")</f>
        <v/>
      </c>
      <c r="EU686" s="58">
        <f>IFERROR($BJ686/$BJ687-1,"")</f>
        <v/>
      </c>
      <c r="EV686" s="58">
        <f>IFERROR($BK686/$BK687-1,"")</f>
        <v/>
      </c>
      <c r="EW686" s="58">
        <f>IFERROR($BL686/$BL687-1,"")</f>
        <v/>
      </c>
      <c r="EX686" s="58">
        <f>IFERROR($BM686/$BM687-1,"")</f>
        <v/>
      </c>
      <c r="EY686" s="58">
        <f>IFERROR($BN686/$BN687-1,"")</f>
        <v/>
      </c>
      <c r="EZ686" s="58">
        <f>IFERROR($BO686/$BO687-1,"")</f>
        <v/>
      </c>
      <c r="FA686" s="58">
        <f>IFERROR($BP686/$BP687-1,"")</f>
        <v/>
      </c>
      <c r="FB686" s="58">
        <f>IFERROR($BQ686/$BQ687-1,"")</f>
        <v/>
      </c>
      <c r="FC686" s="58">
        <f>IFERROR($BR686/$BR687-1,"")</f>
        <v/>
      </c>
      <c r="FD686" s="58">
        <f>IFERROR($BS686/$BS687-1,"")</f>
        <v/>
      </c>
      <c r="FE686" s="58">
        <f>IFERROR($BT686/$BT687-1,"")</f>
        <v/>
      </c>
      <c r="FF686" s="58">
        <f>IFERROR($BU686/$BU687-1,"")</f>
        <v/>
      </c>
      <c r="FG686" s="58">
        <f>IFERROR($BV686/$BV687-1,"")</f>
        <v/>
      </c>
      <c r="FH686" s="58">
        <f>IFERROR($BW686/$BW687-1,"")</f>
        <v/>
      </c>
      <c r="FI686" s="58">
        <f>IFERROR($BX686/$BX687-1,"")</f>
        <v/>
      </c>
      <c r="FJ686" s="59">
        <f>$BY686-$BY687</f>
        <v/>
      </c>
      <c r="FK686" s="59">
        <f>$BZ686-$BZ687</f>
        <v/>
      </c>
      <c r="FL686" s="59">
        <f>$CA686-$CA687</f>
        <v/>
      </c>
      <c r="FM686" s="59">
        <f>$CB686-$CB687</f>
        <v/>
      </c>
      <c r="FN686" s="59">
        <f>$CC686-$CC687</f>
        <v/>
      </c>
      <c r="FO686" s="59">
        <f>$CD686-$CD687</f>
        <v/>
      </c>
      <c r="FP686" s="59">
        <f>$CE686-$CE687</f>
        <v/>
      </c>
      <c r="FQ686" s="59">
        <f>$CF686-$CF687</f>
        <v/>
      </c>
      <c r="FR686" s="59">
        <f>$CG686-$CG687</f>
        <v/>
      </c>
      <c r="FS686" s="59">
        <f>$CH686-$CH687</f>
        <v/>
      </c>
      <c r="FT686" s="59">
        <f>$CI686-$CI687</f>
        <v/>
      </c>
      <c r="FU686" s="59">
        <f>$CJ686-$CJ687</f>
        <v/>
      </c>
      <c r="FV686" s="59">
        <f>$CK686-$CK687</f>
        <v/>
      </c>
      <c r="FW686" s="59">
        <f>$CL686-$CL687</f>
        <v/>
      </c>
      <c r="FX686" s="59">
        <f>$CM686-$CM687</f>
        <v/>
      </c>
      <c r="FY686" s="59">
        <f>$CN686-$CN687</f>
        <v/>
      </c>
      <c r="FZ686" s="59">
        <f>$CO686-$CO687</f>
        <v/>
      </c>
      <c r="GA686" s="59">
        <f>$CP686-$CP687</f>
        <v/>
      </c>
      <c r="GB686" s="59">
        <f>$CQ686-$CQ687</f>
        <v/>
      </c>
      <c r="GC686" s="59">
        <f>$CR686-$CR687</f>
        <v/>
      </c>
      <c r="GD686" s="59">
        <f>$CS686-$CS687</f>
        <v/>
      </c>
      <c r="GE686" s="59">
        <f>$CT686-$CT687</f>
        <v/>
      </c>
    </row>
    <row r="687">
      <c r="CU687" s="58">
        <f>IFERROR($B687/$B688-1,"")</f>
        <v/>
      </c>
      <c r="CV687" s="59">
        <f>($F687-$F688)*100</f>
        <v/>
      </c>
      <c r="CW687" s="59">
        <f>($E687-$E688)*100</f>
        <v/>
      </c>
      <c r="CX687" s="58">
        <f>IFERROR($K687/$K688-1,"")</f>
        <v/>
      </c>
      <c r="CY687" s="59">
        <f>($AH687-$AH688)*100</f>
        <v/>
      </c>
      <c r="CZ687" s="59">
        <f>($AI687-$AI688)*100</f>
        <v/>
      </c>
      <c r="DA687" s="59">
        <f>($AJ687-$AJ688)*100</f>
        <v/>
      </c>
      <c r="DB687" s="59">
        <f>($AK687-$AK688)*100</f>
        <v/>
      </c>
      <c r="DC687" s="59">
        <f>($AL687-$AL688)*100</f>
        <v/>
      </c>
      <c r="DD687" s="59">
        <f>($AM687-$AM688)*100</f>
        <v/>
      </c>
      <c r="DE687" s="59">
        <f>($AN687-$AN688)*100</f>
        <v/>
      </c>
      <c r="DF687" s="59">
        <f>($AO687-$AO688)*100</f>
        <v/>
      </c>
      <c r="DG687" s="59">
        <f>($AP687-$AP688)*100</f>
        <v/>
      </c>
      <c r="DH687" s="59">
        <f>($AQ687-$AQ688)*100</f>
        <v/>
      </c>
      <c r="DI687" s="59">
        <f>($AR687-$AR688)*100</f>
        <v/>
      </c>
      <c r="DJ687" s="59">
        <f>($AS687-$AS688)*100</f>
        <v/>
      </c>
      <c r="DK687" s="59">
        <f>($AT687-$AT688)*100</f>
        <v/>
      </c>
      <c r="DL687" s="59">
        <f>($AU687-$AU688)*100</f>
        <v/>
      </c>
      <c r="DM687" s="59">
        <f>($AV687-$AV688)*100</f>
        <v/>
      </c>
      <c r="DN687" s="59">
        <f>($AW687-$AW688)*100</f>
        <v/>
      </c>
      <c r="DO687" s="59">
        <f>($AX687-$AX688)*100</f>
        <v/>
      </c>
      <c r="DP687" s="59">
        <f>($AY687-$AY688)*100</f>
        <v/>
      </c>
      <c r="DQ687" s="59">
        <f>($AZ687-$AZ688)*100</f>
        <v/>
      </c>
      <c r="DR687" s="59">
        <f>($BA687-$BA688)*100</f>
        <v/>
      </c>
      <c r="DS687" s="58">
        <f>IFERROR($N688/$N687-1,"")</f>
        <v/>
      </c>
      <c r="DT687" s="58">
        <f>IFERROR($O688/$O687-1,"")</f>
        <v/>
      </c>
      <c r="DU687" s="58">
        <f>IFERROR($P688/$P687-1,"")</f>
        <v/>
      </c>
      <c r="DV687" s="58">
        <f>IFERROR($Q688/$Q687-1,"")</f>
        <v/>
      </c>
      <c r="DW687" s="58">
        <f>IFERROR($R688/$R687-1,"")</f>
        <v/>
      </c>
      <c r="DX687" s="58">
        <f>IFERROR($S688/$S687-1,"")</f>
        <v/>
      </c>
      <c r="DY687" s="58">
        <f>IFERROR($T688/$T687-1,"")</f>
        <v/>
      </c>
      <c r="DZ687" s="58">
        <f>IFERROR($U688/$U687-1,"")</f>
        <v/>
      </c>
      <c r="EA687" s="58">
        <f>IFERROR($V688/$V687-1,"")</f>
        <v/>
      </c>
      <c r="EB687" s="58">
        <f>IFERROR($W688/$W687-1,"")</f>
        <v/>
      </c>
      <c r="EC687" s="58">
        <f>IFERROR($X688/$X687-1,"")</f>
        <v/>
      </c>
      <c r="ED687" s="58">
        <f>IFERROR($Y688/$Y687-1,"")</f>
        <v/>
      </c>
      <c r="EE687" s="58">
        <f>IFERROR($Z688/$Z687-1,"")</f>
        <v/>
      </c>
      <c r="EF687" s="58">
        <f>IFERROR($AA688/$AA687-1,"")</f>
        <v/>
      </c>
      <c r="EG687" s="58">
        <f>IFERROR($AB688/$AB687-1,"")</f>
        <v/>
      </c>
      <c r="EH687" s="58">
        <f>IFERROR($AC688/$AC687-1,"")</f>
        <v/>
      </c>
      <c r="EI687" s="58">
        <f>IFERROR($AD688/$AD687-1,"")</f>
        <v/>
      </c>
      <c r="EJ687" s="58">
        <f>IFERROR($AE688/$AE687-1,"")</f>
        <v/>
      </c>
      <c r="EK687" s="58">
        <f>IFERROR($AF688/$AF687-1,"")</f>
        <v/>
      </c>
      <c r="EL687" s="58">
        <f>IFERROR($AG688/$AG687-1,"")</f>
        <v/>
      </c>
      <c r="EM687" s="58">
        <f>IFERROR($BB687/$BB688-1,"")</f>
        <v/>
      </c>
      <c r="EN687" s="58">
        <f>IFERROR($BC687/$BC688-1,"")</f>
        <v/>
      </c>
      <c r="EO687" s="58">
        <f>IFERROR($BD687/$BD688-1,"")</f>
        <v/>
      </c>
      <c r="EP687" s="58">
        <f>IFERROR($BE687/$BE688-1,"")</f>
        <v/>
      </c>
      <c r="EQ687" s="58">
        <f>IFERROR($BF687/$BF688-1,"")</f>
        <v/>
      </c>
      <c r="ER687" s="58">
        <f>IFERROR($BG687/$BG688-1,"")</f>
        <v/>
      </c>
      <c r="ES687" s="58">
        <f>IFERROR($BH687/$BH688-1,"")</f>
        <v/>
      </c>
      <c r="ET687" s="58">
        <f>IFERROR($BI687/$BI688-1,"")</f>
        <v/>
      </c>
      <c r="EU687" s="58">
        <f>IFERROR($BJ687/$BJ688-1,"")</f>
        <v/>
      </c>
      <c r="EV687" s="58">
        <f>IFERROR($BK687/$BK688-1,"")</f>
        <v/>
      </c>
      <c r="EW687" s="58">
        <f>IFERROR($BL687/$BL688-1,"")</f>
        <v/>
      </c>
      <c r="EX687" s="58">
        <f>IFERROR($BM687/$BM688-1,"")</f>
        <v/>
      </c>
      <c r="EY687" s="58">
        <f>IFERROR($BN687/$BN688-1,"")</f>
        <v/>
      </c>
      <c r="EZ687" s="58">
        <f>IFERROR($BO687/$BO688-1,"")</f>
        <v/>
      </c>
      <c r="FA687" s="58">
        <f>IFERROR($BP687/$BP688-1,"")</f>
        <v/>
      </c>
      <c r="FB687" s="58">
        <f>IFERROR($BQ687/$BQ688-1,"")</f>
        <v/>
      </c>
      <c r="FC687" s="58">
        <f>IFERROR($BR687/$BR688-1,"")</f>
        <v/>
      </c>
      <c r="FD687" s="58">
        <f>IFERROR($BS687/$BS688-1,"")</f>
        <v/>
      </c>
      <c r="FE687" s="58">
        <f>IFERROR($BT687/$BT688-1,"")</f>
        <v/>
      </c>
      <c r="FF687" s="58">
        <f>IFERROR($BU687/$BU688-1,"")</f>
        <v/>
      </c>
      <c r="FG687" s="58">
        <f>IFERROR($BV687/$BV688-1,"")</f>
        <v/>
      </c>
      <c r="FH687" s="58">
        <f>IFERROR($BW687/$BW688-1,"")</f>
        <v/>
      </c>
      <c r="FI687" s="58">
        <f>IFERROR($BX687/$BX688-1,"")</f>
        <v/>
      </c>
      <c r="FJ687" s="59">
        <f>$BY687-$BY688</f>
        <v/>
      </c>
      <c r="FK687" s="59">
        <f>$BZ687-$BZ688</f>
        <v/>
      </c>
      <c r="FL687" s="59">
        <f>$CA687-$CA688</f>
        <v/>
      </c>
      <c r="FM687" s="59">
        <f>$CB687-$CB688</f>
        <v/>
      </c>
      <c r="FN687" s="59">
        <f>$CC687-$CC688</f>
        <v/>
      </c>
      <c r="FO687" s="59">
        <f>$CD687-$CD688</f>
        <v/>
      </c>
      <c r="FP687" s="59">
        <f>$CE687-$CE688</f>
        <v/>
      </c>
      <c r="FQ687" s="59">
        <f>$CF687-$CF688</f>
        <v/>
      </c>
      <c r="FR687" s="59">
        <f>$CG687-$CG688</f>
        <v/>
      </c>
      <c r="FS687" s="59">
        <f>$CH687-$CH688</f>
        <v/>
      </c>
      <c r="FT687" s="59">
        <f>$CI687-$CI688</f>
        <v/>
      </c>
      <c r="FU687" s="59">
        <f>$CJ687-$CJ688</f>
        <v/>
      </c>
      <c r="FV687" s="59">
        <f>$CK687-$CK688</f>
        <v/>
      </c>
      <c r="FW687" s="59">
        <f>$CL687-$CL688</f>
        <v/>
      </c>
      <c r="FX687" s="59">
        <f>$CM687-$CM688</f>
        <v/>
      </c>
      <c r="FY687" s="59">
        <f>$CN687-$CN688</f>
        <v/>
      </c>
      <c r="FZ687" s="59">
        <f>$CO687-$CO688</f>
        <v/>
      </c>
      <c r="GA687" s="59">
        <f>$CP687-$CP688</f>
        <v/>
      </c>
      <c r="GB687" s="59">
        <f>$CQ687-$CQ688</f>
        <v/>
      </c>
      <c r="GC687" s="59">
        <f>$CR687-$CR688</f>
        <v/>
      </c>
      <c r="GD687" s="59">
        <f>$CS687-$CS688</f>
        <v/>
      </c>
      <c r="GE687" s="59">
        <f>$CT687-$CT688</f>
        <v/>
      </c>
    </row>
    <row r="688">
      <c r="CU688" s="58">
        <f>IFERROR($B688/$B689-1,"")</f>
        <v/>
      </c>
      <c r="CV688" s="59">
        <f>($F688-$F689)*100</f>
        <v/>
      </c>
      <c r="CW688" s="59">
        <f>($E688-$E689)*100</f>
        <v/>
      </c>
      <c r="CX688" s="58">
        <f>IFERROR($K688/$K689-1,"")</f>
        <v/>
      </c>
      <c r="CY688" s="59">
        <f>($AH688-$AH689)*100</f>
        <v/>
      </c>
      <c r="CZ688" s="59">
        <f>($AI688-$AI689)*100</f>
        <v/>
      </c>
      <c r="DA688" s="59">
        <f>($AJ688-$AJ689)*100</f>
        <v/>
      </c>
      <c r="DB688" s="59">
        <f>($AK688-$AK689)*100</f>
        <v/>
      </c>
      <c r="DC688" s="59">
        <f>($AL688-$AL689)*100</f>
        <v/>
      </c>
      <c r="DD688" s="59">
        <f>($AM688-$AM689)*100</f>
        <v/>
      </c>
      <c r="DE688" s="59">
        <f>($AN688-$AN689)*100</f>
        <v/>
      </c>
      <c r="DF688" s="59">
        <f>($AO688-$AO689)*100</f>
        <v/>
      </c>
      <c r="DG688" s="59">
        <f>($AP688-$AP689)*100</f>
        <v/>
      </c>
      <c r="DH688" s="59">
        <f>($AQ688-$AQ689)*100</f>
        <v/>
      </c>
      <c r="DI688" s="59">
        <f>($AR688-$AR689)*100</f>
        <v/>
      </c>
      <c r="DJ688" s="59">
        <f>($AS688-$AS689)*100</f>
        <v/>
      </c>
      <c r="DK688" s="59">
        <f>($AT688-$AT689)*100</f>
        <v/>
      </c>
      <c r="DL688" s="59">
        <f>($AU688-$AU689)*100</f>
        <v/>
      </c>
      <c r="DM688" s="59">
        <f>($AV688-$AV689)*100</f>
        <v/>
      </c>
      <c r="DN688" s="59">
        <f>($AW688-$AW689)*100</f>
        <v/>
      </c>
      <c r="DO688" s="59">
        <f>($AX688-$AX689)*100</f>
        <v/>
      </c>
      <c r="DP688" s="59">
        <f>($AY688-$AY689)*100</f>
        <v/>
      </c>
      <c r="DQ688" s="59">
        <f>($AZ688-$AZ689)*100</f>
        <v/>
      </c>
      <c r="DR688" s="59">
        <f>($BA688-$BA689)*100</f>
        <v/>
      </c>
      <c r="DS688" s="58">
        <f>IFERROR($N689/$N688-1,"")</f>
        <v/>
      </c>
      <c r="DT688" s="58">
        <f>IFERROR($O689/$O688-1,"")</f>
        <v/>
      </c>
      <c r="DU688" s="58">
        <f>IFERROR($P689/$P688-1,"")</f>
        <v/>
      </c>
      <c r="DV688" s="58">
        <f>IFERROR($Q689/$Q688-1,"")</f>
        <v/>
      </c>
      <c r="DW688" s="58">
        <f>IFERROR($R689/$R688-1,"")</f>
        <v/>
      </c>
      <c r="DX688" s="58">
        <f>IFERROR($S689/$S688-1,"")</f>
        <v/>
      </c>
      <c r="DY688" s="58">
        <f>IFERROR($T689/$T688-1,"")</f>
        <v/>
      </c>
      <c r="DZ688" s="58">
        <f>IFERROR($U689/$U688-1,"")</f>
        <v/>
      </c>
      <c r="EA688" s="58">
        <f>IFERROR($V689/$V688-1,"")</f>
        <v/>
      </c>
      <c r="EB688" s="58">
        <f>IFERROR($W689/$W688-1,"")</f>
        <v/>
      </c>
      <c r="EC688" s="58">
        <f>IFERROR($X689/$X688-1,"")</f>
        <v/>
      </c>
      <c r="ED688" s="58">
        <f>IFERROR($Y689/$Y688-1,"")</f>
        <v/>
      </c>
      <c r="EE688" s="58">
        <f>IFERROR($Z689/$Z688-1,"")</f>
        <v/>
      </c>
      <c r="EF688" s="58">
        <f>IFERROR($AA689/$AA688-1,"")</f>
        <v/>
      </c>
      <c r="EG688" s="58">
        <f>IFERROR($AB689/$AB688-1,"")</f>
        <v/>
      </c>
      <c r="EH688" s="58">
        <f>IFERROR($AC689/$AC688-1,"")</f>
        <v/>
      </c>
      <c r="EI688" s="58">
        <f>IFERROR($AD689/$AD688-1,"")</f>
        <v/>
      </c>
      <c r="EJ688" s="58">
        <f>IFERROR($AE689/$AE688-1,"")</f>
        <v/>
      </c>
      <c r="EK688" s="58">
        <f>IFERROR($AF689/$AF688-1,"")</f>
        <v/>
      </c>
      <c r="EL688" s="58">
        <f>IFERROR($AG689/$AG688-1,"")</f>
        <v/>
      </c>
      <c r="EM688" s="58">
        <f>IFERROR($BB688/$BB689-1,"")</f>
        <v/>
      </c>
      <c r="EN688" s="58">
        <f>IFERROR($BC688/$BC689-1,"")</f>
        <v/>
      </c>
      <c r="EO688" s="58">
        <f>IFERROR($BD688/$BD689-1,"")</f>
        <v/>
      </c>
      <c r="EP688" s="58">
        <f>IFERROR($BE688/$BE689-1,"")</f>
        <v/>
      </c>
      <c r="EQ688" s="58">
        <f>IFERROR($BF688/$BF689-1,"")</f>
        <v/>
      </c>
      <c r="ER688" s="58">
        <f>IFERROR($BG688/$BG689-1,"")</f>
        <v/>
      </c>
      <c r="ES688" s="58">
        <f>IFERROR($BH688/$BH689-1,"")</f>
        <v/>
      </c>
      <c r="ET688" s="58">
        <f>IFERROR($BI688/$BI689-1,"")</f>
        <v/>
      </c>
      <c r="EU688" s="58">
        <f>IFERROR($BJ688/$BJ689-1,"")</f>
        <v/>
      </c>
      <c r="EV688" s="58">
        <f>IFERROR($BK688/$BK689-1,"")</f>
        <v/>
      </c>
      <c r="EW688" s="58">
        <f>IFERROR($BL688/$BL689-1,"")</f>
        <v/>
      </c>
      <c r="EX688" s="58">
        <f>IFERROR($BM688/$BM689-1,"")</f>
        <v/>
      </c>
      <c r="EY688" s="58">
        <f>IFERROR($BN688/$BN689-1,"")</f>
        <v/>
      </c>
      <c r="EZ688" s="58">
        <f>IFERROR($BO688/$BO689-1,"")</f>
        <v/>
      </c>
      <c r="FA688" s="58">
        <f>IFERROR($BP688/$BP689-1,"")</f>
        <v/>
      </c>
      <c r="FB688" s="58">
        <f>IFERROR($BQ688/$BQ689-1,"")</f>
        <v/>
      </c>
      <c r="FC688" s="58">
        <f>IFERROR($BR688/$BR689-1,"")</f>
        <v/>
      </c>
      <c r="FD688" s="58">
        <f>IFERROR($BS688/$BS689-1,"")</f>
        <v/>
      </c>
      <c r="FE688" s="58">
        <f>IFERROR($BT688/$BT689-1,"")</f>
        <v/>
      </c>
      <c r="FF688" s="58">
        <f>IFERROR($BU688/$BU689-1,"")</f>
        <v/>
      </c>
      <c r="FG688" s="58">
        <f>IFERROR($BV688/$BV689-1,"")</f>
        <v/>
      </c>
      <c r="FH688" s="58">
        <f>IFERROR($BW688/$BW689-1,"")</f>
        <v/>
      </c>
      <c r="FI688" s="58">
        <f>IFERROR($BX688/$BX689-1,"")</f>
        <v/>
      </c>
      <c r="FJ688" s="59">
        <f>$BY688-$BY689</f>
        <v/>
      </c>
      <c r="FK688" s="59">
        <f>$BZ688-$BZ689</f>
        <v/>
      </c>
      <c r="FL688" s="59">
        <f>$CA688-$CA689</f>
        <v/>
      </c>
      <c r="FM688" s="59">
        <f>$CB688-$CB689</f>
        <v/>
      </c>
      <c r="FN688" s="59">
        <f>$CC688-$CC689</f>
        <v/>
      </c>
      <c r="FO688" s="59">
        <f>$CD688-$CD689</f>
        <v/>
      </c>
      <c r="FP688" s="59">
        <f>$CE688-$CE689</f>
        <v/>
      </c>
      <c r="FQ688" s="59">
        <f>$CF688-$CF689</f>
        <v/>
      </c>
      <c r="FR688" s="59">
        <f>$CG688-$CG689</f>
        <v/>
      </c>
      <c r="FS688" s="59">
        <f>$CH688-$CH689</f>
        <v/>
      </c>
      <c r="FT688" s="59">
        <f>$CI688-$CI689</f>
        <v/>
      </c>
      <c r="FU688" s="59">
        <f>$CJ688-$CJ689</f>
        <v/>
      </c>
      <c r="FV688" s="59">
        <f>$CK688-$CK689</f>
        <v/>
      </c>
      <c r="FW688" s="59">
        <f>$CL688-$CL689</f>
        <v/>
      </c>
      <c r="FX688" s="59">
        <f>$CM688-$CM689</f>
        <v/>
      </c>
      <c r="FY688" s="59">
        <f>$CN688-$CN689</f>
        <v/>
      </c>
      <c r="FZ688" s="59">
        <f>$CO688-$CO689</f>
        <v/>
      </c>
      <c r="GA688" s="59">
        <f>$CP688-$CP689</f>
        <v/>
      </c>
      <c r="GB688" s="59">
        <f>$CQ688-$CQ689</f>
        <v/>
      </c>
      <c r="GC688" s="59">
        <f>$CR688-$CR689</f>
        <v/>
      </c>
      <c r="GD688" s="59">
        <f>$CS688-$CS689</f>
        <v/>
      </c>
      <c r="GE688" s="59">
        <f>$CT688-$CT689</f>
        <v/>
      </c>
    </row>
    <row r="689">
      <c r="CU689" s="58">
        <f>IFERROR($B689/$B690-1,"")</f>
        <v/>
      </c>
      <c r="CV689" s="59">
        <f>($F689-$F690)*100</f>
        <v/>
      </c>
      <c r="CW689" s="59">
        <f>($E689-$E690)*100</f>
        <v/>
      </c>
      <c r="CX689" s="58">
        <f>IFERROR($K689/$K690-1,"")</f>
        <v/>
      </c>
      <c r="CY689" s="59">
        <f>($AH689-$AH690)*100</f>
        <v/>
      </c>
      <c r="CZ689" s="59">
        <f>($AI689-$AI690)*100</f>
        <v/>
      </c>
      <c r="DA689" s="59">
        <f>($AJ689-$AJ690)*100</f>
        <v/>
      </c>
      <c r="DB689" s="59">
        <f>($AK689-$AK690)*100</f>
        <v/>
      </c>
      <c r="DC689" s="59">
        <f>($AL689-$AL690)*100</f>
        <v/>
      </c>
      <c r="DD689" s="59">
        <f>($AM689-$AM690)*100</f>
        <v/>
      </c>
      <c r="DE689" s="59">
        <f>($AN689-$AN690)*100</f>
        <v/>
      </c>
      <c r="DF689" s="59">
        <f>($AO689-$AO690)*100</f>
        <v/>
      </c>
      <c r="DG689" s="59">
        <f>($AP689-$AP690)*100</f>
        <v/>
      </c>
      <c r="DH689" s="59">
        <f>($AQ689-$AQ690)*100</f>
        <v/>
      </c>
      <c r="DI689" s="59">
        <f>($AR689-$AR690)*100</f>
        <v/>
      </c>
      <c r="DJ689" s="59">
        <f>($AS689-$AS690)*100</f>
        <v/>
      </c>
      <c r="DK689" s="59">
        <f>($AT689-$AT690)*100</f>
        <v/>
      </c>
      <c r="DL689" s="59">
        <f>($AU689-$AU690)*100</f>
        <v/>
      </c>
      <c r="DM689" s="59">
        <f>($AV689-$AV690)*100</f>
        <v/>
      </c>
      <c r="DN689" s="59">
        <f>($AW689-$AW690)*100</f>
        <v/>
      </c>
      <c r="DO689" s="59">
        <f>($AX689-$AX690)*100</f>
        <v/>
      </c>
      <c r="DP689" s="59">
        <f>($AY689-$AY690)*100</f>
        <v/>
      </c>
      <c r="DQ689" s="59">
        <f>($AZ689-$AZ690)*100</f>
        <v/>
      </c>
      <c r="DR689" s="59">
        <f>($BA689-$BA690)*100</f>
        <v/>
      </c>
      <c r="DS689" s="58">
        <f>IFERROR($N690/$N689-1,"")</f>
        <v/>
      </c>
      <c r="DT689" s="58">
        <f>IFERROR($O690/$O689-1,"")</f>
        <v/>
      </c>
      <c r="DU689" s="58">
        <f>IFERROR($P690/$P689-1,"")</f>
        <v/>
      </c>
      <c r="DV689" s="58">
        <f>IFERROR($Q690/$Q689-1,"")</f>
        <v/>
      </c>
      <c r="DW689" s="58">
        <f>IFERROR($R690/$R689-1,"")</f>
        <v/>
      </c>
      <c r="DX689" s="58">
        <f>IFERROR($S690/$S689-1,"")</f>
        <v/>
      </c>
      <c r="DY689" s="58">
        <f>IFERROR($T690/$T689-1,"")</f>
        <v/>
      </c>
      <c r="DZ689" s="58">
        <f>IFERROR($U690/$U689-1,"")</f>
        <v/>
      </c>
      <c r="EA689" s="58">
        <f>IFERROR($V690/$V689-1,"")</f>
        <v/>
      </c>
      <c r="EB689" s="58">
        <f>IFERROR($W690/$W689-1,"")</f>
        <v/>
      </c>
      <c r="EC689" s="58">
        <f>IFERROR($X690/$X689-1,"")</f>
        <v/>
      </c>
      <c r="ED689" s="58">
        <f>IFERROR($Y690/$Y689-1,"")</f>
        <v/>
      </c>
      <c r="EE689" s="58">
        <f>IFERROR($Z690/$Z689-1,"")</f>
        <v/>
      </c>
      <c r="EF689" s="58">
        <f>IFERROR($AA690/$AA689-1,"")</f>
        <v/>
      </c>
      <c r="EG689" s="58">
        <f>IFERROR($AB690/$AB689-1,"")</f>
        <v/>
      </c>
      <c r="EH689" s="58">
        <f>IFERROR($AC690/$AC689-1,"")</f>
        <v/>
      </c>
      <c r="EI689" s="58">
        <f>IFERROR($AD690/$AD689-1,"")</f>
        <v/>
      </c>
      <c r="EJ689" s="58">
        <f>IFERROR($AE690/$AE689-1,"")</f>
        <v/>
      </c>
      <c r="EK689" s="58">
        <f>IFERROR($AF690/$AF689-1,"")</f>
        <v/>
      </c>
      <c r="EL689" s="58">
        <f>IFERROR($AG690/$AG689-1,"")</f>
        <v/>
      </c>
      <c r="EM689" s="58">
        <f>IFERROR($BB689/$BB690-1,"")</f>
        <v/>
      </c>
      <c r="EN689" s="58">
        <f>IFERROR($BC689/$BC690-1,"")</f>
        <v/>
      </c>
      <c r="EO689" s="58">
        <f>IFERROR($BD689/$BD690-1,"")</f>
        <v/>
      </c>
      <c r="EP689" s="58">
        <f>IFERROR($BE689/$BE690-1,"")</f>
        <v/>
      </c>
      <c r="EQ689" s="58">
        <f>IFERROR($BF689/$BF690-1,"")</f>
        <v/>
      </c>
      <c r="ER689" s="58">
        <f>IFERROR($BG689/$BG690-1,"")</f>
        <v/>
      </c>
      <c r="ES689" s="58">
        <f>IFERROR($BH689/$BH690-1,"")</f>
        <v/>
      </c>
      <c r="ET689" s="58">
        <f>IFERROR($BI689/$BI690-1,"")</f>
        <v/>
      </c>
      <c r="EU689" s="58">
        <f>IFERROR($BJ689/$BJ690-1,"")</f>
        <v/>
      </c>
      <c r="EV689" s="58">
        <f>IFERROR($BK689/$BK690-1,"")</f>
        <v/>
      </c>
      <c r="EW689" s="58">
        <f>IFERROR($BL689/$BL690-1,"")</f>
        <v/>
      </c>
      <c r="EX689" s="58">
        <f>IFERROR($BM689/$BM690-1,"")</f>
        <v/>
      </c>
      <c r="EY689" s="58">
        <f>IFERROR($BN689/$BN690-1,"")</f>
        <v/>
      </c>
      <c r="EZ689" s="58">
        <f>IFERROR($BO689/$BO690-1,"")</f>
        <v/>
      </c>
      <c r="FA689" s="58">
        <f>IFERROR($BP689/$BP690-1,"")</f>
        <v/>
      </c>
      <c r="FB689" s="58">
        <f>IFERROR($BQ689/$BQ690-1,"")</f>
        <v/>
      </c>
      <c r="FC689" s="58">
        <f>IFERROR($BR689/$BR690-1,"")</f>
        <v/>
      </c>
      <c r="FD689" s="58">
        <f>IFERROR($BS689/$BS690-1,"")</f>
        <v/>
      </c>
      <c r="FE689" s="58">
        <f>IFERROR($BT689/$BT690-1,"")</f>
        <v/>
      </c>
      <c r="FF689" s="58">
        <f>IFERROR($BU689/$BU690-1,"")</f>
        <v/>
      </c>
      <c r="FG689" s="58">
        <f>IFERROR($BV689/$BV690-1,"")</f>
        <v/>
      </c>
      <c r="FH689" s="58">
        <f>IFERROR($BW689/$BW690-1,"")</f>
        <v/>
      </c>
      <c r="FI689" s="58">
        <f>IFERROR($BX689/$BX690-1,"")</f>
        <v/>
      </c>
      <c r="FJ689" s="59">
        <f>$BY689-$BY690</f>
        <v/>
      </c>
      <c r="FK689" s="59">
        <f>$BZ689-$BZ690</f>
        <v/>
      </c>
      <c r="FL689" s="59">
        <f>$CA689-$CA690</f>
        <v/>
      </c>
      <c r="FM689" s="59">
        <f>$CB689-$CB690</f>
        <v/>
      </c>
      <c r="FN689" s="59">
        <f>$CC689-$CC690</f>
        <v/>
      </c>
      <c r="FO689" s="59">
        <f>$CD689-$CD690</f>
        <v/>
      </c>
      <c r="FP689" s="59">
        <f>$CE689-$CE690</f>
        <v/>
      </c>
      <c r="FQ689" s="59">
        <f>$CF689-$CF690</f>
        <v/>
      </c>
      <c r="FR689" s="59">
        <f>$CG689-$CG690</f>
        <v/>
      </c>
      <c r="FS689" s="59">
        <f>$CH689-$CH690</f>
        <v/>
      </c>
      <c r="FT689" s="59">
        <f>$CI689-$CI690</f>
        <v/>
      </c>
      <c r="FU689" s="59">
        <f>$CJ689-$CJ690</f>
        <v/>
      </c>
      <c r="FV689" s="59">
        <f>$CK689-$CK690</f>
        <v/>
      </c>
      <c r="FW689" s="59">
        <f>$CL689-$CL690</f>
        <v/>
      </c>
      <c r="FX689" s="59">
        <f>$CM689-$CM690</f>
        <v/>
      </c>
      <c r="FY689" s="59">
        <f>$CN689-$CN690</f>
        <v/>
      </c>
      <c r="FZ689" s="59">
        <f>$CO689-$CO690</f>
        <v/>
      </c>
      <c r="GA689" s="59">
        <f>$CP689-$CP690</f>
        <v/>
      </c>
      <c r="GB689" s="59">
        <f>$CQ689-$CQ690</f>
        <v/>
      </c>
      <c r="GC689" s="59">
        <f>$CR689-$CR690</f>
        <v/>
      </c>
      <c r="GD689" s="59">
        <f>$CS689-$CS690</f>
        <v/>
      </c>
      <c r="GE689" s="59">
        <f>$CT689-$CT690</f>
        <v/>
      </c>
    </row>
    <row r="690">
      <c r="CU690" s="58">
        <f>IFERROR($B690/$B691-1,"")</f>
        <v/>
      </c>
      <c r="CV690" s="59">
        <f>($F690-$F691)*100</f>
        <v/>
      </c>
      <c r="CW690" s="59">
        <f>($E690-$E691)*100</f>
        <v/>
      </c>
      <c r="CX690" s="58">
        <f>IFERROR($K690/$K691-1,"")</f>
        <v/>
      </c>
      <c r="CY690" s="59">
        <f>($AH690-$AH691)*100</f>
        <v/>
      </c>
      <c r="CZ690" s="59">
        <f>($AI690-$AI691)*100</f>
        <v/>
      </c>
      <c r="DA690" s="59">
        <f>($AJ690-$AJ691)*100</f>
        <v/>
      </c>
      <c r="DB690" s="59">
        <f>($AK690-$AK691)*100</f>
        <v/>
      </c>
      <c r="DC690" s="59">
        <f>($AL690-$AL691)*100</f>
        <v/>
      </c>
      <c r="DD690" s="59">
        <f>($AM690-$AM691)*100</f>
        <v/>
      </c>
      <c r="DE690" s="59">
        <f>($AN690-$AN691)*100</f>
        <v/>
      </c>
      <c r="DF690" s="59">
        <f>($AO690-$AO691)*100</f>
        <v/>
      </c>
      <c r="DG690" s="59">
        <f>($AP690-$AP691)*100</f>
        <v/>
      </c>
      <c r="DH690" s="59">
        <f>($AQ690-$AQ691)*100</f>
        <v/>
      </c>
      <c r="DI690" s="59">
        <f>($AR690-$AR691)*100</f>
        <v/>
      </c>
      <c r="DJ690" s="59">
        <f>($AS690-$AS691)*100</f>
        <v/>
      </c>
      <c r="DK690" s="59">
        <f>($AT690-$AT691)*100</f>
        <v/>
      </c>
      <c r="DL690" s="59">
        <f>($AU690-$AU691)*100</f>
        <v/>
      </c>
      <c r="DM690" s="59">
        <f>($AV690-$AV691)*100</f>
        <v/>
      </c>
      <c r="DN690" s="59">
        <f>($AW690-$AW691)*100</f>
        <v/>
      </c>
      <c r="DO690" s="59">
        <f>($AX690-$AX691)*100</f>
        <v/>
      </c>
      <c r="DP690" s="59">
        <f>($AY690-$AY691)*100</f>
        <v/>
      </c>
      <c r="DQ690" s="59">
        <f>($AZ690-$AZ691)*100</f>
        <v/>
      </c>
      <c r="DR690" s="59">
        <f>($BA690-$BA691)*100</f>
        <v/>
      </c>
      <c r="DS690" s="58">
        <f>IFERROR($N691/$N690-1,"")</f>
        <v/>
      </c>
      <c r="DT690" s="58">
        <f>IFERROR($O691/$O690-1,"")</f>
        <v/>
      </c>
      <c r="DU690" s="58">
        <f>IFERROR($P691/$P690-1,"")</f>
        <v/>
      </c>
      <c r="DV690" s="58">
        <f>IFERROR($Q691/$Q690-1,"")</f>
        <v/>
      </c>
      <c r="DW690" s="58">
        <f>IFERROR($R691/$R690-1,"")</f>
        <v/>
      </c>
      <c r="DX690" s="58">
        <f>IFERROR($S691/$S690-1,"")</f>
        <v/>
      </c>
      <c r="DY690" s="58">
        <f>IFERROR($T691/$T690-1,"")</f>
        <v/>
      </c>
      <c r="DZ690" s="58">
        <f>IFERROR($U691/$U690-1,"")</f>
        <v/>
      </c>
      <c r="EA690" s="58">
        <f>IFERROR($V691/$V690-1,"")</f>
        <v/>
      </c>
      <c r="EB690" s="58">
        <f>IFERROR($W691/$W690-1,"")</f>
        <v/>
      </c>
      <c r="EC690" s="58">
        <f>IFERROR($X691/$X690-1,"")</f>
        <v/>
      </c>
      <c r="ED690" s="58">
        <f>IFERROR($Y691/$Y690-1,"")</f>
        <v/>
      </c>
      <c r="EE690" s="58">
        <f>IFERROR($Z691/$Z690-1,"")</f>
        <v/>
      </c>
      <c r="EF690" s="58">
        <f>IFERROR($AA691/$AA690-1,"")</f>
        <v/>
      </c>
      <c r="EG690" s="58">
        <f>IFERROR($AB691/$AB690-1,"")</f>
        <v/>
      </c>
      <c r="EH690" s="58">
        <f>IFERROR($AC691/$AC690-1,"")</f>
        <v/>
      </c>
      <c r="EI690" s="58">
        <f>IFERROR($AD691/$AD690-1,"")</f>
        <v/>
      </c>
      <c r="EJ690" s="58">
        <f>IFERROR($AE691/$AE690-1,"")</f>
        <v/>
      </c>
      <c r="EK690" s="58">
        <f>IFERROR($AF691/$AF690-1,"")</f>
        <v/>
      </c>
      <c r="EL690" s="58">
        <f>IFERROR($AG691/$AG690-1,"")</f>
        <v/>
      </c>
      <c r="EM690" s="58">
        <f>IFERROR($BB690/$BB691-1,"")</f>
        <v/>
      </c>
      <c r="EN690" s="58">
        <f>IFERROR($BC690/$BC691-1,"")</f>
        <v/>
      </c>
      <c r="EO690" s="58">
        <f>IFERROR($BD690/$BD691-1,"")</f>
        <v/>
      </c>
      <c r="EP690" s="58">
        <f>IFERROR($BE690/$BE691-1,"")</f>
        <v/>
      </c>
      <c r="EQ690" s="58">
        <f>IFERROR($BF690/$BF691-1,"")</f>
        <v/>
      </c>
      <c r="ER690" s="58">
        <f>IFERROR($BG690/$BG691-1,"")</f>
        <v/>
      </c>
      <c r="ES690" s="58">
        <f>IFERROR($BH690/$BH691-1,"")</f>
        <v/>
      </c>
      <c r="ET690" s="58">
        <f>IFERROR($BI690/$BI691-1,"")</f>
        <v/>
      </c>
      <c r="EU690" s="58">
        <f>IFERROR($BJ690/$BJ691-1,"")</f>
        <v/>
      </c>
      <c r="EV690" s="58">
        <f>IFERROR($BK690/$BK691-1,"")</f>
        <v/>
      </c>
      <c r="EW690" s="58">
        <f>IFERROR($BL690/$BL691-1,"")</f>
        <v/>
      </c>
      <c r="EX690" s="58">
        <f>IFERROR($BM690/$BM691-1,"")</f>
        <v/>
      </c>
      <c r="EY690" s="58">
        <f>IFERROR($BN690/$BN691-1,"")</f>
        <v/>
      </c>
      <c r="EZ690" s="58">
        <f>IFERROR($BO690/$BO691-1,"")</f>
        <v/>
      </c>
      <c r="FA690" s="58">
        <f>IFERROR($BP690/$BP691-1,"")</f>
        <v/>
      </c>
      <c r="FB690" s="58">
        <f>IFERROR($BQ690/$BQ691-1,"")</f>
        <v/>
      </c>
      <c r="FC690" s="58">
        <f>IFERROR($BR690/$BR691-1,"")</f>
        <v/>
      </c>
      <c r="FD690" s="58">
        <f>IFERROR($BS690/$BS691-1,"")</f>
        <v/>
      </c>
      <c r="FE690" s="58">
        <f>IFERROR($BT690/$BT691-1,"")</f>
        <v/>
      </c>
      <c r="FF690" s="58">
        <f>IFERROR($BU690/$BU691-1,"")</f>
        <v/>
      </c>
      <c r="FG690" s="58">
        <f>IFERROR($BV690/$BV691-1,"")</f>
        <v/>
      </c>
      <c r="FH690" s="58">
        <f>IFERROR($BW690/$BW691-1,"")</f>
        <v/>
      </c>
      <c r="FI690" s="58">
        <f>IFERROR($BX690/$BX691-1,"")</f>
        <v/>
      </c>
      <c r="FJ690" s="59">
        <f>$BY690-$BY691</f>
        <v/>
      </c>
      <c r="FK690" s="59">
        <f>$BZ690-$BZ691</f>
        <v/>
      </c>
      <c r="FL690" s="59">
        <f>$CA690-$CA691</f>
        <v/>
      </c>
      <c r="FM690" s="59">
        <f>$CB690-$CB691</f>
        <v/>
      </c>
      <c r="FN690" s="59">
        <f>$CC690-$CC691</f>
        <v/>
      </c>
      <c r="FO690" s="59">
        <f>$CD690-$CD691</f>
        <v/>
      </c>
      <c r="FP690" s="59">
        <f>$CE690-$CE691</f>
        <v/>
      </c>
      <c r="FQ690" s="59">
        <f>$CF690-$CF691</f>
        <v/>
      </c>
      <c r="FR690" s="59">
        <f>$CG690-$CG691</f>
        <v/>
      </c>
      <c r="FS690" s="59">
        <f>$CH690-$CH691</f>
        <v/>
      </c>
      <c r="FT690" s="59">
        <f>$CI690-$CI691</f>
        <v/>
      </c>
      <c r="FU690" s="59">
        <f>$CJ690-$CJ691</f>
        <v/>
      </c>
      <c r="FV690" s="59">
        <f>$CK690-$CK691</f>
        <v/>
      </c>
      <c r="FW690" s="59">
        <f>$CL690-$CL691</f>
        <v/>
      </c>
      <c r="FX690" s="59">
        <f>$CM690-$CM691</f>
        <v/>
      </c>
      <c r="FY690" s="59">
        <f>$CN690-$CN691</f>
        <v/>
      </c>
      <c r="FZ690" s="59">
        <f>$CO690-$CO691</f>
        <v/>
      </c>
      <c r="GA690" s="59">
        <f>$CP690-$CP691</f>
        <v/>
      </c>
      <c r="GB690" s="59">
        <f>$CQ690-$CQ691</f>
        <v/>
      </c>
      <c r="GC690" s="59">
        <f>$CR690-$CR691</f>
        <v/>
      </c>
      <c r="GD690" s="59">
        <f>$CS690-$CS691</f>
        <v/>
      </c>
      <c r="GE690" s="59">
        <f>$CT690-$CT691</f>
        <v/>
      </c>
    </row>
    <row r="691">
      <c r="CU691" s="58">
        <f>IFERROR($B691/$B692-1,"")</f>
        <v/>
      </c>
      <c r="CV691" s="59">
        <f>($F691-$F692)*100</f>
        <v/>
      </c>
      <c r="CW691" s="59">
        <f>($E691-$E692)*100</f>
        <v/>
      </c>
      <c r="CX691" s="58">
        <f>IFERROR($K691/$K692-1,"")</f>
        <v/>
      </c>
      <c r="CY691" s="59">
        <f>($AH691-$AH692)*100</f>
        <v/>
      </c>
      <c r="CZ691" s="59">
        <f>($AI691-$AI692)*100</f>
        <v/>
      </c>
      <c r="DA691" s="59">
        <f>($AJ691-$AJ692)*100</f>
        <v/>
      </c>
      <c r="DB691" s="59">
        <f>($AK691-$AK692)*100</f>
        <v/>
      </c>
      <c r="DC691" s="59">
        <f>($AL691-$AL692)*100</f>
        <v/>
      </c>
      <c r="DD691" s="59">
        <f>($AM691-$AM692)*100</f>
        <v/>
      </c>
      <c r="DE691" s="59">
        <f>($AN691-$AN692)*100</f>
        <v/>
      </c>
      <c r="DF691" s="59">
        <f>($AO691-$AO692)*100</f>
        <v/>
      </c>
      <c r="DG691" s="59">
        <f>($AP691-$AP692)*100</f>
        <v/>
      </c>
      <c r="DH691" s="59">
        <f>($AQ691-$AQ692)*100</f>
        <v/>
      </c>
      <c r="DI691" s="59">
        <f>($AR691-$AR692)*100</f>
        <v/>
      </c>
      <c r="DJ691" s="59">
        <f>($AS691-$AS692)*100</f>
        <v/>
      </c>
      <c r="DK691" s="59">
        <f>($AT691-$AT692)*100</f>
        <v/>
      </c>
      <c r="DL691" s="59">
        <f>($AU691-$AU692)*100</f>
        <v/>
      </c>
      <c r="DM691" s="59">
        <f>($AV691-$AV692)*100</f>
        <v/>
      </c>
      <c r="DN691" s="59">
        <f>($AW691-$AW692)*100</f>
        <v/>
      </c>
      <c r="DO691" s="59">
        <f>($AX691-$AX692)*100</f>
        <v/>
      </c>
      <c r="DP691" s="59">
        <f>($AY691-$AY692)*100</f>
        <v/>
      </c>
      <c r="DQ691" s="59">
        <f>($AZ691-$AZ692)*100</f>
        <v/>
      </c>
      <c r="DR691" s="59">
        <f>($BA691-$BA692)*100</f>
        <v/>
      </c>
      <c r="DS691" s="58">
        <f>IFERROR($N692/$N691-1,"")</f>
        <v/>
      </c>
      <c r="DT691" s="58">
        <f>IFERROR($O692/$O691-1,"")</f>
        <v/>
      </c>
      <c r="DU691" s="58">
        <f>IFERROR($P692/$P691-1,"")</f>
        <v/>
      </c>
      <c r="DV691" s="58">
        <f>IFERROR($Q692/$Q691-1,"")</f>
        <v/>
      </c>
      <c r="DW691" s="58">
        <f>IFERROR($R692/$R691-1,"")</f>
        <v/>
      </c>
      <c r="DX691" s="58">
        <f>IFERROR($S692/$S691-1,"")</f>
        <v/>
      </c>
      <c r="DY691" s="58">
        <f>IFERROR($T692/$T691-1,"")</f>
        <v/>
      </c>
      <c r="DZ691" s="58">
        <f>IFERROR($U692/$U691-1,"")</f>
        <v/>
      </c>
      <c r="EA691" s="58">
        <f>IFERROR($V692/$V691-1,"")</f>
        <v/>
      </c>
      <c r="EB691" s="58">
        <f>IFERROR($W692/$W691-1,"")</f>
        <v/>
      </c>
      <c r="EC691" s="58">
        <f>IFERROR($X692/$X691-1,"")</f>
        <v/>
      </c>
      <c r="ED691" s="58">
        <f>IFERROR($Y692/$Y691-1,"")</f>
        <v/>
      </c>
      <c r="EE691" s="58">
        <f>IFERROR($Z692/$Z691-1,"")</f>
        <v/>
      </c>
      <c r="EF691" s="58">
        <f>IFERROR($AA692/$AA691-1,"")</f>
        <v/>
      </c>
      <c r="EG691" s="58">
        <f>IFERROR($AB692/$AB691-1,"")</f>
        <v/>
      </c>
      <c r="EH691" s="58">
        <f>IFERROR($AC692/$AC691-1,"")</f>
        <v/>
      </c>
      <c r="EI691" s="58">
        <f>IFERROR($AD692/$AD691-1,"")</f>
        <v/>
      </c>
      <c r="EJ691" s="58">
        <f>IFERROR($AE692/$AE691-1,"")</f>
        <v/>
      </c>
      <c r="EK691" s="58">
        <f>IFERROR($AF692/$AF691-1,"")</f>
        <v/>
      </c>
      <c r="EL691" s="58">
        <f>IFERROR($AG692/$AG691-1,"")</f>
        <v/>
      </c>
      <c r="EM691" s="58">
        <f>IFERROR($BB691/$BB692-1,"")</f>
        <v/>
      </c>
      <c r="EN691" s="58">
        <f>IFERROR($BC691/$BC692-1,"")</f>
        <v/>
      </c>
      <c r="EO691" s="58">
        <f>IFERROR($BD691/$BD692-1,"")</f>
        <v/>
      </c>
      <c r="EP691" s="58">
        <f>IFERROR($BE691/$BE692-1,"")</f>
        <v/>
      </c>
      <c r="EQ691" s="58">
        <f>IFERROR($BF691/$BF692-1,"")</f>
        <v/>
      </c>
      <c r="ER691" s="58">
        <f>IFERROR($BG691/$BG692-1,"")</f>
        <v/>
      </c>
      <c r="ES691" s="58">
        <f>IFERROR($BH691/$BH692-1,"")</f>
        <v/>
      </c>
      <c r="ET691" s="58">
        <f>IFERROR($BI691/$BI692-1,"")</f>
        <v/>
      </c>
      <c r="EU691" s="58">
        <f>IFERROR($BJ691/$BJ692-1,"")</f>
        <v/>
      </c>
      <c r="EV691" s="58">
        <f>IFERROR($BK691/$BK692-1,"")</f>
        <v/>
      </c>
      <c r="EW691" s="58">
        <f>IFERROR($BL691/$BL692-1,"")</f>
        <v/>
      </c>
      <c r="EX691" s="58">
        <f>IFERROR($BM691/$BM692-1,"")</f>
        <v/>
      </c>
      <c r="EY691" s="58">
        <f>IFERROR($BN691/$BN692-1,"")</f>
        <v/>
      </c>
      <c r="EZ691" s="58">
        <f>IFERROR($BO691/$BO692-1,"")</f>
        <v/>
      </c>
      <c r="FA691" s="58">
        <f>IFERROR($BP691/$BP692-1,"")</f>
        <v/>
      </c>
      <c r="FB691" s="58">
        <f>IFERROR($BQ691/$BQ692-1,"")</f>
        <v/>
      </c>
      <c r="FC691" s="58">
        <f>IFERROR($BR691/$BR692-1,"")</f>
        <v/>
      </c>
      <c r="FD691" s="58">
        <f>IFERROR($BS691/$BS692-1,"")</f>
        <v/>
      </c>
      <c r="FE691" s="58">
        <f>IFERROR($BT691/$BT692-1,"")</f>
        <v/>
      </c>
      <c r="FF691" s="58">
        <f>IFERROR($BU691/$BU692-1,"")</f>
        <v/>
      </c>
      <c r="FG691" s="58">
        <f>IFERROR($BV691/$BV692-1,"")</f>
        <v/>
      </c>
      <c r="FH691" s="58">
        <f>IFERROR($BW691/$BW692-1,"")</f>
        <v/>
      </c>
      <c r="FI691" s="58">
        <f>IFERROR($BX691/$BX692-1,"")</f>
        <v/>
      </c>
      <c r="FJ691" s="59">
        <f>$BY691-$BY692</f>
        <v/>
      </c>
      <c r="FK691" s="59">
        <f>$BZ691-$BZ692</f>
        <v/>
      </c>
      <c r="FL691" s="59">
        <f>$CA691-$CA692</f>
        <v/>
      </c>
      <c r="FM691" s="59">
        <f>$CB691-$CB692</f>
        <v/>
      </c>
      <c r="FN691" s="59">
        <f>$CC691-$CC692</f>
        <v/>
      </c>
      <c r="FO691" s="59">
        <f>$CD691-$CD692</f>
        <v/>
      </c>
      <c r="FP691" s="59">
        <f>$CE691-$CE692</f>
        <v/>
      </c>
      <c r="FQ691" s="59">
        <f>$CF691-$CF692</f>
        <v/>
      </c>
      <c r="FR691" s="59">
        <f>$CG691-$CG692</f>
        <v/>
      </c>
      <c r="FS691" s="59">
        <f>$CH691-$CH692</f>
        <v/>
      </c>
      <c r="FT691" s="59">
        <f>$CI691-$CI692</f>
        <v/>
      </c>
      <c r="FU691" s="59">
        <f>$CJ691-$CJ692</f>
        <v/>
      </c>
      <c r="FV691" s="59">
        <f>$CK691-$CK692</f>
        <v/>
      </c>
      <c r="FW691" s="59">
        <f>$CL691-$CL692</f>
        <v/>
      </c>
      <c r="FX691" s="59">
        <f>$CM691-$CM692</f>
        <v/>
      </c>
      <c r="FY691" s="59">
        <f>$CN691-$CN692</f>
        <v/>
      </c>
      <c r="FZ691" s="59">
        <f>$CO691-$CO692</f>
        <v/>
      </c>
      <c r="GA691" s="59">
        <f>$CP691-$CP692</f>
        <v/>
      </c>
      <c r="GB691" s="59">
        <f>$CQ691-$CQ692</f>
        <v/>
      </c>
      <c r="GC691" s="59">
        <f>$CR691-$CR692</f>
        <v/>
      </c>
      <c r="GD691" s="59">
        <f>$CS691-$CS692</f>
        <v/>
      </c>
      <c r="GE691" s="59">
        <f>$CT691-$CT692</f>
        <v/>
      </c>
    </row>
    <row r="692">
      <c r="CU692" s="58">
        <f>IFERROR($B692/$B693-1,"")</f>
        <v/>
      </c>
      <c r="CV692" s="59">
        <f>($F692-$F693)*100</f>
        <v/>
      </c>
      <c r="CW692" s="59">
        <f>($E692-$E693)*100</f>
        <v/>
      </c>
      <c r="CX692" s="58">
        <f>IFERROR($K692/$K693-1,"")</f>
        <v/>
      </c>
      <c r="CY692" s="59">
        <f>($AH692-$AH693)*100</f>
        <v/>
      </c>
      <c r="CZ692" s="59">
        <f>($AI692-$AI693)*100</f>
        <v/>
      </c>
      <c r="DA692" s="59">
        <f>($AJ692-$AJ693)*100</f>
        <v/>
      </c>
      <c r="DB692" s="59">
        <f>($AK692-$AK693)*100</f>
        <v/>
      </c>
      <c r="DC692" s="59">
        <f>($AL692-$AL693)*100</f>
        <v/>
      </c>
      <c r="DD692" s="59">
        <f>($AM692-$AM693)*100</f>
        <v/>
      </c>
      <c r="DE692" s="59">
        <f>($AN692-$AN693)*100</f>
        <v/>
      </c>
      <c r="DF692" s="59">
        <f>($AO692-$AO693)*100</f>
        <v/>
      </c>
      <c r="DG692" s="59">
        <f>($AP692-$AP693)*100</f>
        <v/>
      </c>
      <c r="DH692" s="59">
        <f>($AQ692-$AQ693)*100</f>
        <v/>
      </c>
      <c r="DI692" s="59">
        <f>($AR692-$AR693)*100</f>
        <v/>
      </c>
      <c r="DJ692" s="59">
        <f>($AS692-$AS693)*100</f>
        <v/>
      </c>
      <c r="DK692" s="59">
        <f>($AT692-$AT693)*100</f>
        <v/>
      </c>
      <c r="DL692" s="59">
        <f>($AU692-$AU693)*100</f>
        <v/>
      </c>
      <c r="DM692" s="59">
        <f>($AV692-$AV693)*100</f>
        <v/>
      </c>
      <c r="DN692" s="59">
        <f>($AW692-$AW693)*100</f>
        <v/>
      </c>
      <c r="DO692" s="59">
        <f>($AX692-$AX693)*100</f>
        <v/>
      </c>
      <c r="DP692" s="59">
        <f>($AY692-$AY693)*100</f>
        <v/>
      </c>
      <c r="DQ692" s="59">
        <f>($AZ692-$AZ693)*100</f>
        <v/>
      </c>
      <c r="DR692" s="59">
        <f>($BA692-$BA693)*100</f>
        <v/>
      </c>
      <c r="DS692" s="58">
        <f>IFERROR($N693/$N692-1,"")</f>
        <v/>
      </c>
      <c r="DT692" s="58">
        <f>IFERROR($O693/$O692-1,"")</f>
        <v/>
      </c>
      <c r="DU692" s="58">
        <f>IFERROR($P693/$P692-1,"")</f>
        <v/>
      </c>
      <c r="DV692" s="58">
        <f>IFERROR($Q693/$Q692-1,"")</f>
        <v/>
      </c>
      <c r="DW692" s="58">
        <f>IFERROR($R693/$R692-1,"")</f>
        <v/>
      </c>
      <c r="DX692" s="58">
        <f>IFERROR($S693/$S692-1,"")</f>
        <v/>
      </c>
      <c r="DY692" s="58">
        <f>IFERROR($T693/$T692-1,"")</f>
        <v/>
      </c>
      <c r="DZ692" s="58">
        <f>IFERROR($U693/$U692-1,"")</f>
        <v/>
      </c>
      <c r="EA692" s="58">
        <f>IFERROR($V693/$V692-1,"")</f>
        <v/>
      </c>
      <c r="EB692" s="58">
        <f>IFERROR($W693/$W692-1,"")</f>
        <v/>
      </c>
      <c r="EC692" s="58">
        <f>IFERROR($X693/$X692-1,"")</f>
        <v/>
      </c>
      <c r="ED692" s="58">
        <f>IFERROR($Y693/$Y692-1,"")</f>
        <v/>
      </c>
      <c r="EE692" s="58">
        <f>IFERROR($Z693/$Z692-1,"")</f>
        <v/>
      </c>
      <c r="EF692" s="58">
        <f>IFERROR($AA693/$AA692-1,"")</f>
        <v/>
      </c>
      <c r="EG692" s="58">
        <f>IFERROR($AB693/$AB692-1,"")</f>
        <v/>
      </c>
      <c r="EH692" s="58">
        <f>IFERROR($AC693/$AC692-1,"")</f>
        <v/>
      </c>
      <c r="EI692" s="58">
        <f>IFERROR($AD693/$AD692-1,"")</f>
        <v/>
      </c>
      <c r="EJ692" s="58">
        <f>IFERROR($AE693/$AE692-1,"")</f>
        <v/>
      </c>
      <c r="EK692" s="58">
        <f>IFERROR($AF693/$AF692-1,"")</f>
        <v/>
      </c>
      <c r="EL692" s="58">
        <f>IFERROR($AG693/$AG692-1,"")</f>
        <v/>
      </c>
      <c r="EM692" s="58">
        <f>IFERROR($BB692/$BB693-1,"")</f>
        <v/>
      </c>
      <c r="EN692" s="58">
        <f>IFERROR($BC692/$BC693-1,"")</f>
        <v/>
      </c>
      <c r="EO692" s="58">
        <f>IFERROR($BD692/$BD693-1,"")</f>
        <v/>
      </c>
      <c r="EP692" s="58">
        <f>IFERROR($BE692/$BE693-1,"")</f>
        <v/>
      </c>
      <c r="EQ692" s="58">
        <f>IFERROR($BF692/$BF693-1,"")</f>
        <v/>
      </c>
      <c r="ER692" s="58">
        <f>IFERROR($BG692/$BG693-1,"")</f>
        <v/>
      </c>
      <c r="ES692" s="58">
        <f>IFERROR($BH692/$BH693-1,"")</f>
        <v/>
      </c>
      <c r="ET692" s="58">
        <f>IFERROR($BI692/$BI693-1,"")</f>
        <v/>
      </c>
      <c r="EU692" s="58">
        <f>IFERROR($BJ692/$BJ693-1,"")</f>
        <v/>
      </c>
      <c r="EV692" s="58">
        <f>IFERROR($BK692/$BK693-1,"")</f>
        <v/>
      </c>
      <c r="EW692" s="58">
        <f>IFERROR($BL692/$BL693-1,"")</f>
        <v/>
      </c>
      <c r="EX692" s="58">
        <f>IFERROR($BM692/$BM693-1,"")</f>
        <v/>
      </c>
      <c r="EY692" s="58">
        <f>IFERROR($BN692/$BN693-1,"")</f>
        <v/>
      </c>
      <c r="EZ692" s="58">
        <f>IFERROR($BO692/$BO693-1,"")</f>
        <v/>
      </c>
      <c r="FA692" s="58">
        <f>IFERROR($BP692/$BP693-1,"")</f>
        <v/>
      </c>
      <c r="FB692" s="58">
        <f>IFERROR($BQ692/$BQ693-1,"")</f>
        <v/>
      </c>
      <c r="FC692" s="58">
        <f>IFERROR($BR692/$BR693-1,"")</f>
        <v/>
      </c>
      <c r="FD692" s="58">
        <f>IFERROR($BS692/$BS693-1,"")</f>
        <v/>
      </c>
      <c r="FE692" s="58">
        <f>IFERROR($BT692/$BT693-1,"")</f>
        <v/>
      </c>
      <c r="FF692" s="58">
        <f>IFERROR($BU692/$BU693-1,"")</f>
        <v/>
      </c>
      <c r="FG692" s="58">
        <f>IFERROR($BV692/$BV693-1,"")</f>
        <v/>
      </c>
      <c r="FH692" s="58">
        <f>IFERROR($BW692/$BW693-1,"")</f>
        <v/>
      </c>
      <c r="FI692" s="58">
        <f>IFERROR($BX692/$BX693-1,"")</f>
        <v/>
      </c>
      <c r="FJ692" s="59">
        <f>$BY692-$BY693</f>
        <v/>
      </c>
      <c r="FK692" s="59">
        <f>$BZ692-$BZ693</f>
        <v/>
      </c>
      <c r="FL692" s="59">
        <f>$CA692-$CA693</f>
        <v/>
      </c>
      <c r="FM692" s="59">
        <f>$CB692-$CB693</f>
        <v/>
      </c>
      <c r="FN692" s="59">
        <f>$CC692-$CC693</f>
        <v/>
      </c>
      <c r="FO692" s="59">
        <f>$CD692-$CD693</f>
        <v/>
      </c>
      <c r="FP692" s="59">
        <f>$CE692-$CE693</f>
        <v/>
      </c>
      <c r="FQ692" s="59">
        <f>$CF692-$CF693</f>
        <v/>
      </c>
      <c r="FR692" s="59">
        <f>$CG692-$CG693</f>
        <v/>
      </c>
      <c r="FS692" s="59">
        <f>$CH692-$CH693</f>
        <v/>
      </c>
      <c r="FT692" s="59">
        <f>$CI692-$CI693</f>
        <v/>
      </c>
      <c r="FU692" s="59">
        <f>$CJ692-$CJ693</f>
        <v/>
      </c>
      <c r="FV692" s="59">
        <f>$CK692-$CK693</f>
        <v/>
      </c>
      <c r="FW692" s="59">
        <f>$CL692-$CL693</f>
        <v/>
      </c>
      <c r="FX692" s="59">
        <f>$CM692-$CM693</f>
        <v/>
      </c>
      <c r="FY692" s="59">
        <f>$CN692-$CN693</f>
        <v/>
      </c>
      <c r="FZ692" s="59">
        <f>$CO692-$CO693</f>
        <v/>
      </c>
      <c r="GA692" s="59">
        <f>$CP692-$CP693</f>
        <v/>
      </c>
      <c r="GB692" s="59">
        <f>$CQ692-$CQ693</f>
        <v/>
      </c>
      <c r="GC692" s="59">
        <f>$CR692-$CR693</f>
        <v/>
      </c>
      <c r="GD692" s="59">
        <f>$CS692-$CS693</f>
        <v/>
      </c>
      <c r="GE692" s="59">
        <f>$CT692-$CT693</f>
        <v/>
      </c>
    </row>
    <row r="693">
      <c r="CU693" s="58">
        <f>IFERROR($B693/$B694-1,"")</f>
        <v/>
      </c>
      <c r="CV693" s="59">
        <f>($F693-$F694)*100</f>
        <v/>
      </c>
      <c r="CW693" s="59">
        <f>($E693-$E694)*100</f>
        <v/>
      </c>
      <c r="CX693" s="58">
        <f>IFERROR($K693/$K694-1,"")</f>
        <v/>
      </c>
      <c r="CY693" s="59">
        <f>($AH693-$AH694)*100</f>
        <v/>
      </c>
      <c r="CZ693" s="59">
        <f>($AI693-$AI694)*100</f>
        <v/>
      </c>
      <c r="DA693" s="59">
        <f>($AJ693-$AJ694)*100</f>
        <v/>
      </c>
      <c r="DB693" s="59">
        <f>($AK693-$AK694)*100</f>
        <v/>
      </c>
      <c r="DC693" s="59">
        <f>($AL693-$AL694)*100</f>
        <v/>
      </c>
      <c r="DD693" s="59">
        <f>($AM693-$AM694)*100</f>
        <v/>
      </c>
      <c r="DE693" s="59">
        <f>($AN693-$AN694)*100</f>
        <v/>
      </c>
      <c r="DF693" s="59">
        <f>($AO693-$AO694)*100</f>
        <v/>
      </c>
      <c r="DG693" s="59">
        <f>($AP693-$AP694)*100</f>
        <v/>
      </c>
      <c r="DH693" s="59">
        <f>($AQ693-$AQ694)*100</f>
        <v/>
      </c>
      <c r="DI693" s="59">
        <f>($AR693-$AR694)*100</f>
        <v/>
      </c>
      <c r="DJ693" s="59">
        <f>($AS693-$AS694)*100</f>
        <v/>
      </c>
      <c r="DK693" s="59">
        <f>($AT693-$AT694)*100</f>
        <v/>
      </c>
      <c r="DL693" s="59">
        <f>($AU693-$AU694)*100</f>
        <v/>
      </c>
      <c r="DM693" s="59">
        <f>($AV693-$AV694)*100</f>
        <v/>
      </c>
      <c r="DN693" s="59">
        <f>($AW693-$AW694)*100</f>
        <v/>
      </c>
      <c r="DO693" s="59">
        <f>($AX693-$AX694)*100</f>
        <v/>
      </c>
      <c r="DP693" s="59">
        <f>($AY693-$AY694)*100</f>
        <v/>
      </c>
      <c r="DQ693" s="59">
        <f>($AZ693-$AZ694)*100</f>
        <v/>
      </c>
      <c r="DR693" s="59">
        <f>($BA693-$BA694)*100</f>
        <v/>
      </c>
      <c r="DS693" s="58">
        <f>IFERROR($N694/$N693-1,"")</f>
        <v/>
      </c>
      <c r="DT693" s="58">
        <f>IFERROR($O694/$O693-1,"")</f>
        <v/>
      </c>
      <c r="DU693" s="58">
        <f>IFERROR($P694/$P693-1,"")</f>
        <v/>
      </c>
      <c r="DV693" s="58">
        <f>IFERROR($Q694/$Q693-1,"")</f>
        <v/>
      </c>
      <c r="DW693" s="58">
        <f>IFERROR($R694/$R693-1,"")</f>
        <v/>
      </c>
      <c r="DX693" s="58">
        <f>IFERROR($S694/$S693-1,"")</f>
        <v/>
      </c>
      <c r="DY693" s="58">
        <f>IFERROR($T694/$T693-1,"")</f>
        <v/>
      </c>
      <c r="DZ693" s="58">
        <f>IFERROR($U694/$U693-1,"")</f>
        <v/>
      </c>
      <c r="EA693" s="58">
        <f>IFERROR($V694/$V693-1,"")</f>
        <v/>
      </c>
      <c r="EB693" s="58">
        <f>IFERROR($W694/$W693-1,"")</f>
        <v/>
      </c>
      <c r="EC693" s="58">
        <f>IFERROR($X694/$X693-1,"")</f>
        <v/>
      </c>
      <c r="ED693" s="58">
        <f>IFERROR($Y694/$Y693-1,"")</f>
        <v/>
      </c>
      <c r="EE693" s="58">
        <f>IFERROR($Z694/$Z693-1,"")</f>
        <v/>
      </c>
      <c r="EF693" s="58">
        <f>IFERROR($AA694/$AA693-1,"")</f>
        <v/>
      </c>
      <c r="EG693" s="58">
        <f>IFERROR($AB694/$AB693-1,"")</f>
        <v/>
      </c>
      <c r="EH693" s="58">
        <f>IFERROR($AC694/$AC693-1,"")</f>
        <v/>
      </c>
      <c r="EI693" s="58">
        <f>IFERROR($AD694/$AD693-1,"")</f>
        <v/>
      </c>
      <c r="EJ693" s="58">
        <f>IFERROR($AE694/$AE693-1,"")</f>
        <v/>
      </c>
      <c r="EK693" s="58">
        <f>IFERROR($AF694/$AF693-1,"")</f>
        <v/>
      </c>
      <c r="EL693" s="58">
        <f>IFERROR($AG694/$AG693-1,"")</f>
        <v/>
      </c>
      <c r="EM693" s="58">
        <f>IFERROR($BB693/$BB694-1,"")</f>
        <v/>
      </c>
      <c r="EN693" s="58">
        <f>IFERROR($BC693/$BC694-1,"")</f>
        <v/>
      </c>
      <c r="EO693" s="58">
        <f>IFERROR($BD693/$BD694-1,"")</f>
        <v/>
      </c>
      <c r="EP693" s="58">
        <f>IFERROR($BE693/$BE694-1,"")</f>
        <v/>
      </c>
      <c r="EQ693" s="58">
        <f>IFERROR($BF693/$BF694-1,"")</f>
        <v/>
      </c>
      <c r="ER693" s="58">
        <f>IFERROR($BG693/$BG694-1,"")</f>
        <v/>
      </c>
      <c r="ES693" s="58">
        <f>IFERROR($BH693/$BH694-1,"")</f>
        <v/>
      </c>
      <c r="ET693" s="58">
        <f>IFERROR($BI693/$BI694-1,"")</f>
        <v/>
      </c>
      <c r="EU693" s="58">
        <f>IFERROR($BJ693/$BJ694-1,"")</f>
        <v/>
      </c>
      <c r="EV693" s="58">
        <f>IFERROR($BK693/$BK694-1,"")</f>
        <v/>
      </c>
      <c r="EW693" s="58">
        <f>IFERROR($BL693/$BL694-1,"")</f>
        <v/>
      </c>
      <c r="EX693" s="58">
        <f>IFERROR($BM693/$BM694-1,"")</f>
        <v/>
      </c>
      <c r="EY693" s="58">
        <f>IFERROR($BN693/$BN694-1,"")</f>
        <v/>
      </c>
      <c r="EZ693" s="58">
        <f>IFERROR($BO693/$BO694-1,"")</f>
        <v/>
      </c>
      <c r="FA693" s="58">
        <f>IFERROR($BP693/$BP694-1,"")</f>
        <v/>
      </c>
      <c r="FB693" s="58">
        <f>IFERROR($BQ693/$BQ694-1,"")</f>
        <v/>
      </c>
      <c r="FC693" s="58">
        <f>IFERROR($BR693/$BR694-1,"")</f>
        <v/>
      </c>
      <c r="FD693" s="58">
        <f>IFERROR($BS693/$BS694-1,"")</f>
        <v/>
      </c>
      <c r="FE693" s="58">
        <f>IFERROR($BT693/$BT694-1,"")</f>
        <v/>
      </c>
      <c r="FF693" s="58">
        <f>IFERROR($BU693/$BU694-1,"")</f>
        <v/>
      </c>
      <c r="FG693" s="58">
        <f>IFERROR($BV693/$BV694-1,"")</f>
        <v/>
      </c>
      <c r="FH693" s="58">
        <f>IFERROR($BW693/$BW694-1,"")</f>
        <v/>
      </c>
      <c r="FI693" s="58">
        <f>IFERROR($BX693/$BX694-1,"")</f>
        <v/>
      </c>
      <c r="FJ693" s="59">
        <f>$BY693-$BY694</f>
        <v/>
      </c>
      <c r="FK693" s="59">
        <f>$BZ693-$BZ694</f>
        <v/>
      </c>
      <c r="FL693" s="59">
        <f>$CA693-$CA694</f>
        <v/>
      </c>
      <c r="FM693" s="59">
        <f>$CB693-$CB694</f>
        <v/>
      </c>
      <c r="FN693" s="59">
        <f>$CC693-$CC694</f>
        <v/>
      </c>
      <c r="FO693" s="59">
        <f>$CD693-$CD694</f>
        <v/>
      </c>
      <c r="FP693" s="59">
        <f>$CE693-$CE694</f>
        <v/>
      </c>
      <c r="FQ693" s="59">
        <f>$CF693-$CF694</f>
        <v/>
      </c>
      <c r="FR693" s="59">
        <f>$CG693-$CG694</f>
        <v/>
      </c>
      <c r="FS693" s="59">
        <f>$CH693-$CH694</f>
        <v/>
      </c>
      <c r="FT693" s="59">
        <f>$CI693-$CI694</f>
        <v/>
      </c>
      <c r="FU693" s="59">
        <f>$CJ693-$CJ694</f>
        <v/>
      </c>
      <c r="FV693" s="59">
        <f>$CK693-$CK694</f>
        <v/>
      </c>
      <c r="FW693" s="59">
        <f>$CL693-$CL694</f>
        <v/>
      </c>
      <c r="FX693" s="59">
        <f>$CM693-$CM694</f>
        <v/>
      </c>
      <c r="FY693" s="59">
        <f>$CN693-$CN694</f>
        <v/>
      </c>
      <c r="FZ693" s="59">
        <f>$CO693-$CO694</f>
        <v/>
      </c>
      <c r="GA693" s="59">
        <f>$CP693-$CP694</f>
        <v/>
      </c>
      <c r="GB693" s="59">
        <f>$CQ693-$CQ694</f>
        <v/>
      </c>
      <c r="GC693" s="59">
        <f>$CR693-$CR694</f>
        <v/>
      </c>
      <c r="GD693" s="59">
        <f>$CS693-$CS694</f>
        <v/>
      </c>
      <c r="GE693" s="59">
        <f>$CT693-$CT694</f>
        <v/>
      </c>
    </row>
    <row r="694">
      <c r="CU694" s="58">
        <f>IFERROR($B694/$B695-1,"")</f>
        <v/>
      </c>
      <c r="CV694" s="59">
        <f>($F694-$F695)*100</f>
        <v/>
      </c>
      <c r="CW694" s="59">
        <f>($E694-$E695)*100</f>
        <v/>
      </c>
      <c r="CX694" s="58">
        <f>IFERROR($K694/$K695-1,"")</f>
        <v/>
      </c>
      <c r="CY694" s="59">
        <f>($AH694-$AH695)*100</f>
        <v/>
      </c>
      <c r="CZ694" s="59">
        <f>($AI694-$AI695)*100</f>
        <v/>
      </c>
      <c r="DA694" s="59">
        <f>($AJ694-$AJ695)*100</f>
        <v/>
      </c>
      <c r="DB694" s="59">
        <f>($AK694-$AK695)*100</f>
        <v/>
      </c>
      <c r="DC694" s="59">
        <f>($AL694-$AL695)*100</f>
        <v/>
      </c>
      <c r="DD694" s="59">
        <f>($AM694-$AM695)*100</f>
        <v/>
      </c>
      <c r="DE694" s="59">
        <f>($AN694-$AN695)*100</f>
        <v/>
      </c>
      <c r="DF694" s="59">
        <f>($AO694-$AO695)*100</f>
        <v/>
      </c>
      <c r="DG694" s="59">
        <f>($AP694-$AP695)*100</f>
        <v/>
      </c>
      <c r="DH694" s="59">
        <f>($AQ694-$AQ695)*100</f>
        <v/>
      </c>
      <c r="DI694" s="59">
        <f>($AR694-$AR695)*100</f>
        <v/>
      </c>
      <c r="DJ694" s="59">
        <f>($AS694-$AS695)*100</f>
        <v/>
      </c>
      <c r="DK694" s="59">
        <f>($AT694-$AT695)*100</f>
        <v/>
      </c>
      <c r="DL694" s="59">
        <f>($AU694-$AU695)*100</f>
        <v/>
      </c>
      <c r="DM694" s="59">
        <f>($AV694-$AV695)*100</f>
        <v/>
      </c>
      <c r="DN694" s="59">
        <f>($AW694-$AW695)*100</f>
        <v/>
      </c>
      <c r="DO694" s="59">
        <f>($AX694-$AX695)*100</f>
        <v/>
      </c>
      <c r="DP694" s="59">
        <f>($AY694-$AY695)*100</f>
        <v/>
      </c>
      <c r="DQ694" s="59">
        <f>($AZ694-$AZ695)*100</f>
        <v/>
      </c>
      <c r="DR694" s="59">
        <f>($BA694-$BA695)*100</f>
        <v/>
      </c>
      <c r="DS694" s="58">
        <f>IFERROR($N695/$N694-1,"")</f>
        <v/>
      </c>
      <c r="DT694" s="58">
        <f>IFERROR($O695/$O694-1,"")</f>
        <v/>
      </c>
      <c r="DU694" s="58">
        <f>IFERROR($P695/$P694-1,"")</f>
        <v/>
      </c>
      <c r="DV694" s="58">
        <f>IFERROR($Q695/$Q694-1,"")</f>
        <v/>
      </c>
      <c r="DW694" s="58">
        <f>IFERROR($R695/$R694-1,"")</f>
        <v/>
      </c>
      <c r="DX694" s="58">
        <f>IFERROR($S695/$S694-1,"")</f>
        <v/>
      </c>
      <c r="DY694" s="58">
        <f>IFERROR($T695/$T694-1,"")</f>
        <v/>
      </c>
      <c r="DZ694" s="58">
        <f>IFERROR($U695/$U694-1,"")</f>
        <v/>
      </c>
      <c r="EA694" s="58">
        <f>IFERROR($V695/$V694-1,"")</f>
        <v/>
      </c>
      <c r="EB694" s="58">
        <f>IFERROR($W695/$W694-1,"")</f>
        <v/>
      </c>
      <c r="EC694" s="58">
        <f>IFERROR($X695/$X694-1,"")</f>
        <v/>
      </c>
      <c r="ED694" s="58">
        <f>IFERROR($Y695/$Y694-1,"")</f>
        <v/>
      </c>
      <c r="EE694" s="58">
        <f>IFERROR($Z695/$Z694-1,"")</f>
        <v/>
      </c>
      <c r="EF694" s="58">
        <f>IFERROR($AA695/$AA694-1,"")</f>
        <v/>
      </c>
      <c r="EG694" s="58">
        <f>IFERROR($AB695/$AB694-1,"")</f>
        <v/>
      </c>
      <c r="EH694" s="58">
        <f>IFERROR($AC695/$AC694-1,"")</f>
        <v/>
      </c>
      <c r="EI694" s="58">
        <f>IFERROR($AD695/$AD694-1,"")</f>
        <v/>
      </c>
      <c r="EJ694" s="58">
        <f>IFERROR($AE695/$AE694-1,"")</f>
        <v/>
      </c>
      <c r="EK694" s="58">
        <f>IFERROR($AF695/$AF694-1,"")</f>
        <v/>
      </c>
      <c r="EL694" s="58">
        <f>IFERROR($AG695/$AG694-1,"")</f>
        <v/>
      </c>
      <c r="EM694" s="58">
        <f>IFERROR($BB694/$BB695-1,"")</f>
        <v/>
      </c>
      <c r="EN694" s="58">
        <f>IFERROR($BC694/$BC695-1,"")</f>
        <v/>
      </c>
      <c r="EO694" s="58">
        <f>IFERROR($BD694/$BD695-1,"")</f>
        <v/>
      </c>
      <c r="EP694" s="58">
        <f>IFERROR($BE694/$BE695-1,"")</f>
        <v/>
      </c>
      <c r="EQ694" s="58">
        <f>IFERROR($BF694/$BF695-1,"")</f>
        <v/>
      </c>
      <c r="ER694" s="58">
        <f>IFERROR($BG694/$BG695-1,"")</f>
        <v/>
      </c>
      <c r="ES694" s="58">
        <f>IFERROR($BH694/$BH695-1,"")</f>
        <v/>
      </c>
      <c r="ET694" s="58">
        <f>IFERROR($BI694/$BI695-1,"")</f>
        <v/>
      </c>
      <c r="EU694" s="58">
        <f>IFERROR($BJ694/$BJ695-1,"")</f>
        <v/>
      </c>
      <c r="EV694" s="58">
        <f>IFERROR($BK694/$BK695-1,"")</f>
        <v/>
      </c>
      <c r="EW694" s="58">
        <f>IFERROR($BL694/$BL695-1,"")</f>
        <v/>
      </c>
      <c r="EX694" s="58">
        <f>IFERROR($BM694/$BM695-1,"")</f>
        <v/>
      </c>
      <c r="EY694" s="58">
        <f>IFERROR($BN694/$BN695-1,"")</f>
        <v/>
      </c>
      <c r="EZ694" s="58">
        <f>IFERROR($BO694/$BO695-1,"")</f>
        <v/>
      </c>
      <c r="FA694" s="58">
        <f>IFERROR($BP694/$BP695-1,"")</f>
        <v/>
      </c>
      <c r="FB694" s="58">
        <f>IFERROR($BQ694/$BQ695-1,"")</f>
        <v/>
      </c>
      <c r="FC694" s="58">
        <f>IFERROR($BR694/$BR695-1,"")</f>
        <v/>
      </c>
      <c r="FD694" s="58">
        <f>IFERROR($BS694/$BS695-1,"")</f>
        <v/>
      </c>
      <c r="FE694" s="58">
        <f>IFERROR($BT694/$BT695-1,"")</f>
        <v/>
      </c>
      <c r="FF694" s="58">
        <f>IFERROR($BU694/$BU695-1,"")</f>
        <v/>
      </c>
      <c r="FG694" s="58">
        <f>IFERROR($BV694/$BV695-1,"")</f>
        <v/>
      </c>
      <c r="FH694" s="58">
        <f>IFERROR($BW694/$BW695-1,"")</f>
        <v/>
      </c>
      <c r="FI694" s="58">
        <f>IFERROR($BX694/$BX695-1,"")</f>
        <v/>
      </c>
      <c r="FJ694" s="59">
        <f>$BY694-$BY695</f>
        <v/>
      </c>
      <c r="FK694" s="59">
        <f>$BZ694-$BZ695</f>
        <v/>
      </c>
      <c r="FL694" s="59">
        <f>$CA694-$CA695</f>
        <v/>
      </c>
      <c r="FM694" s="59">
        <f>$CB694-$CB695</f>
        <v/>
      </c>
      <c r="FN694" s="59">
        <f>$CC694-$CC695</f>
        <v/>
      </c>
      <c r="FO694" s="59">
        <f>$CD694-$CD695</f>
        <v/>
      </c>
      <c r="FP694" s="59">
        <f>$CE694-$CE695</f>
        <v/>
      </c>
      <c r="FQ694" s="59">
        <f>$CF694-$CF695</f>
        <v/>
      </c>
      <c r="FR694" s="59">
        <f>$CG694-$CG695</f>
        <v/>
      </c>
      <c r="FS694" s="59">
        <f>$CH694-$CH695</f>
        <v/>
      </c>
      <c r="FT694" s="59">
        <f>$CI694-$CI695</f>
        <v/>
      </c>
      <c r="FU694" s="59">
        <f>$CJ694-$CJ695</f>
        <v/>
      </c>
      <c r="FV694" s="59">
        <f>$CK694-$CK695</f>
        <v/>
      </c>
      <c r="FW694" s="59">
        <f>$CL694-$CL695</f>
        <v/>
      </c>
      <c r="FX694" s="59">
        <f>$CM694-$CM695</f>
        <v/>
      </c>
      <c r="FY694" s="59">
        <f>$CN694-$CN695</f>
        <v/>
      </c>
      <c r="FZ694" s="59">
        <f>$CO694-$CO695</f>
        <v/>
      </c>
      <c r="GA694" s="59">
        <f>$CP694-$CP695</f>
        <v/>
      </c>
      <c r="GB694" s="59">
        <f>$CQ694-$CQ695</f>
        <v/>
      </c>
      <c r="GC694" s="59">
        <f>$CR694-$CR695</f>
        <v/>
      </c>
      <c r="GD694" s="59">
        <f>$CS694-$CS695</f>
        <v/>
      </c>
      <c r="GE694" s="59">
        <f>$CT694-$CT695</f>
        <v/>
      </c>
    </row>
    <row r="695">
      <c r="CU695" s="58">
        <f>IFERROR($B695/$B696-1,"")</f>
        <v/>
      </c>
      <c r="CV695" s="59">
        <f>($F695-$F696)*100</f>
        <v/>
      </c>
      <c r="CW695" s="59">
        <f>($E695-$E696)*100</f>
        <v/>
      </c>
      <c r="CX695" s="58">
        <f>IFERROR($K695/$K696-1,"")</f>
        <v/>
      </c>
      <c r="CY695" s="59">
        <f>($AH695-$AH696)*100</f>
        <v/>
      </c>
      <c r="CZ695" s="59">
        <f>($AI695-$AI696)*100</f>
        <v/>
      </c>
      <c r="DA695" s="59">
        <f>($AJ695-$AJ696)*100</f>
        <v/>
      </c>
      <c r="DB695" s="59">
        <f>($AK695-$AK696)*100</f>
        <v/>
      </c>
      <c r="DC695" s="59">
        <f>($AL695-$AL696)*100</f>
        <v/>
      </c>
      <c r="DD695" s="59">
        <f>($AM695-$AM696)*100</f>
        <v/>
      </c>
      <c r="DE695" s="59">
        <f>($AN695-$AN696)*100</f>
        <v/>
      </c>
      <c r="DF695" s="59">
        <f>($AO695-$AO696)*100</f>
        <v/>
      </c>
      <c r="DG695" s="59">
        <f>($AP695-$AP696)*100</f>
        <v/>
      </c>
      <c r="DH695" s="59">
        <f>($AQ695-$AQ696)*100</f>
        <v/>
      </c>
      <c r="DI695" s="59">
        <f>($AR695-$AR696)*100</f>
        <v/>
      </c>
      <c r="DJ695" s="59">
        <f>($AS695-$AS696)*100</f>
        <v/>
      </c>
      <c r="DK695" s="59">
        <f>($AT695-$AT696)*100</f>
        <v/>
      </c>
      <c r="DL695" s="59">
        <f>($AU695-$AU696)*100</f>
        <v/>
      </c>
      <c r="DM695" s="59">
        <f>($AV695-$AV696)*100</f>
        <v/>
      </c>
      <c r="DN695" s="59">
        <f>($AW695-$AW696)*100</f>
        <v/>
      </c>
      <c r="DO695" s="59">
        <f>($AX695-$AX696)*100</f>
        <v/>
      </c>
      <c r="DP695" s="59">
        <f>($AY695-$AY696)*100</f>
        <v/>
      </c>
      <c r="DQ695" s="59">
        <f>($AZ695-$AZ696)*100</f>
        <v/>
      </c>
      <c r="DR695" s="59">
        <f>($BA695-$BA696)*100</f>
        <v/>
      </c>
      <c r="DS695" s="58">
        <f>IFERROR($N696/$N695-1,"")</f>
        <v/>
      </c>
      <c r="DT695" s="58">
        <f>IFERROR($O696/$O695-1,"")</f>
        <v/>
      </c>
      <c r="DU695" s="58">
        <f>IFERROR($P696/$P695-1,"")</f>
        <v/>
      </c>
      <c r="DV695" s="58">
        <f>IFERROR($Q696/$Q695-1,"")</f>
        <v/>
      </c>
      <c r="DW695" s="58">
        <f>IFERROR($R696/$R695-1,"")</f>
        <v/>
      </c>
      <c r="DX695" s="58">
        <f>IFERROR($S696/$S695-1,"")</f>
        <v/>
      </c>
      <c r="DY695" s="58">
        <f>IFERROR($T696/$T695-1,"")</f>
        <v/>
      </c>
      <c r="DZ695" s="58">
        <f>IFERROR($U696/$U695-1,"")</f>
        <v/>
      </c>
      <c r="EA695" s="58">
        <f>IFERROR($V696/$V695-1,"")</f>
        <v/>
      </c>
      <c r="EB695" s="58">
        <f>IFERROR($W696/$W695-1,"")</f>
        <v/>
      </c>
      <c r="EC695" s="58">
        <f>IFERROR($X696/$X695-1,"")</f>
        <v/>
      </c>
      <c r="ED695" s="58">
        <f>IFERROR($Y696/$Y695-1,"")</f>
        <v/>
      </c>
      <c r="EE695" s="58">
        <f>IFERROR($Z696/$Z695-1,"")</f>
        <v/>
      </c>
      <c r="EF695" s="58">
        <f>IFERROR($AA696/$AA695-1,"")</f>
        <v/>
      </c>
      <c r="EG695" s="58">
        <f>IFERROR($AB696/$AB695-1,"")</f>
        <v/>
      </c>
      <c r="EH695" s="58">
        <f>IFERROR($AC696/$AC695-1,"")</f>
        <v/>
      </c>
      <c r="EI695" s="58">
        <f>IFERROR($AD696/$AD695-1,"")</f>
        <v/>
      </c>
      <c r="EJ695" s="58">
        <f>IFERROR($AE696/$AE695-1,"")</f>
        <v/>
      </c>
      <c r="EK695" s="58">
        <f>IFERROR($AF696/$AF695-1,"")</f>
        <v/>
      </c>
      <c r="EL695" s="58">
        <f>IFERROR($AG696/$AG695-1,"")</f>
        <v/>
      </c>
      <c r="EM695" s="58">
        <f>IFERROR($BB695/$BB696-1,"")</f>
        <v/>
      </c>
      <c r="EN695" s="58">
        <f>IFERROR($BC695/$BC696-1,"")</f>
        <v/>
      </c>
      <c r="EO695" s="58">
        <f>IFERROR($BD695/$BD696-1,"")</f>
        <v/>
      </c>
      <c r="EP695" s="58">
        <f>IFERROR($BE695/$BE696-1,"")</f>
        <v/>
      </c>
      <c r="EQ695" s="58">
        <f>IFERROR($BF695/$BF696-1,"")</f>
        <v/>
      </c>
      <c r="ER695" s="58">
        <f>IFERROR($BG695/$BG696-1,"")</f>
        <v/>
      </c>
      <c r="ES695" s="58">
        <f>IFERROR($BH695/$BH696-1,"")</f>
        <v/>
      </c>
      <c r="ET695" s="58">
        <f>IFERROR($BI695/$BI696-1,"")</f>
        <v/>
      </c>
      <c r="EU695" s="58">
        <f>IFERROR($BJ695/$BJ696-1,"")</f>
        <v/>
      </c>
      <c r="EV695" s="58">
        <f>IFERROR($BK695/$BK696-1,"")</f>
        <v/>
      </c>
      <c r="EW695" s="58">
        <f>IFERROR($BL695/$BL696-1,"")</f>
        <v/>
      </c>
      <c r="EX695" s="58">
        <f>IFERROR($BM695/$BM696-1,"")</f>
        <v/>
      </c>
      <c r="EY695" s="58">
        <f>IFERROR($BN695/$BN696-1,"")</f>
        <v/>
      </c>
      <c r="EZ695" s="58">
        <f>IFERROR($BO695/$BO696-1,"")</f>
        <v/>
      </c>
      <c r="FA695" s="58">
        <f>IFERROR($BP695/$BP696-1,"")</f>
        <v/>
      </c>
      <c r="FB695" s="58">
        <f>IFERROR($BQ695/$BQ696-1,"")</f>
        <v/>
      </c>
      <c r="FC695" s="58">
        <f>IFERROR($BR695/$BR696-1,"")</f>
        <v/>
      </c>
      <c r="FD695" s="58">
        <f>IFERROR($BS695/$BS696-1,"")</f>
        <v/>
      </c>
      <c r="FE695" s="58">
        <f>IFERROR($BT695/$BT696-1,"")</f>
        <v/>
      </c>
      <c r="FF695" s="58">
        <f>IFERROR($BU695/$BU696-1,"")</f>
        <v/>
      </c>
      <c r="FG695" s="58">
        <f>IFERROR($BV695/$BV696-1,"")</f>
        <v/>
      </c>
      <c r="FH695" s="58">
        <f>IFERROR($BW695/$BW696-1,"")</f>
        <v/>
      </c>
      <c r="FI695" s="58">
        <f>IFERROR($BX695/$BX696-1,"")</f>
        <v/>
      </c>
      <c r="FJ695" s="59">
        <f>$BY695-$BY696</f>
        <v/>
      </c>
      <c r="FK695" s="59">
        <f>$BZ695-$BZ696</f>
        <v/>
      </c>
      <c r="FL695" s="59">
        <f>$CA695-$CA696</f>
        <v/>
      </c>
      <c r="FM695" s="59">
        <f>$CB695-$CB696</f>
        <v/>
      </c>
      <c r="FN695" s="59">
        <f>$CC695-$CC696</f>
        <v/>
      </c>
      <c r="FO695" s="59">
        <f>$CD695-$CD696</f>
        <v/>
      </c>
      <c r="FP695" s="59">
        <f>$CE695-$CE696</f>
        <v/>
      </c>
      <c r="FQ695" s="59">
        <f>$CF695-$CF696</f>
        <v/>
      </c>
      <c r="FR695" s="59">
        <f>$CG695-$CG696</f>
        <v/>
      </c>
      <c r="FS695" s="59">
        <f>$CH695-$CH696</f>
        <v/>
      </c>
      <c r="FT695" s="59">
        <f>$CI695-$CI696</f>
        <v/>
      </c>
      <c r="FU695" s="59">
        <f>$CJ695-$CJ696</f>
        <v/>
      </c>
      <c r="FV695" s="59">
        <f>$CK695-$CK696</f>
        <v/>
      </c>
      <c r="FW695" s="59">
        <f>$CL695-$CL696</f>
        <v/>
      </c>
      <c r="FX695" s="59">
        <f>$CM695-$CM696</f>
        <v/>
      </c>
      <c r="FY695" s="59">
        <f>$CN695-$CN696</f>
        <v/>
      </c>
      <c r="FZ695" s="59">
        <f>$CO695-$CO696</f>
        <v/>
      </c>
      <c r="GA695" s="59">
        <f>$CP695-$CP696</f>
        <v/>
      </c>
      <c r="GB695" s="59">
        <f>$CQ695-$CQ696</f>
        <v/>
      </c>
      <c r="GC695" s="59">
        <f>$CR695-$CR696</f>
        <v/>
      </c>
      <c r="GD695" s="59">
        <f>$CS695-$CS696</f>
        <v/>
      </c>
      <c r="GE695" s="59">
        <f>$CT695-$CT696</f>
        <v/>
      </c>
    </row>
    <row r="696">
      <c r="CU696" s="58">
        <f>IFERROR($B696/$B697-1,"")</f>
        <v/>
      </c>
      <c r="CV696" s="59">
        <f>($F696-$F697)*100</f>
        <v/>
      </c>
      <c r="CW696" s="59">
        <f>($E696-$E697)*100</f>
        <v/>
      </c>
      <c r="CX696" s="58">
        <f>IFERROR($K696/$K697-1,"")</f>
        <v/>
      </c>
      <c r="CY696" s="59">
        <f>($AH696-$AH697)*100</f>
        <v/>
      </c>
      <c r="CZ696" s="59">
        <f>($AI696-$AI697)*100</f>
        <v/>
      </c>
      <c r="DA696" s="59">
        <f>($AJ696-$AJ697)*100</f>
        <v/>
      </c>
      <c r="DB696" s="59">
        <f>($AK696-$AK697)*100</f>
        <v/>
      </c>
      <c r="DC696" s="59">
        <f>($AL696-$AL697)*100</f>
        <v/>
      </c>
      <c r="DD696" s="59">
        <f>($AM696-$AM697)*100</f>
        <v/>
      </c>
      <c r="DE696" s="59">
        <f>($AN696-$AN697)*100</f>
        <v/>
      </c>
      <c r="DF696" s="59">
        <f>($AO696-$AO697)*100</f>
        <v/>
      </c>
      <c r="DG696" s="59">
        <f>($AP696-$AP697)*100</f>
        <v/>
      </c>
      <c r="DH696" s="59">
        <f>($AQ696-$AQ697)*100</f>
        <v/>
      </c>
      <c r="DI696" s="59">
        <f>($AR696-$AR697)*100</f>
        <v/>
      </c>
      <c r="DJ696" s="59">
        <f>($AS696-$AS697)*100</f>
        <v/>
      </c>
      <c r="DK696" s="59">
        <f>($AT696-$AT697)*100</f>
        <v/>
      </c>
      <c r="DL696" s="59">
        <f>($AU696-$AU697)*100</f>
        <v/>
      </c>
      <c r="DM696" s="59">
        <f>($AV696-$AV697)*100</f>
        <v/>
      </c>
      <c r="DN696" s="59">
        <f>($AW696-$AW697)*100</f>
        <v/>
      </c>
      <c r="DO696" s="59">
        <f>($AX696-$AX697)*100</f>
        <v/>
      </c>
      <c r="DP696" s="59">
        <f>($AY696-$AY697)*100</f>
        <v/>
      </c>
      <c r="DQ696" s="59">
        <f>($AZ696-$AZ697)*100</f>
        <v/>
      </c>
      <c r="DR696" s="59">
        <f>($BA696-$BA697)*100</f>
        <v/>
      </c>
      <c r="DS696" s="58">
        <f>IFERROR($N697/$N696-1,"")</f>
        <v/>
      </c>
      <c r="DT696" s="58">
        <f>IFERROR($O697/$O696-1,"")</f>
        <v/>
      </c>
      <c r="DU696" s="58">
        <f>IFERROR($P697/$P696-1,"")</f>
        <v/>
      </c>
      <c r="DV696" s="58">
        <f>IFERROR($Q697/$Q696-1,"")</f>
        <v/>
      </c>
      <c r="DW696" s="58">
        <f>IFERROR($R697/$R696-1,"")</f>
        <v/>
      </c>
      <c r="DX696" s="58">
        <f>IFERROR($S697/$S696-1,"")</f>
        <v/>
      </c>
      <c r="DY696" s="58">
        <f>IFERROR($T697/$T696-1,"")</f>
        <v/>
      </c>
      <c r="DZ696" s="58">
        <f>IFERROR($U697/$U696-1,"")</f>
        <v/>
      </c>
      <c r="EA696" s="58">
        <f>IFERROR($V697/$V696-1,"")</f>
        <v/>
      </c>
      <c r="EB696" s="58">
        <f>IFERROR($W697/$W696-1,"")</f>
        <v/>
      </c>
      <c r="EC696" s="58">
        <f>IFERROR($X697/$X696-1,"")</f>
        <v/>
      </c>
      <c r="ED696" s="58">
        <f>IFERROR($Y697/$Y696-1,"")</f>
        <v/>
      </c>
      <c r="EE696" s="58">
        <f>IFERROR($Z697/$Z696-1,"")</f>
        <v/>
      </c>
      <c r="EF696" s="58">
        <f>IFERROR($AA697/$AA696-1,"")</f>
        <v/>
      </c>
      <c r="EG696" s="58">
        <f>IFERROR($AB697/$AB696-1,"")</f>
        <v/>
      </c>
      <c r="EH696" s="58">
        <f>IFERROR($AC697/$AC696-1,"")</f>
        <v/>
      </c>
      <c r="EI696" s="58">
        <f>IFERROR($AD697/$AD696-1,"")</f>
        <v/>
      </c>
      <c r="EJ696" s="58">
        <f>IFERROR($AE697/$AE696-1,"")</f>
        <v/>
      </c>
      <c r="EK696" s="58">
        <f>IFERROR($AF697/$AF696-1,"")</f>
        <v/>
      </c>
      <c r="EL696" s="58">
        <f>IFERROR($AG697/$AG696-1,"")</f>
        <v/>
      </c>
      <c r="EM696" s="58">
        <f>IFERROR($BB696/$BB697-1,"")</f>
        <v/>
      </c>
      <c r="EN696" s="58">
        <f>IFERROR($BC696/$BC697-1,"")</f>
        <v/>
      </c>
      <c r="EO696" s="58">
        <f>IFERROR($BD696/$BD697-1,"")</f>
        <v/>
      </c>
      <c r="EP696" s="58">
        <f>IFERROR($BE696/$BE697-1,"")</f>
        <v/>
      </c>
      <c r="EQ696" s="58">
        <f>IFERROR($BF696/$BF697-1,"")</f>
        <v/>
      </c>
      <c r="ER696" s="58">
        <f>IFERROR($BG696/$BG697-1,"")</f>
        <v/>
      </c>
      <c r="ES696" s="58">
        <f>IFERROR($BH696/$BH697-1,"")</f>
        <v/>
      </c>
      <c r="ET696" s="58">
        <f>IFERROR($BI696/$BI697-1,"")</f>
        <v/>
      </c>
      <c r="EU696" s="58">
        <f>IFERROR($BJ696/$BJ697-1,"")</f>
        <v/>
      </c>
      <c r="EV696" s="58">
        <f>IFERROR($BK696/$BK697-1,"")</f>
        <v/>
      </c>
      <c r="EW696" s="58">
        <f>IFERROR($BL696/$BL697-1,"")</f>
        <v/>
      </c>
      <c r="EX696" s="58">
        <f>IFERROR($BM696/$BM697-1,"")</f>
        <v/>
      </c>
      <c r="EY696" s="58">
        <f>IFERROR($BN696/$BN697-1,"")</f>
        <v/>
      </c>
      <c r="EZ696" s="58">
        <f>IFERROR($BO696/$BO697-1,"")</f>
        <v/>
      </c>
      <c r="FA696" s="58">
        <f>IFERROR($BP696/$BP697-1,"")</f>
        <v/>
      </c>
      <c r="FB696" s="58">
        <f>IFERROR($BQ696/$BQ697-1,"")</f>
        <v/>
      </c>
      <c r="FC696" s="58">
        <f>IFERROR($BR696/$BR697-1,"")</f>
        <v/>
      </c>
      <c r="FD696" s="58">
        <f>IFERROR($BS696/$BS697-1,"")</f>
        <v/>
      </c>
      <c r="FE696" s="58">
        <f>IFERROR($BT696/$BT697-1,"")</f>
        <v/>
      </c>
      <c r="FF696" s="58">
        <f>IFERROR($BU696/$BU697-1,"")</f>
        <v/>
      </c>
      <c r="FG696" s="58">
        <f>IFERROR($BV696/$BV697-1,"")</f>
        <v/>
      </c>
      <c r="FH696" s="58">
        <f>IFERROR($BW696/$BW697-1,"")</f>
        <v/>
      </c>
      <c r="FI696" s="58">
        <f>IFERROR($BX696/$BX697-1,"")</f>
        <v/>
      </c>
      <c r="FJ696" s="59">
        <f>$BY696-$BY697</f>
        <v/>
      </c>
      <c r="FK696" s="59">
        <f>$BZ696-$BZ697</f>
        <v/>
      </c>
      <c r="FL696" s="59">
        <f>$CA696-$CA697</f>
        <v/>
      </c>
      <c r="FM696" s="59">
        <f>$CB696-$CB697</f>
        <v/>
      </c>
      <c r="FN696" s="59">
        <f>$CC696-$CC697</f>
        <v/>
      </c>
      <c r="FO696" s="59">
        <f>$CD696-$CD697</f>
        <v/>
      </c>
      <c r="FP696" s="59">
        <f>$CE696-$CE697</f>
        <v/>
      </c>
      <c r="FQ696" s="59">
        <f>$CF696-$CF697</f>
        <v/>
      </c>
      <c r="FR696" s="59">
        <f>$CG696-$CG697</f>
        <v/>
      </c>
      <c r="FS696" s="59">
        <f>$CH696-$CH697</f>
        <v/>
      </c>
      <c r="FT696" s="59">
        <f>$CI696-$CI697</f>
        <v/>
      </c>
      <c r="FU696" s="59">
        <f>$CJ696-$CJ697</f>
        <v/>
      </c>
      <c r="FV696" s="59">
        <f>$CK696-$CK697</f>
        <v/>
      </c>
      <c r="FW696" s="59">
        <f>$CL696-$CL697</f>
        <v/>
      </c>
      <c r="FX696" s="59">
        <f>$CM696-$CM697</f>
        <v/>
      </c>
      <c r="FY696" s="59">
        <f>$CN696-$CN697</f>
        <v/>
      </c>
      <c r="FZ696" s="59">
        <f>$CO696-$CO697</f>
        <v/>
      </c>
      <c r="GA696" s="59">
        <f>$CP696-$CP697</f>
        <v/>
      </c>
      <c r="GB696" s="59">
        <f>$CQ696-$CQ697</f>
        <v/>
      </c>
      <c r="GC696" s="59">
        <f>$CR696-$CR697</f>
        <v/>
      </c>
      <c r="GD696" s="59">
        <f>$CS696-$CS697</f>
        <v/>
      </c>
      <c r="GE696" s="59">
        <f>$CT696-$CT697</f>
        <v/>
      </c>
    </row>
    <row r="697">
      <c r="CU697" s="58">
        <f>IFERROR($B697/$B698-1,"")</f>
        <v/>
      </c>
      <c r="CV697" s="59">
        <f>($F697-$F698)*100</f>
        <v/>
      </c>
      <c r="CW697" s="59">
        <f>($E697-$E698)*100</f>
        <v/>
      </c>
      <c r="CX697" s="58">
        <f>IFERROR($K697/$K698-1,"")</f>
        <v/>
      </c>
      <c r="CY697" s="59">
        <f>($AH697-$AH698)*100</f>
        <v/>
      </c>
      <c r="CZ697" s="59">
        <f>($AI697-$AI698)*100</f>
        <v/>
      </c>
      <c r="DA697" s="59">
        <f>($AJ697-$AJ698)*100</f>
        <v/>
      </c>
      <c r="DB697" s="59">
        <f>($AK697-$AK698)*100</f>
        <v/>
      </c>
      <c r="DC697" s="59">
        <f>($AL697-$AL698)*100</f>
        <v/>
      </c>
      <c r="DD697" s="59">
        <f>($AM697-$AM698)*100</f>
        <v/>
      </c>
      <c r="DE697" s="59">
        <f>($AN697-$AN698)*100</f>
        <v/>
      </c>
      <c r="DF697" s="59">
        <f>($AO697-$AO698)*100</f>
        <v/>
      </c>
      <c r="DG697" s="59">
        <f>($AP697-$AP698)*100</f>
        <v/>
      </c>
      <c r="DH697" s="59">
        <f>($AQ697-$AQ698)*100</f>
        <v/>
      </c>
      <c r="DI697" s="59">
        <f>($AR697-$AR698)*100</f>
        <v/>
      </c>
      <c r="DJ697" s="59">
        <f>($AS697-$AS698)*100</f>
        <v/>
      </c>
      <c r="DK697" s="59">
        <f>($AT697-$AT698)*100</f>
        <v/>
      </c>
      <c r="DL697" s="59">
        <f>($AU697-$AU698)*100</f>
        <v/>
      </c>
      <c r="DM697" s="59">
        <f>($AV697-$AV698)*100</f>
        <v/>
      </c>
      <c r="DN697" s="59">
        <f>($AW697-$AW698)*100</f>
        <v/>
      </c>
      <c r="DO697" s="59">
        <f>($AX697-$AX698)*100</f>
        <v/>
      </c>
      <c r="DP697" s="59">
        <f>($AY697-$AY698)*100</f>
        <v/>
      </c>
      <c r="DQ697" s="59">
        <f>($AZ697-$AZ698)*100</f>
        <v/>
      </c>
      <c r="DR697" s="59">
        <f>($BA697-$BA698)*100</f>
        <v/>
      </c>
      <c r="DS697" s="58">
        <f>IFERROR($N698/$N697-1,"")</f>
        <v/>
      </c>
      <c r="DT697" s="58">
        <f>IFERROR($O698/$O697-1,"")</f>
        <v/>
      </c>
      <c r="DU697" s="58">
        <f>IFERROR($P698/$P697-1,"")</f>
        <v/>
      </c>
      <c r="DV697" s="58">
        <f>IFERROR($Q698/$Q697-1,"")</f>
        <v/>
      </c>
      <c r="DW697" s="58">
        <f>IFERROR($R698/$R697-1,"")</f>
        <v/>
      </c>
      <c r="DX697" s="58">
        <f>IFERROR($S698/$S697-1,"")</f>
        <v/>
      </c>
      <c r="DY697" s="58">
        <f>IFERROR($T698/$T697-1,"")</f>
        <v/>
      </c>
      <c r="DZ697" s="58">
        <f>IFERROR($U698/$U697-1,"")</f>
        <v/>
      </c>
      <c r="EA697" s="58">
        <f>IFERROR($V698/$V697-1,"")</f>
        <v/>
      </c>
      <c r="EB697" s="58">
        <f>IFERROR($W698/$W697-1,"")</f>
        <v/>
      </c>
      <c r="EC697" s="58">
        <f>IFERROR($X698/$X697-1,"")</f>
        <v/>
      </c>
      <c r="ED697" s="58">
        <f>IFERROR($Y698/$Y697-1,"")</f>
        <v/>
      </c>
      <c r="EE697" s="58">
        <f>IFERROR($Z698/$Z697-1,"")</f>
        <v/>
      </c>
      <c r="EF697" s="58">
        <f>IFERROR($AA698/$AA697-1,"")</f>
        <v/>
      </c>
      <c r="EG697" s="58">
        <f>IFERROR($AB698/$AB697-1,"")</f>
        <v/>
      </c>
      <c r="EH697" s="58">
        <f>IFERROR($AC698/$AC697-1,"")</f>
        <v/>
      </c>
      <c r="EI697" s="58">
        <f>IFERROR($AD698/$AD697-1,"")</f>
        <v/>
      </c>
      <c r="EJ697" s="58">
        <f>IFERROR($AE698/$AE697-1,"")</f>
        <v/>
      </c>
      <c r="EK697" s="58">
        <f>IFERROR($AF698/$AF697-1,"")</f>
        <v/>
      </c>
      <c r="EL697" s="58">
        <f>IFERROR($AG698/$AG697-1,"")</f>
        <v/>
      </c>
      <c r="EM697" s="58">
        <f>IFERROR($BB697/$BB698-1,"")</f>
        <v/>
      </c>
      <c r="EN697" s="58">
        <f>IFERROR($BC697/$BC698-1,"")</f>
        <v/>
      </c>
      <c r="EO697" s="58">
        <f>IFERROR($BD697/$BD698-1,"")</f>
        <v/>
      </c>
      <c r="EP697" s="58">
        <f>IFERROR($BE697/$BE698-1,"")</f>
        <v/>
      </c>
      <c r="EQ697" s="58">
        <f>IFERROR($BF697/$BF698-1,"")</f>
        <v/>
      </c>
      <c r="ER697" s="58">
        <f>IFERROR($BG697/$BG698-1,"")</f>
        <v/>
      </c>
      <c r="ES697" s="58">
        <f>IFERROR($BH697/$BH698-1,"")</f>
        <v/>
      </c>
      <c r="ET697" s="58">
        <f>IFERROR($BI697/$BI698-1,"")</f>
        <v/>
      </c>
      <c r="EU697" s="58">
        <f>IFERROR($BJ697/$BJ698-1,"")</f>
        <v/>
      </c>
      <c r="EV697" s="58">
        <f>IFERROR($BK697/$BK698-1,"")</f>
        <v/>
      </c>
      <c r="EW697" s="58">
        <f>IFERROR($BL697/$BL698-1,"")</f>
        <v/>
      </c>
      <c r="EX697" s="58">
        <f>IFERROR($BM697/$BM698-1,"")</f>
        <v/>
      </c>
      <c r="EY697" s="58">
        <f>IFERROR($BN697/$BN698-1,"")</f>
        <v/>
      </c>
      <c r="EZ697" s="58">
        <f>IFERROR($BO697/$BO698-1,"")</f>
        <v/>
      </c>
      <c r="FA697" s="58">
        <f>IFERROR($BP697/$BP698-1,"")</f>
        <v/>
      </c>
      <c r="FB697" s="58">
        <f>IFERROR($BQ697/$BQ698-1,"")</f>
        <v/>
      </c>
      <c r="FC697" s="58">
        <f>IFERROR($BR697/$BR698-1,"")</f>
        <v/>
      </c>
      <c r="FD697" s="58">
        <f>IFERROR($BS697/$BS698-1,"")</f>
        <v/>
      </c>
      <c r="FE697" s="58">
        <f>IFERROR($BT697/$BT698-1,"")</f>
        <v/>
      </c>
      <c r="FF697" s="58">
        <f>IFERROR($BU697/$BU698-1,"")</f>
        <v/>
      </c>
      <c r="FG697" s="58">
        <f>IFERROR($BV697/$BV698-1,"")</f>
        <v/>
      </c>
      <c r="FH697" s="58">
        <f>IFERROR($BW697/$BW698-1,"")</f>
        <v/>
      </c>
      <c r="FI697" s="58">
        <f>IFERROR($BX697/$BX698-1,"")</f>
        <v/>
      </c>
      <c r="FJ697" s="59">
        <f>$BY697-$BY698</f>
        <v/>
      </c>
      <c r="FK697" s="59">
        <f>$BZ697-$BZ698</f>
        <v/>
      </c>
      <c r="FL697" s="59">
        <f>$CA697-$CA698</f>
        <v/>
      </c>
      <c r="FM697" s="59">
        <f>$CB697-$CB698</f>
        <v/>
      </c>
      <c r="FN697" s="59">
        <f>$CC697-$CC698</f>
        <v/>
      </c>
      <c r="FO697" s="59">
        <f>$CD697-$CD698</f>
        <v/>
      </c>
      <c r="FP697" s="59">
        <f>$CE697-$CE698</f>
        <v/>
      </c>
      <c r="FQ697" s="59">
        <f>$CF697-$CF698</f>
        <v/>
      </c>
      <c r="FR697" s="59">
        <f>$CG697-$CG698</f>
        <v/>
      </c>
      <c r="FS697" s="59">
        <f>$CH697-$CH698</f>
        <v/>
      </c>
      <c r="FT697" s="59">
        <f>$CI697-$CI698</f>
        <v/>
      </c>
      <c r="FU697" s="59">
        <f>$CJ697-$CJ698</f>
        <v/>
      </c>
      <c r="FV697" s="59">
        <f>$CK697-$CK698</f>
        <v/>
      </c>
      <c r="FW697" s="59">
        <f>$CL697-$CL698</f>
        <v/>
      </c>
      <c r="FX697" s="59">
        <f>$CM697-$CM698</f>
        <v/>
      </c>
      <c r="FY697" s="59">
        <f>$CN697-$CN698</f>
        <v/>
      </c>
      <c r="FZ697" s="59">
        <f>$CO697-$CO698</f>
        <v/>
      </c>
      <c r="GA697" s="59">
        <f>$CP697-$CP698</f>
        <v/>
      </c>
      <c r="GB697" s="59">
        <f>$CQ697-$CQ698</f>
        <v/>
      </c>
      <c r="GC697" s="59">
        <f>$CR697-$CR698</f>
        <v/>
      </c>
      <c r="GD697" s="59">
        <f>$CS697-$CS698</f>
        <v/>
      </c>
      <c r="GE697" s="59">
        <f>$CT697-$CT698</f>
        <v/>
      </c>
    </row>
    <row r="698">
      <c r="CU698" s="58">
        <f>IFERROR($B698/$B699-1,"")</f>
        <v/>
      </c>
      <c r="CV698" s="59">
        <f>($F698-$F699)*100</f>
        <v/>
      </c>
      <c r="CW698" s="59">
        <f>($E698-$E699)*100</f>
        <v/>
      </c>
      <c r="CX698" s="58">
        <f>IFERROR($K698/$K699-1,"")</f>
        <v/>
      </c>
      <c r="CY698" s="59">
        <f>($AH698-$AH699)*100</f>
        <v/>
      </c>
      <c r="CZ698" s="59">
        <f>($AI698-$AI699)*100</f>
        <v/>
      </c>
      <c r="DA698" s="59">
        <f>($AJ698-$AJ699)*100</f>
        <v/>
      </c>
      <c r="DB698" s="59">
        <f>($AK698-$AK699)*100</f>
        <v/>
      </c>
      <c r="DC698" s="59">
        <f>($AL698-$AL699)*100</f>
        <v/>
      </c>
      <c r="DD698" s="59">
        <f>($AM698-$AM699)*100</f>
        <v/>
      </c>
      <c r="DE698" s="59">
        <f>($AN698-$AN699)*100</f>
        <v/>
      </c>
      <c r="DF698" s="59">
        <f>($AO698-$AO699)*100</f>
        <v/>
      </c>
      <c r="DG698" s="59">
        <f>($AP698-$AP699)*100</f>
        <v/>
      </c>
      <c r="DH698" s="59">
        <f>($AQ698-$AQ699)*100</f>
        <v/>
      </c>
      <c r="DI698" s="59">
        <f>($AR698-$AR699)*100</f>
        <v/>
      </c>
      <c r="DJ698" s="59">
        <f>($AS698-$AS699)*100</f>
        <v/>
      </c>
      <c r="DK698" s="59">
        <f>($AT698-$AT699)*100</f>
        <v/>
      </c>
      <c r="DL698" s="59">
        <f>($AU698-$AU699)*100</f>
        <v/>
      </c>
      <c r="DM698" s="59">
        <f>($AV698-$AV699)*100</f>
        <v/>
      </c>
      <c r="DN698" s="59">
        <f>($AW698-$AW699)*100</f>
        <v/>
      </c>
      <c r="DO698" s="59">
        <f>($AX698-$AX699)*100</f>
        <v/>
      </c>
      <c r="DP698" s="59">
        <f>($AY698-$AY699)*100</f>
        <v/>
      </c>
      <c r="DQ698" s="59">
        <f>($AZ698-$AZ699)*100</f>
        <v/>
      </c>
      <c r="DR698" s="59">
        <f>($BA698-$BA699)*100</f>
        <v/>
      </c>
      <c r="DS698" s="58">
        <f>IFERROR($N699/$N698-1,"")</f>
        <v/>
      </c>
      <c r="DT698" s="58">
        <f>IFERROR($O699/$O698-1,"")</f>
        <v/>
      </c>
      <c r="DU698" s="58">
        <f>IFERROR($P699/$P698-1,"")</f>
        <v/>
      </c>
      <c r="DV698" s="58">
        <f>IFERROR($Q699/$Q698-1,"")</f>
        <v/>
      </c>
      <c r="DW698" s="58">
        <f>IFERROR($R699/$R698-1,"")</f>
        <v/>
      </c>
      <c r="DX698" s="58">
        <f>IFERROR($S699/$S698-1,"")</f>
        <v/>
      </c>
      <c r="DY698" s="58">
        <f>IFERROR($T699/$T698-1,"")</f>
        <v/>
      </c>
      <c r="DZ698" s="58">
        <f>IFERROR($U699/$U698-1,"")</f>
        <v/>
      </c>
      <c r="EA698" s="58">
        <f>IFERROR($V699/$V698-1,"")</f>
        <v/>
      </c>
      <c r="EB698" s="58">
        <f>IFERROR($W699/$W698-1,"")</f>
        <v/>
      </c>
      <c r="EC698" s="58">
        <f>IFERROR($X699/$X698-1,"")</f>
        <v/>
      </c>
      <c r="ED698" s="58">
        <f>IFERROR($Y699/$Y698-1,"")</f>
        <v/>
      </c>
      <c r="EE698" s="58">
        <f>IFERROR($Z699/$Z698-1,"")</f>
        <v/>
      </c>
      <c r="EF698" s="58">
        <f>IFERROR($AA699/$AA698-1,"")</f>
        <v/>
      </c>
      <c r="EG698" s="58">
        <f>IFERROR($AB699/$AB698-1,"")</f>
        <v/>
      </c>
      <c r="EH698" s="58">
        <f>IFERROR($AC699/$AC698-1,"")</f>
        <v/>
      </c>
      <c r="EI698" s="58">
        <f>IFERROR($AD699/$AD698-1,"")</f>
        <v/>
      </c>
      <c r="EJ698" s="58">
        <f>IFERROR($AE699/$AE698-1,"")</f>
        <v/>
      </c>
      <c r="EK698" s="58">
        <f>IFERROR($AF699/$AF698-1,"")</f>
        <v/>
      </c>
      <c r="EL698" s="58">
        <f>IFERROR($AG699/$AG698-1,"")</f>
        <v/>
      </c>
      <c r="EM698" s="58">
        <f>IFERROR($BB698/$BB699-1,"")</f>
        <v/>
      </c>
      <c r="EN698" s="58">
        <f>IFERROR($BC698/$BC699-1,"")</f>
        <v/>
      </c>
      <c r="EO698" s="58">
        <f>IFERROR($BD698/$BD699-1,"")</f>
        <v/>
      </c>
      <c r="EP698" s="58">
        <f>IFERROR($BE698/$BE699-1,"")</f>
        <v/>
      </c>
      <c r="EQ698" s="58">
        <f>IFERROR($BF698/$BF699-1,"")</f>
        <v/>
      </c>
      <c r="ER698" s="58">
        <f>IFERROR($BG698/$BG699-1,"")</f>
        <v/>
      </c>
      <c r="ES698" s="58">
        <f>IFERROR($BH698/$BH699-1,"")</f>
        <v/>
      </c>
      <c r="ET698" s="58">
        <f>IFERROR($BI698/$BI699-1,"")</f>
        <v/>
      </c>
      <c r="EU698" s="58">
        <f>IFERROR($BJ698/$BJ699-1,"")</f>
        <v/>
      </c>
      <c r="EV698" s="58">
        <f>IFERROR($BK698/$BK699-1,"")</f>
        <v/>
      </c>
      <c r="EW698" s="58">
        <f>IFERROR($BL698/$BL699-1,"")</f>
        <v/>
      </c>
      <c r="EX698" s="58">
        <f>IFERROR($BM698/$BM699-1,"")</f>
        <v/>
      </c>
      <c r="EY698" s="58">
        <f>IFERROR($BN698/$BN699-1,"")</f>
        <v/>
      </c>
      <c r="EZ698" s="58">
        <f>IFERROR($BO698/$BO699-1,"")</f>
        <v/>
      </c>
      <c r="FA698" s="58">
        <f>IFERROR($BP698/$BP699-1,"")</f>
        <v/>
      </c>
      <c r="FB698" s="58">
        <f>IFERROR($BQ698/$BQ699-1,"")</f>
        <v/>
      </c>
      <c r="FC698" s="58">
        <f>IFERROR($BR698/$BR699-1,"")</f>
        <v/>
      </c>
      <c r="FD698" s="58">
        <f>IFERROR($BS698/$BS699-1,"")</f>
        <v/>
      </c>
      <c r="FE698" s="58">
        <f>IFERROR($BT698/$BT699-1,"")</f>
        <v/>
      </c>
      <c r="FF698" s="58">
        <f>IFERROR($BU698/$BU699-1,"")</f>
        <v/>
      </c>
      <c r="FG698" s="58">
        <f>IFERROR($BV698/$BV699-1,"")</f>
        <v/>
      </c>
      <c r="FH698" s="58">
        <f>IFERROR($BW698/$BW699-1,"")</f>
        <v/>
      </c>
      <c r="FI698" s="58">
        <f>IFERROR($BX698/$BX699-1,"")</f>
        <v/>
      </c>
      <c r="FJ698" s="59">
        <f>$BY698-$BY699</f>
        <v/>
      </c>
      <c r="FK698" s="59">
        <f>$BZ698-$BZ699</f>
        <v/>
      </c>
      <c r="FL698" s="59">
        <f>$CA698-$CA699</f>
        <v/>
      </c>
      <c r="FM698" s="59">
        <f>$CB698-$CB699</f>
        <v/>
      </c>
      <c r="FN698" s="59">
        <f>$CC698-$CC699</f>
        <v/>
      </c>
      <c r="FO698" s="59">
        <f>$CD698-$CD699</f>
        <v/>
      </c>
      <c r="FP698" s="59">
        <f>$CE698-$CE699</f>
        <v/>
      </c>
      <c r="FQ698" s="59">
        <f>$CF698-$CF699</f>
        <v/>
      </c>
      <c r="FR698" s="59">
        <f>$CG698-$CG699</f>
        <v/>
      </c>
      <c r="FS698" s="59">
        <f>$CH698-$CH699</f>
        <v/>
      </c>
      <c r="FT698" s="59">
        <f>$CI698-$CI699</f>
        <v/>
      </c>
      <c r="FU698" s="59">
        <f>$CJ698-$CJ699</f>
        <v/>
      </c>
      <c r="FV698" s="59">
        <f>$CK698-$CK699</f>
        <v/>
      </c>
      <c r="FW698" s="59">
        <f>$CL698-$CL699</f>
        <v/>
      </c>
      <c r="FX698" s="59">
        <f>$CM698-$CM699</f>
        <v/>
      </c>
      <c r="FY698" s="59">
        <f>$CN698-$CN699</f>
        <v/>
      </c>
      <c r="FZ698" s="59">
        <f>$CO698-$CO699</f>
        <v/>
      </c>
      <c r="GA698" s="59">
        <f>$CP698-$CP699</f>
        <v/>
      </c>
      <c r="GB698" s="59">
        <f>$CQ698-$CQ699</f>
        <v/>
      </c>
      <c r="GC698" s="59">
        <f>$CR698-$CR699</f>
        <v/>
      </c>
      <c r="GD698" s="59">
        <f>$CS698-$CS699</f>
        <v/>
      </c>
      <c r="GE698" s="59">
        <f>$CT698-$CT699</f>
        <v/>
      </c>
    </row>
    <row r="699">
      <c r="CU699" s="58">
        <f>IFERROR($B699/$B700-1,"")</f>
        <v/>
      </c>
      <c r="CV699" s="59">
        <f>($F699-$F700)*100</f>
        <v/>
      </c>
      <c r="CW699" s="59">
        <f>($E699-$E700)*100</f>
        <v/>
      </c>
      <c r="CX699" s="58">
        <f>IFERROR($K699/$K700-1,"")</f>
        <v/>
      </c>
      <c r="CY699" s="59">
        <f>($AH699-$AH700)*100</f>
        <v/>
      </c>
      <c r="CZ699" s="59">
        <f>($AI699-$AI700)*100</f>
        <v/>
      </c>
      <c r="DA699" s="59">
        <f>($AJ699-$AJ700)*100</f>
        <v/>
      </c>
      <c r="DB699" s="59">
        <f>($AK699-$AK700)*100</f>
        <v/>
      </c>
      <c r="DC699" s="59">
        <f>($AL699-$AL700)*100</f>
        <v/>
      </c>
      <c r="DD699" s="59">
        <f>($AM699-$AM700)*100</f>
        <v/>
      </c>
      <c r="DE699" s="59">
        <f>($AN699-$AN700)*100</f>
        <v/>
      </c>
      <c r="DF699" s="59">
        <f>($AO699-$AO700)*100</f>
        <v/>
      </c>
      <c r="DG699" s="59">
        <f>($AP699-$AP700)*100</f>
        <v/>
      </c>
      <c r="DH699" s="59">
        <f>($AQ699-$AQ700)*100</f>
        <v/>
      </c>
      <c r="DI699" s="59">
        <f>($AR699-$AR700)*100</f>
        <v/>
      </c>
      <c r="DJ699" s="59">
        <f>($AS699-$AS700)*100</f>
        <v/>
      </c>
      <c r="DK699" s="59">
        <f>($AT699-$AT700)*100</f>
        <v/>
      </c>
      <c r="DL699" s="59">
        <f>($AU699-$AU700)*100</f>
        <v/>
      </c>
      <c r="DM699" s="59">
        <f>($AV699-$AV700)*100</f>
        <v/>
      </c>
      <c r="DN699" s="59">
        <f>($AW699-$AW700)*100</f>
        <v/>
      </c>
      <c r="DO699" s="59">
        <f>($AX699-$AX700)*100</f>
        <v/>
      </c>
      <c r="DP699" s="59">
        <f>($AY699-$AY700)*100</f>
        <v/>
      </c>
      <c r="DQ699" s="59">
        <f>($AZ699-$AZ700)*100</f>
        <v/>
      </c>
      <c r="DR699" s="59">
        <f>($BA699-$BA700)*100</f>
        <v/>
      </c>
      <c r="DS699" s="58">
        <f>IFERROR($N700/$N699-1,"")</f>
        <v/>
      </c>
      <c r="DT699" s="58">
        <f>IFERROR($O700/$O699-1,"")</f>
        <v/>
      </c>
      <c r="DU699" s="58">
        <f>IFERROR($P700/$P699-1,"")</f>
        <v/>
      </c>
      <c r="DV699" s="58">
        <f>IFERROR($Q700/$Q699-1,"")</f>
        <v/>
      </c>
      <c r="DW699" s="58">
        <f>IFERROR($R700/$R699-1,"")</f>
        <v/>
      </c>
      <c r="DX699" s="58">
        <f>IFERROR($S700/$S699-1,"")</f>
        <v/>
      </c>
      <c r="DY699" s="58">
        <f>IFERROR($T700/$T699-1,"")</f>
        <v/>
      </c>
      <c r="DZ699" s="58">
        <f>IFERROR($U700/$U699-1,"")</f>
        <v/>
      </c>
      <c r="EA699" s="58">
        <f>IFERROR($V700/$V699-1,"")</f>
        <v/>
      </c>
      <c r="EB699" s="58">
        <f>IFERROR($W700/$W699-1,"")</f>
        <v/>
      </c>
      <c r="EC699" s="58">
        <f>IFERROR($X700/$X699-1,"")</f>
        <v/>
      </c>
      <c r="ED699" s="58">
        <f>IFERROR($Y700/$Y699-1,"")</f>
        <v/>
      </c>
      <c r="EE699" s="58">
        <f>IFERROR($Z700/$Z699-1,"")</f>
        <v/>
      </c>
      <c r="EF699" s="58">
        <f>IFERROR($AA700/$AA699-1,"")</f>
        <v/>
      </c>
      <c r="EG699" s="58">
        <f>IFERROR($AB700/$AB699-1,"")</f>
        <v/>
      </c>
      <c r="EH699" s="58">
        <f>IFERROR($AC700/$AC699-1,"")</f>
        <v/>
      </c>
      <c r="EI699" s="58">
        <f>IFERROR($AD700/$AD699-1,"")</f>
        <v/>
      </c>
      <c r="EJ699" s="58">
        <f>IFERROR($AE700/$AE699-1,"")</f>
        <v/>
      </c>
      <c r="EK699" s="58">
        <f>IFERROR($AF700/$AF699-1,"")</f>
        <v/>
      </c>
      <c r="EL699" s="58">
        <f>IFERROR($AG700/$AG699-1,"")</f>
        <v/>
      </c>
      <c r="EM699" s="58">
        <f>IFERROR($BB699/$BB700-1,"")</f>
        <v/>
      </c>
      <c r="EN699" s="58">
        <f>IFERROR($BC699/$BC700-1,"")</f>
        <v/>
      </c>
      <c r="EO699" s="58">
        <f>IFERROR($BD699/$BD700-1,"")</f>
        <v/>
      </c>
      <c r="EP699" s="58">
        <f>IFERROR($BE699/$BE700-1,"")</f>
        <v/>
      </c>
      <c r="EQ699" s="58">
        <f>IFERROR($BF699/$BF700-1,"")</f>
        <v/>
      </c>
      <c r="ER699" s="58">
        <f>IFERROR($BG699/$BG700-1,"")</f>
        <v/>
      </c>
      <c r="ES699" s="58">
        <f>IFERROR($BH699/$BH700-1,"")</f>
        <v/>
      </c>
      <c r="ET699" s="58">
        <f>IFERROR($BI699/$BI700-1,"")</f>
        <v/>
      </c>
      <c r="EU699" s="58">
        <f>IFERROR($BJ699/$BJ700-1,"")</f>
        <v/>
      </c>
      <c r="EV699" s="58">
        <f>IFERROR($BK699/$BK700-1,"")</f>
        <v/>
      </c>
      <c r="EW699" s="58">
        <f>IFERROR($BL699/$BL700-1,"")</f>
        <v/>
      </c>
      <c r="EX699" s="58">
        <f>IFERROR($BM699/$BM700-1,"")</f>
        <v/>
      </c>
      <c r="EY699" s="58">
        <f>IFERROR($BN699/$BN700-1,"")</f>
        <v/>
      </c>
      <c r="EZ699" s="58">
        <f>IFERROR($BO699/$BO700-1,"")</f>
        <v/>
      </c>
      <c r="FA699" s="58">
        <f>IFERROR($BP699/$BP700-1,"")</f>
        <v/>
      </c>
      <c r="FB699" s="58">
        <f>IFERROR($BQ699/$BQ700-1,"")</f>
        <v/>
      </c>
      <c r="FC699" s="58">
        <f>IFERROR($BR699/$BR700-1,"")</f>
        <v/>
      </c>
      <c r="FD699" s="58">
        <f>IFERROR($BS699/$BS700-1,"")</f>
        <v/>
      </c>
      <c r="FE699" s="58">
        <f>IFERROR($BT699/$BT700-1,"")</f>
        <v/>
      </c>
      <c r="FF699" s="58">
        <f>IFERROR($BU699/$BU700-1,"")</f>
        <v/>
      </c>
      <c r="FG699" s="58">
        <f>IFERROR($BV699/$BV700-1,"")</f>
        <v/>
      </c>
      <c r="FH699" s="58">
        <f>IFERROR($BW699/$BW700-1,"")</f>
        <v/>
      </c>
      <c r="FI699" s="58">
        <f>IFERROR($BX699/$BX700-1,"")</f>
        <v/>
      </c>
      <c r="FJ699" s="59">
        <f>$BY699-$BY700</f>
        <v/>
      </c>
      <c r="FK699" s="59">
        <f>$BZ699-$BZ700</f>
        <v/>
      </c>
      <c r="FL699" s="59">
        <f>$CA699-$CA700</f>
        <v/>
      </c>
      <c r="FM699" s="59">
        <f>$CB699-$CB700</f>
        <v/>
      </c>
      <c r="FN699" s="59">
        <f>$CC699-$CC700</f>
        <v/>
      </c>
      <c r="FO699" s="59">
        <f>$CD699-$CD700</f>
        <v/>
      </c>
      <c r="FP699" s="59">
        <f>$CE699-$CE700</f>
        <v/>
      </c>
      <c r="FQ699" s="59">
        <f>$CF699-$CF700</f>
        <v/>
      </c>
      <c r="FR699" s="59">
        <f>$CG699-$CG700</f>
        <v/>
      </c>
      <c r="FS699" s="59">
        <f>$CH699-$CH700</f>
        <v/>
      </c>
      <c r="FT699" s="59">
        <f>$CI699-$CI700</f>
        <v/>
      </c>
      <c r="FU699" s="59">
        <f>$CJ699-$CJ700</f>
        <v/>
      </c>
      <c r="FV699" s="59">
        <f>$CK699-$CK700</f>
        <v/>
      </c>
      <c r="FW699" s="59">
        <f>$CL699-$CL700</f>
        <v/>
      </c>
      <c r="FX699" s="59">
        <f>$CM699-$CM700</f>
        <v/>
      </c>
      <c r="FY699" s="59">
        <f>$CN699-$CN700</f>
        <v/>
      </c>
      <c r="FZ699" s="59">
        <f>$CO699-$CO700</f>
        <v/>
      </c>
      <c r="GA699" s="59">
        <f>$CP699-$CP700</f>
        <v/>
      </c>
      <c r="GB699" s="59">
        <f>$CQ699-$CQ700</f>
        <v/>
      </c>
      <c r="GC699" s="59">
        <f>$CR699-$CR700</f>
        <v/>
      </c>
      <c r="GD699" s="59">
        <f>$CS699-$CS700</f>
        <v/>
      </c>
      <c r="GE699" s="59">
        <f>$CT699-$CT700</f>
        <v/>
      </c>
    </row>
    <row r="700">
      <c r="CU700" s="58">
        <f>IFERROR($B700/$B701-1,"")</f>
        <v/>
      </c>
      <c r="CV700" s="59">
        <f>($F700-$F701)*100</f>
        <v/>
      </c>
      <c r="CW700" s="59">
        <f>($E700-$E701)*100</f>
        <v/>
      </c>
      <c r="CX700" s="58">
        <f>IFERROR($K700/$K701-1,"")</f>
        <v/>
      </c>
      <c r="CY700" s="59">
        <f>($AH700-$AH701)*100</f>
        <v/>
      </c>
      <c r="CZ700" s="59">
        <f>($AI700-$AI701)*100</f>
        <v/>
      </c>
      <c r="DA700" s="59">
        <f>($AJ700-$AJ701)*100</f>
        <v/>
      </c>
      <c r="DB700" s="59">
        <f>($AK700-$AK701)*100</f>
        <v/>
      </c>
      <c r="DC700" s="59">
        <f>($AL700-$AL701)*100</f>
        <v/>
      </c>
      <c r="DD700" s="59">
        <f>($AM700-$AM701)*100</f>
        <v/>
      </c>
      <c r="DE700" s="59">
        <f>($AN700-$AN701)*100</f>
        <v/>
      </c>
      <c r="DF700" s="59">
        <f>($AO700-$AO701)*100</f>
        <v/>
      </c>
      <c r="DG700" s="59">
        <f>($AP700-$AP701)*100</f>
        <v/>
      </c>
      <c r="DH700" s="59">
        <f>($AQ700-$AQ701)*100</f>
        <v/>
      </c>
      <c r="DI700" s="59">
        <f>($AR700-$AR701)*100</f>
        <v/>
      </c>
      <c r="DJ700" s="59">
        <f>($AS700-$AS701)*100</f>
        <v/>
      </c>
      <c r="DK700" s="59">
        <f>($AT700-$AT701)*100</f>
        <v/>
      </c>
      <c r="DL700" s="59">
        <f>($AU700-$AU701)*100</f>
        <v/>
      </c>
      <c r="DM700" s="59">
        <f>($AV700-$AV701)*100</f>
        <v/>
      </c>
      <c r="DN700" s="59">
        <f>($AW700-$AW701)*100</f>
        <v/>
      </c>
      <c r="DO700" s="59">
        <f>($AX700-$AX701)*100</f>
        <v/>
      </c>
      <c r="DP700" s="59">
        <f>($AY700-$AY701)*100</f>
        <v/>
      </c>
      <c r="DQ700" s="59">
        <f>($AZ700-$AZ701)*100</f>
        <v/>
      </c>
      <c r="DR700" s="59">
        <f>($BA700-$BA701)*100</f>
        <v/>
      </c>
      <c r="DS700" s="58">
        <f>IFERROR($N701/$N700-1,"")</f>
        <v/>
      </c>
      <c r="DT700" s="58">
        <f>IFERROR($O701/$O700-1,"")</f>
        <v/>
      </c>
      <c r="DU700" s="58">
        <f>IFERROR($P701/$P700-1,"")</f>
        <v/>
      </c>
      <c r="DV700" s="58">
        <f>IFERROR($Q701/$Q700-1,"")</f>
        <v/>
      </c>
      <c r="DW700" s="58">
        <f>IFERROR($R701/$R700-1,"")</f>
        <v/>
      </c>
      <c r="DX700" s="58">
        <f>IFERROR($S701/$S700-1,"")</f>
        <v/>
      </c>
      <c r="DY700" s="58">
        <f>IFERROR($T701/$T700-1,"")</f>
        <v/>
      </c>
      <c r="DZ700" s="58">
        <f>IFERROR($U701/$U700-1,"")</f>
        <v/>
      </c>
      <c r="EA700" s="58">
        <f>IFERROR($V701/$V700-1,"")</f>
        <v/>
      </c>
      <c r="EB700" s="58">
        <f>IFERROR($W701/$W700-1,"")</f>
        <v/>
      </c>
      <c r="EC700" s="58">
        <f>IFERROR($X701/$X700-1,"")</f>
        <v/>
      </c>
      <c r="ED700" s="58">
        <f>IFERROR($Y701/$Y700-1,"")</f>
        <v/>
      </c>
      <c r="EE700" s="58">
        <f>IFERROR($Z701/$Z700-1,"")</f>
        <v/>
      </c>
      <c r="EF700" s="58">
        <f>IFERROR($AA701/$AA700-1,"")</f>
        <v/>
      </c>
      <c r="EG700" s="58">
        <f>IFERROR($AB701/$AB700-1,"")</f>
        <v/>
      </c>
      <c r="EH700" s="58">
        <f>IFERROR($AC701/$AC700-1,"")</f>
        <v/>
      </c>
      <c r="EI700" s="58">
        <f>IFERROR($AD701/$AD700-1,"")</f>
        <v/>
      </c>
      <c r="EJ700" s="58">
        <f>IFERROR($AE701/$AE700-1,"")</f>
        <v/>
      </c>
      <c r="EK700" s="58">
        <f>IFERROR($AF701/$AF700-1,"")</f>
        <v/>
      </c>
      <c r="EL700" s="58">
        <f>IFERROR($AG701/$AG700-1,"")</f>
        <v/>
      </c>
      <c r="EM700" s="58">
        <f>IFERROR($BB700/$BB701-1,"")</f>
        <v/>
      </c>
      <c r="EN700" s="58">
        <f>IFERROR($BC700/$BC701-1,"")</f>
        <v/>
      </c>
      <c r="EO700" s="58">
        <f>IFERROR($BD700/$BD701-1,"")</f>
        <v/>
      </c>
      <c r="EP700" s="58">
        <f>IFERROR($BE700/$BE701-1,"")</f>
        <v/>
      </c>
      <c r="EQ700" s="58">
        <f>IFERROR($BF700/$BF701-1,"")</f>
        <v/>
      </c>
      <c r="ER700" s="58">
        <f>IFERROR($BG700/$BG701-1,"")</f>
        <v/>
      </c>
      <c r="ES700" s="58">
        <f>IFERROR($BH700/$BH701-1,"")</f>
        <v/>
      </c>
      <c r="ET700" s="58">
        <f>IFERROR($BI700/$BI701-1,"")</f>
        <v/>
      </c>
      <c r="EU700" s="58">
        <f>IFERROR($BJ700/$BJ701-1,"")</f>
        <v/>
      </c>
      <c r="EV700" s="58">
        <f>IFERROR($BK700/$BK701-1,"")</f>
        <v/>
      </c>
      <c r="EW700" s="58">
        <f>IFERROR($BL700/$BL701-1,"")</f>
        <v/>
      </c>
      <c r="EX700" s="58">
        <f>IFERROR($BM700/$BM701-1,"")</f>
        <v/>
      </c>
      <c r="EY700" s="58">
        <f>IFERROR($BN700/$BN701-1,"")</f>
        <v/>
      </c>
      <c r="EZ700" s="58">
        <f>IFERROR($BO700/$BO701-1,"")</f>
        <v/>
      </c>
      <c r="FA700" s="58">
        <f>IFERROR($BP700/$BP701-1,"")</f>
        <v/>
      </c>
      <c r="FB700" s="58">
        <f>IFERROR($BQ700/$BQ701-1,"")</f>
        <v/>
      </c>
      <c r="FC700" s="58">
        <f>IFERROR($BR700/$BR701-1,"")</f>
        <v/>
      </c>
      <c r="FD700" s="58">
        <f>IFERROR($BS700/$BS701-1,"")</f>
        <v/>
      </c>
      <c r="FE700" s="58">
        <f>IFERROR($BT700/$BT701-1,"")</f>
        <v/>
      </c>
      <c r="FF700" s="58">
        <f>IFERROR($BU700/$BU701-1,"")</f>
        <v/>
      </c>
      <c r="FG700" s="58">
        <f>IFERROR($BV700/$BV701-1,"")</f>
        <v/>
      </c>
      <c r="FH700" s="58">
        <f>IFERROR($BW700/$BW701-1,"")</f>
        <v/>
      </c>
      <c r="FI700" s="58">
        <f>IFERROR($BX700/$BX701-1,"")</f>
        <v/>
      </c>
      <c r="FJ700" s="59">
        <f>$BY700-$BY701</f>
        <v/>
      </c>
      <c r="FK700" s="59">
        <f>$BZ700-$BZ701</f>
        <v/>
      </c>
      <c r="FL700" s="59">
        <f>$CA700-$CA701</f>
        <v/>
      </c>
      <c r="FM700" s="59">
        <f>$CB700-$CB701</f>
        <v/>
      </c>
      <c r="FN700" s="59">
        <f>$CC700-$CC701</f>
        <v/>
      </c>
      <c r="FO700" s="59">
        <f>$CD700-$CD701</f>
        <v/>
      </c>
      <c r="FP700" s="59">
        <f>$CE700-$CE701</f>
        <v/>
      </c>
      <c r="FQ700" s="59">
        <f>$CF700-$CF701</f>
        <v/>
      </c>
      <c r="FR700" s="59">
        <f>$CG700-$CG701</f>
        <v/>
      </c>
      <c r="FS700" s="59">
        <f>$CH700-$CH701</f>
        <v/>
      </c>
      <c r="FT700" s="59">
        <f>$CI700-$CI701</f>
        <v/>
      </c>
      <c r="FU700" s="59">
        <f>$CJ700-$CJ701</f>
        <v/>
      </c>
      <c r="FV700" s="59">
        <f>$CK700-$CK701</f>
        <v/>
      </c>
      <c r="FW700" s="59">
        <f>$CL700-$CL701</f>
        <v/>
      </c>
      <c r="FX700" s="59">
        <f>$CM700-$CM701</f>
        <v/>
      </c>
      <c r="FY700" s="59">
        <f>$CN700-$CN701</f>
        <v/>
      </c>
      <c r="FZ700" s="59">
        <f>$CO700-$CO701</f>
        <v/>
      </c>
      <c r="GA700" s="59">
        <f>$CP700-$CP701</f>
        <v/>
      </c>
      <c r="GB700" s="59">
        <f>$CQ700-$CQ701</f>
        <v/>
      </c>
      <c r="GC700" s="59">
        <f>$CR700-$CR701</f>
        <v/>
      </c>
      <c r="GD700" s="59">
        <f>$CS700-$CS701</f>
        <v/>
      </c>
      <c r="GE700" s="59">
        <f>$CT700-$CT701</f>
        <v/>
      </c>
    </row>
    <row r="701">
      <c r="CU701" s="58">
        <f>IFERROR($B701/$B702-1,"")</f>
        <v/>
      </c>
      <c r="CV701" s="59">
        <f>($F701-$F702)*100</f>
        <v/>
      </c>
      <c r="CW701" s="59">
        <f>($E701-$E702)*100</f>
        <v/>
      </c>
      <c r="CX701" s="58">
        <f>IFERROR($K701/$K702-1,"")</f>
        <v/>
      </c>
      <c r="CY701" s="59">
        <f>($AH701-$AH702)*100</f>
        <v/>
      </c>
      <c r="CZ701" s="59">
        <f>($AI701-$AI702)*100</f>
        <v/>
      </c>
      <c r="DA701" s="59">
        <f>($AJ701-$AJ702)*100</f>
        <v/>
      </c>
      <c r="DB701" s="59">
        <f>($AK701-$AK702)*100</f>
        <v/>
      </c>
      <c r="DC701" s="59">
        <f>($AL701-$AL702)*100</f>
        <v/>
      </c>
      <c r="DD701" s="59">
        <f>($AM701-$AM702)*100</f>
        <v/>
      </c>
      <c r="DE701" s="59">
        <f>($AN701-$AN702)*100</f>
        <v/>
      </c>
      <c r="DF701" s="59">
        <f>($AO701-$AO702)*100</f>
        <v/>
      </c>
      <c r="DG701" s="59">
        <f>($AP701-$AP702)*100</f>
        <v/>
      </c>
      <c r="DH701" s="59">
        <f>($AQ701-$AQ702)*100</f>
        <v/>
      </c>
      <c r="DI701" s="59">
        <f>($AR701-$AR702)*100</f>
        <v/>
      </c>
      <c r="DJ701" s="59">
        <f>($AS701-$AS702)*100</f>
        <v/>
      </c>
      <c r="DK701" s="59">
        <f>($AT701-$AT702)*100</f>
        <v/>
      </c>
      <c r="DL701" s="59">
        <f>($AU701-$AU702)*100</f>
        <v/>
      </c>
      <c r="DM701" s="59">
        <f>($AV701-$AV702)*100</f>
        <v/>
      </c>
      <c r="DN701" s="59">
        <f>($AW701-$AW702)*100</f>
        <v/>
      </c>
      <c r="DO701" s="59">
        <f>($AX701-$AX702)*100</f>
        <v/>
      </c>
      <c r="DP701" s="59">
        <f>($AY701-$AY702)*100</f>
        <v/>
      </c>
      <c r="DQ701" s="59">
        <f>($AZ701-$AZ702)*100</f>
        <v/>
      </c>
      <c r="DR701" s="59">
        <f>($BA701-$BA702)*100</f>
        <v/>
      </c>
      <c r="DS701" s="58">
        <f>IFERROR($N702/$N701-1,"")</f>
        <v/>
      </c>
      <c r="DT701" s="58">
        <f>IFERROR($O702/$O701-1,"")</f>
        <v/>
      </c>
      <c r="DU701" s="58">
        <f>IFERROR($P702/$P701-1,"")</f>
        <v/>
      </c>
      <c r="DV701" s="58">
        <f>IFERROR($Q702/$Q701-1,"")</f>
        <v/>
      </c>
      <c r="DW701" s="58">
        <f>IFERROR($R702/$R701-1,"")</f>
        <v/>
      </c>
      <c r="DX701" s="58">
        <f>IFERROR($S702/$S701-1,"")</f>
        <v/>
      </c>
      <c r="DY701" s="58">
        <f>IFERROR($T702/$T701-1,"")</f>
        <v/>
      </c>
      <c r="DZ701" s="58">
        <f>IFERROR($U702/$U701-1,"")</f>
        <v/>
      </c>
      <c r="EA701" s="58">
        <f>IFERROR($V702/$V701-1,"")</f>
        <v/>
      </c>
      <c r="EB701" s="58">
        <f>IFERROR($W702/$W701-1,"")</f>
        <v/>
      </c>
      <c r="EC701" s="58">
        <f>IFERROR($X702/$X701-1,"")</f>
        <v/>
      </c>
      <c r="ED701" s="58">
        <f>IFERROR($Y702/$Y701-1,"")</f>
        <v/>
      </c>
      <c r="EE701" s="58">
        <f>IFERROR($Z702/$Z701-1,"")</f>
        <v/>
      </c>
      <c r="EF701" s="58">
        <f>IFERROR($AA702/$AA701-1,"")</f>
        <v/>
      </c>
      <c r="EG701" s="58">
        <f>IFERROR($AB702/$AB701-1,"")</f>
        <v/>
      </c>
      <c r="EH701" s="58">
        <f>IFERROR($AC702/$AC701-1,"")</f>
        <v/>
      </c>
      <c r="EI701" s="58">
        <f>IFERROR($AD702/$AD701-1,"")</f>
        <v/>
      </c>
      <c r="EJ701" s="58">
        <f>IFERROR($AE702/$AE701-1,"")</f>
        <v/>
      </c>
      <c r="EK701" s="58">
        <f>IFERROR($AF702/$AF701-1,"")</f>
        <v/>
      </c>
      <c r="EL701" s="58">
        <f>IFERROR($AG702/$AG701-1,"")</f>
        <v/>
      </c>
      <c r="EM701" s="58">
        <f>IFERROR($BB701/$BB702-1,"")</f>
        <v/>
      </c>
      <c r="EN701" s="58">
        <f>IFERROR($BC701/$BC702-1,"")</f>
        <v/>
      </c>
      <c r="EO701" s="58">
        <f>IFERROR($BD701/$BD702-1,"")</f>
        <v/>
      </c>
      <c r="EP701" s="58">
        <f>IFERROR($BE701/$BE702-1,"")</f>
        <v/>
      </c>
      <c r="EQ701" s="58">
        <f>IFERROR($BF701/$BF702-1,"")</f>
        <v/>
      </c>
      <c r="ER701" s="58">
        <f>IFERROR($BG701/$BG702-1,"")</f>
        <v/>
      </c>
      <c r="ES701" s="58">
        <f>IFERROR($BH701/$BH702-1,"")</f>
        <v/>
      </c>
      <c r="ET701" s="58">
        <f>IFERROR($BI701/$BI702-1,"")</f>
        <v/>
      </c>
      <c r="EU701" s="58">
        <f>IFERROR($BJ701/$BJ702-1,"")</f>
        <v/>
      </c>
      <c r="EV701" s="58">
        <f>IFERROR($BK701/$BK702-1,"")</f>
        <v/>
      </c>
      <c r="EW701" s="58">
        <f>IFERROR($BL701/$BL702-1,"")</f>
        <v/>
      </c>
      <c r="EX701" s="58">
        <f>IFERROR($BM701/$BM702-1,"")</f>
        <v/>
      </c>
      <c r="EY701" s="58">
        <f>IFERROR($BN701/$BN702-1,"")</f>
        <v/>
      </c>
      <c r="EZ701" s="58">
        <f>IFERROR($BO701/$BO702-1,"")</f>
        <v/>
      </c>
      <c r="FA701" s="58">
        <f>IFERROR($BP701/$BP702-1,"")</f>
        <v/>
      </c>
      <c r="FB701" s="58">
        <f>IFERROR($BQ701/$BQ702-1,"")</f>
        <v/>
      </c>
      <c r="FC701" s="58">
        <f>IFERROR($BR701/$BR702-1,"")</f>
        <v/>
      </c>
      <c r="FD701" s="58">
        <f>IFERROR($BS701/$BS702-1,"")</f>
        <v/>
      </c>
      <c r="FE701" s="58">
        <f>IFERROR($BT701/$BT702-1,"")</f>
        <v/>
      </c>
      <c r="FF701" s="58">
        <f>IFERROR($BU701/$BU702-1,"")</f>
        <v/>
      </c>
      <c r="FG701" s="58">
        <f>IFERROR($BV701/$BV702-1,"")</f>
        <v/>
      </c>
      <c r="FH701" s="58">
        <f>IFERROR($BW701/$BW702-1,"")</f>
        <v/>
      </c>
      <c r="FI701" s="58">
        <f>IFERROR($BX701/$BX702-1,"")</f>
        <v/>
      </c>
      <c r="FJ701" s="59">
        <f>$BY701-$BY702</f>
        <v/>
      </c>
      <c r="FK701" s="59">
        <f>$BZ701-$BZ702</f>
        <v/>
      </c>
      <c r="FL701" s="59">
        <f>$CA701-$CA702</f>
        <v/>
      </c>
      <c r="FM701" s="59">
        <f>$CB701-$CB702</f>
        <v/>
      </c>
      <c r="FN701" s="59">
        <f>$CC701-$CC702</f>
        <v/>
      </c>
      <c r="FO701" s="59">
        <f>$CD701-$CD702</f>
        <v/>
      </c>
      <c r="FP701" s="59">
        <f>$CE701-$CE702</f>
        <v/>
      </c>
      <c r="FQ701" s="59">
        <f>$CF701-$CF702</f>
        <v/>
      </c>
      <c r="FR701" s="59">
        <f>$CG701-$CG702</f>
        <v/>
      </c>
      <c r="FS701" s="59">
        <f>$CH701-$CH702</f>
        <v/>
      </c>
      <c r="FT701" s="59">
        <f>$CI701-$CI702</f>
        <v/>
      </c>
      <c r="FU701" s="59">
        <f>$CJ701-$CJ702</f>
        <v/>
      </c>
      <c r="FV701" s="59">
        <f>$CK701-$CK702</f>
        <v/>
      </c>
      <c r="FW701" s="59">
        <f>$CL701-$CL702</f>
        <v/>
      </c>
      <c r="FX701" s="59">
        <f>$CM701-$CM702</f>
        <v/>
      </c>
      <c r="FY701" s="59">
        <f>$CN701-$CN702</f>
        <v/>
      </c>
      <c r="FZ701" s="59">
        <f>$CO701-$CO702</f>
        <v/>
      </c>
      <c r="GA701" s="59">
        <f>$CP701-$CP702</f>
        <v/>
      </c>
      <c r="GB701" s="59">
        <f>$CQ701-$CQ702</f>
        <v/>
      </c>
      <c r="GC701" s="59">
        <f>$CR701-$CR702</f>
        <v/>
      </c>
      <c r="GD701" s="59">
        <f>$CS701-$CS702</f>
        <v/>
      </c>
      <c r="GE701" s="59">
        <f>$CT701-$CT702</f>
        <v/>
      </c>
    </row>
    <row r="702">
      <c r="CU702" s="58">
        <f>IFERROR($B702/$B703-1,"")</f>
        <v/>
      </c>
      <c r="CV702" s="59">
        <f>($F702-$F703)*100</f>
        <v/>
      </c>
      <c r="CW702" s="59">
        <f>($E702-$E703)*100</f>
        <v/>
      </c>
      <c r="CX702" s="58">
        <f>IFERROR($K702/$K703-1,"")</f>
        <v/>
      </c>
      <c r="CY702" s="59">
        <f>($AH702-$AH703)*100</f>
        <v/>
      </c>
      <c r="CZ702" s="59">
        <f>($AI702-$AI703)*100</f>
        <v/>
      </c>
      <c r="DA702" s="59">
        <f>($AJ702-$AJ703)*100</f>
        <v/>
      </c>
      <c r="DB702" s="59">
        <f>($AK702-$AK703)*100</f>
        <v/>
      </c>
      <c r="DC702" s="59">
        <f>($AL702-$AL703)*100</f>
        <v/>
      </c>
      <c r="DD702" s="59">
        <f>($AM702-$AM703)*100</f>
        <v/>
      </c>
      <c r="DE702" s="59">
        <f>($AN702-$AN703)*100</f>
        <v/>
      </c>
      <c r="DF702" s="59">
        <f>($AO702-$AO703)*100</f>
        <v/>
      </c>
      <c r="DG702" s="59">
        <f>($AP702-$AP703)*100</f>
        <v/>
      </c>
      <c r="DH702" s="59">
        <f>($AQ702-$AQ703)*100</f>
        <v/>
      </c>
      <c r="DI702" s="59">
        <f>($AR702-$AR703)*100</f>
        <v/>
      </c>
      <c r="DJ702" s="59">
        <f>($AS702-$AS703)*100</f>
        <v/>
      </c>
      <c r="DK702" s="59">
        <f>($AT702-$AT703)*100</f>
        <v/>
      </c>
      <c r="DL702" s="59">
        <f>($AU702-$AU703)*100</f>
        <v/>
      </c>
      <c r="DM702" s="59">
        <f>($AV702-$AV703)*100</f>
        <v/>
      </c>
      <c r="DN702" s="59">
        <f>($AW702-$AW703)*100</f>
        <v/>
      </c>
      <c r="DO702" s="59">
        <f>($AX702-$AX703)*100</f>
        <v/>
      </c>
      <c r="DP702" s="59">
        <f>($AY702-$AY703)*100</f>
        <v/>
      </c>
      <c r="DQ702" s="59">
        <f>($AZ702-$AZ703)*100</f>
        <v/>
      </c>
      <c r="DR702" s="59">
        <f>($BA702-$BA703)*100</f>
        <v/>
      </c>
      <c r="DS702" s="58">
        <f>IFERROR($N703/$N702-1,"")</f>
        <v/>
      </c>
      <c r="DT702" s="58">
        <f>IFERROR($O703/$O702-1,"")</f>
        <v/>
      </c>
      <c r="DU702" s="58">
        <f>IFERROR($P703/$P702-1,"")</f>
        <v/>
      </c>
      <c r="DV702" s="58">
        <f>IFERROR($Q703/$Q702-1,"")</f>
        <v/>
      </c>
      <c r="DW702" s="58">
        <f>IFERROR($R703/$R702-1,"")</f>
        <v/>
      </c>
      <c r="DX702" s="58">
        <f>IFERROR($S703/$S702-1,"")</f>
        <v/>
      </c>
      <c r="DY702" s="58">
        <f>IFERROR($T703/$T702-1,"")</f>
        <v/>
      </c>
      <c r="DZ702" s="58">
        <f>IFERROR($U703/$U702-1,"")</f>
        <v/>
      </c>
      <c r="EA702" s="58">
        <f>IFERROR($V703/$V702-1,"")</f>
        <v/>
      </c>
      <c r="EB702" s="58">
        <f>IFERROR($W703/$W702-1,"")</f>
        <v/>
      </c>
      <c r="EC702" s="58">
        <f>IFERROR($X703/$X702-1,"")</f>
        <v/>
      </c>
      <c r="ED702" s="58">
        <f>IFERROR($Y703/$Y702-1,"")</f>
        <v/>
      </c>
      <c r="EE702" s="58">
        <f>IFERROR($Z703/$Z702-1,"")</f>
        <v/>
      </c>
      <c r="EF702" s="58">
        <f>IFERROR($AA703/$AA702-1,"")</f>
        <v/>
      </c>
      <c r="EG702" s="58">
        <f>IFERROR($AB703/$AB702-1,"")</f>
        <v/>
      </c>
      <c r="EH702" s="58">
        <f>IFERROR($AC703/$AC702-1,"")</f>
        <v/>
      </c>
      <c r="EI702" s="58">
        <f>IFERROR($AD703/$AD702-1,"")</f>
        <v/>
      </c>
      <c r="EJ702" s="58">
        <f>IFERROR($AE703/$AE702-1,"")</f>
        <v/>
      </c>
      <c r="EK702" s="58">
        <f>IFERROR($AF703/$AF702-1,"")</f>
        <v/>
      </c>
      <c r="EL702" s="58">
        <f>IFERROR($AG703/$AG702-1,"")</f>
        <v/>
      </c>
      <c r="EM702" s="58">
        <f>IFERROR($BB702/$BB703-1,"")</f>
        <v/>
      </c>
      <c r="EN702" s="58">
        <f>IFERROR($BC702/$BC703-1,"")</f>
        <v/>
      </c>
      <c r="EO702" s="58">
        <f>IFERROR($BD702/$BD703-1,"")</f>
        <v/>
      </c>
      <c r="EP702" s="58">
        <f>IFERROR($BE702/$BE703-1,"")</f>
        <v/>
      </c>
      <c r="EQ702" s="58">
        <f>IFERROR($BF702/$BF703-1,"")</f>
        <v/>
      </c>
      <c r="ER702" s="58">
        <f>IFERROR($BG702/$BG703-1,"")</f>
        <v/>
      </c>
      <c r="ES702" s="58">
        <f>IFERROR($BH702/$BH703-1,"")</f>
        <v/>
      </c>
      <c r="ET702" s="58">
        <f>IFERROR($BI702/$BI703-1,"")</f>
        <v/>
      </c>
      <c r="EU702" s="58">
        <f>IFERROR($BJ702/$BJ703-1,"")</f>
        <v/>
      </c>
      <c r="EV702" s="58">
        <f>IFERROR($BK702/$BK703-1,"")</f>
        <v/>
      </c>
      <c r="EW702" s="58">
        <f>IFERROR($BL702/$BL703-1,"")</f>
        <v/>
      </c>
      <c r="EX702" s="58">
        <f>IFERROR($BM702/$BM703-1,"")</f>
        <v/>
      </c>
      <c r="EY702" s="58">
        <f>IFERROR($BN702/$BN703-1,"")</f>
        <v/>
      </c>
      <c r="EZ702" s="58">
        <f>IFERROR($BO702/$BO703-1,"")</f>
        <v/>
      </c>
      <c r="FA702" s="58">
        <f>IFERROR($BP702/$BP703-1,"")</f>
        <v/>
      </c>
      <c r="FB702" s="58">
        <f>IFERROR($BQ702/$BQ703-1,"")</f>
        <v/>
      </c>
      <c r="FC702" s="58">
        <f>IFERROR($BR702/$BR703-1,"")</f>
        <v/>
      </c>
      <c r="FD702" s="58">
        <f>IFERROR($BS702/$BS703-1,"")</f>
        <v/>
      </c>
      <c r="FE702" s="58">
        <f>IFERROR($BT702/$BT703-1,"")</f>
        <v/>
      </c>
      <c r="FF702" s="58">
        <f>IFERROR($BU702/$BU703-1,"")</f>
        <v/>
      </c>
      <c r="FG702" s="58">
        <f>IFERROR($BV702/$BV703-1,"")</f>
        <v/>
      </c>
      <c r="FH702" s="58">
        <f>IFERROR($BW702/$BW703-1,"")</f>
        <v/>
      </c>
      <c r="FI702" s="58">
        <f>IFERROR($BX702/$BX703-1,"")</f>
        <v/>
      </c>
      <c r="FJ702" s="59">
        <f>$BY702-$BY703</f>
        <v/>
      </c>
      <c r="FK702" s="59">
        <f>$BZ702-$BZ703</f>
        <v/>
      </c>
      <c r="FL702" s="59">
        <f>$CA702-$CA703</f>
        <v/>
      </c>
      <c r="FM702" s="59">
        <f>$CB702-$CB703</f>
        <v/>
      </c>
      <c r="FN702" s="59">
        <f>$CC702-$CC703</f>
        <v/>
      </c>
      <c r="FO702" s="59">
        <f>$CD702-$CD703</f>
        <v/>
      </c>
      <c r="FP702" s="59">
        <f>$CE702-$CE703</f>
        <v/>
      </c>
      <c r="FQ702" s="59">
        <f>$CF702-$CF703</f>
        <v/>
      </c>
      <c r="FR702" s="59">
        <f>$CG702-$CG703</f>
        <v/>
      </c>
      <c r="FS702" s="59">
        <f>$CH702-$CH703</f>
        <v/>
      </c>
      <c r="FT702" s="59">
        <f>$CI702-$CI703</f>
        <v/>
      </c>
      <c r="FU702" s="59">
        <f>$CJ702-$CJ703</f>
        <v/>
      </c>
      <c r="FV702" s="59">
        <f>$CK702-$CK703</f>
        <v/>
      </c>
      <c r="FW702" s="59">
        <f>$CL702-$CL703</f>
        <v/>
      </c>
      <c r="FX702" s="59">
        <f>$CM702-$CM703</f>
        <v/>
      </c>
      <c r="FY702" s="59">
        <f>$CN702-$CN703</f>
        <v/>
      </c>
      <c r="FZ702" s="59">
        <f>$CO702-$CO703</f>
        <v/>
      </c>
      <c r="GA702" s="59">
        <f>$CP702-$CP703</f>
        <v/>
      </c>
      <c r="GB702" s="59">
        <f>$CQ702-$CQ703</f>
        <v/>
      </c>
      <c r="GC702" s="59">
        <f>$CR702-$CR703</f>
        <v/>
      </c>
      <c r="GD702" s="59">
        <f>$CS702-$CS703</f>
        <v/>
      </c>
      <c r="GE702" s="59">
        <f>$CT702-$CT703</f>
        <v/>
      </c>
    </row>
    <row r="703">
      <c r="CU703" s="58">
        <f>IFERROR($B703/$B704-1,"")</f>
        <v/>
      </c>
      <c r="CV703" s="59">
        <f>($F703-$F704)*100</f>
        <v/>
      </c>
      <c r="CW703" s="59">
        <f>($E703-$E704)*100</f>
        <v/>
      </c>
      <c r="CX703" s="58">
        <f>IFERROR($K703/$K704-1,"")</f>
        <v/>
      </c>
      <c r="CY703" s="59">
        <f>($AH703-$AH704)*100</f>
        <v/>
      </c>
      <c r="CZ703" s="59">
        <f>($AI703-$AI704)*100</f>
        <v/>
      </c>
      <c r="DA703" s="59">
        <f>($AJ703-$AJ704)*100</f>
        <v/>
      </c>
      <c r="DB703" s="59">
        <f>($AK703-$AK704)*100</f>
        <v/>
      </c>
      <c r="DC703" s="59">
        <f>($AL703-$AL704)*100</f>
        <v/>
      </c>
      <c r="DD703" s="59">
        <f>($AM703-$AM704)*100</f>
        <v/>
      </c>
      <c r="DE703" s="59">
        <f>($AN703-$AN704)*100</f>
        <v/>
      </c>
      <c r="DF703" s="59">
        <f>($AO703-$AO704)*100</f>
        <v/>
      </c>
      <c r="DG703" s="59">
        <f>($AP703-$AP704)*100</f>
        <v/>
      </c>
      <c r="DH703" s="59">
        <f>($AQ703-$AQ704)*100</f>
        <v/>
      </c>
      <c r="DI703" s="59">
        <f>($AR703-$AR704)*100</f>
        <v/>
      </c>
      <c r="DJ703" s="59">
        <f>($AS703-$AS704)*100</f>
        <v/>
      </c>
      <c r="DK703" s="59">
        <f>($AT703-$AT704)*100</f>
        <v/>
      </c>
      <c r="DL703" s="59">
        <f>($AU703-$AU704)*100</f>
        <v/>
      </c>
      <c r="DM703" s="59">
        <f>($AV703-$AV704)*100</f>
        <v/>
      </c>
      <c r="DN703" s="59">
        <f>($AW703-$AW704)*100</f>
        <v/>
      </c>
      <c r="DO703" s="59">
        <f>($AX703-$AX704)*100</f>
        <v/>
      </c>
      <c r="DP703" s="59">
        <f>($AY703-$AY704)*100</f>
        <v/>
      </c>
      <c r="DQ703" s="59">
        <f>($AZ703-$AZ704)*100</f>
        <v/>
      </c>
      <c r="DR703" s="59">
        <f>($BA703-$BA704)*100</f>
        <v/>
      </c>
      <c r="DS703" s="58">
        <f>IFERROR($N704/$N703-1,"")</f>
        <v/>
      </c>
      <c r="DT703" s="58">
        <f>IFERROR($O704/$O703-1,"")</f>
        <v/>
      </c>
      <c r="DU703" s="58">
        <f>IFERROR($P704/$P703-1,"")</f>
        <v/>
      </c>
      <c r="DV703" s="58">
        <f>IFERROR($Q704/$Q703-1,"")</f>
        <v/>
      </c>
      <c r="DW703" s="58">
        <f>IFERROR($R704/$R703-1,"")</f>
        <v/>
      </c>
      <c r="DX703" s="58">
        <f>IFERROR($S704/$S703-1,"")</f>
        <v/>
      </c>
      <c r="DY703" s="58">
        <f>IFERROR($T704/$T703-1,"")</f>
        <v/>
      </c>
      <c r="DZ703" s="58">
        <f>IFERROR($U704/$U703-1,"")</f>
        <v/>
      </c>
      <c r="EA703" s="58">
        <f>IFERROR($V704/$V703-1,"")</f>
        <v/>
      </c>
      <c r="EB703" s="58">
        <f>IFERROR($W704/$W703-1,"")</f>
        <v/>
      </c>
      <c r="EC703" s="58">
        <f>IFERROR($X704/$X703-1,"")</f>
        <v/>
      </c>
      <c r="ED703" s="58">
        <f>IFERROR($Y704/$Y703-1,"")</f>
        <v/>
      </c>
      <c r="EE703" s="58">
        <f>IFERROR($Z704/$Z703-1,"")</f>
        <v/>
      </c>
      <c r="EF703" s="58">
        <f>IFERROR($AA704/$AA703-1,"")</f>
        <v/>
      </c>
      <c r="EG703" s="58">
        <f>IFERROR($AB704/$AB703-1,"")</f>
        <v/>
      </c>
      <c r="EH703" s="58">
        <f>IFERROR($AC704/$AC703-1,"")</f>
        <v/>
      </c>
      <c r="EI703" s="58">
        <f>IFERROR($AD704/$AD703-1,"")</f>
        <v/>
      </c>
      <c r="EJ703" s="58">
        <f>IFERROR($AE704/$AE703-1,"")</f>
        <v/>
      </c>
      <c r="EK703" s="58">
        <f>IFERROR($AF704/$AF703-1,"")</f>
        <v/>
      </c>
      <c r="EL703" s="58">
        <f>IFERROR($AG704/$AG703-1,"")</f>
        <v/>
      </c>
      <c r="EM703" s="58">
        <f>IFERROR($BB703/$BB704-1,"")</f>
        <v/>
      </c>
      <c r="EN703" s="58">
        <f>IFERROR($BC703/$BC704-1,"")</f>
        <v/>
      </c>
      <c r="EO703" s="58">
        <f>IFERROR($BD703/$BD704-1,"")</f>
        <v/>
      </c>
      <c r="EP703" s="58">
        <f>IFERROR($BE703/$BE704-1,"")</f>
        <v/>
      </c>
      <c r="EQ703" s="58">
        <f>IFERROR($BF703/$BF704-1,"")</f>
        <v/>
      </c>
      <c r="ER703" s="58">
        <f>IFERROR($BG703/$BG704-1,"")</f>
        <v/>
      </c>
      <c r="ES703" s="58">
        <f>IFERROR($BH703/$BH704-1,"")</f>
        <v/>
      </c>
      <c r="ET703" s="58">
        <f>IFERROR($BI703/$BI704-1,"")</f>
        <v/>
      </c>
      <c r="EU703" s="58">
        <f>IFERROR($BJ703/$BJ704-1,"")</f>
        <v/>
      </c>
      <c r="EV703" s="58">
        <f>IFERROR($BK703/$BK704-1,"")</f>
        <v/>
      </c>
      <c r="EW703" s="58">
        <f>IFERROR($BL703/$BL704-1,"")</f>
        <v/>
      </c>
      <c r="EX703" s="58">
        <f>IFERROR($BM703/$BM704-1,"")</f>
        <v/>
      </c>
      <c r="EY703" s="58">
        <f>IFERROR($BN703/$BN704-1,"")</f>
        <v/>
      </c>
      <c r="EZ703" s="58">
        <f>IFERROR($BO703/$BO704-1,"")</f>
        <v/>
      </c>
      <c r="FA703" s="58">
        <f>IFERROR($BP703/$BP704-1,"")</f>
        <v/>
      </c>
      <c r="FB703" s="58">
        <f>IFERROR($BQ703/$BQ704-1,"")</f>
        <v/>
      </c>
      <c r="FC703" s="58">
        <f>IFERROR($BR703/$BR704-1,"")</f>
        <v/>
      </c>
      <c r="FD703" s="58">
        <f>IFERROR($BS703/$BS704-1,"")</f>
        <v/>
      </c>
      <c r="FE703" s="58">
        <f>IFERROR($BT703/$BT704-1,"")</f>
        <v/>
      </c>
      <c r="FF703" s="58">
        <f>IFERROR($BU703/$BU704-1,"")</f>
        <v/>
      </c>
      <c r="FG703" s="58">
        <f>IFERROR($BV703/$BV704-1,"")</f>
        <v/>
      </c>
      <c r="FH703" s="58">
        <f>IFERROR($BW703/$BW704-1,"")</f>
        <v/>
      </c>
      <c r="FI703" s="58">
        <f>IFERROR($BX703/$BX704-1,"")</f>
        <v/>
      </c>
      <c r="FJ703" s="59">
        <f>$BY703-$BY704</f>
        <v/>
      </c>
      <c r="FK703" s="59">
        <f>$BZ703-$BZ704</f>
        <v/>
      </c>
      <c r="FL703" s="59">
        <f>$CA703-$CA704</f>
        <v/>
      </c>
      <c r="FM703" s="59">
        <f>$CB703-$CB704</f>
        <v/>
      </c>
      <c r="FN703" s="59">
        <f>$CC703-$CC704</f>
        <v/>
      </c>
      <c r="FO703" s="59">
        <f>$CD703-$CD704</f>
        <v/>
      </c>
      <c r="FP703" s="59">
        <f>$CE703-$CE704</f>
        <v/>
      </c>
      <c r="FQ703" s="59">
        <f>$CF703-$CF704</f>
        <v/>
      </c>
      <c r="FR703" s="59">
        <f>$CG703-$CG704</f>
        <v/>
      </c>
      <c r="FS703" s="59">
        <f>$CH703-$CH704</f>
        <v/>
      </c>
      <c r="FT703" s="59">
        <f>$CI703-$CI704</f>
        <v/>
      </c>
      <c r="FU703" s="59">
        <f>$CJ703-$CJ704</f>
        <v/>
      </c>
      <c r="FV703" s="59">
        <f>$CK703-$CK704</f>
        <v/>
      </c>
      <c r="FW703" s="59">
        <f>$CL703-$CL704</f>
        <v/>
      </c>
      <c r="FX703" s="59">
        <f>$CM703-$CM704</f>
        <v/>
      </c>
      <c r="FY703" s="59">
        <f>$CN703-$CN704</f>
        <v/>
      </c>
      <c r="FZ703" s="59">
        <f>$CO703-$CO704</f>
        <v/>
      </c>
      <c r="GA703" s="59">
        <f>$CP703-$CP704</f>
        <v/>
      </c>
      <c r="GB703" s="59">
        <f>$CQ703-$CQ704</f>
        <v/>
      </c>
      <c r="GC703" s="59">
        <f>$CR703-$CR704</f>
        <v/>
      </c>
      <c r="GD703" s="59">
        <f>$CS703-$CS704</f>
        <v/>
      </c>
      <c r="GE703" s="59">
        <f>$CT703-$CT704</f>
        <v/>
      </c>
    </row>
    <row r="704">
      <c r="CU704" s="58">
        <f>IFERROR($B704/$B705-1,"")</f>
        <v/>
      </c>
      <c r="CV704" s="59">
        <f>($F704-$F705)*100</f>
        <v/>
      </c>
      <c r="CW704" s="59">
        <f>($E704-$E705)*100</f>
        <v/>
      </c>
      <c r="CX704" s="58">
        <f>IFERROR($K704/$K705-1,"")</f>
        <v/>
      </c>
      <c r="CY704" s="59">
        <f>($AH704-$AH705)*100</f>
        <v/>
      </c>
      <c r="CZ704" s="59">
        <f>($AI704-$AI705)*100</f>
        <v/>
      </c>
      <c r="DA704" s="59">
        <f>($AJ704-$AJ705)*100</f>
        <v/>
      </c>
      <c r="DB704" s="59">
        <f>($AK704-$AK705)*100</f>
        <v/>
      </c>
      <c r="DC704" s="59">
        <f>($AL704-$AL705)*100</f>
        <v/>
      </c>
      <c r="DD704" s="59">
        <f>($AM704-$AM705)*100</f>
        <v/>
      </c>
      <c r="DE704" s="59">
        <f>($AN704-$AN705)*100</f>
        <v/>
      </c>
      <c r="DF704" s="59">
        <f>($AO704-$AO705)*100</f>
        <v/>
      </c>
      <c r="DG704" s="59">
        <f>($AP704-$AP705)*100</f>
        <v/>
      </c>
      <c r="DH704" s="59">
        <f>($AQ704-$AQ705)*100</f>
        <v/>
      </c>
      <c r="DI704" s="59">
        <f>($AR704-$AR705)*100</f>
        <v/>
      </c>
      <c r="DJ704" s="59">
        <f>($AS704-$AS705)*100</f>
        <v/>
      </c>
      <c r="DK704" s="59">
        <f>($AT704-$AT705)*100</f>
        <v/>
      </c>
      <c r="DL704" s="59">
        <f>($AU704-$AU705)*100</f>
        <v/>
      </c>
      <c r="DM704" s="59">
        <f>($AV704-$AV705)*100</f>
        <v/>
      </c>
      <c r="DN704" s="59">
        <f>($AW704-$AW705)*100</f>
        <v/>
      </c>
      <c r="DO704" s="59">
        <f>($AX704-$AX705)*100</f>
        <v/>
      </c>
      <c r="DP704" s="59">
        <f>($AY704-$AY705)*100</f>
        <v/>
      </c>
      <c r="DQ704" s="59">
        <f>($AZ704-$AZ705)*100</f>
        <v/>
      </c>
      <c r="DR704" s="59">
        <f>($BA704-$BA705)*100</f>
        <v/>
      </c>
      <c r="DS704" s="58">
        <f>IFERROR($N705/$N704-1,"")</f>
        <v/>
      </c>
      <c r="DT704" s="58">
        <f>IFERROR($O705/$O704-1,"")</f>
        <v/>
      </c>
      <c r="DU704" s="58">
        <f>IFERROR($P705/$P704-1,"")</f>
        <v/>
      </c>
      <c r="DV704" s="58">
        <f>IFERROR($Q705/$Q704-1,"")</f>
        <v/>
      </c>
      <c r="DW704" s="58">
        <f>IFERROR($R705/$R704-1,"")</f>
        <v/>
      </c>
      <c r="DX704" s="58">
        <f>IFERROR($S705/$S704-1,"")</f>
        <v/>
      </c>
      <c r="DY704" s="58">
        <f>IFERROR($T705/$T704-1,"")</f>
        <v/>
      </c>
      <c r="DZ704" s="58">
        <f>IFERROR($U705/$U704-1,"")</f>
        <v/>
      </c>
      <c r="EA704" s="58">
        <f>IFERROR($V705/$V704-1,"")</f>
        <v/>
      </c>
      <c r="EB704" s="58">
        <f>IFERROR($W705/$W704-1,"")</f>
        <v/>
      </c>
      <c r="EC704" s="58">
        <f>IFERROR($X705/$X704-1,"")</f>
        <v/>
      </c>
      <c r="ED704" s="58">
        <f>IFERROR($Y705/$Y704-1,"")</f>
        <v/>
      </c>
      <c r="EE704" s="58">
        <f>IFERROR($Z705/$Z704-1,"")</f>
        <v/>
      </c>
      <c r="EF704" s="58">
        <f>IFERROR($AA705/$AA704-1,"")</f>
        <v/>
      </c>
      <c r="EG704" s="58">
        <f>IFERROR($AB705/$AB704-1,"")</f>
        <v/>
      </c>
      <c r="EH704" s="58">
        <f>IFERROR($AC705/$AC704-1,"")</f>
        <v/>
      </c>
      <c r="EI704" s="58">
        <f>IFERROR($AD705/$AD704-1,"")</f>
        <v/>
      </c>
      <c r="EJ704" s="58">
        <f>IFERROR($AE705/$AE704-1,"")</f>
        <v/>
      </c>
      <c r="EK704" s="58">
        <f>IFERROR($AF705/$AF704-1,"")</f>
        <v/>
      </c>
      <c r="EL704" s="58">
        <f>IFERROR($AG705/$AG704-1,"")</f>
        <v/>
      </c>
      <c r="EM704" s="58">
        <f>IFERROR($BB704/$BB705-1,"")</f>
        <v/>
      </c>
      <c r="EN704" s="58">
        <f>IFERROR($BC704/$BC705-1,"")</f>
        <v/>
      </c>
      <c r="EO704" s="58">
        <f>IFERROR($BD704/$BD705-1,"")</f>
        <v/>
      </c>
      <c r="EP704" s="58">
        <f>IFERROR($BE704/$BE705-1,"")</f>
        <v/>
      </c>
      <c r="EQ704" s="58">
        <f>IFERROR($BF704/$BF705-1,"")</f>
        <v/>
      </c>
      <c r="ER704" s="58">
        <f>IFERROR($BG704/$BG705-1,"")</f>
        <v/>
      </c>
      <c r="ES704" s="58">
        <f>IFERROR($BH704/$BH705-1,"")</f>
        <v/>
      </c>
      <c r="ET704" s="58">
        <f>IFERROR($BI704/$BI705-1,"")</f>
        <v/>
      </c>
      <c r="EU704" s="58">
        <f>IFERROR($BJ704/$BJ705-1,"")</f>
        <v/>
      </c>
      <c r="EV704" s="58">
        <f>IFERROR($BK704/$BK705-1,"")</f>
        <v/>
      </c>
      <c r="EW704" s="58">
        <f>IFERROR($BL704/$BL705-1,"")</f>
        <v/>
      </c>
      <c r="EX704" s="58">
        <f>IFERROR($BM704/$BM705-1,"")</f>
        <v/>
      </c>
      <c r="EY704" s="58">
        <f>IFERROR($BN704/$BN705-1,"")</f>
        <v/>
      </c>
      <c r="EZ704" s="58">
        <f>IFERROR($BO704/$BO705-1,"")</f>
        <v/>
      </c>
      <c r="FA704" s="58">
        <f>IFERROR($BP704/$BP705-1,"")</f>
        <v/>
      </c>
      <c r="FB704" s="58">
        <f>IFERROR($BQ704/$BQ705-1,"")</f>
        <v/>
      </c>
      <c r="FC704" s="58">
        <f>IFERROR($BR704/$BR705-1,"")</f>
        <v/>
      </c>
      <c r="FD704" s="58">
        <f>IFERROR($BS704/$BS705-1,"")</f>
        <v/>
      </c>
      <c r="FE704" s="58">
        <f>IFERROR($BT704/$BT705-1,"")</f>
        <v/>
      </c>
      <c r="FF704" s="58">
        <f>IFERROR($BU704/$BU705-1,"")</f>
        <v/>
      </c>
      <c r="FG704" s="58">
        <f>IFERROR($BV704/$BV705-1,"")</f>
        <v/>
      </c>
      <c r="FH704" s="58">
        <f>IFERROR($BW704/$BW705-1,"")</f>
        <v/>
      </c>
      <c r="FI704" s="58">
        <f>IFERROR($BX704/$BX705-1,"")</f>
        <v/>
      </c>
      <c r="FJ704" s="59">
        <f>$BY704-$BY705</f>
        <v/>
      </c>
      <c r="FK704" s="59">
        <f>$BZ704-$BZ705</f>
        <v/>
      </c>
      <c r="FL704" s="59">
        <f>$CA704-$CA705</f>
        <v/>
      </c>
      <c r="FM704" s="59">
        <f>$CB704-$CB705</f>
        <v/>
      </c>
      <c r="FN704" s="59">
        <f>$CC704-$CC705</f>
        <v/>
      </c>
      <c r="FO704" s="59">
        <f>$CD704-$CD705</f>
        <v/>
      </c>
      <c r="FP704" s="59">
        <f>$CE704-$CE705</f>
        <v/>
      </c>
      <c r="FQ704" s="59">
        <f>$CF704-$CF705</f>
        <v/>
      </c>
      <c r="FR704" s="59">
        <f>$CG704-$CG705</f>
        <v/>
      </c>
      <c r="FS704" s="59">
        <f>$CH704-$CH705</f>
        <v/>
      </c>
      <c r="FT704" s="59">
        <f>$CI704-$CI705</f>
        <v/>
      </c>
      <c r="FU704" s="59">
        <f>$CJ704-$CJ705</f>
        <v/>
      </c>
      <c r="FV704" s="59">
        <f>$CK704-$CK705</f>
        <v/>
      </c>
      <c r="FW704" s="59">
        <f>$CL704-$CL705</f>
        <v/>
      </c>
      <c r="FX704" s="59">
        <f>$CM704-$CM705</f>
        <v/>
      </c>
      <c r="FY704" s="59">
        <f>$CN704-$CN705</f>
        <v/>
      </c>
      <c r="FZ704" s="59">
        <f>$CO704-$CO705</f>
        <v/>
      </c>
      <c r="GA704" s="59">
        <f>$CP704-$CP705</f>
        <v/>
      </c>
      <c r="GB704" s="59">
        <f>$CQ704-$CQ705</f>
        <v/>
      </c>
      <c r="GC704" s="59">
        <f>$CR704-$CR705</f>
        <v/>
      </c>
      <c r="GD704" s="59">
        <f>$CS704-$CS705</f>
        <v/>
      </c>
      <c r="GE704" s="59">
        <f>$CT704-$CT705</f>
        <v/>
      </c>
    </row>
    <row r="705">
      <c r="CU705" s="58">
        <f>IFERROR($B705/$B706-1,"")</f>
        <v/>
      </c>
      <c r="CV705" s="59">
        <f>($F705-$F706)*100</f>
        <v/>
      </c>
      <c r="CW705" s="59">
        <f>($E705-$E706)*100</f>
        <v/>
      </c>
      <c r="CX705" s="58">
        <f>IFERROR($K705/$K706-1,"")</f>
        <v/>
      </c>
      <c r="CY705" s="59">
        <f>($AH705-$AH706)*100</f>
        <v/>
      </c>
      <c r="CZ705" s="59">
        <f>($AI705-$AI706)*100</f>
        <v/>
      </c>
      <c r="DA705" s="59">
        <f>($AJ705-$AJ706)*100</f>
        <v/>
      </c>
      <c r="DB705" s="59">
        <f>($AK705-$AK706)*100</f>
        <v/>
      </c>
      <c r="DC705" s="59">
        <f>($AL705-$AL706)*100</f>
        <v/>
      </c>
      <c r="DD705" s="59">
        <f>($AM705-$AM706)*100</f>
        <v/>
      </c>
      <c r="DE705" s="59">
        <f>($AN705-$AN706)*100</f>
        <v/>
      </c>
      <c r="DF705" s="59">
        <f>($AO705-$AO706)*100</f>
        <v/>
      </c>
      <c r="DG705" s="59">
        <f>($AP705-$AP706)*100</f>
        <v/>
      </c>
      <c r="DH705" s="59">
        <f>($AQ705-$AQ706)*100</f>
        <v/>
      </c>
      <c r="DI705" s="59">
        <f>($AR705-$AR706)*100</f>
        <v/>
      </c>
      <c r="DJ705" s="59">
        <f>($AS705-$AS706)*100</f>
        <v/>
      </c>
      <c r="DK705" s="59">
        <f>($AT705-$AT706)*100</f>
        <v/>
      </c>
      <c r="DL705" s="59">
        <f>($AU705-$AU706)*100</f>
        <v/>
      </c>
      <c r="DM705" s="59">
        <f>($AV705-$AV706)*100</f>
        <v/>
      </c>
      <c r="DN705" s="59">
        <f>($AW705-$AW706)*100</f>
        <v/>
      </c>
      <c r="DO705" s="59">
        <f>($AX705-$AX706)*100</f>
        <v/>
      </c>
      <c r="DP705" s="59">
        <f>($AY705-$AY706)*100</f>
        <v/>
      </c>
      <c r="DQ705" s="59">
        <f>($AZ705-$AZ706)*100</f>
        <v/>
      </c>
      <c r="DR705" s="59">
        <f>($BA705-$BA706)*100</f>
        <v/>
      </c>
      <c r="DS705" s="58">
        <f>IFERROR($N706/$N705-1,"")</f>
        <v/>
      </c>
      <c r="DT705" s="58">
        <f>IFERROR($O706/$O705-1,"")</f>
        <v/>
      </c>
      <c r="DU705" s="58">
        <f>IFERROR($P706/$P705-1,"")</f>
        <v/>
      </c>
      <c r="DV705" s="58">
        <f>IFERROR($Q706/$Q705-1,"")</f>
        <v/>
      </c>
      <c r="DW705" s="58">
        <f>IFERROR($R706/$R705-1,"")</f>
        <v/>
      </c>
      <c r="DX705" s="58">
        <f>IFERROR($S706/$S705-1,"")</f>
        <v/>
      </c>
      <c r="DY705" s="58">
        <f>IFERROR($T706/$T705-1,"")</f>
        <v/>
      </c>
      <c r="DZ705" s="58">
        <f>IFERROR($U706/$U705-1,"")</f>
        <v/>
      </c>
      <c r="EA705" s="58">
        <f>IFERROR($V706/$V705-1,"")</f>
        <v/>
      </c>
      <c r="EB705" s="58">
        <f>IFERROR($W706/$W705-1,"")</f>
        <v/>
      </c>
      <c r="EC705" s="58">
        <f>IFERROR($X706/$X705-1,"")</f>
        <v/>
      </c>
      <c r="ED705" s="58">
        <f>IFERROR($Y706/$Y705-1,"")</f>
        <v/>
      </c>
      <c r="EE705" s="58">
        <f>IFERROR($Z706/$Z705-1,"")</f>
        <v/>
      </c>
      <c r="EF705" s="58">
        <f>IFERROR($AA706/$AA705-1,"")</f>
        <v/>
      </c>
      <c r="EG705" s="58">
        <f>IFERROR($AB706/$AB705-1,"")</f>
        <v/>
      </c>
      <c r="EH705" s="58">
        <f>IFERROR($AC706/$AC705-1,"")</f>
        <v/>
      </c>
      <c r="EI705" s="58">
        <f>IFERROR($AD706/$AD705-1,"")</f>
        <v/>
      </c>
      <c r="EJ705" s="58">
        <f>IFERROR($AE706/$AE705-1,"")</f>
        <v/>
      </c>
      <c r="EK705" s="58">
        <f>IFERROR($AF706/$AF705-1,"")</f>
        <v/>
      </c>
      <c r="EL705" s="58">
        <f>IFERROR($AG706/$AG705-1,"")</f>
        <v/>
      </c>
      <c r="EM705" s="58">
        <f>IFERROR($BB705/$BB706-1,"")</f>
        <v/>
      </c>
      <c r="EN705" s="58">
        <f>IFERROR($BC705/$BC706-1,"")</f>
        <v/>
      </c>
      <c r="EO705" s="58">
        <f>IFERROR($BD705/$BD706-1,"")</f>
        <v/>
      </c>
      <c r="EP705" s="58">
        <f>IFERROR($BE705/$BE706-1,"")</f>
        <v/>
      </c>
      <c r="EQ705" s="58">
        <f>IFERROR($BF705/$BF706-1,"")</f>
        <v/>
      </c>
      <c r="ER705" s="58">
        <f>IFERROR($BG705/$BG706-1,"")</f>
        <v/>
      </c>
      <c r="ES705" s="58">
        <f>IFERROR($BH705/$BH706-1,"")</f>
        <v/>
      </c>
      <c r="ET705" s="58">
        <f>IFERROR($BI705/$BI706-1,"")</f>
        <v/>
      </c>
      <c r="EU705" s="58">
        <f>IFERROR($BJ705/$BJ706-1,"")</f>
        <v/>
      </c>
      <c r="EV705" s="58">
        <f>IFERROR($BK705/$BK706-1,"")</f>
        <v/>
      </c>
      <c r="EW705" s="58">
        <f>IFERROR($BL705/$BL706-1,"")</f>
        <v/>
      </c>
      <c r="EX705" s="58">
        <f>IFERROR($BM705/$BM706-1,"")</f>
        <v/>
      </c>
      <c r="EY705" s="58">
        <f>IFERROR($BN705/$BN706-1,"")</f>
        <v/>
      </c>
      <c r="EZ705" s="58">
        <f>IFERROR($BO705/$BO706-1,"")</f>
        <v/>
      </c>
      <c r="FA705" s="58">
        <f>IFERROR($BP705/$BP706-1,"")</f>
        <v/>
      </c>
      <c r="FB705" s="58">
        <f>IFERROR($BQ705/$BQ706-1,"")</f>
        <v/>
      </c>
      <c r="FC705" s="58">
        <f>IFERROR($BR705/$BR706-1,"")</f>
        <v/>
      </c>
      <c r="FD705" s="58">
        <f>IFERROR($BS705/$BS706-1,"")</f>
        <v/>
      </c>
      <c r="FE705" s="58">
        <f>IFERROR($BT705/$BT706-1,"")</f>
        <v/>
      </c>
      <c r="FF705" s="58">
        <f>IFERROR($BU705/$BU706-1,"")</f>
        <v/>
      </c>
      <c r="FG705" s="58">
        <f>IFERROR($BV705/$BV706-1,"")</f>
        <v/>
      </c>
      <c r="FH705" s="58">
        <f>IFERROR($BW705/$BW706-1,"")</f>
        <v/>
      </c>
      <c r="FI705" s="58">
        <f>IFERROR($BX705/$BX706-1,"")</f>
        <v/>
      </c>
      <c r="FJ705" s="59">
        <f>$BY705-$BY706</f>
        <v/>
      </c>
      <c r="FK705" s="59">
        <f>$BZ705-$BZ706</f>
        <v/>
      </c>
      <c r="FL705" s="59">
        <f>$CA705-$CA706</f>
        <v/>
      </c>
      <c r="FM705" s="59">
        <f>$CB705-$CB706</f>
        <v/>
      </c>
      <c r="FN705" s="59">
        <f>$CC705-$CC706</f>
        <v/>
      </c>
      <c r="FO705" s="59">
        <f>$CD705-$CD706</f>
        <v/>
      </c>
      <c r="FP705" s="59">
        <f>$CE705-$CE706</f>
        <v/>
      </c>
      <c r="FQ705" s="59">
        <f>$CF705-$CF706</f>
        <v/>
      </c>
      <c r="FR705" s="59">
        <f>$CG705-$CG706</f>
        <v/>
      </c>
      <c r="FS705" s="59">
        <f>$CH705-$CH706</f>
        <v/>
      </c>
      <c r="FT705" s="59">
        <f>$CI705-$CI706</f>
        <v/>
      </c>
      <c r="FU705" s="59">
        <f>$CJ705-$CJ706</f>
        <v/>
      </c>
      <c r="FV705" s="59">
        <f>$CK705-$CK706</f>
        <v/>
      </c>
      <c r="FW705" s="59">
        <f>$CL705-$CL706</f>
        <v/>
      </c>
      <c r="FX705" s="59">
        <f>$CM705-$CM706</f>
        <v/>
      </c>
      <c r="FY705" s="59">
        <f>$CN705-$CN706</f>
        <v/>
      </c>
      <c r="FZ705" s="59">
        <f>$CO705-$CO706</f>
        <v/>
      </c>
      <c r="GA705" s="59">
        <f>$CP705-$CP706</f>
        <v/>
      </c>
      <c r="GB705" s="59">
        <f>$CQ705-$CQ706</f>
        <v/>
      </c>
      <c r="GC705" s="59">
        <f>$CR705-$CR706</f>
        <v/>
      </c>
      <c r="GD705" s="59">
        <f>$CS705-$CS706</f>
        <v/>
      </c>
      <c r="GE705" s="59">
        <f>$CT705-$CT706</f>
        <v/>
      </c>
    </row>
    <row r="706">
      <c r="CU706" s="58">
        <f>IFERROR($B706/$B707-1,"")</f>
        <v/>
      </c>
      <c r="CV706" s="59">
        <f>($F706-$F707)*100</f>
        <v/>
      </c>
      <c r="CW706" s="59">
        <f>($E706-$E707)*100</f>
        <v/>
      </c>
      <c r="CX706" s="58">
        <f>IFERROR($K706/$K707-1,"")</f>
        <v/>
      </c>
      <c r="CY706" s="59">
        <f>($AH706-$AH707)*100</f>
        <v/>
      </c>
      <c r="CZ706" s="59">
        <f>($AI706-$AI707)*100</f>
        <v/>
      </c>
      <c r="DA706" s="59">
        <f>($AJ706-$AJ707)*100</f>
        <v/>
      </c>
      <c r="DB706" s="59">
        <f>($AK706-$AK707)*100</f>
        <v/>
      </c>
      <c r="DC706" s="59">
        <f>($AL706-$AL707)*100</f>
        <v/>
      </c>
      <c r="DD706" s="59">
        <f>($AM706-$AM707)*100</f>
        <v/>
      </c>
      <c r="DE706" s="59">
        <f>($AN706-$AN707)*100</f>
        <v/>
      </c>
      <c r="DF706" s="59">
        <f>($AO706-$AO707)*100</f>
        <v/>
      </c>
      <c r="DG706" s="59">
        <f>($AP706-$AP707)*100</f>
        <v/>
      </c>
      <c r="DH706" s="59">
        <f>($AQ706-$AQ707)*100</f>
        <v/>
      </c>
      <c r="DI706" s="59">
        <f>($AR706-$AR707)*100</f>
        <v/>
      </c>
      <c r="DJ706" s="59">
        <f>($AS706-$AS707)*100</f>
        <v/>
      </c>
      <c r="DK706" s="59">
        <f>($AT706-$AT707)*100</f>
        <v/>
      </c>
      <c r="DL706" s="59">
        <f>($AU706-$AU707)*100</f>
        <v/>
      </c>
      <c r="DM706" s="59">
        <f>($AV706-$AV707)*100</f>
        <v/>
      </c>
      <c r="DN706" s="59">
        <f>($AW706-$AW707)*100</f>
        <v/>
      </c>
      <c r="DO706" s="59">
        <f>($AX706-$AX707)*100</f>
        <v/>
      </c>
      <c r="DP706" s="59">
        <f>($AY706-$AY707)*100</f>
        <v/>
      </c>
      <c r="DQ706" s="59">
        <f>($AZ706-$AZ707)*100</f>
        <v/>
      </c>
      <c r="DR706" s="59">
        <f>($BA706-$BA707)*100</f>
        <v/>
      </c>
      <c r="DS706" s="58">
        <f>IFERROR($N707/$N706-1,"")</f>
        <v/>
      </c>
      <c r="DT706" s="58">
        <f>IFERROR($O707/$O706-1,"")</f>
        <v/>
      </c>
      <c r="DU706" s="58">
        <f>IFERROR($P707/$P706-1,"")</f>
        <v/>
      </c>
      <c r="DV706" s="58">
        <f>IFERROR($Q707/$Q706-1,"")</f>
        <v/>
      </c>
      <c r="DW706" s="58">
        <f>IFERROR($R707/$R706-1,"")</f>
        <v/>
      </c>
      <c r="DX706" s="58">
        <f>IFERROR($S707/$S706-1,"")</f>
        <v/>
      </c>
      <c r="DY706" s="58">
        <f>IFERROR($T707/$T706-1,"")</f>
        <v/>
      </c>
      <c r="DZ706" s="58">
        <f>IFERROR($U707/$U706-1,"")</f>
        <v/>
      </c>
      <c r="EA706" s="58">
        <f>IFERROR($V707/$V706-1,"")</f>
        <v/>
      </c>
      <c r="EB706" s="58">
        <f>IFERROR($W707/$W706-1,"")</f>
        <v/>
      </c>
      <c r="EC706" s="58">
        <f>IFERROR($X707/$X706-1,"")</f>
        <v/>
      </c>
      <c r="ED706" s="58">
        <f>IFERROR($Y707/$Y706-1,"")</f>
        <v/>
      </c>
      <c r="EE706" s="58">
        <f>IFERROR($Z707/$Z706-1,"")</f>
        <v/>
      </c>
      <c r="EF706" s="58">
        <f>IFERROR($AA707/$AA706-1,"")</f>
        <v/>
      </c>
      <c r="EG706" s="58">
        <f>IFERROR($AB707/$AB706-1,"")</f>
        <v/>
      </c>
      <c r="EH706" s="58">
        <f>IFERROR($AC707/$AC706-1,"")</f>
        <v/>
      </c>
      <c r="EI706" s="58">
        <f>IFERROR($AD707/$AD706-1,"")</f>
        <v/>
      </c>
      <c r="EJ706" s="58">
        <f>IFERROR($AE707/$AE706-1,"")</f>
        <v/>
      </c>
      <c r="EK706" s="58">
        <f>IFERROR($AF707/$AF706-1,"")</f>
        <v/>
      </c>
      <c r="EL706" s="58">
        <f>IFERROR($AG707/$AG706-1,"")</f>
        <v/>
      </c>
      <c r="EM706" s="58">
        <f>IFERROR($BB706/$BB707-1,"")</f>
        <v/>
      </c>
      <c r="EN706" s="58">
        <f>IFERROR($BC706/$BC707-1,"")</f>
        <v/>
      </c>
      <c r="EO706" s="58">
        <f>IFERROR($BD706/$BD707-1,"")</f>
        <v/>
      </c>
      <c r="EP706" s="58">
        <f>IFERROR($BE706/$BE707-1,"")</f>
        <v/>
      </c>
      <c r="EQ706" s="58">
        <f>IFERROR($BF706/$BF707-1,"")</f>
        <v/>
      </c>
      <c r="ER706" s="58">
        <f>IFERROR($BG706/$BG707-1,"")</f>
        <v/>
      </c>
      <c r="ES706" s="58">
        <f>IFERROR($BH706/$BH707-1,"")</f>
        <v/>
      </c>
      <c r="ET706" s="58">
        <f>IFERROR($BI706/$BI707-1,"")</f>
        <v/>
      </c>
      <c r="EU706" s="58">
        <f>IFERROR($BJ706/$BJ707-1,"")</f>
        <v/>
      </c>
      <c r="EV706" s="58">
        <f>IFERROR($BK706/$BK707-1,"")</f>
        <v/>
      </c>
      <c r="EW706" s="58">
        <f>IFERROR($BL706/$BL707-1,"")</f>
        <v/>
      </c>
      <c r="EX706" s="58">
        <f>IFERROR($BM706/$BM707-1,"")</f>
        <v/>
      </c>
      <c r="EY706" s="58">
        <f>IFERROR($BN706/$BN707-1,"")</f>
        <v/>
      </c>
      <c r="EZ706" s="58">
        <f>IFERROR($BO706/$BO707-1,"")</f>
        <v/>
      </c>
      <c r="FA706" s="58">
        <f>IFERROR($BP706/$BP707-1,"")</f>
        <v/>
      </c>
      <c r="FB706" s="58">
        <f>IFERROR($BQ706/$BQ707-1,"")</f>
        <v/>
      </c>
      <c r="FC706" s="58">
        <f>IFERROR($BR706/$BR707-1,"")</f>
        <v/>
      </c>
      <c r="FD706" s="58">
        <f>IFERROR($BS706/$BS707-1,"")</f>
        <v/>
      </c>
      <c r="FE706" s="58">
        <f>IFERROR($BT706/$BT707-1,"")</f>
        <v/>
      </c>
      <c r="FF706" s="58">
        <f>IFERROR($BU706/$BU707-1,"")</f>
        <v/>
      </c>
      <c r="FG706" s="58">
        <f>IFERROR($BV706/$BV707-1,"")</f>
        <v/>
      </c>
      <c r="FH706" s="58">
        <f>IFERROR($BW706/$BW707-1,"")</f>
        <v/>
      </c>
      <c r="FI706" s="58">
        <f>IFERROR($BX706/$BX707-1,"")</f>
        <v/>
      </c>
      <c r="FJ706" s="59">
        <f>$BY706-$BY707</f>
        <v/>
      </c>
      <c r="FK706" s="59">
        <f>$BZ706-$BZ707</f>
        <v/>
      </c>
      <c r="FL706" s="59">
        <f>$CA706-$CA707</f>
        <v/>
      </c>
      <c r="FM706" s="59">
        <f>$CB706-$CB707</f>
        <v/>
      </c>
      <c r="FN706" s="59">
        <f>$CC706-$CC707</f>
        <v/>
      </c>
      <c r="FO706" s="59">
        <f>$CD706-$CD707</f>
        <v/>
      </c>
      <c r="FP706" s="59">
        <f>$CE706-$CE707</f>
        <v/>
      </c>
      <c r="FQ706" s="59">
        <f>$CF706-$CF707</f>
        <v/>
      </c>
      <c r="FR706" s="59">
        <f>$CG706-$CG707</f>
        <v/>
      </c>
      <c r="FS706" s="59">
        <f>$CH706-$CH707</f>
        <v/>
      </c>
      <c r="FT706" s="59">
        <f>$CI706-$CI707</f>
        <v/>
      </c>
      <c r="FU706" s="59">
        <f>$CJ706-$CJ707</f>
        <v/>
      </c>
      <c r="FV706" s="59">
        <f>$CK706-$CK707</f>
        <v/>
      </c>
      <c r="FW706" s="59">
        <f>$CL706-$CL707</f>
        <v/>
      </c>
      <c r="FX706" s="59">
        <f>$CM706-$CM707</f>
        <v/>
      </c>
      <c r="FY706" s="59">
        <f>$CN706-$CN707</f>
        <v/>
      </c>
      <c r="FZ706" s="59">
        <f>$CO706-$CO707</f>
        <v/>
      </c>
      <c r="GA706" s="59">
        <f>$CP706-$CP707</f>
        <v/>
      </c>
      <c r="GB706" s="59">
        <f>$CQ706-$CQ707</f>
        <v/>
      </c>
      <c r="GC706" s="59">
        <f>$CR706-$CR707</f>
        <v/>
      </c>
      <c r="GD706" s="59">
        <f>$CS706-$CS707</f>
        <v/>
      </c>
      <c r="GE706" s="59">
        <f>$CT706-$CT707</f>
        <v/>
      </c>
    </row>
    <row r="707">
      <c r="CU707" s="58">
        <f>IFERROR($B707/$B708-1,"")</f>
        <v/>
      </c>
      <c r="CV707" s="59">
        <f>($F707-$F708)*100</f>
        <v/>
      </c>
      <c r="CW707" s="59">
        <f>($E707-$E708)*100</f>
        <v/>
      </c>
      <c r="CX707" s="58">
        <f>IFERROR($K707/$K708-1,"")</f>
        <v/>
      </c>
      <c r="CY707" s="59">
        <f>($AH707-$AH708)*100</f>
        <v/>
      </c>
      <c r="CZ707" s="59">
        <f>($AI707-$AI708)*100</f>
        <v/>
      </c>
      <c r="DA707" s="59">
        <f>($AJ707-$AJ708)*100</f>
        <v/>
      </c>
      <c r="DB707" s="59">
        <f>($AK707-$AK708)*100</f>
        <v/>
      </c>
      <c r="DC707" s="59">
        <f>($AL707-$AL708)*100</f>
        <v/>
      </c>
      <c r="DD707" s="59">
        <f>($AM707-$AM708)*100</f>
        <v/>
      </c>
      <c r="DE707" s="59">
        <f>($AN707-$AN708)*100</f>
        <v/>
      </c>
      <c r="DF707" s="59">
        <f>($AO707-$AO708)*100</f>
        <v/>
      </c>
      <c r="DG707" s="59">
        <f>($AP707-$AP708)*100</f>
        <v/>
      </c>
      <c r="DH707" s="59">
        <f>($AQ707-$AQ708)*100</f>
        <v/>
      </c>
      <c r="DI707" s="59">
        <f>($AR707-$AR708)*100</f>
        <v/>
      </c>
      <c r="DJ707" s="59">
        <f>($AS707-$AS708)*100</f>
        <v/>
      </c>
      <c r="DK707" s="59">
        <f>($AT707-$AT708)*100</f>
        <v/>
      </c>
      <c r="DL707" s="59">
        <f>($AU707-$AU708)*100</f>
        <v/>
      </c>
      <c r="DM707" s="59">
        <f>($AV707-$AV708)*100</f>
        <v/>
      </c>
      <c r="DN707" s="59">
        <f>($AW707-$AW708)*100</f>
        <v/>
      </c>
      <c r="DO707" s="59">
        <f>($AX707-$AX708)*100</f>
        <v/>
      </c>
      <c r="DP707" s="59">
        <f>($AY707-$AY708)*100</f>
        <v/>
      </c>
      <c r="DQ707" s="59">
        <f>($AZ707-$AZ708)*100</f>
        <v/>
      </c>
      <c r="DR707" s="59">
        <f>($BA707-$BA708)*100</f>
        <v/>
      </c>
      <c r="DS707" s="58">
        <f>IFERROR($N708/$N707-1,"")</f>
        <v/>
      </c>
      <c r="DT707" s="58">
        <f>IFERROR($O708/$O707-1,"")</f>
        <v/>
      </c>
      <c r="DU707" s="58">
        <f>IFERROR($P708/$P707-1,"")</f>
        <v/>
      </c>
      <c r="DV707" s="58">
        <f>IFERROR($Q708/$Q707-1,"")</f>
        <v/>
      </c>
      <c r="DW707" s="58">
        <f>IFERROR($R708/$R707-1,"")</f>
        <v/>
      </c>
      <c r="DX707" s="58">
        <f>IFERROR($S708/$S707-1,"")</f>
        <v/>
      </c>
      <c r="DY707" s="58">
        <f>IFERROR($T708/$T707-1,"")</f>
        <v/>
      </c>
      <c r="DZ707" s="58">
        <f>IFERROR($U708/$U707-1,"")</f>
        <v/>
      </c>
      <c r="EA707" s="58">
        <f>IFERROR($V708/$V707-1,"")</f>
        <v/>
      </c>
      <c r="EB707" s="58">
        <f>IFERROR($W708/$W707-1,"")</f>
        <v/>
      </c>
      <c r="EC707" s="58">
        <f>IFERROR($X708/$X707-1,"")</f>
        <v/>
      </c>
      <c r="ED707" s="58">
        <f>IFERROR($Y708/$Y707-1,"")</f>
        <v/>
      </c>
      <c r="EE707" s="58">
        <f>IFERROR($Z708/$Z707-1,"")</f>
        <v/>
      </c>
      <c r="EF707" s="58">
        <f>IFERROR($AA708/$AA707-1,"")</f>
        <v/>
      </c>
      <c r="EG707" s="58">
        <f>IFERROR($AB708/$AB707-1,"")</f>
        <v/>
      </c>
      <c r="EH707" s="58">
        <f>IFERROR($AC708/$AC707-1,"")</f>
        <v/>
      </c>
      <c r="EI707" s="58">
        <f>IFERROR($AD708/$AD707-1,"")</f>
        <v/>
      </c>
      <c r="EJ707" s="58">
        <f>IFERROR($AE708/$AE707-1,"")</f>
        <v/>
      </c>
      <c r="EK707" s="58">
        <f>IFERROR($AF708/$AF707-1,"")</f>
        <v/>
      </c>
      <c r="EL707" s="58">
        <f>IFERROR($AG708/$AG707-1,"")</f>
        <v/>
      </c>
      <c r="EM707" s="58">
        <f>IFERROR($BB707/$BB708-1,"")</f>
        <v/>
      </c>
      <c r="EN707" s="58">
        <f>IFERROR($BC707/$BC708-1,"")</f>
        <v/>
      </c>
      <c r="EO707" s="58">
        <f>IFERROR($BD707/$BD708-1,"")</f>
        <v/>
      </c>
      <c r="EP707" s="58">
        <f>IFERROR($BE707/$BE708-1,"")</f>
        <v/>
      </c>
      <c r="EQ707" s="58">
        <f>IFERROR($BF707/$BF708-1,"")</f>
        <v/>
      </c>
      <c r="ER707" s="58">
        <f>IFERROR($BG707/$BG708-1,"")</f>
        <v/>
      </c>
      <c r="ES707" s="58">
        <f>IFERROR($BH707/$BH708-1,"")</f>
        <v/>
      </c>
      <c r="ET707" s="58">
        <f>IFERROR($BI707/$BI708-1,"")</f>
        <v/>
      </c>
      <c r="EU707" s="58">
        <f>IFERROR($BJ707/$BJ708-1,"")</f>
        <v/>
      </c>
      <c r="EV707" s="58">
        <f>IFERROR($BK707/$BK708-1,"")</f>
        <v/>
      </c>
      <c r="EW707" s="58">
        <f>IFERROR($BL707/$BL708-1,"")</f>
        <v/>
      </c>
      <c r="EX707" s="58">
        <f>IFERROR($BM707/$BM708-1,"")</f>
        <v/>
      </c>
      <c r="EY707" s="58">
        <f>IFERROR($BN707/$BN708-1,"")</f>
        <v/>
      </c>
      <c r="EZ707" s="58">
        <f>IFERROR($BO707/$BO708-1,"")</f>
        <v/>
      </c>
      <c r="FA707" s="58">
        <f>IFERROR($BP707/$BP708-1,"")</f>
        <v/>
      </c>
      <c r="FB707" s="58">
        <f>IFERROR($BQ707/$BQ708-1,"")</f>
        <v/>
      </c>
      <c r="FC707" s="58">
        <f>IFERROR($BR707/$BR708-1,"")</f>
        <v/>
      </c>
      <c r="FD707" s="58">
        <f>IFERROR($BS707/$BS708-1,"")</f>
        <v/>
      </c>
      <c r="FE707" s="58">
        <f>IFERROR($BT707/$BT708-1,"")</f>
        <v/>
      </c>
      <c r="FF707" s="58">
        <f>IFERROR($BU707/$BU708-1,"")</f>
        <v/>
      </c>
      <c r="FG707" s="58">
        <f>IFERROR($BV707/$BV708-1,"")</f>
        <v/>
      </c>
      <c r="FH707" s="58">
        <f>IFERROR($BW707/$BW708-1,"")</f>
        <v/>
      </c>
      <c r="FI707" s="58">
        <f>IFERROR($BX707/$BX708-1,"")</f>
        <v/>
      </c>
      <c r="FJ707" s="59">
        <f>$BY707-$BY708</f>
        <v/>
      </c>
      <c r="FK707" s="59">
        <f>$BZ707-$BZ708</f>
        <v/>
      </c>
      <c r="FL707" s="59">
        <f>$CA707-$CA708</f>
        <v/>
      </c>
      <c r="FM707" s="59">
        <f>$CB707-$CB708</f>
        <v/>
      </c>
      <c r="FN707" s="59">
        <f>$CC707-$CC708</f>
        <v/>
      </c>
      <c r="FO707" s="59">
        <f>$CD707-$CD708</f>
        <v/>
      </c>
      <c r="FP707" s="59">
        <f>$CE707-$CE708</f>
        <v/>
      </c>
      <c r="FQ707" s="59">
        <f>$CF707-$CF708</f>
        <v/>
      </c>
      <c r="FR707" s="59">
        <f>$CG707-$CG708</f>
        <v/>
      </c>
      <c r="FS707" s="59">
        <f>$CH707-$CH708</f>
        <v/>
      </c>
      <c r="FT707" s="59">
        <f>$CI707-$CI708</f>
        <v/>
      </c>
      <c r="FU707" s="59">
        <f>$CJ707-$CJ708</f>
        <v/>
      </c>
      <c r="FV707" s="59">
        <f>$CK707-$CK708</f>
        <v/>
      </c>
      <c r="FW707" s="59">
        <f>$CL707-$CL708</f>
        <v/>
      </c>
      <c r="FX707" s="59">
        <f>$CM707-$CM708</f>
        <v/>
      </c>
      <c r="FY707" s="59">
        <f>$CN707-$CN708</f>
        <v/>
      </c>
      <c r="FZ707" s="59">
        <f>$CO707-$CO708</f>
        <v/>
      </c>
      <c r="GA707" s="59">
        <f>$CP707-$CP708</f>
        <v/>
      </c>
      <c r="GB707" s="59">
        <f>$CQ707-$CQ708</f>
        <v/>
      </c>
      <c r="GC707" s="59">
        <f>$CR707-$CR708</f>
        <v/>
      </c>
      <c r="GD707" s="59">
        <f>$CS707-$CS708</f>
        <v/>
      </c>
      <c r="GE707" s="59">
        <f>$CT707-$CT708</f>
        <v/>
      </c>
    </row>
    <row r="708">
      <c r="CU708" s="58">
        <f>IFERROR($B708/$B709-1,"")</f>
        <v/>
      </c>
      <c r="CV708" s="59">
        <f>($F708-$F709)*100</f>
        <v/>
      </c>
      <c r="CW708" s="59">
        <f>($E708-$E709)*100</f>
        <v/>
      </c>
      <c r="CX708" s="58">
        <f>IFERROR($K708/$K709-1,"")</f>
        <v/>
      </c>
      <c r="CY708" s="59">
        <f>($AH708-$AH709)*100</f>
        <v/>
      </c>
      <c r="CZ708" s="59">
        <f>($AI708-$AI709)*100</f>
        <v/>
      </c>
      <c r="DA708" s="59">
        <f>($AJ708-$AJ709)*100</f>
        <v/>
      </c>
      <c r="DB708" s="59">
        <f>($AK708-$AK709)*100</f>
        <v/>
      </c>
      <c r="DC708" s="59">
        <f>($AL708-$AL709)*100</f>
        <v/>
      </c>
      <c r="DD708" s="59">
        <f>($AM708-$AM709)*100</f>
        <v/>
      </c>
      <c r="DE708" s="59">
        <f>($AN708-$AN709)*100</f>
        <v/>
      </c>
      <c r="DF708" s="59">
        <f>($AO708-$AO709)*100</f>
        <v/>
      </c>
      <c r="DG708" s="59">
        <f>($AP708-$AP709)*100</f>
        <v/>
      </c>
      <c r="DH708" s="59">
        <f>($AQ708-$AQ709)*100</f>
        <v/>
      </c>
      <c r="DI708" s="59">
        <f>($AR708-$AR709)*100</f>
        <v/>
      </c>
      <c r="DJ708" s="59">
        <f>($AS708-$AS709)*100</f>
        <v/>
      </c>
      <c r="DK708" s="59">
        <f>($AT708-$AT709)*100</f>
        <v/>
      </c>
      <c r="DL708" s="59">
        <f>($AU708-$AU709)*100</f>
        <v/>
      </c>
      <c r="DM708" s="59">
        <f>($AV708-$AV709)*100</f>
        <v/>
      </c>
      <c r="DN708" s="59">
        <f>($AW708-$AW709)*100</f>
        <v/>
      </c>
      <c r="DO708" s="59">
        <f>($AX708-$AX709)*100</f>
        <v/>
      </c>
      <c r="DP708" s="59">
        <f>($AY708-$AY709)*100</f>
        <v/>
      </c>
      <c r="DQ708" s="59">
        <f>($AZ708-$AZ709)*100</f>
        <v/>
      </c>
      <c r="DR708" s="59">
        <f>($BA708-$BA709)*100</f>
        <v/>
      </c>
      <c r="DS708" s="58">
        <f>IFERROR($N709/$N708-1,"")</f>
        <v/>
      </c>
      <c r="DT708" s="58">
        <f>IFERROR($O709/$O708-1,"")</f>
        <v/>
      </c>
      <c r="DU708" s="58">
        <f>IFERROR($P709/$P708-1,"")</f>
        <v/>
      </c>
      <c r="DV708" s="58">
        <f>IFERROR($Q709/$Q708-1,"")</f>
        <v/>
      </c>
      <c r="DW708" s="58">
        <f>IFERROR($R709/$R708-1,"")</f>
        <v/>
      </c>
      <c r="DX708" s="58">
        <f>IFERROR($S709/$S708-1,"")</f>
        <v/>
      </c>
      <c r="DY708" s="58">
        <f>IFERROR($T709/$T708-1,"")</f>
        <v/>
      </c>
      <c r="DZ708" s="58">
        <f>IFERROR($U709/$U708-1,"")</f>
        <v/>
      </c>
      <c r="EA708" s="58">
        <f>IFERROR($V709/$V708-1,"")</f>
        <v/>
      </c>
      <c r="EB708" s="58">
        <f>IFERROR($W709/$W708-1,"")</f>
        <v/>
      </c>
      <c r="EC708" s="58">
        <f>IFERROR($X709/$X708-1,"")</f>
        <v/>
      </c>
      <c r="ED708" s="58">
        <f>IFERROR($Y709/$Y708-1,"")</f>
        <v/>
      </c>
      <c r="EE708" s="58">
        <f>IFERROR($Z709/$Z708-1,"")</f>
        <v/>
      </c>
      <c r="EF708" s="58">
        <f>IFERROR($AA709/$AA708-1,"")</f>
        <v/>
      </c>
      <c r="EG708" s="58">
        <f>IFERROR($AB709/$AB708-1,"")</f>
        <v/>
      </c>
      <c r="EH708" s="58">
        <f>IFERROR($AC709/$AC708-1,"")</f>
        <v/>
      </c>
      <c r="EI708" s="58">
        <f>IFERROR($AD709/$AD708-1,"")</f>
        <v/>
      </c>
      <c r="EJ708" s="58">
        <f>IFERROR($AE709/$AE708-1,"")</f>
        <v/>
      </c>
      <c r="EK708" s="58">
        <f>IFERROR($AF709/$AF708-1,"")</f>
        <v/>
      </c>
      <c r="EL708" s="58">
        <f>IFERROR($AG709/$AG708-1,"")</f>
        <v/>
      </c>
      <c r="EM708" s="58">
        <f>IFERROR($BB708/$BB709-1,"")</f>
        <v/>
      </c>
      <c r="EN708" s="58">
        <f>IFERROR($BC708/$BC709-1,"")</f>
        <v/>
      </c>
      <c r="EO708" s="58">
        <f>IFERROR($BD708/$BD709-1,"")</f>
        <v/>
      </c>
      <c r="EP708" s="58">
        <f>IFERROR($BE708/$BE709-1,"")</f>
        <v/>
      </c>
      <c r="EQ708" s="58">
        <f>IFERROR($BF708/$BF709-1,"")</f>
        <v/>
      </c>
      <c r="ER708" s="58">
        <f>IFERROR($BG708/$BG709-1,"")</f>
        <v/>
      </c>
      <c r="ES708" s="58">
        <f>IFERROR($BH708/$BH709-1,"")</f>
        <v/>
      </c>
      <c r="ET708" s="58">
        <f>IFERROR($BI708/$BI709-1,"")</f>
        <v/>
      </c>
      <c r="EU708" s="58">
        <f>IFERROR($BJ708/$BJ709-1,"")</f>
        <v/>
      </c>
      <c r="EV708" s="58">
        <f>IFERROR($BK708/$BK709-1,"")</f>
        <v/>
      </c>
      <c r="EW708" s="58">
        <f>IFERROR($BL708/$BL709-1,"")</f>
        <v/>
      </c>
      <c r="EX708" s="58">
        <f>IFERROR($BM708/$BM709-1,"")</f>
        <v/>
      </c>
      <c r="EY708" s="58">
        <f>IFERROR($BN708/$BN709-1,"")</f>
        <v/>
      </c>
      <c r="EZ708" s="58">
        <f>IFERROR($BO708/$BO709-1,"")</f>
        <v/>
      </c>
      <c r="FA708" s="58">
        <f>IFERROR($BP708/$BP709-1,"")</f>
        <v/>
      </c>
      <c r="FB708" s="58">
        <f>IFERROR($BQ708/$BQ709-1,"")</f>
        <v/>
      </c>
      <c r="FC708" s="58">
        <f>IFERROR($BR708/$BR709-1,"")</f>
        <v/>
      </c>
      <c r="FD708" s="58">
        <f>IFERROR($BS708/$BS709-1,"")</f>
        <v/>
      </c>
      <c r="FE708" s="58">
        <f>IFERROR($BT708/$BT709-1,"")</f>
        <v/>
      </c>
      <c r="FF708" s="58">
        <f>IFERROR($BU708/$BU709-1,"")</f>
        <v/>
      </c>
      <c r="FG708" s="58">
        <f>IFERROR($BV708/$BV709-1,"")</f>
        <v/>
      </c>
      <c r="FH708" s="58">
        <f>IFERROR($BW708/$BW709-1,"")</f>
        <v/>
      </c>
      <c r="FI708" s="58">
        <f>IFERROR($BX708/$BX709-1,"")</f>
        <v/>
      </c>
      <c r="FJ708" s="59">
        <f>$BY708-$BY709</f>
        <v/>
      </c>
      <c r="FK708" s="59">
        <f>$BZ708-$BZ709</f>
        <v/>
      </c>
      <c r="FL708" s="59">
        <f>$CA708-$CA709</f>
        <v/>
      </c>
      <c r="FM708" s="59">
        <f>$CB708-$CB709</f>
        <v/>
      </c>
      <c r="FN708" s="59">
        <f>$CC708-$CC709</f>
        <v/>
      </c>
      <c r="FO708" s="59">
        <f>$CD708-$CD709</f>
        <v/>
      </c>
      <c r="FP708" s="59">
        <f>$CE708-$CE709</f>
        <v/>
      </c>
      <c r="FQ708" s="59">
        <f>$CF708-$CF709</f>
        <v/>
      </c>
      <c r="FR708" s="59">
        <f>$CG708-$CG709</f>
        <v/>
      </c>
      <c r="FS708" s="59">
        <f>$CH708-$CH709</f>
        <v/>
      </c>
      <c r="FT708" s="59">
        <f>$CI708-$CI709</f>
        <v/>
      </c>
      <c r="FU708" s="59">
        <f>$CJ708-$CJ709</f>
        <v/>
      </c>
      <c r="FV708" s="59">
        <f>$CK708-$CK709</f>
        <v/>
      </c>
      <c r="FW708" s="59">
        <f>$CL708-$CL709</f>
        <v/>
      </c>
      <c r="FX708" s="59">
        <f>$CM708-$CM709</f>
        <v/>
      </c>
      <c r="FY708" s="59">
        <f>$CN708-$CN709</f>
        <v/>
      </c>
      <c r="FZ708" s="59">
        <f>$CO708-$CO709</f>
        <v/>
      </c>
      <c r="GA708" s="59">
        <f>$CP708-$CP709</f>
        <v/>
      </c>
      <c r="GB708" s="59">
        <f>$CQ708-$CQ709</f>
        <v/>
      </c>
      <c r="GC708" s="59">
        <f>$CR708-$CR709</f>
        <v/>
      </c>
      <c r="GD708" s="59">
        <f>$CS708-$CS709</f>
        <v/>
      </c>
      <c r="GE708" s="59">
        <f>$CT708-$CT709</f>
        <v/>
      </c>
    </row>
    <row r="709">
      <c r="CU709" s="58">
        <f>IFERROR($B709/$B710-1,"")</f>
        <v/>
      </c>
      <c r="CV709" s="59">
        <f>($F709-$F710)*100</f>
        <v/>
      </c>
      <c r="CW709" s="59">
        <f>($E709-$E710)*100</f>
        <v/>
      </c>
      <c r="CX709" s="58">
        <f>IFERROR($K709/$K710-1,"")</f>
        <v/>
      </c>
      <c r="CY709" s="59">
        <f>($AH709-$AH710)*100</f>
        <v/>
      </c>
      <c r="CZ709" s="59">
        <f>($AI709-$AI710)*100</f>
        <v/>
      </c>
      <c r="DA709" s="59">
        <f>($AJ709-$AJ710)*100</f>
        <v/>
      </c>
      <c r="DB709" s="59">
        <f>($AK709-$AK710)*100</f>
        <v/>
      </c>
      <c r="DC709" s="59">
        <f>($AL709-$AL710)*100</f>
        <v/>
      </c>
      <c r="DD709" s="59">
        <f>($AM709-$AM710)*100</f>
        <v/>
      </c>
      <c r="DE709" s="59">
        <f>($AN709-$AN710)*100</f>
        <v/>
      </c>
      <c r="DF709" s="59">
        <f>($AO709-$AO710)*100</f>
        <v/>
      </c>
      <c r="DG709" s="59">
        <f>($AP709-$AP710)*100</f>
        <v/>
      </c>
      <c r="DH709" s="59">
        <f>($AQ709-$AQ710)*100</f>
        <v/>
      </c>
      <c r="DI709" s="59">
        <f>($AR709-$AR710)*100</f>
        <v/>
      </c>
      <c r="DJ709" s="59">
        <f>($AS709-$AS710)*100</f>
        <v/>
      </c>
      <c r="DK709" s="59">
        <f>($AT709-$AT710)*100</f>
        <v/>
      </c>
      <c r="DL709" s="59">
        <f>($AU709-$AU710)*100</f>
        <v/>
      </c>
      <c r="DM709" s="59">
        <f>($AV709-$AV710)*100</f>
        <v/>
      </c>
      <c r="DN709" s="59">
        <f>($AW709-$AW710)*100</f>
        <v/>
      </c>
      <c r="DO709" s="59">
        <f>($AX709-$AX710)*100</f>
        <v/>
      </c>
      <c r="DP709" s="59">
        <f>($AY709-$AY710)*100</f>
        <v/>
      </c>
      <c r="DQ709" s="59">
        <f>($AZ709-$AZ710)*100</f>
        <v/>
      </c>
      <c r="DR709" s="59">
        <f>($BA709-$BA710)*100</f>
        <v/>
      </c>
      <c r="DS709" s="58">
        <f>IFERROR($N710/$N709-1,"")</f>
        <v/>
      </c>
      <c r="DT709" s="58">
        <f>IFERROR($O710/$O709-1,"")</f>
        <v/>
      </c>
      <c r="DU709" s="58">
        <f>IFERROR($P710/$P709-1,"")</f>
        <v/>
      </c>
      <c r="DV709" s="58">
        <f>IFERROR($Q710/$Q709-1,"")</f>
        <v/>
      </c>
      <c r="DW709" s="58">
        <f>IFERROR($R710/$R709-1,"")</f>
        <v/>
      </c>
      <c r="DX709" s="58">
        <f>IFERROR($S710/$S709-1,"")</f>
        <v/>
      </c>
      <c r="DY709" s="58">
        <f>IFERROR($T710/$T709-1,"")</f>
        <v/>
      </c>
      <c r="DZ709" s="58">
        <f>IFERROR($U710/$U709-1,"")</f>
        <v/>
      </c>
      <c r="EA709" s="58">
        <f>IFERROR($V710/$V709-1,"")</f>
        <v/>
      </c>
      <c r="EB709" s="58">
        <f>IFERROR($W710/$W709-1,"")</f>
        <v/>
      </c>
      <c r="EC709" s="58">
        <f>IFERROR($X710/$X709-1,"")</f>
        <v/>
      </c>
      <c r="ED709" s="58">
        <f>IFERROR($Y710/$Y709-1,"")</f>
        <v/>
      </c>
      <c r="EE709" s="58">
        <f>IFERROR($Z710/$Z709-1,"")</f>
        <v/>
      </c>
      <c r="EF709" s="58">
        <f>IFERROR($AA710/$AA709-1,"")</f>
        <v/>
      </c>
      <c r="EG709" s="58">
        <f>IFERROR($AB710/$AB709-1,"")</f>
        <v/>
      </c>
      <c r="EH709" s="58">
        <f>IFERROR($AC710/$AC709-1,"")</f>
        <v/>
      </c>
      <c r="EI709" s="58">
        <f>IFERROR($AD710/$AD709-1,"")</f>
        <v/>
      </c>
      <c r="EJ709" s="58">
        <f>IFERROR($AE710/$AE709-1,"")</f>
        <v/>
      </c>
      <c r="EK709" s="58">
        <f>IFERROR($AF710/$AF709-1,"")</f>
        <v/>
      </c>
      <c r="EL709" s="58">
        <f>IFERROR($AG710/$AG709-1,"")</f>
        <v/>
      </c>
      <c r="EM709" s="58">
        <f>IFERROR($BB709/$BB710-1,"")</f>
        <v/>
      </c>
      <c r="EN709" s="58">
        <f>IFERROR($BC709/$BC710-1,"")</f>
        <v/>
      </c>
      <c r="EO709" s="58">
        <f>IFERROR($BD709/$BD710-1,"")</f>
        <v/>
      </c>
      <c r="EP709" s="58">
        <f>IFERROR($BE709/$BE710-1,"")</f>
        <v/>
      </c>
      <c r="EQ709" s="58">
        <f>IFERROR($BF709/$BF710-1,"")</f>
        <v/>
      </c>
      <c r="ER709" s="58">
        <f>IFERROR($BG709/$BG710-1,"")</f>
        <v/>
      </c>
      <c r="ES709" s="58">
        <f>IFERROR($BH709/$BH710-1,"")</f>
        <v/>
      </c>
      <c r="ET709" s="58">
        <f>IFERROR($BI709/$BI710-1,"")</f>
        <v/>
      </c>
      <c r="EU709" s="58">
        <f>IFERROR($BJ709/$BJ710-1,"")</f>
        <v/>
      </c>
      <c r="EV709" s="58">
        <f>IFERROR($BK709/$BK710-1,"")</f>
        <v/>
      </c>
      <c r="EW709" s="58">
        <f>IFERROR($BL709/$BL710-1,"")</f>
        <v/>
      </c>
      <c r="EX709" s="58">
        <f>IFERROR($BM709/$BM710-1,"")</f>
        <v/>
      </c>
      <c r="EY709" s="58">
        <f>IFERROR($BN709/$BN710-1,"")</f>
        <v/>
      </c>
      <c r="EZ709" s="58">
        <f>IFERROR($BO709/$BO710-1,"")</f>
        <v/>
      </c>
      <c r="FA709" s="58">
        <f>IFERROR($BP709/$BP710-1,"")</f>
        <v/>
      </c>
      <c r="FB709" s="58">
        <f>IFERROR($BQ709/$BQ710-1,"")</f>
        <v/>
      </c>
      <c r="FC709" s="58">
        <f>IFERROR($BR709/$BR710-1,"")</f>
        <v/>
      </c>
      <c r="FD709" s="58">
        <f>IFERROR($BS709/$BS710-1,"")</f>
        <v/>
      </c>
      <c r="FE709" s="58">
        <f>IFERROR($BT709/$BT710-1,"")</f>
        <v/>
      </c>
      <c r="FF709" s="58">
        <f>IFERROR($BU709/$BU710-1,"")</f>
        <v/>
      </c>
      <c r="FG709" s="58">
        <f>IFERROR($BV709/$BV710-1,"")</f>
        <v/>
      </c>
      <c r="FH709" s="58">
        <f>IFERROR($BW709/$BW710-1,"")</f>
        <v/>
      </c>
      <c r="FI709" s="58">
        <f>IFERROR($BX709/$BX710-1,"")</f>
        <v/>
      </c>
      <c r="FJ709" s="59">
        <f>$BY709-$BY710</f>
        <v/>
      </c>
      <c r="FK709" s="59">
        <f>$BZ709-$BZ710</f>
        <v/>
      </c>
      <c r="FL709" s="59">
        <f>$CA709-$CA710</f>
        <v/>
      </c>
      <c r="FM709" s="59">
        <f>$CB709-$CB710</f>
        <v/>
      </c>
      <c r="FN709" s="59">
        <f>$CC709-$CC710</f>
        <v/>
      </c>
      <c r="FO709" s="59">
        <f>$CD709-$CD710</f>
        <v/>
      </c>
      <c r="FP709" s="59">
        <f>$CE709-$CE710</f>
        <v/>
      </c>
      <c r="FQ709" s="59">
        <f>$CF709-$CF710</f>
        <v/>
      </c>
      <c r="FR709" s="59">
        <f>$CG709-$CG710</f>
        <v/>
      </c>
      <c r="FS709" s="59">
        <f>$CH709-$CH710</f>
        <v/>
      </c>
      <c r="FT709" s="59">
        <f>$CI709-$CI710</f>
        <v/>
      </c>
      <c r="FU709" s="59">
        <f>$CJ709-$CJ710</f>
        <v/>
      </c>
      <c r="FV709" s="59">
        <f>$CK709-$CK710</f>
        <v/>
      </c>
      <c r="FW709" s="59">
        <f>$CL709-$CL710</f>
        <v/>
      </c>
      <c r="FX709" s="59">
        <f>$CM709-$CM710</f>
        <v/>
      </c>
      <c r="FY709" s="59">
        <f>$CN709-$CN710</f>
        <v/>
      </c>
      <c r="FZ709" s="59">
        <f>$CO709-$CO710</f>
        <v/>
      </c>
      <c r="GA709" s="59">
        <f>$CP709-$CP710</f>
        <v/>
      </c>
      <c r="GB709" s="59">
        <f>$CQ709-$CQ710</f>
        <v/>
      </c>
      <c r="GC709" s="59">
        <f>$CR709-$CR710</f>
        <v/>
      </c>
      <c r="GD709" s="59">
        <f>$CS709-$CS710</f>
        <v/>
      </c>
      <c r="GE709" s="59">
        <f>$CT709-$CT710</f>
        <v/>
      </c>
    </row>
    <row r="710">
      <c r="CU710" s="58">
        <f>IFERROR($B710/$B711-1,"")</f>
        <v/>
      </c>
      <c r="CV710" s="59">
        <f>($F710-$F711)*100</f>
        <v/>
      </c>
      <c r="CW710" s="59">
        <f>($E710-$E711)*100</f>
        <v/>
      </c>
      <c r="CX710" s="58">
        <f>IFERROR($K710/$K711-1,"")</f>
        <v/>
      </c>
      <c r="CY710" s="59">
        <f>($AH710-$AH711)*100</f>
        <v/>
      </c>
      <c r="CZ710" s="59">
        <f>($AI710-$AI711)*100</f>
        <v/>
      </c>
      <c r="DA710" s="59">
        <f>($AJ710-$AJ711)*100</f>
        <v/>
      </c>
      <c r="DB710" s="59">
        <f>($AK710-$AK711)*100</f>
        <v/>
      </c>
      <c r="DC710" s="59">
        <f>($AL710-$AL711)*100</f>
        <v/>
      </c>
      <c r="DD710" s="59">
        <f>($AM710-$AM711)*100</f>
        <v/>
      </c>
      <c r="DE710" s="59">
        <f>($AN710-$AN711)*100</f>
        <v/>
      </c>
      <c r="DF710" s="59">
        <f>($AO710-$AO711)*100</f>
        <v/>
      </c>
      <c r="DG710" s="59">
        <f>($AP710-$AP711)*100</f>
        <v/>
      </c>
      <c r="DH710" s="59">
        <f>($AQ710-$AQ711)*100</f>
        <v/>
      </c>
      <c r="DI710" s="59">
        <f>($AR710-$AR711)*100</f>
        <v/>
      </c>
      <c r="DJ710" s="59">
        <f>($AS710-$AS711)*100</f>
        <v/>
      </c>
      <c r="DK710" s="59">
        <f>($AT710-$AT711)*100</f>
        <v/>
      </c>
      <c r="DL710" s="59">
        <f>($AU710-$AU711)*100</f>
        <v/>
      </c>
      <c r="DM710" s="59">
        <f>($AV710-$AV711)*100</f>
        <v/>
      </c>
      <c r="DN710" s="59">
        <f>($AW710-$AW711)*100</f>
        <v/>
      </c>
      <c r="DO710" s="59">
        <f>($AX710-$AX711)*100</f>
        <v/>
      </c>
      <c r="DP710" s="59">
        <f>($AY710-$AY711)*100</f>
        <v/>
      </c>
      <c r="DQ710" s="59">
        <f>($AZ710-$AZ711)*100</f>
        <v/>
      </c>
      <c r="DR710" s="59">
        <f>($BA710-$BA711)*100</f>
        <v/>
      </c>
      <c r="DS710" s="58">
        <f>IFERROR($N711/$N710-1,"")</f>
        <v/>
      </c>
      <c r="DT710" s="58">
        <f>IFERROR($O711/$O710-1,"")</f>
        <v/>
      </c>
      <c r="DU710" s="58">
        <f>IFERROR($P711/$P710-1,"")</f>
        <v/>
      </c>
      <c r="DV710" s="58">
        <f>IFERROR($Q711/$Q710-1,"")</f>
        <v/>
      </c>
      <c r="DW710" s="58">
        <f>IFERROR($R711/$R710-1,"")</f>
        <v/>
      </c>
      <c r="DX710" s="58">
        <f>IFERROR($S711/$S710-1,"")</f>
        <v/>
      </c>
      <c r="DY710" s="58">
        <f>IFERROR($T711/$T710-1,"")</f>
        <v/>
      </c>
      <c r="DZ710" s="58">
        <f>IFERROR($U711/$U710-1,"")</f>
        <v/>
      </c>
      <c r="EA710" s="58">
        <f>IFERROR($V711/$V710-1,"")</f>
        <v/>
      </c>
      <c r="EB710" s="58">
        <f>IFERROR($W711/$W710-1,"")</f>
        <v/>
      </c>
      <c r="EC710" s="58">
        <f>IFERROR($X711/$X710-1,"")</f>
        <v/>
      </c>
      <c r="ED710" s="58">
        <f>IFERROR($Y711/$Y710-1,"")</f>
        <v/>
      </c>
      <c r="EE710" s="58">
        <f>IFERROR($Z711/$Z710-1,"")</f>
        <v/>
      </c>
      <c r="EF710" s="58">
        <f>IFERROR($AA711/$AA710-1,"")</f>
        <v/>
      </c>
      <c r="EG710" s="58">
        <f>IFERROR($AB711/$AB710-1,"")</f>
        <v/>
      </c>
      <c r="EH710" s="58">
        <f>IFERROR($AC711/$AC710-1,"")</f>
        <v/>
      </c>
      <c r="EI710" s="58">
        <f>IFERROR($AD711/$AD710-1,"")</f>
        <v/>
      </c>
      <c r="EJ710" s="58">
        <f>IFERROR($AE711/$AE710-1,"")</f>
        <v/>
      </c>
      <c r="EK710" s="58">
        <f>IFERROR($AF711/$AF710-1,"")</f>
        <v/>
      </c>
      <c r="EL710" s="58">
        <f>IFERROR($AG711/$AG710-1,"")</f>
        <v/>
      </c>
      <c r="EM710" s="58">
        <f>IFERROR($BB710/$BB711-1,"")</f>
        <v/>
      </c>
      <c r="EN710" s="58">
        <f>IFERROR($BC710/$BC711-1,"")</f>
        <v/>
      </c>
      <c r="EO710" s="58">
        <f>IFERROR($BD710/$BD711-1,"")</f>
        <v/>
      </c>
      <c r="EP710" s="58">
        <f>IFERROR($BE710/$BE711-1,"")</f>
        <v/>
      </c>
      <c r="EQ710" s="58">
        <f>IFERROR($BF710/$BF711-1,"")</f>
        <v/>
      </c>
      <c r="ER710" s="58">
        <f>IFERROR($BG710/$BG711-1,"")</f>
        <v/>
      </c>
      <c r="ES710" s="58">
        <f>IFERROR($BH710/$BH711-1,"")</f>
        <v/>
      </c>
      <c r="ET710" s="58">
        <f>IFERROR($BI710/$BI711-1,"")</f>
        <v/>
      </c>
      <c r="EU710" s="58">
        <f>IFERROR($BJ710/$BJ711-1,"")</f>
        <v/>
      </c>
      <c r="EV710" s="58">
        <f>IFERROR($BK710/$BK711-1,"")</f>
        <v/>
      </c>
      <c r="EW710" s="58">
        <f>IFERROR($BL710/$BL711-1,"")</f>
        <v/>
      </c>
      <c r="EX710" s="58">
        <f>IFERROR($BM710/$BM711-1,"")</f>
        <v/>
      </c>
      <c r="EY710" s="58">
        <f>IFERROR($BN710/$BN711-1,"")</f>
        <v/>
      </c>
      <c r="EZ710" s="58">
        <f>IFERROR($BO710/$BO711-1,"")</f>
        <v/>
      </c>
      <c r="FA710" s="58">
        <f>IFERROR($BP710/$BP711-1,"")</f>
        <v/>
      </c>
      <c r="FB710" s="58">
        <f>IFERROR($BQ710/$BQ711-1,"")</f>
        <v/>
      </c>
      <c r="FC710" s="58">
        <f>IFERROR($BR710/$BR711-1,"")</f>
        <v/>
      </c>
      <c r="FD710" s="58">
        <f>IFERROR($BS710/$BS711-1,"")</f>
        <v/>
      </c>
      <c r="FE710" s="58">
        <f>IFERROR($BT710/$BT711-1,"")</f>
        <v/>
      </c>
      <c r="FF710" s="58">
        <f>IFERROR($BU710/$BU711-1,"")</f>
        <v/>
      </c>
      <c r="FG710" s="58">
        <f>IFERROR($BV710/$BV711-1,"")</f>
        <v/>
      </c>
      <c r="FH710" s="58">
        <f>IFERROR($BW710/$BW711-1,"")</f>
        <v/>
      </c>
      <c r="FI710" s="58">
        <f>IFERROR($BX710/$BX711-1,"")</f>
        <v/>
      </c>
      <c r="FJ710" s="59">
        <f>$BY710-$BY711</f>
        <v/>
      </c>
      <c r="FK710" s="59">
        <f>$BZ710-$BZ711</f>
        <v/>
      </c>
      <c r="FL710" s="59">
        <f>$CA710-$CA711</f>
        <v/>
      </c>
      <c r="FM710" s="59">
        <f>$CB710-$CB711</f>
        <v/>
      </c>
      <c r="FN710" s="59">
        <f>$CC710-$CC711</f>
        <v/>
      </c>
      <c r="FO710" s="59">
        <f>$CD710-$CD711</f>
        <v/>
      </c>
      <c r="FP710" s="59">
        <f>$CE710-$CE711</f>
        <v/>
      </c>
      <c r="FQ710" s="59">
        <f>$CF710-$CF711</f>
        <v/>
      </c>
      <c r="FR710" s="59">
        <f>$CG710-$CG711</f>
        <v/>
      </c>
      <c r="FS710" s="59">
        <f>$CH710-$CH711</f>
        <v/>
      </c>
      <c r="FT710" s="59">
        <f>$CI710-$CI711</f>
        <v/>
      </c>
      <c r="FU710" s="59">
        <f>$CJ710-$CJ711</f>
        <v/>
      </c>
      <c r="FV710" s="59">
        <f>$CK710-$CK711</f>
        <v/>
      </c>
      <c r="FW710" s="59">
        <f>$CL710-$CL711</f>
        <v/>
      </c>
      <c r="FX710" s="59">
        <f>$CM710-$CM711</f>
        <v/>
      </c>
      <c r="FY710" s="59">
        <f>$CN710-$CN711</f>
        <v/>
      </c>
      <c r="FZ710" s="59">
        <f>$CO710-$CO711</f>
        <v/>
      </c>
      <c r="GA710" s="59">
        <f>$CP710-$CP711</f>
        <v/>
      </c>
      <c r="GB710" s="59">
        <f>$CQ710-$CQ711</f>
        <v/>
      </c>
      <c r="GC710" s="59">
        <f>$CR710-$CR711</f>
        <v/>
      </c>
      <c r="GD710" s="59">
        <f>$CS710-$CS711</f>
        <v/>
      </c>
      <c r="GE710" s="59">
        <f>$CT710-$CT711</f>
        <v/>
      </c>
    </row>
    <row r="711">
      <c r="CU711" s="58">
        <f>IFERROR($B711/$B712-1,"")</f>
        <v/>
      </c>
      <c r="CV711" s="59">
        <f>($F711-$F712)*100</f>
        <v/>
      </c>
      <c r="CW711" s="59">
        <f>($E711-$E712)*100</f>
        <v/>
      </c>
      <c r="CX711" s="58">
        <f>IFERROR($K711/$K712-1,"")</f>
        <v/>
      </c>
      <c r="CY711" s="59">
        <f>($AH711-$AH712)*100</f>
        <v/>
      </c>
      <c r="CZ711" s="59">
        <f>($AI711-$AI712)*100</f>
        <v/>
      </c>
      <c r="DA711" s="59">
        <f>($AJ711-$AJ712)*100</f>
        <v/>
      </c>
      <c r="DB711" s="59">
        <f>($AK711-$AK712)*100</f>
        <v/>
      </c>
      <c r="DC711" s="59">
        <f>($AL711-$AL712)*100</f>
        <v/>
      </c>
      <c r="DD711" s="59">
        <f>($AM711-$AM712)*100</f>
        <v/>
      </c>
      <c r="DE711" s="59">
        <f>($AN711-$AN712)*100</f>
        <v/>
      </c>
      <c r="DF711" s="59">
        <f>($AO711-$AO712)*100</f>
        <v/>
      </c>
      <c r="DG711" s="59">
        <f>($AP711-$AP712)*100</f>
        <v/>
      </c>
      <c r="DH711" s="59">
        <f>($AQ711-$AQ712)*100</f>
        <v/>
      </c>
      <c r="DI711" s="59">
        <f>($AR711-$AR712)*100</f>
        <v/>
      </c>
      <c r="DJ711" s="59">
        <f>($AS711-$AS712)*100</f>
        <v/>
      </c>
      <c r="DK711" s="59">
        <f>($AT711-$AT712)*100</f>
        <v/>
      </c>
      <c r="DL711" s="59">
        <f>($AU711-$AU712)*100</f>
        <v/>
      </c>
      <c r="DM711" s="59">
        <f>($AV711-$AV712)*100</f>
        <v/>
      </c>
      <c r="DN711" s="59">
        <f>($AW711-$AW712)*100</f>
        <v/>
      </c>
      <c r="DO711" s="59">
        <f>($AX711-$AX712)*100</f>
        <v/>
      </c>
      <c r="DP711" s="59">
        <f>($AY711-$AY712)*100</f>
        <v/>
      </c>
      <c r="DQ711" s="59">
        <f>($AZ711-$AZ712)*100</f>
        <v/>
      </c>
      <c r="DR711" s="59">
        <f>($BA711-$BA712)*100</f>
        <v/>
      </c>
      <c r="DS711" s="58">
        <f>IFERROR($N712/$N711-1,"")</f>
        <v/>
      </c>
      <c r="DT711" s="58">
        <f>IFERROR($O712/$O711-1,"")</f>
        <v/>
      </c>
      <c r="DU711" s="58">
        <f>IFERROR($P712/$P711-1,"")</f>
        <v/>
      </c>
      <c r="DV711" s="58">
        <f>IFERROR($Q712/$Q711-1,"")</f>
        <v/>
      </c>
      <c r="DW711" s="58">
        <f>IFERROR($R712/$R711-1,"")</f>
        <v/>
      </c>
      <c r="DX711" s="58">
        <f>IFERROR($S712/$S711-1,"")</f>
        <v/>
      </c>
      <c r="DY711" s="58">
        <f>IFERROR($T712/$T711-1,"")</f>
        <v/>
      </c>
      <c r="DZ711" s="58">
        <f>IFERROR($U712/$U711-1,"")</f>
        <v/>
      </c>
      <c r="EA711" s="58">
        <f>IFERROR($V712/$V711-1,"")</f>
        <v/>
      </c>
      <c r="EB711" s="58">
        <f>IFERROR($W712/$W711-1,"")</f>
        <v/>
      </c>
      <c r="EC711" s="58">
        <f>IFERROR($X712/$X711-1,"")</f>
        <v/>
      </c>
      <c r="ED711" s="58">
        <f>IFERROR($Y712/$Y711-1,"")</f>
        <v/>
      </c>
      <c r="EE711" s="58">
        <f>IFERROR($Z712/$Z711-1,"")</f>
        <v/>
      </c>
      <c r="EF711" s="58">
        <f>IFERROR($AA712/$AA711-1,"")</f>
        <v/>
      </c>
      <c r="EG711" s="58">
        <f>IFERROR($AB712/$AB711-1,"")</f>
        <v/>
      </c>
      <c r="EH711" s="58">
        <f>IFERROR($AC712/$AC711-1,"")</f>
        <v/>
      </c>
      <c r="EI711" s="58">
        <f>IFERROR($AD712/$AD711-1,"")</f>
        <v/>
      </c>
      <c r="EJ711" s="58">
        <f>IFERROR($AE712/$AE711-1,"")</f>
        <v/>
      </c>
      <c r="EK711" s="58">
        <f>IFERROR($AF712/$AF711-1,"")</f>
        <v/>
      </c>
      <c r="EL711" s="58">
        <f>IFERROR($AG712/$AG711-1,"")</f>
        <v/>
      </c>
      <c r="EM711" s="58">
        <f>IFERROR($BB711/$BB712-1,"")</f>
        <v/>
      </c>
      <c r="EN711" s="58">
        <f>IFERROR($BC711/$BC712-1,"")</f>
        <v/>
      </c>
      <c r="EO711" s="58">
        <f>IFERROR($BD711/$BD712-1,"")</f>
        <v/>
      </c>
      <c r="EP711" s="58">
        <f>IFERROR($BE711/$BE712-1,"")</f>
        <v/>
      </c>
      <c r="EQ711" s="58">
        <f>IFERROR($BF711/$BF712-1,"")</f>
        <v/>
      </c>
      <c r="ER711" s="58">
        <f>IFERROR($BG711/$BG712-1,"")</f>
        <v/>
      </c>
      <c r="ES711" s="58">
        <f>IFERROR($BH711/$BH712-1,"")</f>
        <v/>
      </c>
      <c r="ET711" s="58">
        <f>IFERROR($BI711/$BI712-1,"")</f>
        <v/>
      </c>
      <c r="EU711" s="58">
        <f>IFERROR($BJ711/$BJ712-1,"")</f>
        <v/>
      </c>
      <c r="EV711" s="58">
        <f>IFERROR($BK711/$BK712-1,"")</f>
        <v/>
      </c>
      <c r="EW711" s="58">
        <f>IFERROR($BL711/$BL712-1,"")</f>
        <v/>
      </c>
      <c r="EX711" s="58">
        <f>IFERROR($BM711/$BM712-1,"")</f>
        <v/>
      </c>
      <c r="EY711" s="58">
        <f>IFERROR($BN711/$BN712-1,"")</f>
        <v/>
      </c>
      <c r="EZ711" s="58">
        <f>IFERROR($BO711/$BO712-1,"")</f>
        <v/>
      </c>
      <c r="FA711" s="58">
        <f>IFERROR($BP711/$BP712-1,"")</f>
        <v/>
      </c>
      <c r="FB711" s="58">
        <f>IFERROR($BQ711/$BQ712-1,"")</f>
        <v/>
      </c>
      <c r="FC711" s="58">
        <f>IFERROR($BR711/$BR712-1,"")</f>
        <v/>
      </c>
      <c r="FD711" s="58">
        <f>IFERROR($BS711/$BS712-1,"")</f>
        <v/>
      </c>
      <c r="FE711" s="58">
        <f>IFERROR($BT711/$BT712-1,"")</f>
        <v/>
      </c>
      <c r="FF711" s="58">
        <f>IFERROR($BU711/$BU712-1,"")</f>
        <v/>
      </c>
      <c r="FG711" s="58">
        <f>IFERROR($BV711/$BV712-1,"")</f>
        <v/>
      </c>
      <c r="FH711" s="58">
        <f>IFERROR($BW711/$BW712-1,"")</f>
        <v/>
      </c>
      <c r="FI711" s="58">
        <f>IFERROR($BX711/$BX712-1,"")</f>
        <v/>
      </c>
      <c r="FJ711" s="59">
        <f>$BY711-$BY712</f>
        <v/>
      </c>
      <c r="FK711" s="59">
        <f>$BZ711-$BZ712</f>
        <v/>
      </c>
      <c r="FL711" s="59">
        <f>$CA711-$CA712</f>
        <v/>
      </c>
      <c r="FM711" s="59">
        <f>$CB711-$CB712</f>
        <v/>
      </c>
      <c r="FN711" s="59">
        <f>$CC711-$CC712</f>
        <v/>
      </c>
      <c r="FO711" s="59">
        <f>$CD711-$CD712</f>
        <v/>
      </c>
      <c r="FP711" s="59">
        <f>$CE711-$CE712</f>
        <v/>
      </c>
      <c r="FQ711" s="59">
        <f>$CF711-$CF712</f>
        <v/>
      </c>
      <c r="FR711" s="59">
        <f>$CG711-$CG712</f>
        <v/>
      </c>
      <c r="FS711" s="59">
        <f>$CH711-$CH712</f>
        <v/>
      </c>
      <c r="FT711" s="59">
        <f>$CI711-$CI712</f>
        <v/>
      </c>
      <c r="FU711" s="59">
        <f>$CJ711-$CJ712</f>
        <v/>
      </c>
      <c r="FV711" s="59">
        <f>$CK711-$CK712</f>
        <v/>
      </c>
      <c r="FW711" s="59">
        <f>$CL711-$CL712</f>
        <v/>
      </c>
      <c r="FX711" s="59">
        <f>$CM711-$CM712</f>
        <v/>
      </c>
      <c r="FY711" s="59">
        <f>$CN711-$CN712</f>
        <v/>
      </c>
      <c r="FZ711" s="59">
        <f>$CO711-$CO712</f>
        <v/>
      </c>
      <c r="GA711" s="59">
        <f>$CP711-$CP712</f>
        <v/>
      </c>
      <c r="GB711" s="59">
        <f>$CQ711-$CQ712</f>
        <v/>
      </c>
      <c r="GC711" s="59">
        <f>$CR711-$CR712</f>
        <v/>
      </c>
      <c r="GD711" s="59">
        <f>$CS711-$CS712</f>
        <v/>
      </c>
      <c r="GE711" s="59">
        <f>$CT711-$CT712</f>
        <v/>
      </c>
    </row>
    <row r="712">
      <c r="CU712" s="58">
        <f>IFERROR($B712/$B713-1,"")</f>
        <v/>
      </c>
      <c r="CV712" s="59">
        <f>($F712-$F713)*100</f>
        <v/>
      </c>
      <c r="CW712" s="59">
        <f>($E712-$E713)*100</f>
        <v/>
      </c>
      <c r="CX712" s="58">
        <f>IFERROR($K712/$K713-1,"")</f>
        <v/>
      </c>
      <c r="CY712" s="59">
        <f>($AH712-$AH713)*100</f>
        <v/>
      </c>
      <c r="CZ712" s="59">
        <f>($AI712-$AI713)*100</f>
        <v/>
      </c>
      <c r="DA712" s="59">
        <f>($AJ712-$AJ713)*100</f>
        <v/>
      </c>
      <c r="DB712" s="59">
        <f>($AK712-$AK713)*100</f>
        <v/>
      </c>
      <c r="DC712" s="59">
        <f>($AL712-$AL713)*100</f>
        <v/>
      </c>
      <c r="DD712" s="59">
        <f>($AM712-$AM713)*100</f>
        <v/>
      </c>
      <c r="DE712" s="59">
        <f>($AN712-$AN713)*100</f>
        <v/>
      </c>
      <c r="DF712" s="59">
        <f>($AO712-$AO713)*100</f>
        <v/>
      </c>
      <c r="DG712" s="59">
        <f>($AP712-$AP713)*100</f>
        <v/>
      </c>
      <c r="DH712" s="59">
        <f>($AQ712-$AQ713)*100</f>
        <v/>
      </c>
      <c r="DI712" s="59">
        <f>($AR712-$AR713)*100</f>
        <v/>
      </c>
      <c r="DJ712" s="59">
        <f>($AS712-$AS713)*100</f>
        <v/>
      </c>
      <c r="DK712" s="59">
        <f>($AT712-$AT713)*100</f>
        <v/>
      </c>
      <c r="DL712" s="59">
        <f>($AU712-$AU713)*100</f>
        <v/>
      </c>
      <c r="DM712" s="59">
        <f>($AV712-$AV713)*100</f>
        <v/>
      </c>
      <c r="DN712" s="59">
        <f>($AW712-$AW713)*100</f>
        <v/>
      </c>
      <c r="DO712" s="59">
        <f>($AX712-$AX713)*100</f>
        <v/>
      </c>
      <c r="DP712" s="59">
        <f>($AY712-$AY713)*100</f>
        <v/>
      </c>
      <c r="DQ712" s="59">
        <f>($AZ712-$AZ713)*100</f>
        <v/>
      </c>
      <c r="DR712" s="59">
        <f>($BA712-$BA713)*100</f>
        <v/>
      </c>
      <c r="DS712" s="58">
        <f>IFERROR($N713/$N712-1,"")</f>
        <v/>
      </c>
      <c r="DT712" s="58">
        <f>IFERROR($O713/$O712-1,"")</f>
        <v/>
      </c>
      <c r="DU712" s="58">
        <f>IFERROR($P713/$P712-1,"")</f>
        <v/>
      </c>
      <c r="DV712" s="58">
        <f>IFERROR($Q713/$Q712-1,"")</f>
        <v/>
      </c>
      <c r="DW712" s="58">
        <f>IFERROR($R713/$R712-1,"")</f>
        <v/>
      </c>
      <c r="DX712" s="58">
        <f>IFERROR($S713/$S712-1,"")</f>
        <v/>
      </c>
      <c r="DY712" s="58">
        <f>IFERROR($T713/$T712-1,"")</f>
        <v/>
      </c>
      <c r="DZ712" s="58">
        <f>IFERROR($U713/$U712-1,"")</f>
        <v/>
      </c>
      <c r="EA712" s="58">
        <f>IFERROR($V713/$V712-1,"")</f>
        <v/>
      </c>
      <c r="EB712" s="58">
        <f>IFERROR($W713/$W712-1,"")</f>
        <v/>
      </c>
      <c r="EC712" s="58">
        <f>IFERROR($X713/$X712-1,"")</f>
        <v/>
      </c>
      <c r="ED712" s="58">
        <f>IFERROR($Y713/$Y712-1,"")</f>
        <v/>
      </c>
      <c r="EE712" s="58">
        <f>IFERROR($Z713/$Z712-1,"")</f>
        <v/>
      </c>
      <c r="EF712" s="58">
        <f>IFERROR($AA713/$AA712-1,"")</f>
        <v/>
      </c>
      <c r="EG712" s="58">
        <f>IFERROR($AB713/$AB712-1,"")</f>
        <v/>
      </c>
      <c r="EH712" s="58">
        <f>IFERROR($AC713/$AC712-1,"")</f>
        <v/>
      </c>
      <c r="EI712" s="58">
        <f>IFERROR($AD713/$AD712-1,"")</f>
        <v/>
      </c>
      <c r="EJ712" s="58">
        <f>IFERROR($AE713/$AE712-1,"")</f>
        <v/>
      </c>
      <c r="EK712" s="58">
        <f>IFERROR($AF713/$AF712-1,"")</f>
        <v/>
      </c>
      <c r="EL712" s="58">
        <f>IFERROR($AG713/$AG712-1,"")</f>
        <v/>
      </c>
      <c r="EM712" s="58">
        <f>IFERROR($BB712/$BB713-1,"")</f>
        <v/>
      </c>
      <c r="EN712" s="58">
        <f>IFERROR($BC712/$BC713-1,"")</f>
        <v/>
      </c>
      <c r="EO712" s="58">
        <f>IFERROR($BD712/$BD713-1,"")</f>
        <v/>
      </c>
      <c r="EP712" s="58">
        <f>IFERROR($BE712/$BE713-1,"")</f>
        <v/>
      </c>
      <c r="EQ712" s="58">
        <f>IFERROR($BF712/$BF713-1,"")</f>
        <v/>
      </c>
      <c r="ER712" s="58">
        <f>IFERROR($BG712/$BG713-1,"")</f>
        <v/>
      </c>
      <c r="ES712" s="58">
        <f>IFERROR($BH712/$BH713-1,"")</f>
        <v/>
      </c>
      <c r="ET712" s="58">
        <f>IFERROR($BI712/$BI713-1,"")</f>
        <v/>
      </c>
      <c r="EU712" s="58">
        <f>IFERROR($BJ712/$BJ713-1,"")</f>
        <v/>
      </c>
      <c r="EV712" s="58">
        <f>IFERROR($BK712/$BK713-1,"")</f>
        <v/>
      </c>
      <c r="EW712" s="58">
        <f>IFERROR($BL712/$BL713-1,"")</f>
        <v/>
      </c>
      <c r="EX712" s="58">
        <f>IFERROR($BM712/$BM713-1,"")</f>
        <v/>
      </c>
      <c r="EY712" s="58">
        <f>IFERROR($BN712/$BN713-1,"")</f>
        <v/>
      </c>
      <c r="EZ712" s="58">
        <f>IFERROR($BO712/$BO713-1,"")</f>
        <v/>
      </c>
      <c r="FA712" s="58">
        <f>IFERROR($BP712/$BP713-1,"")</f>
        <v/>
      </c>
      <c r="FB712" s="58">
        <f>IFERROR($BQ712/$BQ713-1,"")</f>
        <v/>
      </c>
      <c r="FC712" s="58">
        <f>IFERROR($BR712/$BR713-1,"")</f>
        <v/>
      </c>
      <c r="FD712" s="58">
        <f>IFERROR($BS712/$BS713-1,"")</f>
        <v/>
      </c>
      <c r="FE712" s="58">
        <f>IFERROR($BT712/$BT713-1,"")</f>
        <v/>
      </c>
      <c r="FF712" s="58">
        <f>IFERROR($BU712/$BU713-1,"")</f>
        <v/>
      </c>
      <c r="FG712" s="58">
        <f>IFERROR($BV712/$BV713-1,"")</f>
        <v/>
      </c>
      <c r="FH712" s="58">
        <f>IFERROR($BW712/$BW713-1,"")</f>
        <v/>
      </c>
      <c r="FI712" s="58">
        <f>IFERROR($BX712/$BX713-1,"")</f>
        <v/>
      </c>
      <c r="FJ712" s="59">
        <f>$BY712-$BY713</f>
        <v/>
      </c>
      <c r="FK712" s="59">
        <f>$BZ712-$BZ713</f>
        <v/>
      </c>
      <c r="FL712" s="59">
        <f>$CA712-$CA713</f>
        <v/>
      </c>
      <c r="FM712" s="59">
        <f>$CB712-$CB713</f>
        <v/>
      </c>
      <c r="FN712" s="59">
        <f>$CC712-$CC713</f>
        <v/>
      </c>
      <c r="FO712" s="59">
        <f>$CD712-$CD713</f>
        <v/>
      </c>
      <c r="FP712" s="59">
        <f>$CE712-$CE713</f>
        <v/>
      </c>
      <c r="FQ712" s="59">
        <f>$CF712-$CF713</f>
        <v/>
      </c>
      <c r="FR712" s="59">
        <f>$CG712-$CG713</f>
        <v/>
      </c>
      <c r="FS712" s="59">
        <f>$CH712-$CH713</f>
        <v/>
      </c>
      <c r="FT712" s="59">
        <f>$CI712-$CI713</f>
        <v/>
      </c>
      <c r="FU712" s="59">
        <f>$CJ712-$CJ713</f>
        <v/>
      </c>
      <c r="FV712" s="59">
        <f>$CK712-$CK713</f>
        <v/>
      </c>
      <c r="FW712" s="59">
        <f>$CL712-$CL713</f>
        <v/>
      </c>
      <c r="FX712" s="59">
        <f>$CM712-$CM713</f>
        <v/>
      </c>
      <c r="FY712" s="59">
        <f>$CN712-$CN713</f>
        <v/>
      </c>
      <c r="FZ712" s="59">
        <f>$CO712-$CO713</f>
        <v/>
      </c>
      <c r="GA712" s="59">
        <f>$CP712-$CP713</f>
        <v/>
      </c>
      <c r="GB712" s="59">
        <f>$CQ712-$CQ713</f>
        <v/>
      </c>
      <c r="GC712" s="59">
        <f>$CR712-$CR713</f>
        <v/>
      </c>
      <c r="GD712" s="59">
        <f>$CS712-$CS713</f>
        <v/>
      </c>
      <c r="GE712" s="59">
        <f>$CT712-$CT713</f>
        <v/>
      </c>
    </row>
    <row r="713">
      <c r="CU713" s="58">
        <f>IFERROR($B713/$B714-1,"")</f>
        <v/>
      </c>
      <c r="CV713" s="59">
        <f>($F713-$F714)*100</f>
        <v/>
      </c>
      <c r="CW713" s="59">
        <f>($E713-$E714)*100</f>
        <v/>
      </c>
      <c r="CX713" s="58">
        <f>IFERROR($K713/$K714-1,"")</f>
        <v/>
      </c>
      <c r="CY713" s="59">
        <f>($AH713-$AH714)*100</f>
        <v/>
      </c>
      <c r="CZ713" s="59">
        <f>($AI713-$AI714)*100</f>
        <v/>
      </c>
      <c r="DA713" s="59">
        <f>($AJ713-$AJ714)*100</f>
        <v/>
      </c>
      <c r="DB713" s="59">
        <f>($AK713-$AK714)*100</f>
        <v/>
      </c>
      <c r="DC713" s="59">
        <f>($AL713-$AL714)*100</f>
        <v/>
      </c>
      <c r="DD713" s="59">
        <f>($AM713-$AM714)*100</f>
        <v/>
      </c>
      <c r="DE713" s="59">
        <f>($AN713-$AN714)*100</f>
        <v/>
      </c>
      <c r="DF713" s="59">
        <f>($AO713-$AO714)*100</f>
        <v/>
      </c>
      <c r="DG713" s="59">
        <f>($AP713-$AP714)*100</f>
        <v/>
      </c>
      <c r="DH713" s="59">
        <f>($AQ713-$AQ714)*100</f>
        <v/>
      </c>
      <c r="DI713" s="59">
        <f>($AR713-$AR714)*100</f>
        <v/>
      </c>
      <c r="DJ713" s="59">
        <f>($AS713-$AS714)*100</f>
        <v/>
      </c>
      <c r="DK713" s="59">
        <f>($AT713-$AT714)*100</f>
        <v/>
      </c>
      <c r="DL713" s="59">
        <f>($AU713-$AU714)*100</f>
        <v/>
      </c>
      <c r="DM713" s="59">
        <f>($AV713-$AV714)*100</f>
        <v/>
      </c>
      <c r="DN713" s="59">
        <f>($AW713-$AW714)*100</f>
        <v/>
      </c>
      <c r="DO713" s="59">
        <f>($AX713-$AX714)*100</f>
        <v/>
      </c>
      <c r="DP713" s="59">
        <f>($AY713-$AY714)*100</f>
        <v/>
      </c>
      <c r="DQ713" s="59">
        <f>($AZ713-$AZ714)*100</f>
        <v/>
      </c>
      <c r="DR713" s="59">
        <f>($BA713-$BA714)*100</f>
        <v/>
      </c>
      <c r="DS713" s="58">
        <f>IFERROR($N714/$N713-1,"")</f>
        <v/>
      </c>
      <c r="DT713" s="58">
        <f>IFERROR($O714/$O713-1,"")</f>
        <v/>
      </c>
      <c r="DU713" s="58">
        <f>IFERROR($P714/$P713-1,"")</f>
        <v/>
      </c>
      <c r="DV713" s="58">
        <f>IFERROR($Q714/$Q713-1,"")</f>
        <v/>
      </c>
      <c r="DW713" s="58">
        <f>IFERROR($R714/$R713-1,"")</f>
        <v/>
      </c>
      <c r="DX713" s="58">
        <f>IFERROR($S714/$S713-1,"")</f>
        <v/>
      </c>
      <c r="DY713" s="58">
        <f>IFERROR($T714/$T713-1,"")</f>
        <v/>
      </c>
      <c r="DZ713" s="58">
        <f>IFERROR($U714/$U713-1,"")</f>
        <v/>
      </c>
      <c r="EA713" s="58">
        <f>IFERROR($V714/$V713-1,"")</f>
        <v/>
      </c>
      <c r="EB713" s="58">
        <f>IFERROR($W714/$W713-1,"")</f>
        <v/>
      </c>
      <c r="EC713" s="58">
        <f>IFERROR($X714/$X713-1,"")</f>
        <v/>
      </c>
      <c r="ED713" s="58">
        <f>IFERROR($Y714/$Y713-1,"")</f>
        <v/>
      </c>
      <c r="EE713" s="58">
        <f>IFERROR($Z714/$Z713-1,"")</f>
        <v/>
      </c>
      <c r="EF713" s="58">
        <f>IFERROR($AA714/$AA713-1,"")</f>
        <v/>
      </c>
      <c r="EG713" s="58">
        <f>IFERROR($AB714/$AB713-1,"")</f>
        <v/>
      </c>
      <c r="EH713" s="58">
        <f>IFERROR($AC714/$AC713-1,"")</f>
        <v/>
      </c>
      <c r="EI713" s="58">
        <f>IFERROR($AD714/$AD713-1,"")</f>
        <v/>
      </c>
      <c r="EJ713" s="58">
        <f>IFERROR($AE714/$AE713-1,"")</f>
        <v/>
      </c>
      <c r="EK713" s="58">
        <f>IFERROR($AF714/$AF713-1,"")</f>
        <v/>
      </c>
      <c r="EL713" s="58">
        <f>IFERROR($AG714/$AG713-1,"")</f>
        <v/>
      </c>
      <c r="EM713" s="58">
        <f>IFERROR($BB713/$BB714-1,"")</f>
        <v/>
      </c>
      <c r="EN713" s="58">
        <f>IFERROR($BC713/$BC714-1,"")</f>
        <v/>
      </c>
      <c r="EO713" s="58">
        <f>IFERROR($BD713/$BD714-1,"")</f>
        <v/>
      </c>
      <c r="EP713" s="58">
        <f>IFERROR($BE713/$BE714-1,"")</f>
        <v/>
      </c>
      <c r="EQ713" s="58">
        <f>IFERROR($BF713/$BF714-1,"")</f>
        <v/>
      </c>
      <c r="ER713" s="58">
        <f>IFERROR($BG713/$BG714-1,"")</f>
        <v/>
      </c>
      <c r="ES713" s="58">
        <f>IFERROR($BH713/$BH714-1,"")</f>
        <v/>
      </c>
      <c r="ET713" s="58">
        <f>IFERROR($BI713/$BI714-1,"")</f>
        <v/>
      </c>
      <c r="EU713" s="58">
        <f>IFERROR($BJ713/$BJ714-1,"")</f>
        <v/>
      </c>
      <c r="EV713" s="58">
        <f>IFERROR($BK713/$BK714-1,"")</f>
        <v/>
      </c>
      <c r="EW713" s="58">
        <f>IFERROR($BL713/$BL714-1,"")</f>
        <v/>
      </c>
      <c r="EX713" s="58">
        <f>IFERROR($BM713/$BM714-1,"")</f>
        <v/>
      </c>
      <c r="EY713" s="58">
        <f>IFERROR($BN713/$BN714-1,"")</f>
        <v/>
      </c>
      <c r="EZ713" s="58">
        <f>IFERROR($BO713/$BO714-1,"")</f>
        <v/>
      </c>
      <c r="FA713" s="58">
        <f>IFERROR($BP713/$BP714-1,"")</f>
        <v/>
      </c>
      <c r="FB713" s="58">
        <f>IFERROR($BQ713/$BQ714-1,"")</f>
        <v/>
      </c>
      <c r="FC713" s="58">
        <f>IFERROR($BR713/$BR714-1,"")</f>
        <v/>
      </c>
      <c r="FD713" s="58">
        <f>IFERROR($BS713/$BS714-1,"")</f>
        <v/>
      </c>
      <c r="FE713" s="58">
        <f>IFERROR($BT713/$BT714-1,"")</f>
        <v/>
      </c>
      <c r="FF713" s="58">
        <f>IFERROR($BU713/$BU714-1,"")</f>
        <v/>
      </c>
      <c r="FG713" s="58">
        <f>IFERROR($BV713/$BV714-1,"")</f>
        <v/>
      </c>
      <c r="FH713" s="58">
        <f>IFERROR($BW713/$BW714-1,"")</f>
        <v/>
      </c>
      <c r="FI713" s="58">
        <f>IFERROR($BX713/$BX714-1,"")</f>
        <v/>
      </c>
      <c r="FJ713" s="59">
        <f>$BY713-$BY714</f>
        <v/>
      </c>
      <c r="FK713" s="59">
        <f>$BZ713-$BZ714</f>
        <v/>
      </c>
      <c r="FL713" s="59">
        <f>$CA713-$CA714</f>
        <v/>
      </c>
      <c r="FM713" s="59">
        <f>$CB713-$CB714</f>
        <v/>
      </c>
      <c r="FN713" s="59">
        <f>$CC713-$CC714</f>
        <v/>
      </c>
      <c r="FO713" s="59">
        <f>$CD713-$CD714</f>
        <v/>
      </c>
      <c r="FP713" s="59">
        <f>$CE713-$CE714</f>
        <v/>
      </c>
      <c r="FQ713" s="59">
        <f>$CF713-$CF714</f>
        <v/>
      </c>
      <c r="FR713" s="59">
        <f>$CG713-$CG714</f>
        <v/>
      </c>
      <c r="FS713" s="59">
        <f>$CH713-$CH714</f>
        <v/>
      </c>
      <c r="FT713" s="59">
        <f>$CI713-$CI714</f>
        <v/>
      </c>
      <c r="FU713" s="59">
        <f>$CJ713-$CJ714</f>
        <v/>
      </c>
      <c r="FV713" s="59">
        <f>$CK713-$CK714</f>
        <v/>
      </c>
      <c r="FW713" s="59">
        <f>$CL713-$CL714</f>
        <v/>
      </c>
      <c r="FX713" s="59">
        <f>$CM713-$CM714</f>
        <v/>
      </c>
      <c r="FY713" s="59">
        <f>$CN713-$CN714</f>
        <v/>
      </c>
      <c r="FZ713" s="59">
        <f>$CO713-$CO714</f>
        <v/>
      </c>
      <c r="GA713" s="59">
        <f>$CP713-$CP714</f>
        <v/>
      </c>
      <c r="GB713" s="59">
        <f>$CQ713-$CQ714</f>
        <v/>
      </c>
      <c r="GC713" s="59">
        <f>$CR713-$CR714</f>
        <v/>
      </c>
      <c r="GD713" s="59">
        <f>$CS713-$CS714</f>
        <v/>
      </c>
      <c r="GE713" s="59">
        <f>$CT713-$CT714</f>
        <v/>
      </c>
    </row>
    <row r="714">
      <c r="CU714" s="58">
        <f>IFERROR($B714/$B715-1,"")</f>
        <v/>
      </c>
      <c r="CV714" s="59">
        <f>($F714-$F715)*100</f>
        <v/>
      </c>
      <c r="CW714" s="59">
        <f>($E714-$E715)*100</f>
        <v/>
      </c>
      <c r="CX714" s="58">
        <f>IFERROR($K714/$K715-1,"")</f>
        <v/>
      </c>
      <c r="CY714" s="59">
        <f>($AH714-$AH715)*100</f>
        <v/>
      </c>
      <c r="CZ714" s="59">
        <f>($AI714-$AI715)*100</f>
        <v/>
      </c>
      <c r="DA714" s="59">
        <f>($AJ714-$AJ715)*100</f>
        <v/>
      </c>
      <c r="DB714" s="59">
        <f>($AK714-$AK715)*100</f>
        <v/>
      </c>
      <c r="DC714" s="59">
        <f>($AL714-$AL715)*100</f>
        <v/>
      </c>
      <c r="DD714" s="59">
        <f>($AM714-$AM715)*100</f>
        <v/>
      </c>
      <c r="DE714" s="59">
        <f>($AN714-$AN715)*100</f>
        <v/>
      </c>
      <c r="DF714" s="59">
        <f>($AO714-$AO715)*100</f>
        <v/>
      </c>
      <c r="DG714" s="59">
        <f>($AP714-$AP715)*100</f>
        <v/>
      </c>
      <c r="DH714" s="59">
        <f>($AQ714-$AQ715)*100</f>
        <v/>
      </c>
      <c r="DI714" s="59">
        <f>($AR714-$AR715)*100</f>
        <v/>
      </c>
      <c r="DJ714" s="59">
        <f>($AS714-$AS715)*100</f>
        <v/>
      </c>
      <c r="DK714" s="59">
        <f>($AT714-$AT715)*100</f>
        <v/>
      </c>
      <c r="DL714" s="59">
        <f>($AU714-$AU715)*100</f>
        <v/>
      </c>
      <c r="DM714" s="59">
        <f>($AV714-$AV715)*100</f>
        <v/>
      </c>
      <c r="DN714" s="59">
        <f>($AW714-$AW715)*100</f>
        <v/>
      </c>
      <c r="DO714" s="59">
        <f>($AX714-$AX715)*100</f>
        <v/>
      </c>
      <c r="DP714" s="59">
        <f>($AY714-$AY715)*100</f>
        <v/>
      </c>
      <c r="DQ714" s="59">
        <f>($AZ714-$AZ715)*100</f>
        <v/>
      </c>
      <c r="DR714" s="59">
        <f>($BA714-$BA715)*100</f>
        <v/>
      </c>
      <c r="DS714" s="58">
        <f>IFERROR($N715/$N714-1,"")</f>
        <v/>
      </c>
      <c r="DT714" s="58">
        <f>IFERROR($O715/$O714-1,"")</f>
        <v/>
      </c>
      <c r="DU714" s="58">
        <f>IFERROR($P715/$P714-1,"")</f>
        <v/>
      </c>
      <c r="DV714" s="58">
        <f>IFERROR($Q715/$Q714-1,"")</f>
        <v/>
      </c>
      <c r="DW714" s="58">
        <f>IFERROR($R715/$R714-1,"")</f>
        <v/>
      </c>
      <c r="DX714" s="58">
        <f>IFERROR($S715/$S714-1,"")</f>
        <v/>
      </c>
      <c r="DY714" s="58">
        <f>IFERROR($T715/$T714-1,"")</f>
        <v/>
      </c>
      <c r="DZ714" s="58">
        <f>IFERROR($U715/$U714-1,"")</f>
        <v/>
      </c>
      <c r="EA714" s="58">
        <f>IFERROR($V715/$V714-1,"")</f>
        <v/>
      </c>
      <c r="EB714" s="58">
        <f>IFERROR($W715/$W714-1,"")</f>
        <v/>
      </c>
      <c r="EC714" s="58">
        <f>IFERROR($X715/$X714-1,"")</f>
        <v/>
      </c>
      <c r="ED714" s="58">
        <f>IFERROR($Y715/$Y714-1,"")</f>
        <v/>
      </c>
      <c r="EE714" s="58">
        <f>IFERROR($Z715/$Z714-1,"")</f>
        <v/>
      </c>
      <c r="EF714" s="58">
        <f>IFERROR($AA715/$AA714-1,"")</f>
        <v/>
      </c>
      <c r="EG714" s="58">
        <f>IFERROR($AB715/$AB714-1,"")</f>
        <v/>
      </c>
      <c r="EH714" s="58">
        <f>IFERROR($AC715/$AC714-1,"")</f>
        <v/>
      </c>
      <c r="EI714" s="58">
        <f>IFERROR($AD715/$AD714-1,"")</f>
        <v/>
      </c>
      <c r="EJ714" s="58">
        <f>IFERROR($AE715/$AE714-1,"")</f>
        <v/>
      </c>
      <c r="EK714" s="58">
        <f>IFERROR($AF715/$AF714-1,"")</f>
        <v/>
      </c>
      <c r="EL714" s="58">
        <f>IFERROR($AG715/$AG714-1,"")</f>
        <v/>
      </c>
      <c r="EM714" s="58">
        <f>IFERROR($BB714/$BB715-1,"")</f>
        <v/>
      </c>
      <c r="EN714" s="58">
        <f>IFERROR($BC714/$BC715-1,"")</f>
        <v/>
      </c>
      <c r="EO714" s="58">
        <f>IFERROR($BD714/$BD715-1,"")</f>
        <v/>
      </c>
      <c r="EP714" s="58">
        <f>IFERROR($BE714/$BE715-1,"")</f>
        <v/>
      </c>
      <c r="EQ714" s="58">
        <f>IFERROR($BF714/$BF715-1,"")</f>
        <v/>
      </c>
      <c r="ER714" s="58">
        <f>IFERROR($BG714/$BG715-1,"")</f>
        <v/>
      </c>
      <c r="ES714" s="58">
        <f>IFERROR($BH714/$BH715-1,"")</f>
        <v/>
      </c>
      <c r="ET714" s="58">
        <f>IFERROR($BI714/$BI715-1,"")</f>
        <v/>
      </c>
      <c r="EU714" s="58">
        <f>IFERROR($BJ714/$BJ715-1,"")</f>
        <v/>
      </c>
      <c r="EV714" s="58">
        <f>IFERROR($BK714/$BK715-1,"")</f>
        <v/>
      </c>
      <c r="EW714" s="58">
        <f>IFERROR($BL714/$BL715-1,"")</f>
        <v/>
      </c>
      <c r="EX714" s="58">
        <f>IFERROR($BM714/$BM715-1,"")</f>
        <v/>
      </c>
      <c r="EY714" s="58">
        <f>IFERROR($BN714/$BN715-1,"")</f>
        <v/>
      </c>
      <c r="EZ714" s="58">
        <f>IFERROR($BO714/$BO715-1,"")</f>
        <v/>
      </c>
      <c r="FA714" s="58">
        <f>IFERROR($BP714/$BP715-1,"")</f>
        <v/>
      </c>
      <c r="FB714" s="58">
        <f>IFERROR($BQ714/$BQ715-1,"")</f>
        <v/>
      </c>
      <c r="FC714" s="58">
        <f>IFERROR($BR714/$BR715-1,"")</f>
        <v/>
      </c>
      <c r="FD714" s="58">
        <f>IFERROR($BS714/$BS715-1,"")</f>
        <v/>
      </c>
      <c r="FE714" s="58">
        <f>IFERROR($BT714/$BT715-1,"")</f>
        <v/>
      </c>
      <c r="FF714" s="58">
        <f>IFERROR($BU714/$BU715-1,"")</f>
        <v/>
      </c>
      <c r="FG714" s="58">
        <f>IFERROR($BV714/$BV715-1,"")</f>
        <v/>
      </c>
      <c r="FH714" s="58">
        <f>IFERROR($BW714/$BW715-1,"")</f>
        <v/>
      </c>
      <c r="FI714" s="58">
        <f>IFERROR($BX714/$BX715-1,"")</f>
        <v/>
      </c>
      <c r="FJ714" s="59">
        <f>$BY714-$BY715</f>
        <v/>
      </c>
      <c r="FK714" s="59">
        <f>$BZ714-$BZ715</f>
        <v/>
      </c>
      <c r="FL714" s="59">
        <f>$CA714-$CA715</f>
        <v/>
      </c>
      <c r="FM714" s="59">
        <f>$CB714-$CB715</f>
        <v/>
      </c>
      <c r="FN714" s="59">
        <f>$CC714-$CC715</f>
        <v/>
      </c>
      <c r="FO714" s="59">
        <f>$CD714-$CD715</f>
        <v/>
      </c>
      <c r="FP714" s="59">
        <f>$CE714-$CE715</f>
        <v/>
      </c>
      <c r="FQ714" s="59">
        <f>$CF714-$CF715</f>
        <v/>
      </c>
      <c r="FR714" s="59">
        <f>$CG714-$CG715</f>
        <v/>
      </c>
      <c r="FS714" s="59">
        <f>$CH714-$CH715</f>
        <v/>
      </c>
      <c r="FT714" s="59">
        <f>$CI714-$CI715</f>
        <v/>
      </c>
      <c r="FU714" s="59">
        <f>$CJ714-$CJ715</f>
        <v/>
      </c>
      <c r="FV714" s="59">
        <f>$CK714-$CK715</f>
        <v/>
      </c>
      <c r="FW714" s="59">
        <f>$CL714-$CL715</f>
        <v/>
      </c>
      <c r="FX714" s="59">
        <f>$CM714-$CM715</f>
        <v/>
      </c>
      <c r="FY714" s="59">
        <f>$CN714-$CN715</f>
        <v/>
      </c>
      <c r="FZ714" s="59">
        <f>$CO714-$CO715</f>
        <v/>
      </c>
      <c r="GA714" s="59">
        <f>$CP714-$CP715</f>
        <v/>
      </c>
      <c r="GB714" s="59">
        <f>$CQ714-$CQ715</f>
        <v/>
      </c>
      <c r="GC714" s="59">
        <f>$CR714-$CR715</f>
        <v/>
      </c>
      <c r="GD714" s="59">
        <f>$CS714-$CS715</f>
        <v/>
      </c>
      <c r="GE714" s="59">
        <f>$CT714-$CT715</f>
        <v/>
      </c>
    </row>
    <row r="715">
      <c r="CU715" s="58">
        <f>IFERROR($B715/$B716-1,"")</f>
        <v/>
      </c>
      <c r="CV715" s="59">
        <f>($F715-$F716)*100</f>
        <v/>
      </c>
      <c r="CW715" s="59">
        <f>($E715-$E716)*100</f>
        <v/>
      </c>
      <c r="CX715" s="58">
        <f>IFERROR($K715/$K716-1,"")</f>
        <v/>
      </c>
      <c r="CY715" s="59">
        <f>($AH715-$AH716)*100</f>
        <v/>
      </c>
      <c r="CZ715" s="59">
        <f>($AI715-$AI716)*100</f>
        <v/>
      </c>
      <c r="DA715" s="59">
        <f>($AJ715-$AJ716)*100</f>
        <v/>
      </c>
      <c r="DB715" s="59">
        <f>($AK715-$AK716)*100</f>
        <v/>
      </c>
      <c r="DC715" s="59">
        <f>($AL715-$AL716)*100</f>
        <v/>
      </c>
      <c r="DD715" s="59">
        <f>($AM715-$AM716)*100</f>
        <v/>
      </c>
      <c r="DE715" s="59">
        <f>($AN715-$AN716)*100</f>
        <v/>
      </c>
      <c r="DF715" s="59">
        <f>($AO715-$AO716)*100</f>
        <v/>
      </c>
      <c r="DG715" s="59">
        <f>($AP715-$AP716)*100</f>
        <v/>
      </c>
      <c r="DH715" s="59">
        <f>($AQ715-$AQ716)*100</f>
        <v/>
      </c>
      <c r="DI715" s="59">
        <f>($AR715-$AR716)*100</f>
        <v/>
      </c>
      <c r="DJ715" s="59">
        <f>($AS715-$AS716)*100</f>
        <v/>
      </c>
      <c r="DK715" s="59">
        <f>($AT715-$AT716)*100</f>
        <v/>
      </c>
      <c r="DL715" s="59">
        <f>($AU715-$AU716)*100</f>
        <v/>
      </c>
      <c r="DM715" s="59">
        <f>($AV715-$AV716)*100</f>
        <v/>
      </c>
      <c r="DN715" s="59">
        <f>($AW715-$AW716)*100</f>
        <v/>
      </c>
      <c r="DO715" s="59">
        <f>($AX715-$AX716)*100</f>
        <v/>
      </c>
      <c r="DP715" s="59">
        <f>($AY715-$AY716)*100</f>
        <v/>
      </c>
      <c r="DQ715" s="59">
        <f>($AZ715-$AZ716)*100</f>
        <v/>
      </c>
      <c r="DR715" s="59">
        <f>($BA715-$BA716)*100</f>
        <v/>
      </c>
      <c r="DS715" s="58">
        <f>IFERROR($N716/$N715-1,"")</f>
        <v/>
      </c>
      <c r="DT715" s="58">
        <f>IFERROR($O716/$O715-1,"")</f>
        <v/>
      </c>
      <c r="DU715" s="58">
        <f>IFERROR($P716/$P715-1,"")</f>
        <v/>
      </c>
      <c r="DV715" s="58">
        <f>IFERROR($Q716/$Q715-1,"")</f>
        <v/>
      </c>
      <c r="DW715" s="58">
        <f>IFERROR($R716/$R715-1,"")</f>
        <v/>
      </c>
      <c r="DX715" s="58">
        <f>IFERROR($S716/$S715-1,"")</f>
        <v/>
      </c>
      <c r="DY715" s="58">
        <f>IFERROR($T716/$T715-1,"")</f>
        <v/>
      </c>
      <c r="DZ715" s="58">
        <f>IFERROR($U716/$U715-1,"")</f>
        <v/>
      </c>
      <c r="EA715" s="58">
        <f>IFERROR($V716/$V715-1,"")</f>
        <v/>
      </c>
      <c r="EB715" s="58">
        <f>IFERROR($W716/$W715-1,"")</f>
        <v/>
      </c>
      <c r="EC715" s="58">
        <f>IFERROR($X716/$X715-1,"")</f>
        <v/>
      </c>
      <c r="ED715" s="58">
        <f>IFERROR($Y716/$Y715-1,"")</f>
        <v/>
      </c>
      <c r="EE715" s="58">
        <f>IFERROR($Z716/$Z715-1,"")</f>
        <v/>
      </c>
      <c r="EF715" s="58">
        <f>IFERROR($AA716/$AA715-1,"")</f>
        <v/>
      </c>
      <c r="EG715" s="58">
        <f>IFERROR($AB716/$AB715-1,"")</f>
        <v/>
      </c>
      <c r="EH715" s="58">
        <f>IFERROR($AC716/$AC715-1,"")</f>
        <v/>
      </c>
      <c r="EI715" s="58">
        <f>IFERROR($AD716/$AD715-1,"")</f>
        <v/>
      </c>
      <c r="EJ715" s="58">
        <f>IFERROR($AE716/$AE715-1,"")</f>
        <v/>
      </c>
      <c r="EK715" s="58">
        <f>IFERROR($AF716/$AF715-1,"")</f>
        <v/>
      </c>
      <c r="EL715" s="58">
        <f>IFERROR($AG716/$AG715-1,"")</f>
        <v/>
      </c>
      <c r="EM715" s="58">
        <f>IFERROR($BB715/$BB716-1,"")</f>
        <v/>
      </c>
      <c r="EN715" s="58">
        <f>IFERROR($BC715/$BC716-1,"")</f>
        <v/>
      </c>
      <c r="EO715" s="58">
        <f>IFERROR($BD715/$BD716-1,"")</f>
        <v/>
      </c>
      <c r="EP715" s="58">
        <f>IFERROR($BE715/$BE716-1,"")</f>
        <v/>
      </c>
      <c r="EQ715" s="58">
        <f>IFERROR($BF715/$BF716-1,"")</f>
        <v/>
      </c>
      <c r="ER715" s="58">
        <f>IFERROR($BG715/$BG716-1,"")</f>
        <v/>
      </c>
      <c r="ES715" s="58">
        <f>IFERROR($BH715/$BH716-1,"")</f>
        <v/>
      </c>
      <c r="ET715" s="58">
        <f>IFERROR($BI715/$BI716-1,"")</f>
        <v/>
      </c>
      <c r="EU715" s="58">
        <f>IFERROR($BJ715/$BJ716-1,"")</f>
        <v/>
      </c>
      <c r="EV715" s="58">
        <f>IFERROR($BK715/$BK716-1,"")</f>
        <v/>
      </c>
      <c r="EW715" s="58">
        <f>IFERROR($BL715/$BL716-1,"")</f>
        <v/>
      </c>
      <c r="EX715" s="58">
        <f>IFERROR($BM715/$BM716-1,"")</f>
        <v/>
      </c>
      <c r="EY715" s="58">
        <f>IFERROR($BN715/$BN716-1,"")</f>
        <v/>
      </c>
      <c r="EZ715" s="58">
        <f>IFERROR($BO715/$BO716-1,"")</f>
        <v/>
      </c>
      <c r="FA715" s="58">
        <f>IFERROR($BP715/$BP716-1,"")</f>
        <v/>
      </c>
      <c r="FB715" s="58">
        <f>IFERROR($BQ715/$BQ716-1,"")</f>
        <v/>
      </c>
      <c r="FC715" s="58">
        <f>IFERROR($BR715/$BR716-1,"")</f>
        <v/>
      </c>
      <c r="FD715" s="58">
        <f>IFERROR($BS715/$BS716-1,"")</f>
        <v/>
      </c>
      <c r="FE715" s="58">
        <f>IFERROR($BT715/$BT716-1,"")</f>
        <v/>
      </c>
      <c r="FF715" s="58">
        <f>IFERROR($BU715/$BU716-1,"")</f>
        <v/>
      </c>
      <c r="FG715" s="58">
        <f>IFERROR($BV715/$BV716-1,"")</f>
        <v/>
      </c>
      <c r="FH715" s="58">
        <f>IFERROR($BW715/$BW716-1,"")</f>
        <v/>
      </c>
      <c r="FI715" s="58">
        <f>IFERROR($BX715/$BX716-1,"")</f>
        <v/>
      </c>
      <c r="FJ715" s="59">
        <f>$BY715-$BY716</f>
        <v/>
      </c>
      <c r="FK715" s="59">
        <f>$BZ715-$BZ716</f>
        <v/>
      </c>
      <c r="FL715" s="59">
        <f>$CA715-$CA716</f>
        <v/>
      </c>
      <c r="FM715" s="59">
        <f>$CB715-$CB716</f>
        <v/>
      </c>
      <c r="FN715" s="59">
        <f>$CC715-$CC716</f>
        <v/>
      </c>
      <c r="FO715" s="59">
        <f>$CD715-$CD716</f>
        <v/>
      </c>
      <c r="FP715" s="59">
        <f>$CE715-$CE716</f>
        <v/>
      </c>
      <c r="FQ715" s="59">
        <f>$CF715-$CF716</f>
        <v/>
      </c>
      <c r="FR715" s="59">
        <f>$CG715-$CG716</f>
        <v/>
      </c>
      <c r="FS715" s="59">
        <f>$CH715-$CH716</f>
        <v/>
      </c>
      <c r="FT715" s="59">
        <f>$CI715-$CI716</f>
        <v/>
      </c>
      <c r="FU715" s="59">
        <f>$CJ715-$CJ716</f>
        <v/>
      </c>
      <c r="FV715" s="59">
        <f>$CK715-$CK716</f>
        <v/>
      </c>
      <c r="FW715" s="59">
        <f>$CL715-$CL716</f>
        <v/>
      </c>
      <c r="FX715" s="59">
        <f>$CM715-$CM716</f>
        <v/>
      </c>
      <c r="FY715" s="59">
        <f>$CN715-$CN716</f>
        <v/>
      </c>
      <c r="FZ715" s="59">
        <f>$CO715-$CO716</f>
        <v/>
      </c>
      <c r="GA715" s="59">
        <f>$CP715-$CP716</f>
        <v/>
      </c>
      <c r="GB715" s="59">
        <f>$CQ715-$CQ716</f>
        <v/>
      </c>
      <c r="GC715" s="59">
        <f>$CR715-$CR716</f>
        <v/>
      </c>
      <c r="GD715" s="59">
        <f>$CS715-$CS716</f>
        <v/>
      </c>
      <c r="GE715" s="59">
        <f>$CT715-$CT716</f>
        <v/>
      </c>
    </row>
    <row r="716">
      <c r="CU716" s="58">
        <f>IFERROR($B716/$B717-1,"")</f>
        <v/>
      </c>
      <c r="CV716" s="59">
        <f>($F716-$F717)*100</f>
        <v/>
      </c>
      <c r="CW716" s="59">
        <f>($E716-$E717)*100</f>
        <v/>
      </c>
      <c r="CX716" s="58">
        <f>IFERROR($K716/$K717-1,"")</f>
        <v/>
      </c>
      <c r="CY716" s="59">
        <f>($AH716-$AH717)*100</f>
        <v/>
      </c>
      <c r="CZ716" s="59">
        <f>($AI716-$AI717)*100</f>
        <v/>
      </c>
      <c r="DA716" s="59">
        <f>($AJ716-$AJ717)*100</f>
        <v/>
      </c>
      <c r="DB716" s="59">
        <f>($AK716-$AK717)*100</f>
        <v/>
      </c>
      <c r="DC716" s="59">
        <f>($AL716-$AL717)*100</f>
        <v/>
      </c>
      <c r="DD716" s="59">
        <f>($AM716-$AM717)*100</f>
        <v/>
      </c>
      <c r="DE716" s="59">
        <f>($AN716-$AN717)*100</f>
        <v/>
      </c>
      <c r="DF716" s="59">
        <f>($AO716-$AO717)*100</f>
        <v/>
      </c>
      <c r="DG716" s="59">
        <f>($AP716-$AP717)*100</f>
        <v/>
      </c>
      <c r="DH716" s="59">
        <f>($AQ716-$AQ717)*100</f>
        <v/>
      </c>
      <c r="DI716" s="59">
        <f>($AR716-$AR717)*100</f>
        <v/>
      </c>
      <c r="DJ716" s="59">
        <f>($AS716-$AS717)*100</f>
        <v/>
      </c>
      <c r="DK716" s="59">
        <f>($AT716-$AT717)*100</f>
        <v/>
      </c>
      <c r="DL716" s="59">
        <f>($AU716-$AU717)*100</f>
        <v/>
      </c>
      <c r="DM716" s="59">
        <f>($AV716-$AV717)*100</f>
        <v/>
      </c>
      <c r="DN716" s="59">
        <f>($AW716-$AW717)*100</f>
        <v/>
      </c>
      <c r="DO716" s="59">
        <f>($AX716-$AX717)*100</f>
        <v/>
      </c>
      <c r="DP716" s="59">
        <f>($AY716-$AY717)*100</f>
        <v/>
      </c>
      <c r="DQ716" s="59">
        <f>($AZ716-$AZ717)*100</f>
        <v/>
      </c>
      <c r="DR716" s="59">
        <f>($BA716-$BA717)*100</f>
        <v/>
      </c>
      <c r="DS716" s="58">
        <f>IFERROR($N717/$N716-1,"")</f>
        <v/>
      </c>
      <c r="DT716" s="58">
        <f>IFERROR($O717/$O716-1,"")</f>
        <v/>
      </c>
      <c r="DU716" s="58">
        <f>IFERROR($P717/$P716-1,"")</f>
        <v/>
      </c>
      <c r="DV716" s="58">
        <f>IFERROR($Q717/$Q716-1,"")</f>
        <v/>
      </c>
      <c r="DW716" s="58">
        <f>IFERROR($R717/$R716-1,"")</f>
        <v/>
      </c>
      <c r="DX716" s="58">
        <f>IFERROR($S717/$S716-1,"")</f>
        <v/>
      </c>
      <c r="DY716" s="58">
        <f>IFERROR($T717/$T716-1,"")</f>
        <v/>
      </c>
      <c r="DZ716" s="58">
        <f>IFERROR($U717/$U716-1,"")</f>
        <v/>
      </c>
      <c r="EA716" s="58">
        <f>IFERROR($V717/$V716-1,"")</f>
        <v/>
      </c>
      <c r="EB716" s="58">
        <f>IFERROR($W717/$W716-1,"")</f>
        <v/>
      </c>
      <c r="EC716" s="58">
        <f>IFERROR($X717/$X716-1,"")</f>
        <v/>
      </c>
      <c r="ED716" s="58">
        <f>IFERROR($Y717/$Y716-1,"")</f>
        <v/>
      </c>
      <c r="EE716" s="58">
        <f>IFERROR($Z717/$Z716-1,"")</f>
        <v/>
      </c>
      <c r="EF716" s="58">
        <f>IFERROR($AA717/$AA716-1,"")</f>
        <v/>
      </c>
      <c r="EG716" s="58">
        <f>IFERROR($AB717/$AB716-1,"")</f>
        <v/>
      </c>
      <c r="EH716" s="58">
        <f>IFERROR($AC717/$AC716-1,"")</f>
        <v/>
      </c>
      <c r="EI716" s="58">
        <f>IFERROR($AD717/$AD716-1,"")</f>
        <v/>
      </c>
      <c r="EJ716" s="58">
        <f>IFERROR($AE717/$AE716-1,"")</f>
        <v/>
      </c>
      <c r="EK716" s="58">
        <f>IFERROR($AF717/$AF716-1,"")</f>
        <v/>
      </c>
      <c r="EL716" s="58">
        <f>IFERROR($AG717/$AG716-1,"")</f>
        <v/>
      </c>
      <c r="EM716" s="58">
        <f>IFERROR($BB716/$BB717-1,"")</f>
        <v/>
      </c>
      <c r="EN716" s="58">
        <f>IFERROR($BC716/$BC717-1,"")</f>
        <v/>
      </c>
      <c r="EO716" s="58">
        <f>IFERROR($BD716/$BD717-1,"")</f>
        <v/>
      </c>
      <c r="EP716" s="58">
        <f>IFERROR($BE716/$BE717-1,"")</f>
        <v/>
      </c>
      <c r="EQ716" s="58">
        <f>IFERROR($BF716/$BF717-1,"")</f>
        <v/>
      </c>
      <c r="ER716" s="58">
        <f>IFERROR($BG716/$BG717-1,"")</f>
        <v/>
      </c>
      <c r="ES716" s="58">
        <f>IFERROR($BH716/$BH717-1,"")</f>
        <v/>
      </c>
      <c r="ET716" s="58">
        <f>IFERROR($BI716/$BI717-1,"")</f>
        <v/>
      </c>
      <c r="EU716" s="58">
        <f>IFERROR($BJ716/$BJ717-1,"")</f>
        <v/>
      </c>
      <c r="EV716" s="58">
        <f>IFERROR($BK716/$BK717-1,"")</f>
        <v/>
      </c>
      <c r="EW716" s="58">
        <f>IFERROR($BL716/$BL717-1,"")</f>
        <v/>
      </c>
      <c r="EX716" s="58">
        <f>IFERROR($BM716/$BM717-1,"")</f>
        <v/>
      </c>
      <c r="EY716" s="58">
        <f>IFERROR($BN716/$BN717-1,"")</f>
        <v/>
      </c>
      <c r="EZ716" s="58">
        <f>IFERROR($BO716/$BO717-1,"")</f>
        <v/>
      </c>
      <c r="FA716" s="58">
        <f>IFERROR($BP716/$BP717-1,"")</f>
        <v/>
      </c>
      <c r="FB716" s="58">
        <f>IFERROR($BQ716/$BQ717-1,"")</f>
        <v/>
      </c>
      <c r="FC716" s="58">
        <f>IFERROR($BR716/$BR717-1,"")</f>
        <v/>
      </c>
      <c r="FD716" s="58">
        <f>IFERROR($BS716/$BS717-1,"")</f>
        <v/>
      </c>
      <c r="FE716" s="58">
        <f>IFERROR($BT716/$BT717-1,"")</f>
        <v/>
      </c>
      <c r="FF716" s="58">
        <f>IFERROR($BU716/$BU717-1,"")</f>
        <v/>
      </c>
      <c r="FG716" s="58">
        <f>IFERROR($BV716/$BV717-1,"")</f>
        <v/>
      </c>
      <c r="FH716" s="58">
        <f>IFERROR($BW716/$BW717-1,"")</f>
        <v/>
      </c>
      <c r="FI716" s="58">
        <f>IFERROR($BX716/$BX717-1,"")</f>
        <v/>
      </c>
      <c r="FJ716" s="59">
        <f>$BY716-$BY717</f>
        <v/>
      </c>
      <c r="FK716" s="59">
        <f>$BZ716-$BZ717</f>
        <v/>
      </c>
      <c r="FL716" s="59">
        <f>$CA716-$CA717</f>
        <v/>
      </c>
      <c r="FM716" s="59">
        <f>$CB716-$CB717</f>
        <v/>
      </c>
      <c r="FN716" s="59">
        <f>$CC716-$CC717</f>
        <v/>
      </c>
      <c r="FO716" s="59">
        <f>$CD716-$CD717</f>
        <v/>
      </c>
      <c r="FP716" s="59">
        <f>$CE716-$CE717</f>
        <v/>
      </c>
      <c r="FQ716" s="59">
        <f>$CF716-$CF717</f>
        <v/>
      </c>
      <c r="FR716" s="59">
        <f>$CG716-$CG717</f>
        <v/>
      </c>
      <c r="FS716" s="59">
        <f>$CH716-$CH717</f>
        <v/>
      </c>
      <c r="FT716" s="59">
        <f>$CI716-$CI717</f>
        <v/>
      </c>
      <c r="FU716" s="59">
        <f>$CJ716-$CJ717</f>
        <v/>
      </c>
      <c r="FV716" s="59">
        <f>$CK716-$CK717</f>
        <v/>
      </c>
      <c r="FW716" s="59">
        <f>$CL716-$CL717</f>
        <v/>
      </c>
      <c r="FX716" s="59">
        <f>$CM716-$CM717</f>
        <v/>
      </c>
      <c r="FY716" s="59">
        <f>$CN716-$CN717</f>
        <v/>
      </c>
      <c r="FZ716" s="59">
        <f>$CO716-$CO717</f>
        <v/>
      </c>
      <c r="GA716" s="59">
        <f>$CP716-$CP717</f>
        <v/>
      </c>
      <c r="GB716" s="59">
        <f>$CQ716-$CQ717</f>
        <v/>
      </c>
      <c r="GC716" s="59">
        <f>$CR716-$CR717</f>
        <v/>
      </c>
      <c r="GD716" s="59">
        <f>$CS716-$CS717</f>
        <v/>
      </c>
      <c r="GE716" s="59">
        <f>$CT716-$CT717</f>
        <v/>
      </c>
    </row>
    <row r="717">
      <c r="CU717" s="58">
        <f>IFERROR($B717/$B718-1,"")</f>
        <v/>
      </c>
      <c r="CV717" s="59">
        <f>($F717-$F718)*100</f>
        <v/>
      </c>
      <c r="CW717" s="59">
        <f>($E717-$E718)*100</f>
        <v/>
      </c>
      <c r="CX717" s="58">
        <f>IFERROR($K717/$K718-1,"")</f>
        <v/>
      </c>
      <c r="CY717" s="59">
        <f>($AH717-$AH718)*100</f>
        <v/>
      </c>
      <c r="CZ717" s="59">
        <f>($AI717-$AI718)*100</f>
        <v/>
      </c>
      <c r="DA717" s="59">
        <f>($AJ717-$AJ718)*100</f>
        <v/>
      </c>
      <c r="DB717" s="59">
        <f>($AK717-$AK718)*100</f>
        <v/>
      </c>
      <c r="DC717" s="59">
        <f>($AL717-$AL718)*100</f>
        <v/>
      </c>
      <c r="DD717" s="59">
        <f>($AM717-$AM718)*100</f>
        <v/>
      </c>
      <c r="DE717" s="59">
        <f>($AN717-$AN718)*100</f>
        <v/>
      </c>
      <c r="DF717" s="59">
        <f>($AO717-$AO718)*100</f>
        <v/>
      </c>
      <c r="DG717" s="59">
        <f>($AP717-$AP718)*100</f>
        <v/>
      </c>
      <c r="DH717" s="59">
        <f>($AQ717-$AQ718)*100</f>
        <v/>
      </c>
      <c r="DI717" s="59">
        <f>($AR717-$AR718)*100</f>
        <v/>
      </c>
      <c r="DJ717" s="59">
        <f>($AS717-$AS718)*100</f>
        <v/>
      </c>
      <c r="DK717" s="59">
        <f>($AT717-$AT718)*100</f>
        <v/>
      </c>
      <c r="DL717" s="59">
        <f>($AU717-$AU718)*100</f>
        <v/>
      </c>
      <c r="DM717" s="59">
        <f>($AV717-$AV718)*100</f>
        <v/>
      </c>
      <c r="DN717" s="59">
        <f>($AW717-$AW718)*100</f>
        <v/>
      </c>
      <c r="DO717" s="59">
        <f>($AX717-$AX718)*100</f>
        <v/>
      </c>
      <c r="DP717" s="59">
        <f>($AY717-$AY718)*100</f>
        <v/>
      </c>
      <c r="DQ717" s="59">
        <f>($AZ717-$AZ718)*100</f>
        <v/>
      </c>
      <c r="DR717" s="59">
        <f>($BA717-$BA718)*100</f>
        <v/>
      </c>
      <c r="DS717" s="58">
        <f>IFERROR($N718/$N717-1,"")</f>
        <v/>
      </c>
      <c r="DT717" s="58">
        <f>IFERROR($O718/$O717-1,"")</f>
        <v/>
      </c>
      <c r="DU717" s="58">
        <f>IFERROR($P718/$P717-1,"")</f>
        <v/>
      </c>
      <c r="DV717" s="58">
        <f>IFERROR($Q718/$Q717-1,"")</f>
        <v/>
      </c>
      <c r="DW717" s="58">
        <f>IFERROR($R718/$R717-1,"")</f>
        <v/>
      </c>
      <c r="DX717" s="58">
        <f>IFERROR($S718/$S717-1,"")</f>
        <v/>
      </c>
      <c r="DY717" s="58">
        <f>IFERROR($T718/$T717-1,"")</f>
        <v/>
      </c>
      <c r="DZ717" s="58">
        <f>IFERROR($U718/$U717-1,"")</f>
        <v/>
      </c>
      <c r="EA717" s="58">
        <f>IFERROR($V718/$V717-1,"")</f>
        <v/>
      </c>
      <c r="EB717" s="58">
        <f>IFERROR($W718/$W717-1,"")</f>
        <v/>
      </c>
      <c r="EC717" s="58">
        <f>IFERROR($X718/$X717-1,"")</f>
        <v/>
      </c>
      <c r="ED717" s="58">
        <f>IFERROR($Y718/$Y717-1,"")</f>
        <v/>
      </c>
      <c r="EE717" s="58">
        <f>IFERROR($Z718/$Z717-1,"")</f>
        <v/>
      </c>
      <c r="EF717" s="58">
        <f>IFERROR($AA718/$AA717-1,"")</f>
        <v/>
      </c>
      <c r="EG717" s="58">
        <f>IFERROR($AB718/$AB717-1,"")</f>
        <v/>
      </c>
      <c r="EH717" s="58">
        <f>IFERROR($AC718/$AC717-1,"")</f>
        <v/>
      </c>
      <c r="EI717" s="58">
        <f>IFERROR($AD718/$AD717-1,"")</f>
        <v/>
      </c>
      <c r="EJ717" s="58">
        <f>IFERROR($AE718/$AE717-1,"")</f>
        <v/>
      </c>
      <c r="EK717" s="58">
        <f>IFERROR($AF718/$AF717-1,"")</f>
        <v/>
      </c>
      <c r="EL717" s="58">
        <f>IFERROR($AG718/$AG717-1,"")</f>
        <v/>
      </c>
      <c r="EM717" s="58">
        <f>IFERROR($BB717/$BB718-1,"")</f>
        <v/>
      </c>
      <c r="EN717" s="58">
        <f>IFERROR($BC717/$BC718-1,"")</f>
        <v/>
      </c>
      <c r="EO717" s="58">
        <f>IFERROR($BD717/$BD718-1,"")</f>
        <v/>
      </c>
      <c r="EP717" s="58">
        <f>IFERROR($BE717/$BE718-1,"")</f>
        <v/>
      </c>
      <c r="EQ717" s="58">
        <f>IFERROR($BF717/$BF718-1,"")</f>
        <v/>
      </c>
      <c r="ER717" s="58">
        <f>IFERROR($BG717/$BG718-1,"")</f>
        <v/>
      </c>
      <c r="ES717" s="58">
        <f>IFERROR($BH717/$BH718-1,"")</f>
        <v/>
      </c>
      <c r="ET717" s="58">
        <f>IFERROR($BI717/$BI718-1,"")</f>
        <v/>
      </c>
      <c r="EU717" s="58">
        <f>IFERROR($BJ717/$BJ718-1,"")</f>
        <v/>
      </c>
      <c r="EV717" s="58">
        <f>IFERROR($BK717/$BK718-1,"")</f>
        <v/>
      </c>
      <c r="EW717" s="58">
        <f>IFERROR($BL717/$BL718-1,"")</f>
        <v/>
      </c>
      <c r="EX717" s="58">
        <f>IFERROR($BM717/$BM718-1,"")</f>
        <v/>
      </c>
      <c r="EY717" s="58">
        <f>IFERROR($BN717/$BN718-1,"")</f>
        <v/>
      </c>
      <c r="EZ717" s="58">
        <f>IFERROR($BO717/$BO718-1,"")</f>
        <v/>
      </c>
      <c r="FA717" s="58">
        <f>IFERROR($BP717/$BP718-1,"")</f>
        <v/>
      </c>
      <c r="FB717" s="58">
        <f>IFERROR($BQ717/$BQ718-1,"")</f>
        <v/>
      </c>
      <c r="FC717" s="58">
        <f>IFERROR($BR717/$BR718-1,"")</f>
        <v/>
      </c>
      <c r="FD717" s="58">
        <f>IFERROR($BS717/$BS718-1,"")</f>
        <v/>
      </c>
      <c r="FE717" s="58">
        <f>IFERROR($BT717/$BT718-1,"")</f>
        <v/>
      </c>
      <c r="FF717" s="58">
        <f>IFERROR($BU717/$BU718-1,"")</f>
        <v/>
      </c>
      <c r="FG717" s="58">
        <f>IFERROR($BV717/$BV718-1,"")</f>
        <v/>
      </c>
      <c r="FH717" s="58">
        <f>IFERROR($BW717/$BW718-1,"")</f>
        <v/>
      </c>
      <c r="FI717" s="58">
        <f>IFERROR($BX717/$BX718-1,"")</f>
        <v/>
      </c>
      <c r="FJ717" s="59">
        <f>$BY717-$BY718</f>
        <v/>
      </c>
      <c r="FK717" s="59">
        <f>$BZ717-$BZ718</f>
        <v/>
      </c>
      <c r="FL717" s="59">
        <f>$CA717-$CA718</f>
        <v/>
      </c>
      <c r="FM717" s="59">
        <f>$CB717-$CB718</f>
        <v/>
      </c>
      <c r="FN717" s="59">
        <f>$CC717-$CC718</f>
        <v/>
      </c>
      <c r="FO717" s="59">
        <f>$CD717-$CD718</f>
        <v/>
      </c>
      <c r="FP717" s="59">
        <f>$CE717-$CE718</f>
        <v/>
      </c>
      <c r="FQ717" s="59">
        <f>$CF717-$CF718</f>
        <v/>
      </c>
      <c r="FR717" s="59">
        <f>$CG717-$CG718</f>
        <v/>
      </c>
      <c r="FS717" s="59">
        <f>$CH717-$CH718</f>
        <v/>
      </c>
      <c r="FT717" s="59">
        <f>$CI717-$CI718</f>
        <v/>
      </c>
      <c r="FU717" s="59">
        <f>$CJ717-$CJ718</f>
        <v/>
      </c>
      <c r="FV717" s="59">
        <f>$CK717-$CK718</f>
        <v/>
      </c>
      <c r="FW717" s="59">
        <f>$CL717-$CL718</f>
        <v/>
      </c>
      <c r="FX717" s="59">
        <f>$CM717-$CM718</f>
        <v/>
      </c>
      <c r="FY717" s="59">
        <f>$CN717-$CN718</f>
        <v/>
      </c>
      <c r="FZ717" s="59">
        <f>$CO717-$CO718</f>
        <v/>
      </c>
      <c r="GA717" s="59">
        <f>$CP717-$CP718</f>
        <v/>
      </c>
      <c r="GB717" s="59">
        <f>$CQ717-$CQ718</f>
        <v/>
      </c>
      <c r="GC717" s="59">
        <f>$CR717-$CR718</f>
        <v/>
      </c>
      <c r="GD717" s="59">
        <f>$CS717-$CS718</f>
        <v/>
      </c>
      <c r="GE717" s="59">
        <f>$CT717-$CT718</f>
        <v/>
      </c>
    </row>
    <row r="718">
      <c r="CU718" s="58">
        <f>IFERROR($B718/$B719-1,"")</f>
        <v/>
      </c>
      <c r="CV718" s="59">
        <f>($F718-$F719)*100</f>
        <v/>
      </c>
      <c r="CW718" s="59">
        <f>($E718-$E719)*100</f>
        <v/>
      </c>
      <c r="CX718" s="58">
        <f>IFERROR($K718/$K719-1,"")</f>
        <v/>
      </c>
      <c r="CY718" s="59">
        <f>($AH718-$AH719)*100</f>
        <v/>
      </c>
      <c r="CZ718" s="59">
        <f>($AI718-$AI719)*100</f>
        <v/>
      </c>
      <c r="DA718" s="59">
        <f>($AJ718-$AJ719)*100</f>
        <v/>
      </c>
      <c r="DB718" s="59">
        <f>($AK718-$AK719)*100</f>
        <v/>
      </c>
      <c r="DC718" s="59">
        <f>($AL718-$AL719)*100</f>
        <v/>
      </c>
      <c r="DD718" s="59">
        <f>($AM718-$AM719)*100</f>
        <v/>
      </c>
      <c r="DE718" s="59">
        <f>($AN718-$AN719)*100</f>
        <v/>
      </c>
      <c r="DF718" s="59">
        <f>($AO718-$AO719)*100</f>
        <v/>
      </c>
      <c r="DG718" s="59">
        <f>($AP718-$AP719)*100</f>
        <v/>
      </c>
      <c r="DH718" s="59">
        <f>($AQ718-$AQ719)*100</f>
        <v/>
      </c>
      <c r="DI718" s="59">
        <f>($AR718-$AR719)*100</f>
        <v/>
      </c>
      <c r="DJ718" s="59">
        <f>($AS718-$AS719)*100</f>
        <v/>
      </c>
      <c r="DK718" s="59">
        <f>($AT718-$AT719)*100</f>
        <v/>
      </c>
      <c r="DL718" s="59">
        <f>($AU718-$AU719)*100</f>
        <v/>
      </c>
      <c r="DM718" s="59">
        <f>($AV718-$AV719)*100</f>
        <v/>
      </c>
      <c r="DN718" s="59">
        <f>($AW718-$AW719)*100</f>
        <v/>
      </c>
      <c r="DO718" s="59">
        <f>($AX718-$AX719)*100</f>
        <v/>
      </c>
      <c r="DP718" s="59">
        <f>($AY718-$AY719)*100</f>
        <v/>
      </c>
      <c r="DQ718" s="59">
        <f>($AZ718-$AZ719)*100</f>
        <v/>
      </c>
      <c r="DR718" s="59">
        <f>($BA718-$BA719)*100</f>
        <v/>
      </c>
      <c r="DS718" s="58">
        <f>IFERROR($N719/$N718-1,"")</f>
        <v/>
      </c>
      <c r="DT718" s="58">
        <f>IFERROR($O719/$O718-1,"")</f>
        <v/>
      </c>
      <c r="DU718" s="58">
        <f>IFERROR($P719/$P718-1,"")</f>
        <v/>
      </c>
      <c r="DV718" s="58">
        <f>IFERROR($Q719/$Q718-1,"")</f>
        <v/>
      </c>
      <c r="DW718" s="58">
        <f>IFERROR($R719/$R718-1,"")</f>
        <v/>
      </c>
      <c r="DX718" s="58">
        <f>IFERROR($S719/$S718-1,"")</f>
        <v/>
      </c>
      <c r="DY718" s="58">
        <f>IFERROR($T719/$T718-1,"")</f>
        <v/>
      </c>
      <c r="DZ718" s="58">
        <f>IFERROR($U719/$U718-1,"")</f>
        <v/>
      </c>
      <c r="EA718" s="58">
        <f>IFERROR($V719/$V718-1,"")</f>
        <v/>
      </c>
      <c r="EB718" s="58">
        <f>IFERROR($W719/$W718-1,"")</f>
        <v/>
      </c>
      <c r="EC718" s="58">
        <f>IFERROR($X719/$X718-1,"")</f>
        <v/>
      </c>
      <c r="ED718" s="58">
        <f>IFERROR($Y719/$Y718-1,"")</f>
        <v/>
      </c>
      <c r="EE718" s="58">
        <f>IFERROR($Z719/$Z718-1,"")</f>
        <v/>
      </c>
      <c r="EF718" s="58">
        <f>IFERROR($AA719/$AA718-1,"")</f>
        <v/>
      </c>
      <c r="EG718" s="58">
        <f>IFERROR($AB719/$AB718-1,"")</f>
        <v/>
      </c>
      <c r="EH718" s="58">
        <f>IFERROR($AC719/$AC718-1,"")</f>
        <v/>
      </c>
      <c r="EI718" s="58">
        <f>IFERROR($AD719/$AD718-1,"")</f>
        <v/>
      </c>
      <c r="EJ718" s="58">
        <f>IFERROR($AE719/$AE718-1,"")</f>
        <v/>
      </c>
      <c r="EK718" s="58">
        <f>IFERROR($AF719/$AF718-1,"")</f>
        <v/>
      </c>
      <c r="EL718" s="58">
        <f>IFERROR($AG719/$AG718-1,"")</f>
        <v/>
      </c>
      <c r="EM718" s="58">
        <f>IFERROR($BB718/$BB719-1,"")</f>
        <v/>
      </c>
      <c r="EN718" s="58">
        <f>IFERROR($BC718/$BC719-1,"")</f>
        <v/>
      </c>
      <c r="EO718" s="58">
        <f>IFERROR($BD718/$BD719-1,"")</f>
        <v/>
      </c>
      <c r="EP718" s="58">
        <f>IFERROR($BE718/$BE719-1,"")</f>
        <v/>
      </c>
      <c r="EQ718" s="58">
        <f>IFERROR($BF718/$BF719-1,"")</f>
        <v/>
      </c>
      <c r="ER718" s="58">
        <f>IFERROR($BG718/$BG719-1,"")</f>
        <v/>
      </c>
      <c r="ES718" s="58">
        <f>IFERROR($BH718/$BH719-1,"")</f>
        <v/>
      </c>
      <c r="ET718" s="58">
        <f>IFERROR($BI718/$BI719-1,"")</f>
        <v/>
      </c>
      <c r="EU718" s="58">
        <f>IFERROR($BJ718/$BJ719-1,"")</f>
        <v/>
      </c>
      <c r="EV718" s="58">
        <f>IFERROR($BK718/$BK719-1,"")</f>
        <v/>
      </c>
      <c r="EW718" s="58">
        <f>IFERROR($BL718/$BL719-1,"")</f>
        <v/>
      </c>
      <c r="EX718" s="58">
        <f>IFERROR($BM718/$BM719-1,"")</f>
        <v/>
      </c>
      <c r="EY718" s="58">
        <f>IFERROR($BN718/$BN719-1,"")</f>
        <v/>
      </c>
      <c r="EZ718" s="58">
        <f>IFERROR($BO718/$BO719-1,"")</f>
        <v/>
      </c>
      <c r="FA718" s="58">
        <f>IFERROR($BP718/$BP719-1,"")</f>
        <v/>
      </c>
      <c r="FB718" s="58">
        <f>IFERROR($BQ718/$BQ719-1,"")</f>
        <v/>
      </c>
      <c r="FC718" s="58">
        <f>IFERROR($BR718/$BR719-1,"")</f>
        <v/>
      </c>
      <c r="FD718" s="58">
        <f>IFERROR($BS718/$BS719-1,"")</f>
        <v/>
      </c>
      <c r="FE718" s="58">
        <f>IFERROR($BT718/$BT719-1,"")</f>
        <v/>
      </c>
      <c r="FF718" s="58">
        <f>IFERROR($BU718/$BU719-1,"")</f>
        <v/>
      </c>
      <c r="FG718" s="58">
        <f>IFERROR($BV718/$BV719-1,"")</f>
        <v/>
      </c>
      <c r="FH718" s="58">
        <f>IFERROR($BW718/$BW719-1,"")</f>
        <v/>
      </c>
      <c r="FI718" s="58">
        <f>IFERROR($BX718/$BX719-1,"")</f>
        <v/>
      </c>
      <c r="FJ718" s="59">
        <f>$BY718-$BY719</f>
        <v/>
      </c>
      <c r="FK718" s="59">
        <f>$BZ718-$BZ719</f>
        <v/>
      </c>
      <c r="FL718" s="59">
        <f>$CA718-$CA719</f>
        <v/>
      </c>
      <c r="FM718" s="59">
        <f>$CB718-$CB719</f>
        <v/>
      </c>
      <c r="FN718" s="59">
        <f>$CC718-$CC719</f>
        <v/>
      </c>
      <c r="FO718" s="59">
        <f>$CD718-$CD719</f>
        <v/>
      </c>
      <c r="FP718" s="59">
        <f>$CE718-$CE719</f>
        <v/>
      </c>
      <c r="FQ718" s="59">
        <f>$CF718-$CF719</f>
        <v/>
      </c>
      <c r="FR718" s="59">
        <f>$CG718-$CG719</f>
        <v/>
      </c>
      <c r="FS718" s="59">
        <f>$CH718-$CH719</f>
        <v/>
      </c>
      <c r="FT718" s="59">
        <f>$CI718-$CI719</f>
        <v/>
      </c>
      <c r="FU718" s="59">
        <f>$CJ718-$CJ719</f>
        <v/>
      </c>
      <c r="FV718" s="59">
        <f>$CK718-$CK719</f>
        <v/>
      </c>
      <c r="FW718" s="59">
        <f>$CL718-$CL719</f>
        <v/>
      </c>
      <c r="FX718" s="59">
        <f>$CM718-$CM719</f>
        <v/>
      </c>
      <c r="FY718" s="59">
        <f>$CN718-$CN719</f>
        <v/>
      </c>
      <c r="FZ718" s="59">
        <f>$CO718-$CO719</f>
        <v/>
      </c>
      <c r="GA718" s="59">
        <f>$CP718-$CP719</f>
        <v/>
      </c>
      <c r="GB718" s="59">
        <f>$CQ718-$CQ719</f>
        <v/>
      </c>
      <c r="GC718" s="59">
        <f>$CR718-$CR719</f>
        <v/>
      </c>
      <c r="GD718" s="59">
        <f>$CS718-$CS719</f>
        <v/>
      </c>
      <c r="GE718" s="59">
        <f>$CT718-$CT719</f>
        <v/>
      </c>
    </row>
    <row r="719">
      <c r="CU719" s="58">
        <f>IFERROR($B719/$B720-1,"")</f>
        <v/>
      </c>
      <c r="CV719" s="59">
        <f>($F719-$F720)*100</f>
        <v/>
      </c>
      <c r="CW719" s="59">
        <f>($E719-$E720)*100</f>
        <v/>
      </c>
      <c r="CX719" s="58">
        <f>IFERROR($K719/$K720-1,"")</f>
        <v/>
      </c>
      <c r="CY719" s="59">
        <f>($AH719-$AH720)*100</f>
        <v/>
      </c>
      <c r="CZ719" s="59">
        <f>($AI719-$AI720)*100</f>
        <v/>
      </c>
      <c r="DA719" s="59">
        <f>($AJ719-$AJ720)*100</f>
        <v/>
      </c>
      <c r="DB719" s="59">
        <f>($AK719-$AK720)*100</f>
        <v/>
      </c>
      <c r="DC719" s="59">
        <f>($AL719-$AL720)*100</f>
        <v/>
      </c>
      <c r="DD719" s="59">
        <f>($AM719-$AM720)*100</f>
        <v/>
      </c>
      <c r="DE719" s="59">
        <f>($AN719-$AN720)*100</f>
        <v/>
      </c>
      <c r="DF719" s="59">
        <f>($AO719-$AO720)*100</f>
        <v/>
      </c>
      <c r="DG719" s="59">
        <f>($AP719-$AP720)*100</f>
        <v/>
      </c>
      <c r="DH719" s="59">
        <f>($AQ719-$AQ720)*100</f>
        <v/>
      </c>
      <c r="DI719" s="59">
        <f>($AR719-$AR720)*100</f>
        <v/>
      </c>
      <c r="DJ719" s="59">
        <f>($AS719-$AS720)*100</f>
        <v/>
      </c>
      <c r="DK719" s="59">
        <f>($AT719-$AT720)*100</f>
        <v/>
      </c>
      <c r="DL719" s="59">
        <f>($AU719-$AU720)*100</f>
        <v/>
      </c>
      <c r="DM719" s="59">
        <f>($AV719-$AV720)*100</f>
        <v/>
      </c>
      <c r="DN719" s="59">
        <f>($AW719-$AW720)*100</f>
        <v/>
      </c>
      <c r="DO719" s="59">
        <f>($AX719-$AX720)*100</f>
        <v/>
      </c>
      <c r="DP719" s="59">
        <f>($AY719-$AY720)*100</f>
        <v/>
      </c>
      <c r="DQ719" s="59">
        <f>($AZ719-$AZ720)*100</f>
        <v/>
      </c>
      <c r="DR719" s="59">
        <f>($BA719-$BA720)*100</f>
        <v/>
      </c>
      <c r="DS719" s="58">
        <f>IFERROR($N720/$N719-1,"")</f>
        <v/>
      </c>
      <c r="DT719" s="58">
        <f>IFERROR($O720/$O719-1,"")</f>
        <v/>
      </c>
      <c r="DU719" s="58">
        <f>IFERROR($P720/$P719-1,"")</f>
        <v/>
      </c>
      <c r="DV719" s="58">
        <f>IFERROR($Q720/$Q719-1,"")</f>
        <v/>
      </c>
      <c r="DW719" s="58">
        <f>IFERROR($R720/$R719-1,"")</f>
        <v/>
      </c>
      <c r="DX719" s="58">
        <f>IFERROR($S720/$S719-1,"")</f>
        <v/>
      </c>
      <c r="DY719" s="58">
        <f>IFERROR($T720/$T719-1,"")</f>
        <v/>
      </c>
      <c r="DZ719" s="58">
        <f>IFERROR($U720/$U719-1,"")</f>
        <v/>
      </c>
      <c r="EA719" s="58">
        <f>IFERROR($V720/$V719-1,"")</f>
        <v/>
      </c>
      <c r="EB719" s="58">
        <f>IFERROR($W720/$W719-1,"")</f>
        <v/>
      </c>
      <c r="EC719" s="58">
        <f>IFERROR($X720/$X719-1,"")</f>
        <v/>
      </c>
      <c r="ED719" s="58">
        <f>IFERROR($Y720/$Y719-1,"")</f>
        <v/>
      </c>
      <c r="EE719" s="58">
        <f>IFERROR($Z720/$Z719-1,"")</f>
        <v/>
      </c>
      <c r="EF719" s="58">
        <f>IFERROR($AA720/$AA719-1,"")</f>
        <v/>
      </c>
      <c r="EG719" s="58">
        <f>IFERROR($AB720/$AB719-1,"")</f>
        <v/>
      </c>
      <c r="EH719" s="58">
        <f>IFERROR($AC720/$AC719-1,"")</f>
        <v/>
      </c>
      <c r="EI719" s="58">
        <f>IFERROR($AD720/$AD719-1,"")</f>
        <v/>
      </c>
      <c r="EJ719" s="58">
        <f>IFERROR($AE720/$AE719-1,"")</f>
        <v/>
      </c>
      <c r="EK719" s="58">
        <f>IFERROR($AF720/$AF719-1,"")</f>
        <v/>
      </c>
      <c r="EL719" s="58">
        <f>IFERROR($AG720/$AG719-1,"")</f>
        <v/>
      </c>
      <c r="EM719" s="58">
        <f>IFERROR($BB719/$BB720-1,"")</f>
        <v/>
      </c>
      <c r="EN719" s="58">
        <f>IFERROR($BC719/$BC720-1,"")</f>
        <v/>
      </c>
      <c r="EO719" s="58">
        <f>IFERROR($BD719/$BD720-1,"")</f>
        <v/>
      </c>
      <c r="EP719" s="58">
        <f>IFERROR($BE719/$BE720-1,"")</f>
        <v/>
      </c>
      <c r="EQ719" s="58">
        <f>IFERROR($BF719/$BF720-1,"")</f>
        <v/>
      </c>
      <c r="ER719" s="58">
        <f>IFERROR($BG719/$BG720-1,"")</f>
        <v/>
      </c>
      <c r="ES719" s="58">
        <f>IFERROR($BH719/$BH720-1,"")</f>
        <v/>
      </c>
      <c r="ET719" s="58">
        <f>IFERROR($BI719/$BI720-1,"")</f>
        <v/>
      </c>
      <c r="EU719" s="58">
        <f>IFERROR($BJ719/$BJ720-1,"")</f>
        <v/>
      </c>
      <c r="EV719" s="58">
        <f>IFERROR($BK719/$BK720-1,"")</f>
        <v/>
      </c>
      <c r="EW719" s="58">
        <f>IFERROR($BL719/$BL720-1,"")</f>
        <v/>
      </c>
      <c r="EX719" s="58">
        <f>IFERROR($BM719/$BM720-1,"")</f>
        <v/>
      </c>
      <c r="EY719" s="58">
        <f>IFERROR($BN719/$BN720-1,"")</f>
        <v/>
      </c>
      <c r="EZ719" s="58">
        <f>IFERROR($BO719/$BO720-1,"")</f>
        <v/>
      </c>
      <c r="FA719" s="58">
        <f>IFERROR($BP719/$BP720-1,"")</f>
        <v/>
      </c>
      <c r="FB719" s="58">
        <f>IFERROR($BQ719/$BQ720-1,"")</f>
        <v/>
      </c>
      <c r="FC719" s="58">
        <f>IFERROR($BR719/$BR720-1,"")</f>
        <v/>
      </c>
      <c r="FD719" s="58">
        <f>IFERROR($BS719/$BS720-1,"")</f>
        <v/>
      </c>
      <c r="FE719" s="58">
        <f>IFERROR($BT719/$BT720-1,"")</f>
        <v/>
      </c>
      <c r="FF719" s="58">
        <f>IFERROR($BU719/$BU720-1,"")</f>
        <v/>
      </c>
      <c r="FG719" s="58">
        <f>IFERROR($BV719/$BV720-1,"")</f>
        <v/>
      </c>
      <c r="FH719" s="58">
        <f>IFERROR($BW719/$BW720-1,"")</f>
        <v/>
      </c>
      <c r="FI719" s="58">
        <f>IFERROR($BX719/$BX720-1,"")</f>
        <v/>
      </c>
      <c r="FJ719" s="59">
        <f>$BY719-$BY720</f>
        <v/>
      </c>
      <c r="FK719" s="59">
        <f>$BZ719-$BZ720</f>
        <v/>
      </c>
      <c r="FL719" s="59">
        <f>$CA719-$CA720</f>
        <v/>
      </c>
      <c r="FM719" s="59">
        <f>$CB719-$CB720</f>
        <v/>
      </c>
      <c r="FN719" s="59">
        <f>$CC719-$CC720</f>
        <v/>
      </c>
      <c r="FO719" s="59">
        <f>$CD719-$CD720</f>
        <v/>
      </c>
      <c r="FP719" s="59">
        <f>$CE719-$CE720</f>
        <v/>
      </c>
      <c r="FQ719" s="59">
        <f>$CF719-$CF720</f>
        <v/>
      </c>
      <c r="FR719" s="59">
        <f>$CG719-$CG720</f>
        <v/>
      </c>
      <c r="FS719" s="59">
        <f>$CH719-$CH720</f>
        <v/>
      </c>
      <c r="FT719" s="59">
        <f>$CI719-$CI720</f>
        <v/>
      </c>
      <c r="FU719" s="59">
        <f>$CJ719-$CJ720</f>
        <v/>
      </c>
      <c r="FV719" s="59">
        <f>$CK719-$CK720</f>
        <v/>
      </c>
      <c r="FW719" s="59">
        <f>$CL719-$CL720</f>
        <v/>
      </c>
      <c r="FX719" s="59">
        <f>$CM719-$CM720</f>
        <v/>
      </c>
      <c r="FY719" s="59">
        <f>$CN719-$CN720</f>
        <v/>
      </c>
      <c r="FZ719" s="59">
        <f>$CO719-$CO720</f>
        <v/>
      </c>
      <c r="GA719" s="59">
        <f>$CP719-$CP720</f>
        <v/>
      </c>
      <c r="GB719" s="59">
        <f>$CQ719-$CQ720</f>
        <v/>
      </c>
      <c r="GC719" s="59">
        <f>$CR719-$CR720</f>
        <v/>
      </c>
      <c r="GD719" s="59">
        <f>$CS719-$CS720</f>
        <v/>
      </c>
      <c r="GE719" s="59">
        <f>$CT719-$CT720</f>
        <v/>
      </c>
    </row>
    <row r="720">
      <c r="CU720" s="58">
        <f>IFERROR($B720/$B721-1,"")</f>
        <v/>
      </c>
      <c r="CV720" s="59">
        <f>($F720-$F721)*100</f>
        <v/>
      </c>
      <c r="CW720" s="59">
        <f>($E720-$E721)*100</f>
        <v/>
      </c>
      <c r="CX720" s="58">
        <f>IFERROR($K720/$K721-1,"")</f>
        <v/>
      </c>
      <c r="CY720" s="59">
        <f>($AH720-$AH721)*100</f>
        <v/>
      </c>
      <c r="CZ720" s="59">
        <f>($AI720-$AI721)*100</f>
        <v/>
      </c>
      <c r="DA720" s="59">
        <f>($AJ720-$AJ721)*100</f>
        <v/>
      </c>
      <c r="DB720" s="59">
        <f>($AK720-$AK721)*100</f>
        <v/>
      </c>
      <c r="DC720" s="59">
        <f>($AL720-$AL721)*100</f>
        <v/>
      </c>
      <c r="DD720" s="59">
        <f>($AM720-$AM721)*100</f>
        <v/>
      </c>
      <c r="DE720" s="59">
        <f>($AN720-$AN721)*100</f>
        <v/>
      </c>
      <c r="DF720" s="59">
        <f>($AO720-$AO721)*100</f>
        <v/>
      </c>
      <c r="DG720" s="59">
        <f>($AP720-$AP721)*100</f>
        <v/>
      </c>
      <c r="DH720" s="59">
        <f>($AQ720-$AQ721)*100</f>
        <v/>
      </c>
      <c r="DI720" s="59">
        <f>($AR720-$AR721)*100</f>
        <v/>
      </c>
      <c r="DJ720" s="59">
        <f>($AS720-$AS721)*100</f>
        <v/>
      </c>
      <c r="DK720" s="59">
        <f>($AT720-$AT721)*100</f>
        <v/>
      </c>
      <c r="DL720" s="59">
        <f>($AU720-$AU721)*100</f>
        <v/>
      </c>
      <c r="DM720" s="59">
        <f>($AV720-$AV721)*100</f>
        <v/>
      </c>
      <c r="DN720" s="59">
        <f>($AW720-$AW721)*100</f>
        <v/>
      </c>
      <c r="DO720" s="59">
        <f>($AX720-$AX721)*100</f>
        <v/>
      </c>
      <c r="DP720" s="59">
        <f>($AY720-$AY721)*100</f>
        <v/>
      </c>
      <c r="DQ720" s="59">
        <f>($AZ720-$AZ721)*100</f>
        <v/>
      </c>
      <c r="DR720" s="59">
        <f>($BA720-$BA721)*100</f>
        <v/>
      </c>
      <c r="DS720" s="58">
        <f>IFERROR($N721/$N720-1,"")</f>
        <v/>
      </c>
      <c r="DT720" s="58">
        <f>IFERROR($O721/$O720-1,"")</f>
        <v/>
      </c>
      <c r="DU720" s="58">
        <f>IFERROR($P721/$P720-1,"")</f>
        <v/>
      </c>
      <c r="DV720" s="58">
        <f>IFERROR($Q721/$Q720-1,"")</f>
        <v/>
      </c>
      <c r="DW720" s="58">
        <f>IFERROR($R721/$R720-1,"")</f>
        <v/>
      </c>
      <c r="DX720" s="58">
        <f>IFERROR($S721/$S720-1,"")</f>
        <v/>
      </c>
      <c r="DY720" s="58">
        <f>IFERROR($T721/$T720-1,"")</f>
        <v/>
      </c>
      <c r="DZ720" s="58">
        <f>IFERROR($U721/$U720-1,"")</f>
        <v/>
      </c>
      <c r="EA720" s="58">
        <f>IFERROR($V721/$V720-1,"")</f>
        <v/>
      </c>
      <c r="EB720" s="58">
        <f>IFERROR($W721/$W720-1,"")</f>
        <v/>
      </c>
      <c r="EC720" s="58">
        <f>IFERROR($X721/$X720-1,"")</f>
        <v/>
      </c>
      <c r="ED720" s="58">
        <f>IFERROR($Y721/$Y720-1,"")</f>
        <v/>
      </c>
      <c r="EE720" s="58">
        <f>IFERROR($Z721/$Z720-1,"")</f>
        <v/>
      </c>
      <c r="EF720" s="58">
        <f>IFERROR($AA721/$AA720-1,"")</f>
        <v/>
      </c>
      <c r="EG720" s="58">
        <f>IFERROR($AB721/$AB720-1,"")</f>
        <v/>
      </c>
      <c r="EH720" s="58">
        <f>IFERROR($AC721/$AC720-1,"")</f>
        <v/>
      </c>
      <c r="EI720" s="58">
        <f>IFERROR($AD721/$AD720-1,"")</f>
        <v/>
      </c>
      <c r="EJ720" s="58">
        <f>IFERROR($AE721/$AE720-1,"")</f>
        <v/>
      </c>
      <c r="EK720" s="58">
        <f>IFERROR($AF721/$AF720-1,"")</f>
        <v/>
      </c>
      <c r="EL720" s="58">
        <f>IFERROR($AG721/$AG720-1,"")</f>
        <v/>
      </c>
      <c r="EM720" s="58">
        <f>IFERROR($BB720/$BB721-1,"")</f>
        <v/>
      </c>
      <c r="EN720" s="58">
        <f>IFERROR($BC720/$BC721-1,"")</f>
        <v/>
      </c>
      <c r="EO720" s="58">
        <f>IFERROR($BD720/$BD721-1,"")</f>
        <v/>
      </c>
      <c r="EP720" s="58">
        <f>IFERROR($BE720/$BE721-1,"")</f>
        <v/>
      </c>
      <c r="EQ720" s="58">
        <f>IFERROR($BF720/$BF721-1,"")</f>
        <v/>
      </c>
      <c r="ER720" s="58">
        <f>IFERROR($BG720/$BG721-1,"")</f>
        <v/>
      </c>
      <c r="ES720" s="58">
        <f>IFERROR($BH720/$BH721-1,"")</f>
        <v/>
      </c>
      <c r="ET720" s="58">
        <f>IFERROR($BI720/$BI721-1,"")</f>
        <v/>
      </c>
      <c r="EU720" s="58">
        <f>IFERROR($BJ720/$BJ721-1,"")</f>
        <v/>
      </c>
      <c r="EV720" s="58">
        <f>IFERROR($BK720/$BK721-1,"")</f>
        <v/>
      </c>
      <c r="EW720" s="58">
        <f>IFERROR($BL720/$BL721-1,"")</f>
        <v/>
      </c>
      <c r="EX720" s="58">
        <f>IFERROR($BM720/$BM721-1,"")</f>
        <v/>
      </c>
      <c r="EY720" s="58">
        <f>IFERROR($BN720/$BN721-1,"")</f>
        <v/>
      </c>
      <c r="EZ720" s="58">
        <f>IFERROR($BO720/$BO721-1,"")</f>
        <v/>
      </c>
      <c r="FA720" s="58">
        <f>IFERROR($BP720/$BP721-1,"")</f>
        <v/>
      </c>
      <c r="FB720" s="58">
        <f>IFERROR($BQ720/$BQ721-1,"")</f>
        <v/>
      </c>
      <c r="FC720" s="58">
        <f>IFERROR($BR720/$BR721-1,"")</f>
        <v/>
      </c>
      <c r="FD720" s="58">
        <f>IFERROR($BS720/$BS721-1,"")</f>
        <v/>
      </c>
      <c r="FE720" s="58">
        <f>IFERROR($BT720/$BT721-1,"")</f>
        <v/>
      </c>
      <c r="FF720" s="58">
        <f>IFERROR($BU720/$BU721-1,"")</f>
        <v/>
      </c>
      <c r="FG720" s="58">
        <f>IFERROR($BV720/$BV721-1,"")</f>
        <v/>
      </c>
      <c r="FH720" s="58">
        <f>IFERROR($BW720/$BW721-1,"")</f>
        <v/>
      </c>
      <c r="FI720" s="58">
        <f>IFERROR($BX720/$BX721-1,"")</f>
        <v/>
      </c>
      <c r="FJ720" s="59">
        <f>$BY720-$BY721</f>
        <v/>
      </c>
      <c r="FK720" s="59">
        <f>$BZ720-$BZ721</f>
        <v/>
      </c>
      <c r="FL720" s="59">
        <f>$CA720-$CA721</f>
        <v/>
      </c>
      <c r="FM720" s="59">
        <f>$CB720-$CB721</f>
        <v/>
      </c>
      <c r="FN720" s="59">
        <f>$CC720-$CC721</f>
        <v/>
      </c>
      <c r="FO720" s="59">
        <f>$CD720-$CD721</f>
        <v/>
      </c>
      <c r="FP720" s="59">
        <f>$CE720-$CE721</f>
        <v/>
      </c>
      <c r="FQ720" s="59">
        <f>$CF720-$CF721</f>
        <v/>
      </c>
      <c r="FR720" s="59">
        <f>$CG720-$CG721</f>
        <v/>
      </c>
      <c r="FS720" s="59">
        <f>$CH720-$CH721</f>
        <v/>
      </c>
      <c r="FT720" s="59">
        <f>$CI720-$CI721</f>
        <v/>
      </c>
      <c r="FU720" s="59">
        <f>$CJ720-$CJ721</f>
        <v/>
      </c>
      <c r="FV720" s="59">
        <f>$CK720-$CK721</f>
        <v/>
      </c>
      <c r="FW720" s="59">
        <f>$CL720-$CL721</f>
        <v/>
      </c>
      <c r="FX720" s="59">
        <f>$CM720-$CM721</f>
        <v/>
      </c>
      <c r="FY720" s="59">
        <f>$CN720-$CN721</f>
        <v/>
      </c>
      <c r="FZ720" s="59">
        <f>$CO720-$CO721</f>
        <v/>
      </c>
      <c r="GA720" s="59">
        <f>$CP720-$CP721</f>
        <v/>
      </c>
      <c r="GB720" s="59">
        <f>$CQ720-$CQ721</f>
        <v/>
      </c>
      <c r="GC720" s="59">
        <f>$CR720-$CR721</f>
        <v/>
      </c>
      <c r="GD720" s="59">
        <f>$CS720-$CS721</f>
        <v/>
      </c>
      <c r="GE720" s="59">
        <f>$CT720-$CT721</f>
        <v/>
      </c>
    </row>
    <row r="721">
      <c r="CU721" s="58">
        <f>IFERROR($B721/$B722-1,"")</f>
        <v/>
      </c>
      <c r="CV721" s="59">
        <f>($F721-$F722)*100</f>
        <v/>
      </c>
      <c r="CW721" s="59">
        <f>($E721-$E722)*100</f>
        <v/>
      </c>
      <c r="CX721" s="58">
        <f>IFERROR($K721/$K722-1,"")</f>
        <v/>
      </c>
      <c r="CY721" s="59">
        <f>($AH721-$AH722)*100</f>
        <v/>
      </c>
      <c r="CZ721" s="59">
        <f>($AI721-$AI722)*100</f>
        <v/>
      </c>
      <c r="DA721" s="59">
        <f>($AJ721-$AJ722)*100</f>
        <v/>
      </c>
      <c r="DB721" s="59">
        <f>($AK721-$AK722)*100</f>
        <v/>
      </c>
      <c r="DC721" s="59">
        <f>($AL721-$AL722)*100</f>
        <v/>
      </c>
      <c r="DD721" s="59">
        <f>($AM721-$AM722)*100</f>
        <v/>
      </c>
      <c r="DE721" s="59">
        <f>($AN721-$AN722)*100</f>
        <v/>
      </c>
      <c r="DF721" s="59">
        <f>($AO721-$AO722)*100</f>
        <v/>
      </c>
      <c r="DG721" s="59">
        <f>($AP721-$AP722)*100</f>
        <v/>
      </c>
      <c r="DH721" s="59">
        <f>($AQ721-$AQ722)*100</f>
        <v/>
      </c>
      <c r="DI721" s="59">
        <f>($AR721-$AR722)*100</f>
        <v/>
      </c>
      <c r="DJ721" s="59">
        <f>($AS721-$AS722)*100</f>
        <v/>
      </c>
      <c r="DK721" s="59">
        <f>($AT721-$AT722)*100</f>
        <v/>
      </c>
      <c r="DL721" s="59">
        <f>($AU721-$AU722)*100</f>
        <v/>
      </c>
      <c r="DM721" s="59">
        <f>($AV721-$AV722)*100</f>
        <v/>
      </c>
      <c r="DN721" s="59">
        <f>($AW721-$AW722)*100</f>
        <v/>
      </c>
      <c r="DO721" s="59">
        <f>($AX721-$AX722)*100</f>
        <v/>
      </c>
      <c r="DP721" s="59">
        <f>($AY721-$AY722)*100</f>
        <v/>
      </c>
      <c r="DQ721" s="59">
        <f>($AZ721-$AZ722)*100</f>
        <v/>
      </c>
      <c r="DR721" s="59">
        <f>($BA721-$BA722)*100</f>
        <v/>
      </c>
      <c r="DS721" s="58">
        <f>IFERROR($N722/$N721-1,"")</f>
        <v/>
      </c>
      <c r="DT721" s="58">
        <f>IFERROR($O722/$O721-1,"")</f>
        <v/>
      </c>
      <c r="DU721" s="58">
        <f>IFERROR($P722/$P721-1,"")</f>
        <v/>
      </c>
      <c r="DV721" s="58">
        <f>IFERROR($Q722/$Q721-1,"")</f>
        <v/>
      </c>
      <c r="DW721" s="58">
        <f>IFERROR($R722/$R721-1,"")</f>
        <v/>
      </c>
      <c r="DX721" s="58">
        <f>IFERROR($S722/$S721-1,"")</f>
        <v/>
      </c>
      <c r="DY721" s="58">
        <f>IFERROR($T722/$T721-1,"")</f>
        <v/>
      </c>
      <c r="DZ721" s="58">
        <f>IFERROR($U722/$U721-1,"")</f>
        <v/>
      </c>
      <c r="EA721" s="58">
        <f>IFERROR($V722/$V721-1,"")</f>
        <v/>
      </c>
      <c r="EB721" s="58">
        <f>IFERROR($W722/$W721-1,"")</f>
        <v/>
      </c>
      <c r="EC721" s="58">
        <f>IFERROR($X722/$X721-1,"")</f>
        <v/>
      </c>
      <c r="ED721" s="58">
        <f>IFERROR($Y722/$Y721-1,"")</f>
        <v/>
      </c>
      <c r="EE721" s="58">
        <f>IFERROR($Z722/$Z721-1,"")</f>
        <v/>
      </c>
      <c r="EF721" s="58">
        <f>IFERROR($AA722/$AA721-1,"")</f>
        <v/>
      </c>
      <c r="EG721" s="58">
        <f>IFERROR($AB722/$AB721-1,"")</f>
        <v/>
      </c>
      <c r="EH721" s="58">
        <f>IFERROR($AC722/$AC721-1,"")</f>
        <v/>
      </c>
      <c r="EI721" s="58">
        <f>IFERROR($AD722/$AD721-1,"")</f>
        <v/>
      </c>
      <c r="EJ721" s="58">
        <f>IFERROR($AE722/$AE721-1,"")</f>
        <v/>
      </c>
      <c r="EK721" s="58">
        <f>IFERROR($AF722/$AF721-1,"")</f>
        <v/>
      </c>
      <c r="EL721" s="58">
        <f>IFERROR($AG722/$AG721-1,"")</f>
        <v/>
      </c>
      <c r="EM721" s="58">
        <f>IFERROR($BB721/$BB722-1,"")</f>
        <v/>
      </c>
      <c r="EN721" s="58">
        <f>IFERROR($BC721/$BC722-1,"")</f>
        <v/>
      </c>
      <c r="EO721" s="58">
        <f>IFERROR($BD721/$BD722-1,"")</f>
        <v/>
      </c>
      <c r="EP721" s="58">
        <f>IFERROR($BE721/$BE722-1,"")</f>
        <v/>
      </c>
      <c r="EQ721" s="58">
        <f>IFERROR($BF721/$BF722-1,"")</f>
        <v/>
      </c>
      <c r="ER721" s="58">
        <f>IFERROR($BG721/$BG722-1,"")</f>
        <v/>
      </c>
      <c r="ES721" s="58">
        <f>IFERROR($BH721/$BH722-1,"")</f>
        <v/>
      </c>
      <c r="ET721" s="58">
        <f>IFERROR($BI721/$BI722-1,"")</f>
        <v/>
      </c>
      <c r="EU721" s="58">
        <f>IFERROR($BJ721/$BJ722-1,"")</f>
        <v/>
      </c>
      <c r="EV721" s="58">
        <f>IFERROR($BK721/$BK722-1,"")</f>
        <v/>
      </c>
      <c r="EW721" s="58">
        <f>IFERROR($BL721/$BL722-1,"")</f>
        <v/>
      </c>
      <c r="EX721" s="58">
        <f>IFERROR($BM721/$BM722-1,"")</f>
        <v/>
      </c>
      <c r="EY721" s="58">
        <f>IFERROR($BN721/$BN722-1,"")</f>
        <v/>
      </c>
      <c r="EZ721" s="58">
        <f>IFERROR($BO721/$BO722-1,"")</f>
        <v/>
      </c>
      <c r="FA721" s="58">
        <f>IFERROR($BP721/$BP722-1,"")</f>
        <v/>
      </c>
      <c r="FB721" s="58">
        <f>IFERROR($BQ721/$BQ722-1,"")</f>
        <v/>
      </c>
      <c r="FC721" s="58">
        <f>IFERROR($BR721/$BR722-1,"")</f>
        <v/>
      </c>
      <c r="FD721" s="58">
        <f>IFERROR($BS721/$BS722-1,"")</f>
        <v/>
      </c>
      <c r="FE721" s="58">
        <f>IFERROR($BT721/$BT722-1,"")</f>
        <v/>
      </c>
      <c r="FF721" s="58">
        <f>IFERROR($BU721/$BU722-1,"")</f>
        <v/>
      </c>
      <c r="FG721" s="58">
        <f>IFERROR($BV721/$BV722-1,"")</f>
        <v/>
      </c>
      <c r="FH721" s="58">
        <f>IFERROR($BW721/$BW722-1,"")</f>
        <v/>
      </c>
      <c r="FI721" s="58">
        <f>IFERROR($BX721/$BX722-1,"")</f>
        <v/>
      </c>
      <c r="FJ721" s="59">
        <f>$BY721-$BY722</f>
        <v/>
      </c>
      <c r="FK721" s="59">
        <f>$BZ721-$BZ722</f>
        <v/>
      </c>
      <c r="FL721" s="59">
        <f>$CA721-$CA722</f>
        <v/>
      </c>
      <c r="FM721" s="59">
        <f>$CB721-$CB722</f>
        <v/>
      </c>
      <c r="FN721" s="59">
        <f>$CC721-$CC722</f>
        <v/>
      </c>
      <c r="FO721" s="59">
        <f>$CD721-$CD722</f>
        <v/>
      </c>
      <c r="FP721" s="59">
        <f>$CE721-$CE722</f>
        <v/>
      </c>
      <c r="FQ721" s="59">
        <f>$CF721-$CF722</f>
        <v/>
      </c>
      <c r="FR721" s="59">
        <f>$CG721-$CG722</f>
        <v/>
      </c>
      <c r="FS721" s="59">
        <f>$CH721-$CH722</f>
        <v/>
      </c>
      <c r="FT721" s="59">
        <f>$CI721-$CI722</f>
        <v/>
      </c>
      <c r="FU721" s="59">
        <f>$CJ721-$CJ722</f>
        <v/>
      </c>
      <c r="FV721" s="59">
        <f>$CK721-$CK722</f>
        <v/>
      </c>
      <c r="FW721" s="59">
        <f>$CL721-$CL722</f>
        <v/>
      </c>
      <c r="FX721" s="59">
        <f>$CM721-$CM722</f>
        <v/>
      </c>
      <c r="FY721" s="59">
        <f>$CN721-$CN722</f>
        <v/>
      </c>
      <c r="FZ721" s="59">
        <f>$CO721-$CO722</f>
        <v/>
      </c>
      <c r="GA721" s="59">
        <f>$CP721-$CP722</f>
        <v/>
      </c>
      <c r="GB721" s="59">
        <f>$CQ721-$CQ722</f>
        <v/>
      </c>
      <c r="GC721" s="59">
        <f>$CR721-$CR722</f>
        <v/>
      </c>
      <c r="GD721" s="59">
        <f>$CS721-$CS722</f>
        <v/>
      </c>
      <c r="GE721" s="59">
        <f>$CT721-$CT722</f>
        <v/>
      </c>
    </row>
    <row r="722">
      <c r="CU722" s="58">
        <f>IFERROR($B722/$B723-1,"")</f>
        <v/>
      </c>
      <c r="CV722" s="59">
        <f>($F722-$F723)*100</f>
        <v/>
      </c>
      <c r="CW722" s="59">
        <f>($E722-$E723)*100</f>
        <v/>
      </c>
      <c r="CX722" s="58">
        <f>IFERROR($K722/$K723-1,"")</f>
        <v/>
      </c>
      <c r="CY722" s="59">
        <f>($AH722-$AH723)*100</f>
        <v/>
      </c>
      <c r="CZ722" s="59">
        <f>($AI722-$AI723)*100</f>
        <v/>
      </c>
      <c r="DA722" s="59">
        <f>($AJ722-$AJ723)*100</f>
        <v/>
      </c>
      <c r="DB722" s="59">
        <f>($AK722-$AK723)*100</f>
        <v/>
      </c>
      <c r="DC722" s="59">
        <f>($AL722-$AL723)*100</f>
        <v/>
      </c>
      <c r="DD722" s="59">
        <f>($AM722-$AM723)*100</f>
        <v/>
      </c>
      <c r="DE722" s="59">
        <f>($AN722-$AN723)*100</f>
        <v/>
      </c>
      <c r="DF722" s="59">
        <f>($AO722-$AO723)*100</f>
        <v/>
      </c>
      <c r="DG722" s="59">
        <f>($AP722-$AP723)*100</f>
        <v/>
      </c>
      <c r="DH722" s="59">
        <f>($AQ722-$AQ723)*100</f>
        <v/>
      </c>
      <c r="DI722" s="59">
        <f>($AR722-$AR723)*100</f>
        <v/>
      </c>
      <c r="DJ722" s="59">
        <f>($AS722-$AS723)*100</f>
        <v/>
      </c>
      <c r="DK722" s="59">
        <f>($AT722-$AT723)*100</f>
        <v/>
      </c>
      <c r="DL722" s="59">
        <f>($AU722-$AU723)*100</f>
        <v/>
      </c>
      <c r="DM722" s="59">
        <f>($AV722-$AV723)*100</f>
        <v/>
      </c>
      <c r="DN722" s="59">
        <f>($AW722-$AW723)*100</f>
        <v/>
      </c>
      <c r="DO722" s="59">
        <f>($AX722-$AX723)*100</f>
        <v/>
      </c>
      <c r="DP722" s="59">
        <f>($AY722-$AY723)*100</f>
        <v/>
      </c>
      <c r="DQ722" s="59">
        <f>($AZ722-$AZ723)*100</f>
        <v/>
      </c>
      <c r="DR722" s="59">
        <f>($BA722-$BA723)*100</f>
        <v/>
      </c>
      <c r="DS722" s="58">
        <f>IFERROR($N723/$N722-1,"")</f>
        <v/>
      </c>
      <c r="DT722" s="58">
        <f>IFERROR($O723/$O722-1,"")</f>
        <v/>
      </c>
      <c r="DU722" s="58">
        <f>IFERROR($P723/$P722-1,"")</f>
        <v/>
      </c>
      <c r="DV722" s="58">
        <f>IFERROR($Q723/$Q722-1,"")</f>
        <v/>
      </c>
      <c r="DW722" s="58">
        <f>IFERROR($R723/$R722-1,"")</f>
        <v/>
      </c>
      <c r="DX722" s="58">
        <f>IFERROR($S723/$S722-1,"")</f>
        <v/>
      </c>
      <c r="DY722" s="58">
        <f>IFERROR($T723/$T722-1,"")</f>
        <v/>
      </c>
      <c r="DZ722" s="58">
        <f>IFERROR($U723/$U722-1,"")</f>
        <v/>
      </c>
      <c r="EA722" s="58">
        <f>IFERROR($V723/$V722-1,"")</f>
        <v/>
      </c>
      <c r="EB722" s="58">
        <f>IFERROR($W723/$W722-1,"")</f>
        <v/>
      </c>
      <c r="EC722" s="58">
        <f>IFERROR($X723/$X722-1,"")</f>
        <v/>
      </c>
      <c r="ED722" s="58">
        <f>IFERROR($Y723/$Y722-1,"")</f>
        <v/>
      </c>
      <c r="EE722" s="58">
        <f>IFERROR($Z723/$Z722-1,"")</f>
        <v/>
      </c>
      <c r="EF722" s="58">
        <f>IFERROR($AA723/$AA722-1,"")</f>
        <v/>
      </c>
      <c r="EG722" s="58">
        <f>IFERROR($AB723/$AB722-1,"")</f>
        <v/>
      </c>
      <c r="EH722" s="58">
        <f>IFERROR($AC723/$AC722-1,"")</f>
        <v/>
      </c>
      <c r="EI722" s="58">
        <f>IFERROR($AD723/$AD722-1,"")</f>
        <v/>
      </c>
      <c r="EJ722" s="58">
        <f>IFERROR($AE723/$AE722-1,"")</f>
        <v/>
      </c>
      <c r="EK722" s="58">
        <f>IFERROR($AF723/$AF722-1,"")</f>
        <v/>
      </c>
      <c r="EL722" s="58">
        <f>IFERROR($AG723/$AG722-1,"")</f>
        <v/>
      </c>
      <c r="EM722" s="58">
        <f>IFERROR($BB722/$BB723-1,"")</f>
        <v/>
      </c>
      <c r="EN722" s="58">
        <f>IFERROR($BC722/$BC723-1,"")</f>
        <v/>
      </c>
      <c r="EO722" s="58">
        <f>IFERROR($BD722/$BD723-1,"")</f>
        <v/>
      </c>
      <c r="EP722" s="58">
        <f>IFERROR($BE722/$BE723-1,"")</f>
        <v/>
      </c>
      <c r="EQ722" s="58">
        <f>IFERROR($BF722/$BF723-1,"")</f>
        <v/>
      </c>
      <c r="ER722" s="58">
        <f>IFERROR($BG722/$BG723-1,"")</f>
        <v/>
      </c>
      <c r="ES722" s="58">
        <f>IFERROR($BH722/$BH723-1,"")</f>
        <v/>
      </c>
      <c r="ET722" s="58">
        <f>IFERROR($BI722/$BI723-1,"")</f>
        <v/>
      </c>
      <c r="EU722" s="58">
        <f>IFERROR($BJ722/$BJ723-1,"")</f>
        <v/>
      </c>
      <c r="EV722" s="58">
        <f>IFERROR($BK722/$BK723-1,"")</f>
        <v/>
      </c>
      <c r="EW722" s="58">
        <f>IFERROR($BL722/$BL723-1,"")</f>
        <v/>
      </c>
      <c r="EX722" s="58">
        <f>IFERROR($BM722/$BM723-1,"")</f>
        <v/>
      </c>
      <c r="EY722" s="58">
        <f>IFERROR($BN722/$BN723-1,"")</f>
        <v/>
      </c>
      <c r="EZ722" s="58">
        <f>IFERROR($BO722/$BO723-1,"")</f>
        <v/>
      </c>
      <c r="FA722" s="58">
        <f>IFERROR($BP722/$BP723-1,"")</f>
        <v/>
      </c>
      <c r="FB722" s="58">
        <f>IFERROR($BQ722/$BQ723-1,"")</f>
        <v/>
      </c>
      <c r="FC722" s="58">
        <f>IFERROR($BR722/$BR723-1,"")</f>
        <v/>
      </c>
      <c r="FD722" s="58">
        <f>IFERROR($BS722/$BS723-1,"")</f>
        <v/>
      </c>
      <c r="FE722" s="58">
        <f>IFERROR($BT722/$BT723-1,"")</f>
        <v/>
      </c>
      <c r="FF722" s="58">
        <f>IFERROR($BU722/$BU723-1,"")</f>
        <v/>
      </c>
      <c r="FG722" s="58">
        <f>IFERROR($BV722/$BV723-1,"")</f>
        <v/>
      </c>
      <c r="FH722" s="58">
        <f>IFERROR($BW722/$BW723-1,"")</f>
        <v/>
      </c>
      <c r="FI722" s="58">
        <f>IFERROR($BX722/$BX723-1,"")</f>
        <v/>
      </c>
      <c r="FJ722" s="59">
        <f>$BY722-$BY723</f>
        <v/>
      </c>
      <c r="FK722" s="59">
        <f>$BZ722-$BZ723</f>
        <v/>
      </c>
      <c r="FL722" s="59">
        <f>$CA722-$CA723</f>
        <v/>
      </c>
      <c r="FM722" s="59">
        <f>$CB722-$CB723</f>
        <v/>
      </c>
      <c r="FN722" s="59">
        <f>$CC722-$CC723</f>
        <v/>
      </c>
      <c r="FO722" s="59">
        <f>$CD722-$CD723</f>
        <v/>
      </c>
      <c r="FP722" s="59">
        <f>$CE722-$CE723</f>
        <v/>
      </c>
      <c r="FQ722" s="59">
        <f>$CF722-$CF723</f>
        <v/>
      </c>
      <c r="FR722" s="59">
        <f>$CG722-$CG723</f>
        <v/>
      </c>
      <c r="FS722" s="59">
        <f>$CH722-$CH723</f>
        <v/>
      </c>
      <c r="FT722" s="59">
        <f>$CI722-$CI723</f>
        <v/>
      </c>
      <c r="FU722" s="59">
        <f>$CJ722-$CJ723</f>
        <v/>
      </c>
      <c r="FV722" s="59">
        <f>$CK722-$CK723</f>
        <v/>
      </c>
      <c r="FW722" s="59">
        <f>$CL722-$CL723</f>
        <v/>
      </c>
      <c r="FX722" s="59">
        <f>$CM722-$CM723</f>
        <v/>
      </c>
      <c r="FY722" s="59">
        <f>$CN722-$CN723</f>
        <v/>
      </c>
      <c r="FZ722" s="59">
        <f>$CO722-$CO723</f>
        <v/>
      </c>
      <c r="GA722" s="59">
        <f>$CP722-$CP723</f>
        <v/>
      </c>
      <c r="GB722" s="59">
        <f>$CQ722-$CQ723</f>
        <v/>
      </c>
      <c r="GC722" s="59">
        <f>$CR722-$CR723</f>
        <v/>
      </c>
      <c r="GD722" s="59">
        <f>$CS722-$CS723</f>
        <v/>
      </c>
      <c r="GE722" s="59">
        <f>$CT722-$CT723</f>
        <v/>
      </c>
    </row>
    <row r="723">
      <c r="CU723" s="58">
        <f>IFERROR($B723/$B724-1,"")</f>
        <v/>
      </c>
      <c r="CV723" s="59">
        <f>($F723-$F724)*100</f>
        <v/>
      </c>
      <c r="CW723" s="59">
        <f>($E723-$E724)*100</f>
        <v/>
      </c>
      <c r="CX723" s="58">
        <f>IFERROR($K723/$K724-1,"")</f>
        <v/>
      </c>
      <c r="CY723" s="59">
        <f>($AH723-$AH724)*100</f>
        <v/>
      </c>
      <c r="CZ723" s="59">
        <f>($AI723-$AI724)*100</f>
        <v/>
      </c>
      <c r="DA723" s="59">
        <f>($AJ723-$AJ724)*100</f>
        <v/>
      </c>
      <c r="DB723" s="59">
        <f>($AK723-$AK724)*100</f>
        <v/>
      </c>
      <c r="DC723" s="59">
        <f>($AL723-$AL724)*100</f>
        <v/>
      </c>
      <c r="DD723" s="59">
        <f>($AM723-$AM724)*100</f>
        <v/>
      </c>
      <c r="DE723" s="59">
        <f>($AN723-$AN724)*100</f>
        <v/>
      </c>
      <c r="DF723" s="59">
        <f>($AO723-$AO724)*100</f>
        <v/>
      </c>
      <c r="DG723" s="59">
        <f>($AP723-$AP724)*100</f>
        <v/>
      </c>
      <c r="DH723" s="59">
        <f>($AQ723-$AQ724)*100</f>
        <v/>
      </c>
      <c r="DI723" s="59">
        <f>($AR723-$AR724)*100</f>
        <v/>
      </c>
      <c r="DJ723" s="59">
        <f>($AS723-$AS724)*100</f>
        <v/>
      </c>
      <c r="DK723" s="59">
        <f>($AT723-$AT724)*100</f>
        <v/>
      </c>
      <c r="DL723" s="59">
        <f>($AU723-$AU724)*100</f>
        <v/>
      </c>
      <c r="DM723" s="59">
        <f>($AV723-$AV724)*100</f>
        <v/>
      </c>
      <c r="DN723" s="59">
        <f>($AW723-$AW724)*100</f>
        <v/>
      </c>
      <c r="DO723" s="59">
        <f>($AX723-$AX724)*100</f>
        <v/>
      </c>
      <c r="DP723" s="59">
        <f>($AY723-$AY724)*100</f>
        <v/>
      </c>
      <c r="DQ723" s="59">
        <f>($AZ723-$AZ724)*100</f>
        <v/>
      </c>
      <c r="DR723" s="59">
        <f>($BA723-$BA724)*100</f>
        <v/>
      </c>
      <c r="DS723" s="58">
        <f>IFERROR($N724/$N723-1,"")</f>
        <v/>
      </c>
      <c r="DT723" s="58">
        <f>IFERROR($O724/$O723-1,"")</f>
        <v/>
      </c>
      <c r="DU723" s="58">
        <f>IFERROR($P724/$P723-1,"")</f>
        <v/>
      </c>
      <c r="DV723" s="58">
        <f>IFERROR($Q724/$Q723-1,"")</f>
        <v/>
      </c>
      <c r="DW723" s="58">
        <f>IFERROR($R724/$R723-1,"")</f>
        <v/>
      </c>
      <c r="DX723" s="58">
        <f>IFERROR($S724/$S723-1,"")</f>
        <v/>
      </c>
      <c r="DY723" s="58">
        <f>IFERROR($T724/$T723-1,"")</f>
        <v/>
      </c>
      <c r="DZ723" s="58">
        <f>IFERROR($U724/$U723-1,"")</f>
        <v/>
      </c>
      <c r="EA723" s="58">
        <f>IFERROR($V724/$V723-1,"")</f>
        <v/>
      </c>
      <c r="EB723" s="58">
        <f>IFERROR($W724/$W723-1,"")</f>
        <v/>
      </c>
      <c r="EC723" s="58">
        <f>IFERROR($X724/$X723-1,"")</f>
        <v/>
      </c>
      <c r="ED723" s="58">
        <f>IFERROR($Y724/$Y723-1,"")</f>
        <v/>
      </c>
      <c r="EE723" s="58">
        <f>IFERROR($Z724/$Z723-1,"")</f>
        <v/>
      </c>
      <c r="EF723" s="58">
        <f>IFERROR($AA724/$AA723-1,"")</f>
        <v/>
      </c>
      <c r="EG723" s="58">
        <f>IFERROR($AB724/$AB723-1,"")</f>
        <v/>
      </c>
      <c r="EH723" s="58">
        <f>IFERROR($AC724/$AC723-1,"")</f>
        <v/>
      </c>
      <c r="EI723" s="58">
        <f>IFERROR($AD724/$AD723-1,"")</f>
        <v/>
      </c>
      <c r="EJ723" s="58">
        <f>IFERROR($AE724/$AE723-1,"")</f>
        <v/>
      </c>
      <c r="EK723" s="58">
        <f>IFERROR($AF724/$AF723-1,"")</f>
        <v/>
      </c>
      <c r="EL723" s="58">
        <f>IFERROR($AG724/$AG723-1,"")</f>
        <v/>
      </c>
      <c r="EM723" s="58">
        <f>IFERROR($BB723/$BB724-1,"")</f>
        <v/>
      </c>
      <c r="EN723" s="58">
        <f>IFERROR($BC723/$BC724-1,"")</f>
        <v/>
      </c>
      <c r="EO723" s="58">
        <f>IFERROR($BD723/$BD724-1,"")</f>
        <v/>
      </c>
      <c r="EP723" s="58">
        <f>IFERROR($BE723/$BE724-1,"")</f>
        <v/>
      </c>
      <c r="EQ723" s="58">
        <f>IFERROR($BF723/$BF724-1,"")</f>
        <v/>
      </c>
      <c r="ER723" s="58">
        <f>IFERROR($BG723/$BG724-1,"")</f>
        <v/>
      </c>
      <c r="ES723" s="58">
        <f>IFERROR($BH723/$BH724-1,"")</f>
        <v/>
      </c>
      <c r="ET723" s="58">
        <f>IFERROR($BI723/$BI724-1,"")</f>
        <v/>
      </c>
      <c r="EU723" s="58">
        <f>IFERROR($BJ723/$BJ724-1,"")</f>
        <v/>
      </c>
      <c r="EV723" s="58">
        <f>IFERROR($BK723/$BK724-1,"")</f>
        <v/>
      </c>
      <c r="EW723" s="58">
        <f>IFERROR($BL723/$BL724-1,"")</f>
        <v/>
      </c>
      <c r="EX723" s="58">
        <f>IFERROR($BM723/$BM724-1,"")</f>
        <v/>
      </c>
      <c r="EY723" s="58">
        <f>IFERROR($BN723/$BN724-1,"")</f>
        <v/>
      </c>
      <c r="EZ723" s="58">
        <f>IFERROR($BO723/$BO724-1,"")</f>
        <v/>
      </c>
      <c r="FA723" s="58">
        <f>IFERROR($BP723/$BP724-1,"")</f>
        <v/>
      </c>
      <c r="FB723" s="58">
        <f>IFERROR($BQ723/$BQ724-1,"")</f>
        <v/>
      </c>
      <c r="FC723" s="58">
        <f>IFERROR($BR723/$BR724-1,"")</f>
        <v/>
      </c>
      <c r="FD723" s="58">
        <f>IFERROR($BS723/$BS724-1,"")</f>
        <v/>
      </c>
      <c r="FE723" s="58">
        <f>IFERROR($BT723/$BT724-1,"")</f>
        <v/>
      </c>
      <c r="FF723" s="58">
        <f>IFERROR($BU723/$BU724-1,"")</f>
        <v/>
      </c>
      <c r="FG723" s="58">
        <f>IFERROR($BV723/$BV724-1,"")</f>
        <v/>
      </c>
      <c r="FH723" s="58">
        <f>IFERROR($BW723/$BW724-1,"")</f>
        <v/>
      </c>
      <c r="FI723" s="58">
        <f>IFERROR($BX723/$BX724-1,"")</f>
        <v/>
      </c>
      <c r="FJ723" s="59">
        <f>$BY723-$BY724</f>
        <v/>
      </c>
      <c r="FK723" s="59">
        <f>$BZ723-$BZ724</f>
        <v/>
      </c>
      <c r="FL723" s="59">
        <f>$CA723-$CA724</f>
        <v/>
      </c>
      <c r="FM723" s="59">
        <f>$CB723-$CB724</f>
        <v/>
      </c>
      <c r="FN723" s="59">
        <f>$CC723-$CC724</f>
        <v/>
      </c>
      <c r="FO723" s="59">
        <f>$CD723-$CD724</f>
        <v/>
      </c>
      <c r="FP723" s="59">
        <f>$CE723-$CE724</f>
        <v/>
      </c>
      <c r="FQ723" s="59">
        <f>$CF723-$CF724</f>
        <v/>
      </c>
      <c r="FR723" s="59">
        <f>$CG723-$CG724</f>
        <v/>
      </c>
      <c r="FS723" s="59">
        <f>$CH723-$CH724</f>
        <v/>
      </c>
      <c r="FT723" s="59">
        <f>$CI723-$CI724</f>
        <v/>
      </c>
      <c r="FU723" s="59">
        <f>$CJ723-$CJ724</f>
        <v/>
      </c>
      <c r="FV723" s="59">
        <f>$CK723-$CK724</f>
        <v/>
      </c>
      <c r="FW723" s="59">
        <f>$CL723-$CL724</f>
        <v/>
      </c>
      <c r="FX723" s="59">
        <f>$CM723-$CM724</f>
        <v/>
      </c>
      <c r="FY723" s="59">
        <f>$CN723-$CN724</f>
        <v/>
      </c>
      <c r="FZ723" s="59">
        <f>$CO723-$CO724</f>
        <v/>
      </c>
      <c r="GA723" s="59">
        <f>$CP723-$CP724</f>
        <v/>
      </c>
      <c r="GB723" s="59">
        <f>$CQ723-$CQ724</f>
        <v/>
      </c>
      <c r="GC723" s="59">
        <f>$CR723-$CR724</f>
        <v/>
      </c>
      <c r="GD723" s="59">
        <f>$CS723-$CS724</f>
        <v/>
      </c>
      <c r="GE723" s="59">
        <f>$CT723-$CT724</f>
        <v/>
      </c>
    </row>
    <row r="724">
      <c r="CU724" s="58">
        <f>IFERROR($B724/$B725-1,"")</f>
        <v/>
      </c>
      <c r="CV724" s="59">
        <f>($F724-$F725)*100</f>
        <v/>
      </c>
      <c r="CW724" s="59">
        <f>($E724-$E725)*100</f>
        <v/>
      </c>
      <c r="CX724" s="58">
        <f>IFERROR($K724/$K725-1,"")</f>
        <v/>
      </c>
      <c r="CY724" s="59">
        <f>($AH724-$AH725)*100</f>
        <v/>
      </c>
      <c r="CZ724" s="59">
        <f>($AI724-$AI725)*100</f>
        <v/>
      </c>
      <c r="DA724" s="59">
        <f>($AJ724-$AJ725)*100</f>
        <v/>
      </c>
      <c r="DB724" s="59">
        <f>($AK724-$AK725)*100</f>
        <v/>
      </c>
      <c r="DC724" s="59">
        <f>($AL724-$AL725)*100</f>
        <v/>
      </c>
      <c r="DD724" s="59">
        <f>($AM724-$AM725)*100</f>
        <v/>
      </c>
      <c r="DE724" s="59">
        <f>($AN724-$AN725)*100</f>
        <v/>
      </c>
      <c r="DF724" s="59">
        <f>($AO724-$AO725)*100</f>
        <v/>
      </c>
      <c r="DG724" s="59">
        <f>($AP724-$AP725)*100</f>
        <v/>
      </c>
      <c r="DH724" s="59">
        <f>($AQ724-$AQ725)*100</f>
        <v/>
      </c>
      <c r="DI724" s="59">
        <f>($AR724-$AR725)*100</f>
        <v/>
      </c>
      <c r="DJ724" s="59">
        <f>($AS724-$AS725)*100</f>
        <v/>
      </c>
      <c r="DK724" s="59">
        <f>($AT724-$AT725)*100</f>
        <v/>
      </c>
      <c r="DL724" s="59">
        <f>($AU724-$AU725)*100</f>
        <v/>
      </c>
      <c r="DM724" s="59">
        <f>($AV724-$AV725)*100</f>
        <v/>
      </c>
      <c r="DN724" s="59">
        <f>($AW724-$AW725)*100</f>
        <v/>
      </c>
      <c r="DO724" s="59">
        <f>($AX724-$AX725)*100</f>
        <v/>
      </c>
      <c r="DP724" s="59">
        <f>($AY724-$AY725)*100</f>
        <v/>
      </c>
      <c r="DQ724" s="59">
        <f>($AZ724-$AZ725)*100</f>
        <v/>
      </c>
      <c r="DR724" s="59">
        <f>($BA724-$BA725)*100</f>
        <v/>
      </c>
      <c r="DS724" s="58">
        <f>IFERROR($N725/$N724-1,"")</f>
        <v/>
      </c>
      <c r="DT724" s="58">
        <f>IFERROR($O725/$O724-1,"")</f>
        <v/>
      </c>
      <c r="DU724" s="58">
        <f>IFERROR($P725/$P724-1,"")</f>
        <v/>
      </c>
      <c r="DV724" s="58">
        <f>IFERROR($Q725/$Q724-1,"")</f>
        <v/>
      </c>
      <c r="DW724" s="58">
        <f>IFERROR($R725/$R724-1,"")</f>
        <v/>
      </c>
      <c r="DX724" s="58">
        <f>IFERROR($S725/$S724-1,"")</f>
        <v/>
      </c>
      <c r="DY724" s="58">
        <f>IFERROR($T725/$T724-1,"")</f>
        <v/>
      </c>
      <c r="DZ724" s="58">
        <f>IFERROR($U725/$U724-1,"")</f>
        <v/>
      </c>
      <c r="EA724" s="58">
        <f>IFERROR($V725/$V724-1,"")</f>
        <v/>
      </c>
      <c r="EB724" s="58">
        <f>IFERROR($W725/$W724-1,"")</f>
        <v/>
      </c>
      <c r="EC724" s="58">
        <f>IFERROR($X725/$X724-1,"")</f>
        <v/>
      </c>
      <c r="ED724" s="58">
        <f>IFERROR($Y725/$Y724-1,"")</f>
        <v/>
      </c>
      <c r="EE724" s="58">
        <f>IFERROR($Z725/$Z724-1,"")</f>
        <v/>
      </c>
      <c r="EF724" s="58">
        <f>IFERROR($AA725/$AA724-1,"")</f>
        <v/>
      </c>
      <c r="EG724" s="58">
        <f>IFERROR($AB725/$AB724-1,"")</f>
        <v/>
      </c>
      <c r="EH724" s="58">
        <f>IFERROR($AC725/$AC724-1,"")</f>
        <v/>
      </c>
      <c r="EI724" s="58">
        <f>IFERROR($AD725/$AD724-1,"")</f>
        <v/>
      </c>
      <c r="EJ724" s="58">
        <f>IFERROR($AE725/$AE724-1,"")</f>
        <v/>
      </c>
      <c r="EK724" s="58">
        <f>IFERROR($AF725/$AF724-1,"")</f>
        <v/>
      </c>
      <c r="EL724" s="58">
        <f>IFERROR($AG725/$AG724-1,"")</f>
        <v/>
      </c>
      <c r="EM724" s="58">
        <f>IFERROR($BB724/$BB725-1,"")</f>
        <v/>
      </c>
      <c r="EN724" s="58">
        <f>IFERROR($BC724/$BC725-1,"")</f>
        <v/>
      </c>
      <c r="EO724" s="58">
        <f>IFERROR($BD724/$BD725-1,"")</f>
        <v/>
      </c>
      <c r="EP724" s="58">
        <f>IFERROR($BE724/$BE725-1,"")</f>
        <v/>
      </c>
      <c r="EQ724" s="58">
        <f>IFERROR($BF724/$BF725-1,"")</f>
        <v/>
      </c>
      <c r="ER724" s="58">
        <f>IFERROR($BG724/$BG725-1,"")</f>
        <v/>
      </c>
      <c r="ES724" s="58">
        <f>IFERROR($BH724/$BH725-1,"")</f>
        <v/>
      </c>
      <c r="ET724" s="58">
        <f>IFERROR($BI724/$BI725-1,"")</f>
        <v/>
      </c>
      <c r="EU724" s="58">
        <f>IFERROR($BJ724/$BJ725-1,"")</f>
        <v/>
      </c>
      <c r="EV724" s="58">
        <f>IFERROR($BK724/$BK725-1,"")</f>
        <v/>
      </c>
      <c r="EW724" s="58">
        <f>IFERROR($BL724/$BL725-1,"")</f>
        <v/>
      </c>
      <c r="EX724" s="58">
        <f>IFERROR($BM724/$BM725-1,"")</f>
        <v/>
      </c>
      <c r="EY724" s="58">
        <f>IFERROR($BN724/$BN725-1,"")</f>
        <v/>
      </c>
      <c r="EZ724" s="58">
        <f>IFERROR($BO724/$BO725-1,"")</f>
        <v/>
      </c>
      <c r="FA724" s="58">
        <f>IFERROR($BP724/$BP725-1,"")</f>
        <v/>
      </c>
      <c r="FB724" s="58">
        <f>IFERROR($BQ724/$BQ725-1,"")</f>
        <v/>
      </c>
      <c r="FC724" s="58">
        <f>IFERROR($BR724/$BR725-1,"")</f>
        <v/>
      </c>
      <c r="FD724" s="58">
        <f>IFERROR($BS724/$BS725-1,"")</f>
        <v/>
      </c>
      <c r="FE724" s="58">
        <f>IFERROR($BT724/$BT725-1,"")</f>
        <v/>
      </c>
      <c r="FF724" s="58">
        <f>IFERROR($BU724/$BU725-1,"")</f>
        <v/>
      </c>
      <c r="FG724" s="58">
        <f>IFERROR($BV724/$BV725-1,"")</f>
        <v/>
      </c>
      <c r="FH724" s="58">
        <f>IFERROR($BW724/$BW725-1,"")</f>
        <v/>
      </c>
      <c r="FI724" s="58">
        <f>IFERROR($BX724/$BX725-1,"")</f>
        <v/>
      </c>
      <c r="FJ724" s="59">
        <f>$BY724-$BY725</f>
        <v/>
      </c>
      <c r="FK724" s="59">
        <f>$BZ724-$BZ725</f>
        <v/>
      </c>
      <c r="FL724" s="59">
        <f>$CA724-$CA725</f>
        <v/>
      </c>
      <c r="FM724" s="59">
        <f>$CB724-$CB725</f>
        <v/>
      </c>
      <c r="FN724" s="59">
        <f>$CC724-$CC725</f>
        <v/>
      </c>
      <c r="FO724" s="59">
        <f>$CD724-$CD725</f>
        <v/>
      </c>
      <c r="FP724" s="59">
        <f>$CE724-$CE725</f>
        <v/>
      </c>
      <c r="FQ724" s="59">
        <f>$CF724-$CF725</f>
        <v/>
      </c>
      <c r="FR724" s="59">
        <f>$CG724-$CG725</f>
        <v/>
      </c>
      <c r="FS724" s="59">
        <f>$CH724-$CH725</f>
        <v/>
      </c>
      <c r="FT724" s="59">
        <f>$CI724-$CI725</f>
        <v/>
      </c>
      <c r="FU724" s="59">
        <f>$CJ724-$CJ725</f>
        <v/>
      </c>
      <c r="FV724" s="59">
        <f>$CK724-$CK725</f>
        <v/>
      </c>
      <c r="FW724" s="59">
        <f>$CL724-$CL725</f>
        <v/>
      </c>
      <c r="FX724" s="59">
        <f>$CM724-$CM725</f>
        <v/>
      </c>
      <c r="FY724" s="59">
        <f>$CN724-$CN725</f>
        <v/>
      </c>
      <c r="FZ724" s="59">
        <f>$CO724-$CO725</f>
        <v/>
      </c>
      <c r="GA724" s="59">
        <f>$CP724-$CP725</f>
        <v/>
      </c>
      <c r="GB724" s="59">
        <f>$CQ724-$CQ725</f>
        <v/>
      </c>
      <c r="GC724" s="59">
        <f>$CR724-$CR725</f>
        <v/>
      </c>
      <c r="GD724" s="59">
        <f>$CS724-$CS725</f>
        <v/>
      </c>
      <c r="GE724" s="59">
        <f>$CT724-$CT725</f>
        <v/>
      </c>
    </row>
    <row r="725">
      <c r="CU725" s="58">
        <f>IFERROR($B725/$B726-1,"")</f>
        <v/>
      </c>
      <c r="CV725" s="59">
        <f>($F725-$F726)*100</f>
        <v/>
      </c>
      <c r="CW725" s="59">
        <f>($E725-$E726)*100</f>
        <v/>
      </c>
      <c r="CX725" s="58">
        <f>IFERROR($K725/$K726-1,"")</f>
        <v/>
      </c>
      <c r="CY725" s="59">
        <f>($AH725-$AH726)*100</f>
        <v/>
      </c>
      <c r="CZ725" s="59">
        <f>($AI725-$AI726)*100</f>
        <v/>
      </c>
      <c r="DA725" s="59">
        <f>($AJ725-$AJ726)*100</f>
        <v/>
      </c>
      <c r="DB725" s="59">
        <f>($AK725-$AK726)*100</f>
        <v/>
      </c>
      <c r="DC725" s="59">
        <f>($AL725-$AL726)*100</f>
        <v/>
      </c>
      <c r="DD725" s="59">
        <f>($AM725-$AM726)*100</f>
        <v/>
      </c>
      <c r="DE725" s="59">
        <f>($AN725-$AN726)*100</f>
        <v/>
      </c>
      <c r="DF725" s="59">
        <f>($AO725-$AO726)*100</f>
        <v/>
      </c>
      <c r="DG725" s="59">
        <f>($AP725-$AP726)*100</f>
        <v/>
      </c>
      <c r="DH725" s="59">
        <f>($AQ725-$AQ726)*100</f>
        <v/>
      </c>
      <c r="DI725" s="59">
        <f>($AR725-$AR726)*100</f>
        <v/>
      </c>
      <c r="DJ725" s="59">
        <f>($AS725-$AS726)*100</f>
        <v/>
      </c>
      <c r="DK725" s="59">
        <f>($AT725-$AT726)*100</f>
        <v/>
      </c>
      <c r="DL725" s="59">
        <f>($AU725-$AU726)*100</f>
        <v/>
      </c>
      <c r="DM725" s="59">
        <f>($AV725-$AV726)*100</f>
        <v/>
      </c>
      <c r="DN725" s="59">
        <f>($AW725-$AW726)*100</f>
        <v/>
      </c>
      <c r="DO725" s="59">
        <f>($AX725-$AX726)*100</f>
        <v/>
      </c>
      <c r="DP725" s="59">
        <f>($AY725-$AY726)*100</f>
        <v/>
      </c>
      <c r="DQ725" s="59">
        <f>($AZ725-$AZ726)*100</f>
        <v/>
      </c>
      <c r="DR725" s="59">
        <f>($BA725-$BA726)*100</f>
        <v/>
      </c>
      <c r="DS725" s="58">
        <f>IFERROR($N726/$N725-1,"")</f>
        <v/>
      </c>
      <c r="DT725" s="58">
        <f>IFERROR($O726/$O725-1,"")</f>
        <v/>
      </c>
      <c r="DU725" s="58">
        <f>IFERROR($P726/$P725-1,"")</f>
        <v/>
      </c>
      <c r="DV725" s="58">
        <f>IFERROR($Q726/$Q725-1,"")</f>
        <v/>
      </c>
      <c r="DW725" s="58">
        <f>IFERROR($R726/$R725-1,"")</f>
        <v/>
      </c>
      <c r="DX725" s="58">
        <f>IFERROR($S726/$S725-1,"")</f>
        <v/>
      </c>
      <c r="DY725" s="58">
        <f>IFERROR($T726/$T725-1,"")</f>
        <v/>
      </c>
      <c r="DZ725" s="58">
        <f>IFERROR($U726/$U725-1,"")</f>
        <v/>
      </c>
      <c r="EA725" s="58">
        <f>IFERROR($V726/$V725-1,"")</f>
        <v/>
      </c>
      <c r="EB725" s="58">
        <f>IFERROR($W726/$W725-1,"")</f>
        <v/>
      </c>
      <c r="EC725" s="58">
        <f>IFERROR($X726/$X725-1,"")</f>
        <v/>
      </c>
      <c r="ED725" s="58">
        <f>IFERROR($Y726/$Y725-1,"")</f>
        <v/>
      </c>
      <c r="EE725" s="58">
        <f>IFERROR($Z726/$Z725-1,"")</f>
        <v/>
      </c>
      <c r="EF725" s="58">
        <f>IFERROR($AA726/$AA725-1,"")</f>
        <v/>
      </c>
      <c r="EG725" s="58">
        <f>IFERROR($AB726/$AB725-1,"")</f>
        <v/>
      </c>
      <c r="EH725" s="58">
        <f>IFERROR($AC726/$AC725-1,"")</f>
        <v/>
      </c>
      <c r="EI725" s="58">
        <f>IFERROR($AD726/$AD725-1,"")</f>
        <v/>
      </c>
      <c r="EJ725" s="58">
        <f>IFERROR($AE726/$AE725-1,"")</f>
        <v/>
      </c>
      <c r="EK725" s="58">
        <f>IFERROR($AF726/$AF725-1,"")</f>
        <v/>
      </c>
      <c r="EL725" s="58">
        <f>IFERROR($AG726/$AG725-1,"")</f>
        <v/>
      </c>
      <c r="EM725" s="58">
        <f>IFERROR($BB725/$BB726-1,"")</f>
        <v/>
      </c>
      <c r="EN725" s="58">
        <f>IFERROR($BC725/$BC726-1,"")</f>
        <v/>
      </c>
      <c r="EO725" s="58">
        <f>IFERROR($BD725/$BD726-1,"")</f>
        <v/>
      </c>
      <c r="EP725" s="58">
        <f>IFERROR($BE725/$BE726-1,"")</f>
        <v/>
      </c>
      <c r="EQ725" s="58">
        <f>IFERROR($BF725/$BF726-1,"")</f>
        <v/>
      </c>
      <c r="ER725" s="58">
        <f>IFERROR($BG725/$BG726-1,"")</f>
        <v/>
      </c>
      <c r="ES725" s="58">
        <f>IFERROR($BH725/$BH726-1,"")</f>
        <v/>
      </c>
      <c r="ET725" s="58">
        <f>IFERROR($BI725/$BI726-1,"")</f>
        <v/>
      </c>
      <c r="EU725" s="58">
        <f>IFERROR($BJ725/$BJ726-1,"")</f>
        <v/>
      </c>
      <c r="EV725" s="58">
        <f>IFERROR($BK725/$BK726-1,"")</f>
        <v/>
      </c>
      <c r="EW725" s="58">
        <f>IFERROR($BL725/$BL726-1,"")</f>
        <v/>
      </c>
      <c r="EX725" s="58">
        <f>IFERROR($BM725/$BM726-1,"")</f>
        <v/>
      </c>
      <c r="EY725" s="58">
        <f>IFERROR($BN725/$BN726-1,"")</f>
        <v/>
      </c>
      <c r="EZ725" s="58">
        <f>IFERROR($BO725/$BO726-1,"")</f>
        <v/>
      </c>
      <c r="FA725" s="58">
        <f>IFERROR($BP725/$BP726-1,"")</f>
        <v/>
      </c>
      <c r="FB725" s="58">
        <f>IFERROR($BQ725/$BQ726-1,"")</f>
        <v/>
      </c>
      <c r="FC725" s="58">
        <f>IFERROR($BR725/$BR726-1,"")</f>
        <v/>
      </c>
      <c r="FD725" s="58">
        <f>IFERROR($BS725/$BS726-1,"")</f>
        <v/>
      </c>
      <c r="FE725" s="58">
        <f>IFERROR($BT725/$BT726-1,"")</f>
        <v/>
      </c>
      <c r="FF725" s="58">
        <f>IFERROR($BU725/$BU726-1,"")</f>
        <v/>
      </c>
      <c r="FG725" s="58">
        <f>IFERROR($BV725/$BV726-1,"")</f>
        <v/>
      </c>
      <c r="FH725" s="58">
        <f>IFERROR($BW725/$BW726-1,"")</f>
        <v/>
      </c>
      <c r="FI725" s="58">
        <f>IFERROR($BX725/$BX726-1,"")</f>
        <v/>
      </c>
      <c r="FJ725" s="59">
        <f>$BY725-$BY726</f>
        <v/>
      </c>
      <c r="FK725" s="59">
        <f>$BZ725-$BZ726</f>
        <v/>
      </c>
      <c r="FL725" s="59">
        <f>$CA725-$CA726</f>
        <v/>
      </c>
      <c r="FM725" s="59">
        <f>$CB725-$CB726</f>
        <v/>
      </c>
      <c r="FN725" s="59">
        <f>$CC725-$CC726</f>
        <v/>
      </c>
      <c r="FO725" s="59">
        <f>$CD725-$CD726</f>
        <v/>
      </c>
      <c r="FP725" s="59">
        <f>$CE725-$CE726</f>
        <v/>
      </c>
      <c r="FQ725" s="59">
        <f>$CF725-$CF726</f>
        <v/>
      </c>
      <c r="FR725" s="59">
        <f>$CG725-$CG726</f>
        <v/>
      </c>
      <c r="FS725" s="59">
        <f>$CH725-$CH726</f>
        <v/>
      </c>
      <c r="FT725" s="59">
        <f>$CI725-$CI726</f>
        <v/>
      </c>
      <c r="FU725" s="59">
        <f>$CJ725-$CJ726</f>
        <v/>
      </c>
      <c r="FV725" s="59">
        <f>$CK725-$CK726</f>
        <v/>
      </c>
      <c r="FW725" s="59">
        <f>$CL725-$CL726</f>
        <v/>
      </c>
      <c r="FX725" s="59">
        <f>$CM725-$CM726</f>
        <v/>
      </c>
      <c r="FY725" s="59">
        <f>$CN725-$CN726</f>
        <v/>
      </c>
      <c r="FZ725" s="59">
        <f>$CO725-$CO726</f>
        <v/>
      </c>
      <c r="GA725" s="59">
        <f>$CP725-$CP726</f>
        <v/>
      </c>
      <c r="GB725" s="59">
        <f>$CQ725-$CQ726</f>
        <v/>
      </c>
      <c r="GC725" s="59">
        <f>$CR725-$CR726</f>
        <v/>
      </c>
      <c r="GD725" s="59">
        <f>$CS725-$CS726</f>
        <v/>
      </c>
      <c r="GE725" s="59">
        <f>$CT725-$CT726</f>
        <v/>
      </c>
    </row>
    <row r="726">
      <c r="CU726" s="58">
        <f>IFERROR($B726/$B727-1,"")</f>
        <v/>
      </c>
      <c r="CV726" s="59">
        <f>($F726-$F727)*100</f>
        <v/>
      </c>
      <c r="CW726" s="59">
        <f>($E726-$E727)*100</f>
        <v/>
      </c>
      <c r="CX726" s="58">
        <f>IFERROR($K726/$K727-1,"")</f>
        <v/>
      </c>
      <c r="CY726" s="59">
        <f>($AH726-$AH727)*100</f>
        <v/>
      </c>
      <c r="CZ726" s="59">
        <f>($AI726-$AI727)*100</f>
        <v/>
      </c>
      <c r="DA726" s="59">
        <f>($AJ726-$AJ727)*100</f>
        <v/>
      </c>
      <c r="DB726" s="59">
        <f>($AK726-$AK727)*100</f>
        <v/>
      </c>
      <c r="DC726" s="59">
        <f>($AL726-$AL727)*100</f>
        <v/>
      </c>
      <c r="DD726" s="59">
        <f>($AM726-$AM727)*100</f>
        <v/>
      </c>
      <c r="DE726" s="59">
        <f>($AN726-$AN727)*100</f>
        <v/>
      </c>
      <c r="DF726" s="59">
        <f>($AO726-$AO727)*100</f>
        <v/>
      </c>
      <c r="DG726" s="59">
        <f>($AP726-$AP727)*100</f>
        <v/>
      </c>
      <c r="DH726" s="59">
        <f>($AQ726-$AQ727)*100</f>
        <v/>
      </c>
      <c r="DI726" s="59">
        <f>($AR726-$AR727)*100</f>
        <v/>
      </c>
      <c r="DJ726" s="59">
        <f>($AS726-$AS727)*100</f>
        <v/>
      </c>
      <c r="DK726" s="59">
        <f>($AT726-$AT727)*100</f>
        <v/>
      </c>
      <c r="DL726" s="59">
        <f>($AU726-$AU727)*100</f>
        <v/>
      </c>
      <c r="DM726" s="59">
        <f>($AV726-$AV727)*100</f>
        <v/>
      </c>
      <c r="DN726" s="59">
        <f>($AW726-$AW727)*100</f>
        <v/>
      </c>
      <c r="DO726" s="59">
        <f>($AX726-$AX727)*100</f>
        <v/>
      </c>
      <c r="DP726" s="59">
        <f>($AY726-$AY727)*100</f>
        <v/>
      </c>
      <c r="DQ726" s="59">
        <f>($AZ726-$AZ727)*100</f>
        <v/>
      </c>
      <c r="DR726" s="59">
        <f>($BA726-$BA727)*100</f>
        <v/>
      </c>
      <c r="DS726" s="58">
        <f>IFERROR($N727/$N726-1,"")</f>
        <v/>
      </c>
      <c r="DT726" s="58">
        <f>IFERROR($O727/$O726-1,"")</f>
        <v/>
      </c>
      <c r="DU726" s="58">
        <f>IFERROR($P727/$P726-1,"")</f>
        <v/>
      </c>
      <c r="DV726" s="58">
        <f>IFERROR($Q727/$Q726-1,"")</f>
        <v/>
      </c>
      <c r="DW726" s="58">
        <f>IFERROR($R727/$R726-1,"")</f>
        <v/>
      </c>
      <c r="DX726" s="58">
        <f>IFERROR($S727/$S726-1,"")</f>
        <v/>
      </c>
      <c r="DY726" s="58">
        <f>IFERROR($T727/$T726-1,"")</f>
        <v/>
      </c>
      <c r="DZ726" s="58">
        <f>IFERROR($U727/$U726-1,"")</f>
        <v/>
      </c>
      <c r="EA726" s="58">
        <f>IFERROR($V727/$V726-1,"")</f>
        <v/>
      </c>
      <c r="EB726" s="58">
        <f>IFERROR($W727/$W726-1,"")</f>
        <v/>
      </c>
      <c r="EC726" s="58">
        <f>IFERROR($X727/$X726-1,"")</f>
        <v/>
      </c>
      <c r="ED726" s="58">
        <f>IFERROR($Y727/$Y726-1,"")</f>
        <v/>
      </c>
      <c r="EE726" s="58">
        <f>IFERROR($Z727/$Z726-1,"")</f>
        <v/>
      </c>
      <c r="EF726" s="58">
        <f>IFERROR($AA727/$AA726-1,"")</f>
        <v/>
      </c>
      <c r="EG726" s="58">
        <f>IFERROR($AB727/$AB726-1,"")</f>
        <v/>
      </c>
      <c r="EH726" s="58">
        <f>IFERROR($AC727/$AC726-1,"")</f>
        <v/>
      </c>
      <c r="EI726" s="58">
        <f>IFERROR($AD727/$AD726-1,"")</f>
        <v/>
      </c>
      <c r="EJ726" s="58">
        <f>IFERROR($AE727/$AE726-1,"")</f>
        <v/>
      </c>
      <c r="EK726" s="58">
        <f>IFERROR($AF727/$AF726-1,"")</f>
        <v/>
      </c>
      <c r="EL726" s="58">
        <f>IFERROR($AG727/$AG726-1,"")</f>
        <v/>
      </c>
      <c r="EM726" s="58">
        <f>IFERROR($BB726/$BB727-1,"")</f>
        <v/>
      </c>
      <c r="EN726" s="58">
        <f>IFERROR($BC726/$BC727-1,"")</f>
        <v/>
      </c>
      <c r="EO726" s="58">
        <f>IFERROR($BD726/$BD727-1,"")</f>
        <v/>
      </c>
      <c r="EP726" s="58">
        <f>IFERROR($BE726/$BE727-1,"")</f>
        <v/>
      </c>
      <c r="EQ726" s="58">
        <f>IFERROR($BF726/$BF727-1,"")</f>
        <v/>
      </c>
      <c r="ER726" s="58">
        <f>IFERROR($BG726/$BG727-1,"")</f>
        <v/>
      </c>
      <c r="ES726" s="58">
        <f>IFERROR($BH726/$BH727-1,"")</f>
        <v/>
      </c>
      <c r="ET726" s="58">
        <f>IFERROR($BI726/$BI727-1,"")</f>
        <v/>
      </c>
      <c r="EU726" s="58">
        <f>IFERROR($BJ726/$BJ727-1,"")</f>
        <v/>
      </c>
      <c r="EV726" s="58">
        <f>IFERROR($BK726/$BK727-1,"")</f>
        <v/>
      </c>
      <c r="EW726" s="58">
        <f>IFERROR($BL726/$BL727-1,"")</f>
        <v/>
      </c>
      <c r="EX726" s="58">
        <f>IFERROR($BM726/$BM727-1,"")</f>
        <v/>
      </c>
      <c r="EY726" s="58">
        <f>IFERROR($BN726/$BN727-1,"")</f>
        <v/>
      </c>
      <c r="EZ726" s="58">
        <f>IFERROR($BO726/$BO727-1,"")</f>
        <v/>
      </c>
      <c r="FA726" s="58">
        <f>IFERROR($BP726/$BP727-1,"")</f>
        <v/>
      </c>
      <c r="FB726" s="58">
        <f>IFERROR($BQ726/$BQ727-1,"")</f>
        <v/>
      </c>
      <c r="FC726" s="58">
        <f>IFERROR($BR726/$BR727-1,"")</f>
        <v/>
      </c>
      <c r="FD726" s="58">
        <f>IFERROR($BS726/$BS727-1,"")</f>
        <v/>
      </c>
      <c r="FE726" s="58">
        <f>IFERROR($BT726/$BT727-1,"")</f>
        <v/>
      </c>
      <c r="FF726" s="58">
        <f>IFERROR($BU726/$BU727-1,"")</f>
        <v/>
      </c>
      <c r="FG726" s="58">
        <f>IFERROR($BV726/$BV727-1,"")</f>
        <v/>
      </c>
      <c r="FH726" s="58">
        <f>IFERROR($BW726/$BW727-1,"")</f>
        <v/>
      </c>
      <c r="FI726" s="58">
        <f>IFERROR($BX726/$BX727-1,"")</f>
        <v/>
      </c>
      <c r="FJ726" s="59">
        <f>$BY726-$BY727</f>
        <v/>
      </c>
      <c r="FK726" s="59">
        <f>$BZ726-$BZ727</f>
        <v/>
      </c>
      <c r="FL726" s="59">
        <f>$CA726-$CA727</f>
        <v/>
      </c>
      <c r="FM726" s="59">
        <f>$CB726-$CB727</f>
        <v/>
      </c>
      <c r="FN726" s="59">
        <f>$CC726-$CC727</f>
        <v/>
      </c>
      <c r="FO726" s="59">
        <f>$CD726-$CD727</f>
        <v/>
      </c>
      <c r="FP726" s="59">
        <f>$CE726-$CE727</f>
        <v/>
      </c>
      <c r="FQ726" s="59">
        <f>$CF726-$CF727</f>
        <v/>
      </c>
      <c r="FR726" s="59">
        <f>$CG726-$CG727</f>
        <v/>
      </c>
      <c r="FS726" s="59">
        <f>$CH726-$CH727</f>
        <v/>
      </c>
      <c r="FT726" s="59">
        <f>$CI726-$CI727</f>
        <v/>
      </c>
      <c r="FU726" s="59">
        <f>$CJ726-$CJ727</f>
        <v/>
      </c>
      <c r="FV726" s="59">
        <f>$CK726-$CK727</f>
        <v/>
      </c>
      <c r="FW726" s="59">
        <f>$CL726-$CL727</f>
        <v/>
      </c>
      <c r="FX726" s="59">
        <f>$CM726-$CM727</f>
        <v/>
      </c>
      <c r="FY726" s="59">
        <f>$CN726-$CN727</f>
        <v/>
      </c>
      <c r="FZ726" s="59">
        <f>$CO726-$CO727</f>
        <v/>
      </c>
      <c r="GA726" s="59">
        <f>$CP726-$CP727</f>
        <v/>
      </c>
      <c r="GB726" s="59">
        <f>$CQ726-$CQ727</f>
        <v/>
      </c>
      <c r="GC726" s="59">
        <f>$CR726-$CR727</f>
        <v/>
      </c>
      <c r="GD726" s="59">
        <f>$CS726-$CS727</f>
        <v/>
      </c>
      <c r="GE726" s="59">
        <f>$CT726-$CT727</f>
        <v/>
      </c>
    </row>
    <row r="727">
      <c r="CU727" s="58">
        <f>IFERROR($B727/$B728-1,"")</f>
        <v/>
      </c>
      <c r="CV727" s="59">
        <f>($F727-$F728)*100</f>
        <v/>
      </c>
      <c r="CW727" s="59">
        <f>($E727-$E728)*100</f>
        <v/>
      </c>
      <c r="CX727" s="58">
        <f>IFERROR($K727/$K728-1,"")</f>
        <v/>
      </c>
      <c r="CY727" s="59">
        <f>($AH727-$AH728)*100</f>
        <v/>
      </c>
      <c r="CZ727" s="59">
        <f>($AI727-$AI728)*100</f>
        <v/>
      </c>
      <c r="DA727" s="59">
        <f>($AJ727-$AJ728)*100</f>
        <v/>
      </c>
      <c r="DB727" s="59">
        <f>($AK727-$AK728)*100</f>
        <v/>
      </c>
      <c r="DC727" s="59">
        <f>($AL727-$AL728)*100</f>
        <v/>
      </c>
      <c r="DD727" s="59">
        <f>($AM727-$AM728)*100</f>
        <v/>
      </c>
      <c r="DE727" s="59">
        <f>($AN727-$AN728)*100</f>
        <v/>
      </c>
      <c r="DF727" s="59">
        <f>($AO727-$AO728)*100</f>
        <v/>
      </c>
      <c r="DG727" s="59">
        <f>($AP727-$AP728)*100</f>
        <v/>
      </c>
      <c r="DH727" s="59">
        <f>($AQ727-$AQ728)*100</f>
        <v/>
      </c>
      <c r="DI727" s="59">
        <f>($AR727-$AR728)*100</f>
        <v/>
      </c>
      <c r="DJ727" s="59">
        <f>($AS727-$AS728)*100</f>
        <v/>
      </c>
      <c r="DK727" s="59">
        <f>($AT727-$AT728)*100</f>
        <v/>
      </c>
      <c r="DL727" s="59">
        <f>($AU727-$AU728)*100</f>
        <v/>
      </c>
      <c r="DM727" s="59">
        <f>($AV727-$AV728)*100</f>
        <v/>
      </c>
      <c r="DN727" s="59">
        <f>($AW727-$AW728)*100</f>
        <v/>
      </c>
      <c r="DO727" s="59">
        <f>($AX727-$AX728)*100</f>
        <v/>
      </c>
      <c r="DP727" s="59">
        <f>($AY727-$AY728)*100</f>
        <v/>
      </c>
      <c r="DQ727" s="59">
        <f>($AZ727-$AZ728)*100</f>
        <v/>
      </c>
      <c r="DR727" s="59">
        <f>($BA727-$BA728)*100</f>
        <v/>
      </c>
      <c r="DS727" s="58">
        <f>IFERROR($N728/$N727-1,"")</f>
        <v/>
      </c>
      <c r="DT727" s="58">
        <f>IFERROR($O728/$O727-1,"")</f>
        <v/>
      </c>
      <c r="DU727" s="58">
        <f>IFERROR($P728/$P727-1,"")</f>
        <v/>
      </c>
      <c r="DV727" s="58">
        <f>IFERROR($Q728/$Q727-1,"")</f>
        <v/>
      </c>
      <c r="DW727" s="58">
        <f>IFERROR($R728/$R727-1,"")</f>
        <v/>
      </c>
      <c r="DX727" s="58">
        <f>IFERROR($S728/$S727-1,"")</f>
        <v/>
      </c>
      <c r="DY727" s="58">
        <f>IFERROR($T728/$T727-1,"")</f>
        <v/>
      </c>
      <c r="DZ727" s="58">
        <f>IFERROR($U728/$U727-1,"")</f>
        <v/>
      </c>
      <c r="EA727" s="58">
        <f>IFERROR($V728/$V727-1,"")</f>
        <v/>
      </c>
      <c r="EB727" s="58">
        <f>IFERROR($W728/$W727-1,"")</f>
        <v/>
      </c>
      <c r="EC727" s="58">
        <f>IFERROR($X728/$X727-1,"")</f>
        <v/>
      </c>
      <c r="ED727" s="58">
        <f>IFERROR($Y728/$Y727-1,"")</f>
        <v/>
      </c>
      <c r="EE727" s="58">
        <f>IFERROR($Z728/$Z727-1,"")</f>
        <v/>
      </c>
      <c r="EF727" s="58">
        <f>IFERROR($AA728/$AA727-1,"")</f>
        <v/>
      </c>
      <c r="EG727" s="58">
        <f>IFERROR($AB728/$AB727-1,"")</f>
        <v/>
      </c>
      <c r="EH727" s="58">
        <f>IFERROR($AC728/$AC727-1,"")</f>
        <v/>
      </c>
      <c r="EI727" s="58">
        <f>IFERROR($AD728/$AD727-1,"")</f>
        <v/>
      </c>
      <c r="EJ727" s="58">
        <f>IFERROR($AE728/$AE727-1,"")</f>
        <v/>
      </c>
      <c r="EK727" s="58">
        <f>IFERROR($AF728/$AF727-1,"")</f>
        <v/>
      </c>
      <c r="EL727" s="58">
        <f>IFERROR($AG728/$AG727-1,"")</f>
        <v/>
      </c>
      <c r="EM727" s="58">
        <f>IFERROR($BB727/$BB728-1,"")</f>
        <v/>
      </c>
      <c r="EN727" s="58">
        <f>IFERROR($BC727/$BC728-1,"")</f>
        <v/>
      </c>
      <c r="EO727" s="58">
        <f>IFERROR($BD727/$BD728-1,"")</f>
        <v/>
      </c>
      <c r="EP727" s="58">
        <f>IFERROR($BE727/$BE728-1,"")</f>
        <v/>
      </c>
      <c r="EQ727" s="58">
        <f>IFERROR($BF727/$BF728-1,"")</f>
        <v/>
      </c>
      <c r="ER727" s="58">
        <f>IFERROR($BG727/$BG728-1,"")</f>
        <v/>
      </c>
      <c r="ES727" s="58">
        <f>IFERROR($BH727/$BH728-1,"")</f>
        <v/>
      </c>
      <c r="ET727" s="58">
        <f>IFERROR($BI727/$BI728-1,"")</f>
        <v/>
      </c>
      <c r="EU727" s="58">
        <f>IFERROR($BJ727/$BJ728-1,"")</f>
        <v/>
      </c>
      <c r="EV727" s="58">
        <f>IFERROR($BK727/$BK728-1,"")</f>
        <v/>
      </c>
      <c r="EW727" s="58">
        <f>IFERROR($BL727/$BL728-1,"")</f>
        <v/>
      </c>
      <c r="EX727" s="58">
        <f>IFERROR($BM727/$BM728-1,"")</f>
        <v/>
      </c>
      <c r="EY727" s="58">
        <f>IFERROR($BN727/$BN728-1,"")</f>
        <v/>
      </c>
      <c r="EZ727" s="58">
        <f>IFERROR($BO727/$BO728-1,"")</f>
        <v/>
      </c>
      <c r="FA727" s="58">
        <f>IFERROR($BP727/$BP728-1,"")</f>
        <v/>
      </c>
      <c r="FB727" s="58">
        <f>IFERROR($BQ727/$BQ728-1,"")</f>
        <v/>
      </c>
      <c r="FC727" s="58">
        <f>IFERROR($BR727/$BR728-1,"")</f>
        <v/>
      </c>
      <c r="FD727" s="58">
        <f>IFERROR($BS727/$BS728-1,"")</f>
        <v/>
      </c>
      <c r="FE727" s="58">
        <f>IFERROR($BT727/$BT728-1,"")</f>
        <v/>
      </c>
      <c r="FF727" s="58">
        <f>IFERROR($BU727/$BU728-1,"")</f>
        <v/>
      </c>
      <c r="FG727" s="58">
        <f>IFERROR($BV727/$BV728-1,"")</f>
        <v/>
      </c>
      <c r="FH727" s="58">
        <f>IFERROR($BW727/$BW728-1,"")</f>
        <v/>
      </c>
      <c r="FI727" s="58">
        <f>IFERROR($BX727/$BX728-1,"")</f>
        <v/>
      </c>
      <c r="FJ727" s="59">
        <f>$BY727-$BY728</f>
        <v/>
      </c>
      <c r="FK727" s="59">
        <f>$BZ727-$BZ728</f>
        <v/>
      </c>
      <c r="FL727" s="59">
        <f>$CA727-$CA728</f>
        <v/>
      </c>
      <c r="FM727" s="59">
        <f>$CB727-$CB728</f>
        <v/>
      </c>
      <c r="FN727" s="59">
        <f>$CC727-$CC728</f>
        <v/>
      </c>
      <c r="FO727" s="59">
        <f>$CD727-$CD728</f>
        <v/>
      </c>
      <c r="FP727" s="59">
        <f>$CE727-$CE728</f>
        <v/>
      </c>
      <c r="FQ727" s="59">
        <f>$CF727-$CF728</f>
        <v/>
      </c>
      <c r="FR727" s="59">
        <f>$CG727-$CG728</f>
        <v/>
      </c>
      <c r="FS727" s="59">
        <f>$CH727-$CH728</f>
        <v/>
      </c>
      <c r="FT727" s="59">
        <f>$CI727-$CI728</f>
        <v/>
      </c>
      <c r="FU727" s="59">
        <f>$CJ727-$CJ728</f>
        <v/>
      </c>
      <c r="FV727" s="59">
        <f>$CK727-$CK728</f>
        <v/>
      </c>
      <c r="FW727" s="59">
        <f>$CL727-$CL728</f>
        <v/>
      </c>
      <c r="FX727" s="59">
        <f>$CM727-$CM728</f>
        <v/>
      </c>
      <c r="FY727" s="59">
        <f>$CN727-$CN728</f>
        <v/>
      </c>
      <c r="FZ727" s="59">
        <f>$CO727-$CO728</f>
        <v/>
      </c>
      <c r="GA727" s="59">
        <f>$CP727-$CP728</f>
        <v/>
      </c>
      <c r="GB727" s="59">
        <f>$CQ727-$CQ728</f>
        <v/>
      </c>
      <c r="GC727" s="59">
        <f>$CR727-$CR728</f>
        <v/>
      </c>
      <c r="GD727" s="59">
        <f>$CS727-$CS728</f>
        <v/>
      </c>
      <c r="GE727" s="59">
        <f>$CT727-$CT728</f>
        <v/>
      </c>
    </row>
    <row r="728">
      <c r="CU728" s="58">
        <f>IFERROR($B728/$B729-1,"")</f>
        <v/>
      </c>
      <c r="CV728" s="59">
        <f>($F728-$F729)*100</f>
        <v/>
      </c>
      <c r="CW728" s="59">
        <f>($E728-$E729)*100</f>
        <v/>
      </c>
      <c r="CX728" s="58">
        <f>IFERROR($K728/$K729-1,"")</f>
        <v/>
      </c>
      <c r="CY728" s="59">
        <f>($AH728-$AH729)*100</f>
        <v/>
      </c>
      <c r="CZ728" s="59">
        <f>($AI728-$AI729)*100</f>
        <v/>
      </c>
      <c r="DA728" s="59">
        <f>($AJ728-$AJ729)*100</f>
        <v/>
      </c>
      <c r="DB728" s="59">
        <f>($AK728-$AK729)*100</f>
        <v/>
      </c>
      <c r="DC728" s="59">
        <f>($AL728-$AL729)*100</f>
        <v/>
      </c>
      <c r="DD728" s="59">
        <f>($AM728-$AM729)*100</f>
        <v/>
      </c>
      <c r="DE728" s="59">
        <f>($AN728-$AN729)*100</f>
        <v/>
      </c>
      <c r="DF728" s="59">
        <f>($AO728-$AO729)*100</f>
        <v/>
      </c>
      <c r="DG728" s="59">
        <f>($AP728-$AP729)*100</f>
        <v/>
      </c>
      <c r="DH728" s="59">
        <f>($AQ728-$AQ729)*100</f>
        <v/>
      </c>
      <c r="DI728" s="59">
        <f>($AR728-$AR729)*100</f>
        <v/>
      </c>
      <c r="DJ728" s="59">
        <f>($AS728-$AS729)*100</f>
        <v/>
      </c>
      <c r="DK728" s="59">
        <f>($AT728-$AT729)*100</f>
        <v/>
      </c>
      <c r="DL728" s="59">
        <f>($AU728-$AU729)*100</f>
        <v/>
      </c>
      <c r="DM728" s="59">
        <f>($AV728-$AV729)*100</f>
        <v/>
      </c>
      <c r="DN728" s="59">
        <f>($AW728-$AW729)*100</f>
        <v/>
      </c>
      <c r="DO728" s="59">
        <f>($AX728-$AX729)*100</f>
        <v/>
      </c>
      <c r="DP728" s="59">
        <f>($AY728-$AY729)*100</f>
        <v/>
      </c>
      <c r="DQ728" s="59">
        <f>($AZ728-$AZ729)*100</f>
        <v/>
      </c>
      <c r="DR728" s="59">
        <f>($BA728-$BA729)*100</f>
        <v/>
      </c>
      <c r="DS728" s="58">
        <f>IFERROR($N729/$N728-1,"")</f>
        <v/>
      </c>
      <c r="DT728" s="58">
        <f>IFERROR($O729/$O728-1,"")</f>
        <v/>
      </c>
      <c r="DU728" s="58">
        <f>IFERROR($P729/$P728-1,"")</f>
        <v/>
      </c>
      <c r="DV728" s="58">
        <f>IFERROR($Q729/$Q728-1,"")</f>
        <v/>
      </c>
      <c r="DW728" s="58">
        <f>IFERROR($R729/$R728-1,"")</f>
        <v/>
      </c>
      <c r="DX728" s="58">
        <f>IFERROR($S729/$S728-1,"")</f>
        <v/>
      </c>
      <c r="DY728" s="58">
        <f>IFERROR($T729/$T728-1,"")</f>
        <v/>
      </c>
      <c r="DZ728" s="58">
        <f>IFERROR($U729/$U728-1,"")</f>
        <v/>
      </c>
      <c r="EA728" s="58">
        <f>IFERROR($V729/$V728-1,"")</f>
        <v/>
      </c>
      <c r="EB728" s="58">
        <f>IFERROR($W729/$W728-1,"")</f>
        <v/>
      </c>
      <c r="EC728" s="58">
        <f>IFERROR($X729/$X728-1,"")</f>
        <v/>
      </c>
      <c r="ED728" s="58">
        <f>IFERROR($Y729/$Y728-1,"")</f>
        <v/>
      </c>
      <c r="EE728" s="58">
        <f>IFERROR($Z729/$Z728-1,"")</f>
        <v/>
      </c>
      <c r="EF728" s="58">
        <f>IFERROR($AA729/$AA728-1,"")</f>
        <v/>
      </c>
      <c r="EG728" s="58">
        <f>IFERROR($AB729/$AB728-1,"")</f>
        <v/>
      </c>
      <c r="EH728" s="58">
        <f>IFERROR($AC729/$AC728-1,"")</f>
        <v/>
      </c>
      <c r="EI728" s="58">
        <f>IFERROR($AD729/$AD728-1,"")</f>
        <v/>
      </c>
      <c r="EJ728" s="58">
        <f>IFERROR($AE729/$AE728-1,"")</f>
        <v/>
      </c>
      <c r="EK728" s="58">
        <f>IFERROR($AF729/$AF728-1,"")</f>
        <v/>
      </c>
      <c r="EL728" s="58">
        <f>IFERROR($AG729/$AG728-1,"")</f>
        <v/>
      </c>
      <c r="EM728" s="58">
        <f>IFERROR($BB728/$BB729-1,"")</f>
        <v/>
      </c>
      <c r="EN728" s="58">
        <f>IFERROR($BC728/$BC729-1,"")</f>
        <v/>
      </c>
      <c r="EO728" s="58">
        <f>IFERROR($BD728/$BD729-1,"")</f>
        <v/>
      </c>
      <c r="EP728" s="58">
        <f>IFERROR($BE728/$BE729-1,"")</f>
        <v/>
      </c>
      <c r="EQ728" s="58">
        <f>IFERROR($BF728/$BF729-1,"")</f>
        <v/>
      </c>
      <c r="ER728" s="58">
        <f>IFERROR($BG728/$BG729-1,"")</f>
        <v/>
      </c>
      <c r="ES728" s="58">
        <f>IFERROR($BH728/$BH729-1,"")</f>
        <v/>
      </c>
      <c r="ET728" s="58">
        <f>IFERROR($BI728/$BI729-1,"")</f>
        <v/>
      </c>
      <c r="EU728" s="58">
        <f>IFERROR($BJ728/$BJ729-1,"")</f>
        <v/>
      </c>
      <c r="EV728" s="58">
        <f>IFERROR($BK728/$BK729-1,"")</f>
        <v/>
      </c>
      <c r="EW728" s="58">
        <f>IFERROR($BL728/$BL729-1,"")</f>
        <v/>
      </c>
      <c r="EX728" s="58">
        <f>IFERROR($BM728/$BM729-1,"")</f>
        <v/>
      </c>
      <c r="EY728" s="58">
        <f>IFERROR($BN728/$BN729-1,"")</f>
        <v/>
      </c>
      <c r="EZ728" s="58">
        <f>IFERROR($BO728/$BO729-1,"")</f>
        <v/>
      </c>
      <c r="FA728" s="58">
        <f>IFERROR($BP728/$BP729-1,"")</f>
        <v/>
      </c>
      <c r="FB728" s="58">
        <f>IFERROR($BQ728/$BQ729-1,"")</f>
        <v/>
      </c>
      <c r="FC728" s="58">
        <f>IFERROR($BR728/$BR729-1,"")</f>
        <v/>
      </c>
      <c r="FD728" s="58">
        <f>IFERROR($BS728/$BS729-1,"")</f>
        <v/>
      </c>
      <c r="FE728" s="58">
        <f>IFERROR($BT728/$BT729-1,"")</f>
        <v/>
      </c>
      <c r="FF728" s="58">
        <f>IFERROR($BU728/$BU729-1,"")</f>
        <v/>
      </c>
      <c r="FG728" s="58">
        <f>IFERROR($BV728/$BV729-1,"")</f>
        <v/>
      </c>
      <c r="FH728" s="58">
        <f>IFERROR($BW728/$BW729-1,"")</f>
        <v/>
      </c>
      <c r="FI728" s="58">
        <f>IFERROR($BX728/$BX729-1,"")</f>
        <v/>
      </c>
      <c r="FJ728" s="59">
        <f>$BY728-$BY729</f>
        <v/>
      </c>
      <c r="FK728" s="59">
        <f>$BZ728-$BZ729</f>
        <v/>
      </c>
      <c r="FL728" s="59">
        <f>$CA728-$CA729</f>
        <v/>
      </c>
      <c r="FM728" s="59">
        <f>$CB728-$CB729</f>
        <v/>
      </c>
      <c r="FN728" s="59">
        <f>$CC728-$CC729</f>
        <v/>
      </c>
      <c r="FO728" s="59">
        <f>$CD728-$CD729</f>
        <v/>
      </c>
      <c r="FP728" s="59">
        <f>$CE728-$CE729</f>
        <v/>
      </c>
      <c r="FQ728" s="59">
        <f>$CF728-$CF729</f>
        <v/>
      </c>
      <c r="FR728" s="59">
        <f>$CG728-$CG729</f>
        <v/>
      </c>
      <c r="FS728" s="59">
        <f>$CH728-$CH729</f>
        <v/>
      </c>
      <c r="FT728" s="59">
        <f>$CI728-$CI729</f>
        <v/>
      </c>
      <c r="FU728" s="59">
        <f>$CJ728-$CJ729</f>
        <v/>
      </c>
      <c r="FV728" s="59">
        <f>$CK728-$CK729</f>
        <v/>
      </c>
      <c r="FW728" s="59">
        <f>$CL728-$CL729</f>
        <v/>
      </c>
      <c r="FX728" s="59">
        <f>$CM728-$CM729</f>
        <v/>
      </c>
      <c r="FY728" s="59">
        <f>$CN728-$CN729</f>
        <v/>
      </c>
      <c r="FZ728" s="59">
        <f>$CO728-$CO729</f>
        <v/>
      </c>
      <c r="GA728" s="59">
        <f>$CP728-$CP729</f>
        <v/>
      </c>
      <c r="GB728" s="59">
        <f>$CQ728-$CQ729</f>
        <v/>
      </c>
      <c r="GC728" s="59">
        <f>$CR728-$CR729</f>
        <v/>
      </c>
      <c r="GD728" s="59">
        <f>$CS728-$CS729</f>
        <v/>
      </c>
      <c r="GE728" s="59">
        <f>$CT728-$CT729</f>
        <v/>
      </c>
    </row>
    <row r="729">
      <c r="CU729" s="58">
        <f>IFERROR($B729/$B730-1,"")</f>
        <v/>
      </c>
      <c r="CV729" s="59">
        <f>($F729-$F730)*100</f>
        <v/>
      </c>
      <c r="CW729" s="59">
        <f>($E729-$E730)*100</f>
        <v/>
      </c>
      <c r="CX729" s="58">
        <f>IFERROR($K729/$K730-1,"")</f>
        <v/>
      </c>
      <c r="CY729" s="59">
        <f>($AH729-$AH730)*100</f>
        <v/>
      </c>
      <c r="CZ729" s="59">
        <f>($AI729-$AI730)*100</f>
        <v/>
      </c>
      <c r="DA729" s="59">
        <f>($AJ729-$AJ730)*100</f>
        <v/>
      </c>
      <c r="DB729" s="59">
        <f>($AK729-$AK730)*100</f>
        <v/>
      </c>
      <c r="DC729" s="59">
        <f>($AL729-$AL730)*100</f>
        <v/>
      </c>
      <c r="DD729" s="59">
        <f>($AM729-$AM730)*100</f>
        <v/>
      </c>
      <c r="DE729" s="59">
        <f>($AN729-$AN730)*100</f>
        <v/>
      </c>
      <c r="DF729" s="59">
        <f>($AO729-$AO730)*100</f>
        <v/>
      </c>
      <c r="DG729" s="59">
        <f>($AP729-$AP730)*100</f>
        <v/>
      </c>
      <c r="DH729" s="59">
        <f>($AQ729-$AQ730)*100</f>
        <v/>
      </c>
      <c r="DI729" s="59">
        <f>($AR729-$AR730)*100</f>
        <v/>
      </c>
      <c r="DJ729" s="59">
        <f>($AS729-$AS730)*100</f>
        <v/>
      </c>
      <c r="DK729" s="59">
        <f>($AT729-$AT730)*100</f>
        <v/>
      </c>
      <c r="DL729" s="59">
        <f>($AU729-$AU730)*100</f>
        <v/>
      </c>
      <c r="DM729" s="59">
        <f>($AV729-$AV730)*100</f>
        <v/>
      </c>
      <c r="DN729" s="59">
        <f>($AW729-$AW730)*100</f>
        <v/>
      </c>
      <c r="DO729" s="59">
        <f>($AX729-$AX730)*100</f>
        <v/>
      </c>
      <c r="DP729" s="59">
        <f>($AY729-$AY730)*100</f>
        <v/>
      </c>
      <c r="DQ729" s="59">
        <f>($AZ729-$AZ730)*100</f>
        <v/>
      </c>
      <c r="DR729" s="59">
        <f>($BA729-$BA730)*100</f>
        <v/>
      </c>
      <c r="DS729" s="58">
        <f>IFERROR($N730/$N729-1,"")</f>
        <v/>
      </c>
      <c r="DT729" s="58">
        <f>IFERROR($O730/$O729-1,"")</f>
        <v/>
      </c>
      <c r="DU729" s="58">
        <f>IFERROR($P730/$P729-1,"")</f>
        <v/>
      </c>
      <c r="DV729" s="58">
        <f>IFERROR($Q730/$Q729-1,"")</f>
        <v/>
      </c>
      <c r="DW729" s="58">
        <f>IFERROR($R730/$R729-1,"")</f>
        <v/>
      </c>
      <c r="DX729" s="58">
        <f>IFERROR($S730/$S729-1,"")</f>
        <v/>
      </c>
      <c r="DY729" s="58">
        <f>IFERROR($T730/$T729-1,"")</f>
        <v/>
      </c>
      <c r="DZ729" s="58">
        <f>IFERROR($U730/$U729-1,"")</f>
        <v/>
      </c>
      <c r="EA729" s="58">
        <f>IFERROR($V730/$V729-1,"")</f>
        <v/>
      </c>
      <c r="EB729" s="58">
        <f>IFERROR($W730/$W729-1,"")</f>
        <v/>
      </c>
      <c r="EC729" s="58">
        <f>IFERROR($X730/$X729-1,"")</f>
        <v/>
      </c>
      <c r="ED729" s="58">
        <f>IFERROR($Y730/$Y729-1,"")</f>
        <v/>
      </c>
      <c r="EE729" s="58">
        <f>IFERROR($Z730/$Z729-1,"")</f>
        <v/>
      </c>
      <c r="EF729" s="58">
        <f>IFERROR($AA730/$AA729-1,"")</f>
        <v/>
      </c>
      <c r="EG729" s="58">
        <f>IFERROR($AB730/$AB729-1,"")</f>
        <v/>
      </c>
      <c r="EH729" s="58">
        <f>IFERROR($AC730/$AC729-1,"")</f>
        <v/>
      </c>
      <c r="EI729" s="58">
        <f>IFERROR($AD730/$AD729-1,"")</f>
        <v/>
      </c>
      <c r="EJ729" s="58">
        <f>IFERROR($AE730/$AE729-1,"")</f>
        <v/>
      </c>
      <c r="EK729" s="58">
        <f>IFERROR($AF730/$AF729-1,"")</f>
        <v/>
      </c>
      <c r="EL729" s="58">
        <f>IFERROR($AG730/$AG729-1,"")</f>
        <v/>
      </c>
      <c r="EM729" s="58">
        <f>IFERROR($BB729/$BB730-1,"")</f>
        <v/>
      </c>
      <c r="EN729" s="58">
        <f>IFERROR($BC729/$BC730-1,"")</f>
        <v/>
      </c>
      <c r="EO729" s="58">
        <f>IFERROR($BD729/$BD730-1,"")</f>
        <v/>
      </c>
      <c r="EP729" s="58">
        <f>IFERROR($BE729/$BE730-1,"")</f>
        <v/>
      </c>
      <c r="EQ729" s="58">
        <f>IFERROR($BF729/$BF730-1,"")</f>
        <v/>
      </c>
      <c r="ER729" s="58">
        <f>IFERROR($BG729/$BG730-1,"")</f>
        <v/>
      </c>
      <c r="ES729" s="58">
        <f>IFERROR($BH729/$BH730-1,"")</f>
        <v/>
      </c>
      <c r="ET729" s="58">
        <f>IFERROR($BI729/$BI730-1,"")</f>
        <v/>
      </c>
      <c r="EU729" s="58">
        <f>IFERROR($BJ729/$BJ730-1,"")</f>
        <v/>
      </c>
      <c r="EV729" s="58">
        <f>IFERROR($BK729/$BK730-1,"")</f>
        <v/>
      </c>
      <c r="EW729" s="58">
        <f>IFERROR($BL729/$BL730-1,"")</f>
        <v/>
      </c>
      <c r="EX729" s="58">
        <f>IFERROR($BM729/$BM730-1,"")</f>
        <v/>
      </c>
      <c r="EY729" s="58">
        <f>IFERROR($BN729/$BN730-1,"")</f>
        <v/>
      </c>
      <c r="EZ729" s="58">
        <f>IFERROR($BO729/$BO730-1,"")</f>
        <v/>
      </c>
      <c r="FA729" s="58">
        <f>IFERROR($BP729/$BP730-1,"")</f>
        <v/>
      </c>
      <c r="FB729" s="58">
        <f>IFERROR($BQ729/$BQ730-1,"")</f>
        <v/>
      </c>
      <c r="FC729" s="58">
        <f>IFERROR($BR729/$BR730-1,"")</f>
        <v/>
      </c>
      <c r="FD729" s="58">
        <f>IFERROR($BS729/$BS730-1,"")</f>
        <v/>
      </c>
      <c r="FE729" s="58">
        <f>IFERROR($BT729/$BT730-1,"")</f>
        <v/>
      </c>
      <c r="FF729" s="58">
        <f>IFERROR($BU729/$BU730-1,"")</f>
        <v/>
      </c>
      <c r="FG729" s="58">
        <f>IFERROR($BV729/$BV730-1,"")</f>
        <v/>
      </c>
      <c r="FH729" s="58">
        <f>IFERROR($BW729/$BW730-1,"")</f>
        <v/>
      </c>
      <c r="FI729" s="58">
        <f>IFERROR($BX729/$BX730-1,"")</f>
        <v/>
      </c>
      <c r="FJ729" s="59">
        <f>$BY729-$BY730</f>
        <v/>
      </c>
      <c r="FK729" s="59">
        <f>$BZ729-$BZ730</f>
        <v/>
      </c>
      <c r="FL729" s="59">
        <f>$CA729-$CA730</f>
        <v/>
      </c>
      <c r="FM729" s="59">
        <f>$CB729-$CB730</f>
        <v/>
      </c>
      <c r="FN729" s="59">
        <f>$CC729-$CC730</f>
        <v/>
      </c>
      <c r="FO729" s="59">
        <f>$CD729-$CD730</f>
        <v/>
      </c>
      <c r="FP729" s="59">
        <f>$CE729-$CE730</f>
        <v/>
      </c>
      <c r="FQ729" s="59">
        <f>$CF729-$CF730</f>
        <v/>
      </c>
      <c r="FR729" s="59">
        <f>$CG729-$CG730</f>
        <v/>
      </c>
      <c r="FS729" s="59">
        <f>$CH729-$CH730</f>
        <v/>
      </c>
      <c r="FT729" s="59">
        <f>$CI729-$CI730</f>
        <v/>
      </c>
      <c r="FU729" s="59">
        <f>$CJ729-$CJ730</f>
        <v/>
      </c>
      <c r="FV729" s="59">
        <f>$CK729-$CK730</f>
        <v/>
      </c>
      <c r="FW729" s="59">
        <f>$CL729-$CL730</f>
        <v/>
      </c>
      <c r="FX729" s="59">
        <f>$CM729-$CM730</f>
        <v/>
      </c>
      <c r="FY729" s="59">
        <f>$CN729-$CN730</f>
        <v/>
      </c>
      <c r="FZ729" s="59">
        <f>$CO729-$CO730</f>
        <v/>
      </c>
      <c r="GA729" s="59">
        <f>$CP729-$CP730</f>
        <v/>
      </c>
      <c r="GB729" s="59">
        <f>$CQ729-$CQ730</f>
        <v/>
      </c>
      <c r="GC729" s="59">
        <f>$CR729-$CR730</f>
        <v/>
      </c>
      <c r="GD729" s="59">
        <f>$CS729-$CS730</f>
        <v/>
      </c>
      <c r="GE729" s="59">
        <f>$CT729-$CT730</f>
        <v/>
      </c>
    </row>
    <row r="730">
      <c r="CU730" s="58">
        <f>IFERROR($B730/$B731-1,"")</f>
        <v/>
      </c>
      <c r="CV730" s="59">
        <f>($F730-$F731)*100</f>
        <v/>
      </c>
      <c r="CW730" s="59">
        <f>($E730-$E731)*100</f>
        <v/>
      </c>
      <c r="CX730" s="58">
        <f>IFERROR($K730/$K731-1,"")</f>
        <v/>
      </c>
      <c r="CY730" s="59">
        <f>($AH730-$AH731)*100</f>
        <v/>
      </c>
      <c r="CZ730" s="59">
        <f>($AI730-$AI731)*100</f>
        <v/>
      </c>
      <c r="DA730" s="59">
        <f>($AJ730-$AJ731)*100</f>
        <v/>
      </c>
      <c r="DB730" s="59">
        <f>($AK730-$AK731)*100</f>
        <v/>
      </c>
      <c r="DC730" s="59">
        <f>($AL730-$AL731)*100</f>
        <v/>
      </c>
      <c r="DD730" s="59">
        <f>($AM730-$AM731)*100</f>
        <v/>
      </c>
      <c r="DE730" s="59">
        <f>($AN730-$AN731)*100</f>
        <v/>
      </c>
      <c r="DF730" s="59">
        <f>($AO730-$AO731)*100</f>
        <v/>
      </c>
      <c r="DG730" s="59">
        <f>($AP730-$AP731)*100</f>
        <v/>
      </c>
      <c r="DH730" s="59">
        <f>($AQ730-$AQ731)*100</f>
        <v/>
      </c>
      <c r="DI730" s="59">
        <f>($AR730-$AR731)*100</f>
        <v/>
      </c>
      <c r="DJ730" s="59">
        <f>($AS730-$AS731)*100</f>
        <v/>
      </c>
      <c r="DK730" s="59">
        <f>($AT730-$AT731)*100</f>
        <v/>
      </c>
      <c r="DL730" s="59">
        <f>($AU730-$AU731)*100</f>
        <v/>
      </c>
      <c r="DM730" s="59">
        <f>($AV730-$AV731)*100</f>
        <v/>
      </c>
      <c r="DN730" s="59">
        <f>($AW730-$AW731)*100</f>
        <v/>
      </c>
      <c r="DO730" s="59">
        <f>($AX730-$AX731)*100</f>
        <v/>
      </c>
      <c r="DP730" s="59">
        <f>($AY730-$AY731)*100</f>
        <v/>
      </c>
      <c r="DQ730" s="59">
        <f>($AZ730-$AZ731)*100</f>
        <v/>
      </c>
      <c r="DR730" s="59">
        <f>($BA730-$BA731)*100</f>
        <v/>
      </c>
      <c r="DS730" s="58">
        <f>IFERROR($N731/$N730-1,"")</f>
        <v/>
      </c>
      <c r="DT730" s="58">
        <f>IFERROR($O731/$O730-1,"")</f>
        <v/>
      </c>
      <c r="DU730" s="58">
        <f>IFERROR($P731/$P730-1,"")</f>
        <v/>
      </c>
      <c r="DV730" s="58">
        <f>IFERROR($Q731/$Q730-1,"")</f>
        <v/>
      </c>
      <c r="DW730" s="58">
        <f>IFERROR($R731/$R730-1,"")</f>
        <v/>
      </c>
      <c r="DX730" s="58">
        <f>IFERROR($S731/$S730-1,"")</f>
        <v/>
      </c>
      <c r="DY730" s="58">
        <f>IFERROR($T731/$T730-1,"")</f>
        <v/>
      </c>
      <c r="DZ730" s="58">
        <f>IFERROR($U731/$U730-1,"")</f>
        <v/>
      </c>
      <c r="EA730" s="58">
        <f>IFERROR($V731/$V730-1,"")</f>
        <v/>
      </c>
      <c r="EB730" s="58">
        <f>IFERROR($W731/$W730-1,"")</f>
        <v/>
      </c>
      <c r="EC730" s="58">
        <f>IFERROR($X731/$X730-1,"")</f>
        <v/>
      </c>
      <c r="ED730" s="58">
        <f>IFERROR($Y731/$Y730-1,"")</f>
        <v/>
      </c>
      <c r="EE730" s="58">
        <f>IFERROR($Z731/$Z730-1,"")</f>
        <v/>
      </c>
      <c r="EF730" s="58">
        <f>IFERROR($AA731/$AA730-1,"")</f>
        <v/>
      </c>
      <c r="EG730" s="58">
        <f>IFERROR($AB731/$AB730-1,"")</f>
        <v/>
      </c>
      <c r="EH730" s="58">
        <f>IFERROR($AC731/$AC730-1,"")</f>
        <v/>
      </c>
      <c r="EI730" s="58">
        <f>IFERROR($AD731/$AD730-1,"")</f>
        <v/>
      </c>
      <c r="EJ730" s="58">
        <f>IFERROR($AE731/$AE730-1,"")</f>
        <v/>
      </c>
      <c r="EK730" s="58">
        <f>IFERROR($AF731/$AF730-1,"")</f>
        <v/>
      </c>
      <c r="EL730" s="58">
        <f>IFERROR($AG731/$AG730-1,"")</f>
        <v/>
      </c>
      <c r="EM730" s="58">
        <f>IFERROR($BB730/$BB731-1,"")</f>
        <v/>
      </c>
      <c r="EN730" s="58">
        <f>IFERROR($BC730/$BC731-1,"")</f>
        <v/>
      </c>
      <c r="EO730" s="58">
        <f>IFERROR($BD730/$BD731-1,"")</f>
        <v/>
      </c>
      <c r="EP730" s="58">
        <f>IFERROR($BE730/$BE731-1,"")</f>
        <v/>
      </c>
      <c r="EQ730" s="58">
        <f>IFERROR($BF730/$BF731-1,"")</f>
        <v/>
      </c>
      <c r="ER730" s="58">
        <f>IFERROR($BG730/$BG731-1,"")</f>
        <v/>
      </c>
      <c r="ES730" s="58">
        <f>IFERROR($BH730/$BH731-1,"")</f>
        <v/>
      </c>
      <c r="ET730" s="58">
        <f>IFERROR($BI730/$BI731-1,"")</f>
        <v/>
      </c>
      <c r="EU730" s="58">
        <f>IFERROR($BJ730/$BJ731-1,"")</f>
        <v/>
      </c>
      <c r="EV730" s="58">
        <f>IFERROR($BK730/$BK731-1,"")</f>
        <v/>
      </c>
      <c r="EW730" s="58">
        <f>IFERROR($BL730/$BL731-1,"")</f>
        <v/>
      </c>
      <c r="EX730" s="58">
        <f>IFERROR($BM730/$BM731-1,"")</f>
        <v/>
      </c>
      <c r="EY730" s="58">
        <f>IFERROR($BN730/$BN731-1,"")</f>
        <v/>
      </c>
      <c r="EZ730" s="58">
        <f>IFERROR($BO730/$BO731-1,"")</f>
        <v/>
      </c>
      <c r="FA730" s="58">
        <f>IFERROR($BP730/$BP731-1,"")</f>
        <v/>
      </c>
      <c r="FB730" s="58">
        <f>IFERROR($BQ730/$BQ731-1,"")</f>
        <v/>
      </c>
      <c r="FC730" s="58">
        <f>IFERROR($BR730/$BR731-1,"")</f>
        <v/>
      </c>
      <c r="FD730" s="58">
        <f>IFERROR($BS730/$BS731-1,"")</f>
        <v/>
      </c>
      <c r="FE730" s="58">
        <f>IFERROR($BT730/$BT731-1,"")</f>
        <v/>
      </c>
      <c r="FF730" s="58">
        <f>IFERROR($BU730/$BU731-1,"")</f>
        <v/>
      </c>
      <c r="FG730" s="58">
        <f>IFERROR($BV730/$BV731-1,"")</f>
        <v/>
      </c>
      <c r="FH730" s="58">
        <f>IFERROR($BW730/$BW731-1,"")</f>
        <v/>
      </c>
      <c r="FI730" s="58">
        <f>IFERROR($BX730/$BX731-1,"")</f>
        <v/>
      </c>
      <c r="FJ730" s="59">
        <f>$BY730-$BY731</f>
        <v/>
      </c>
      <c r="FK730" s="59">
        <f>$BZ730-$BZ731</f>
        <v/>
      </c>
      <c r="FL730" s="59">
        <f>$CA730-$CA731</f>
        <v/>
      </c>
      <c r="FM730" s="59">
        <f>$CB730-$CB731</f>
        <v/>
      </c>
      <c r="FN730" s="59">
        <f>$CC730-$CC731</f>
        <v/>
      </c>
      <c r="FO730" s="59">
        <f>$CD730-$CD731</f>
        <v/>
      </c>
      <c r="FP730" s="59">
        <f>$CE730-$CE731</f>
        <v/>
      </c>
      <c r="FQ730" s="59">
        <f>$CF730-$CF731</f>
        <v/>
      </c>
      <c r="FR730" s="59">
        <f>$CG730-$CG731</f>
        <v/>
      </c>
      <c r="FS730" s="59">
        <f>$CH730-$CH731</f>
        <v/>
      </c>
      <c r="FT730" s="59">
        <f>$CI730-$CI731</f>
        <v/>
      </c>
      <c r="FU730" s="59">
        <f>$CJ730-$CJ731</f>
        <v/>
      </c>
      <c r="FV730" s="59">
        <f>$CK730-$CK731</f>
        <v/>
      </c>
      <c r="FW730" s="59">
        <f>$CL730-$CL731</f>
        <v/>
      </c>
      <c r="FX730" s="59">
        <f>$CM730-$CM731</f>
        <v/>
      </c>
      <c r="FY730" s="59">
        <f>$CN730-$CN731</f>
        <v/>
      </c>
      <c r="FZ730" s="59">
        <f>$CO730-$CO731</f>
        <v/>
      </c>
      <c r="GA730" s="59">
        <f>$CP730-$CP731</f>
        <v/>
      </c>
      <c r="GB730" s="59">
        <f>$CQ730-$CQ731</f>
        <v/>
      </c>
      <c r="GC730" s="59">
        <f>$CR730-$CR731</f>
        <v/>
      </c>
      <c r="GD730" s="59">
        <f>$CS730-$CS731</f>
        <v/>
      </c>
      <c r="GE730" s="59">
        <f>$CT730-$CT731</f>
        <v/>
      </c>
    </row>
    <row r="731">
      <c r="CU731" s="58">
        <f>IFERROR($B731/$B732-1,"")</f>
        <v/>
      </c>
      <c r="CV731" s="59">
        <f>($F731-$F732)*100</f>
        <v/>
      </c>
      <c r="CW731" s="59">
        <f>($E731-$E732)*100</f>
        <v/>
      </c>
      <c r="CX731" s="58">
        <f>IFERROR($K731/$K732-1,"")</f>
        <v/>
      </c>
      <c r="CY731" s="59">
        <f>($AH731-$AH732)*100</f>
        <v/>
      </c>
      <c r="CZ731" s="59">
        <f>($AI731-$AI732)*100</f>
        <v/>
      </c>
      <c r="DA731" s="59">
        <f>($AJ731-$AJ732)*100</f>
        <v/>
      </c>
      <c r="DB731" s="59">
        <f>($AK731-$AK732)*100</f>
        <v/>
      </c>
      <c r="DC731" s="59">
        <f>($AL731-$AL732)*100</f>
        <v/>
      </c>
      <c r="DD731" s="59">
        <f>($AM731-$AM732)*100</f>
        <v/>
      </c>
      <c r="DE731" s="59">
        <f>($AN731-$AN732)*100</f>
        <v/>
      </c>
      <c r="DF731" s="59">
        <f>($AO731-$AO732)*100</f>
        <v/>
      </c>
      <c r="DG731" s="59">
        <f>($AP731-$AP732)*100</f>
        <v/>
      </c>
      <c r="DH731" s="59">
        <f>($AQ731-$AQ732)*100</f>
        <v/>
      </c>
      <c r="DI731" s="59">
        <f>($AR731-$AR732)*100</f>
        <v/>
      </c>
      <c r="DJ731" s="59">
        <f>($AS731-$AS732)*100</f>
        <v/>
      </c>
      <c r="DK731" s="59">
        <f>($AT731-$AT732)*100</f>
        <v/>
      </c>
      <c r="DL731" s="59">
        <f>($AU731-$AU732)*100</f>
        <v/>
      </c>
      <c r="DM731" s="59">
        <f>($AV731-$AV732)*100</f>
        <v/>
      </c>
      <c r="DN731" s="59">
        <f>($AW731-$AW732)*100</f>
        <v/>
      </c>
      <c r="DO731" s="59">
        <f>($AX731-$AX732)*100</f>
        <v/>
      </c>
      <c r="DP731" s="59">
        <f>($AY731-$AY732)*100</f>
        <v/>
      </c>
      <c r="DQ731" s="59">
        <f>($AZ731-$AZ732)*100</f>
        <v/>
      </c>
      <c r="DR731" s="59">
        <f>($BA731-$BA732)*100</f>
        <v/>
      </c>
      <c r="DS731" s="58">
        <f>IFERROR($N732/$N731-1,"")</f>
        <v/>
      </c>
      <c r="DT731" s="58">
        <f>IFERROR($O732/$O731-1,"")</f>
        <v/>
      </c>
      <c r="DU731" s="58">
        <f>IFERROR($P732/$P731-1,"")</f>
        <v/>
      </c>
      <c r="DV731" s="58">
        <f>IFERROR($Q732/$Q731-1,"")</f>
        <v/>
      </c>
      <c r="DW731" s="58">
        <f>IFERROR($R732/$R731-1,"")</f>
        <v/>
      </c>
      <c r="DX731" s="58">
        <f>IFERROR($S732/$S731-1,"")</f>
        <v/>
      </c>
      <c r="DY731" s="58">
        <f>IFERROR($T732/$T731-1,"")</f>
        <v/>
      </c>
      <c r="DZ731" s="58">
        <f>IFERROR($U732/$U731-1,"")</f>
        <v/>
      </c>
      <c r="EA731" s="58">
        <f>IFERROR($V732/$V731-1,"")</f>
        <v/>
      </c>
      <c r="EB731" s="58">
        <f>IFERROR($W732/$W731-1,"")</f>
        <v/>
      </c>
      <c r="EC731" s="58">
        <f>IFERROR($X732/$X731-1,"")</f>
        <v/>
      </c>
      <c r="ED731" s="58">
        <f>IFERROR($Y732/$Y731-1,"")</f>
        <v/>
      </c>
      <c r="EE731" s="58">
        <f>IFERROR($Z732/$Z731-1,"")</f>
        <v/>
      </c>
      <c r="EF731" s="58">
        <f>IFERROR($AA732/$AA731-1,"")</f>
        <v/>
      </c>
      <c r="EG731" s="58">
        <f>IFERROR($AB732/$AB731-1,"")</f>
        <v/>
      </c>
      <c r="EH731" s="58">
        <f>IFERROR($AC732/$AC731-1,"")</f>
        <v/>
      </c>
      <c r="EI731" s="58">
        <f>IFERROR($AD732/$AD731-1,"")</f>
        <v/>
      </c>
      <c r="EJ731" s="58">
        <f>IFERROR($AE732/$AE731-1,"")</f>
        <v/>
      </c>
      <c r="EK731" s="58">
        <f>IFERROR($AF732/$AF731-1,"")</f>
        <v/>
      </c>
      <c r="EL731" s="58">
        <f>IFERROR($AG732/$AG731-1,"")</f>
        <v/>
      </c>
      <c r="EM731" s="58">
        <f>IFERROR($BB731/$BB732-1,"")</f>
        <v/>
      </c>
      <c r="EN731" s="58">
        <f>IFERROR($BC731/$BC732-1,"")</f>
        <v/>
      </c>
      <c r="EO731" s="58">
        <f>IFERROR($BD731/$BD732-1,"")</f>
        <v/>
      </c>
      <c r="EP731" s="58">
        <f>IFERROR($BE731/$BE732-1,"")</f>
        <v/>
      </c>
      <c r="EQ731" s="58">
        <f>IFERROR($BF731/$BF732-1,"")</f>
        <v/>
      </c>
      <c r="ER731" s="58">
        <f>IFERROR($BG731/$BG732-1,"")</f>
        <v/>
      </c>
      <c r="ES731" s="58">
        <f>IFERROR($BH731/$BH732-1,"")</f>
        <v/>
      </c>
      <c r="ET731" s="58">
        <f>IFERROR($BI731/$BI732-1,"")</f>
        <v/>
      </c>
      <c r="EU731" s="58">
        <f>IFERROR($BJ731/$BJ732-1,"")</f>
        <v/>
      </c>
      <c r="EV731" s="58">
        <f>IFERROR($BK731/$BK732-1,"")</f>
        <v/>
      </c>
      <c r="EW731" s="58">
        <f>IFERROR($BL731/$BL732-1,"")</f>
        <v/>
      </c>
      <c r="EX731" s="58">
        <f>IFERROR($BM731/$BM732-1,"")</f>
        <v/>
      </c>
      <c r="EY731" s="58">
        <f>IFERROR($BN731/$BN732-1,"")</f>
        <v/>
      </c>
      <c r="EZ731" s="58">
        <f>IFERROR($BO731/$BO732-1,"")</f>
        <v/>
      </c>
      <c r="FA731" s="58">
        <f>IFERROR($BP731/$BP732-1,"")</f>
        <v/>
      </c>
      <c r="FB731" s="58">
        <f>IFERROR($BQ731/$BQ732-1,"")</f>
        <v/>
      </c>
      <c r="FC731" s="58">
        <f>IFERROR($BR731/$BR732-1,"")</f>
        <v/>
      </c>
      <c r="FD731" s="58">
        <f>IFERROR($BS731/$BS732-1,"")</f>
        <v/>
      </c>
      <c r="FE731" s="58">
        <f>IFERROR($BT731/$BT732-1,"")</f>
        <v/>
      </c>
      <c r="FF731" s="58">
        <f>IFERROR($BU731/$BU732-1,"")</f>
        <v/>
      </c>
      <c r="FG731" s="58">
        <f>IFERROR($BV731/$BV732-1,"")</f>
        <v/>
      </c>
      <c r="FH731" s="58">
        <f>IFERROR($BW731/$BW732-1,"")</f>
        <v/>
      </c>
      <c r="FI731" s="58">
        <f>IFERROR($BX731/$BX732-1,"")</f>
        <v/>
      </c>
      <c r="FJ731" s="59">
        <f>$BY731-$BY732</f>
        <v/>
      </c>
      <c r="FK731" s="59">
        <f>$BZ731-$BZ732</f>
        <v/>
      </c>
      <c r="FL731" s="59">
        <f>$CA731-$CA732</f>
        <v/>
      </c>
      <c r="FM731" s="59">
        <f>$CB731-$CB732</f>
        <v/>
      </c>
      <c r="FN731" s="59">
        <f>$CC731-$CC732</f>
        <v/>
      </c>
      <c r="FO731" s="59">
        <f>$CD731-$CD732</f>
        <v/>
      </c>
      <c r="FP731" s="59">
        <f>$CE731-$CE732</f>
        <v/>
      </c>
      <c r="FQ731" s="59">
        <f>$CF731-$CF732</f>
        <v/>
      </c>
      <c r="FR731" s="59">
        <f>$CG731-$CG732</f>
        <v/>
      </c>
      <c r="FS731" s="59">
        <f>$CH731-$CH732</f>
        <v/>
      </c>
      <c r="FT731" s="59">
        <f>$CI731-$CI732</f>
        <v/>
      </c>
      <c r="FU731" s="59">
        <f>$CJ731-$CJ732</f>
        <v/>
      </c>
      <c r="FV731" s="59">
        <f>$CK731-$CK732</f>
        <v/>
      </c>
      <c r="FW731" s="59">
        <f>$CL731-$CL732</f>
        <v/>
      </c>
      <c r="FX731" s="59">
        <f>$CM731-$CM732</f>
        <v/>
      </c>
      <c r="FY731" s="59">
        <f>$CN731-$CN732</f>
        <v/>
      </c>
      <c r="FZ731" s="59">
        <f>$CO731-$CO732</f>
        <v/>
      </c>
      <c r="GA731" s="59">
        <f>$CP731-$CP732</f>
        <v/>
      </c>
      <c r="GB731" s="59">
        <f>$CQ731-$CQ732</f>
        <v/>
      </c>
      <c r="GC731" s="59">
        <f>$CR731-$CR732</f>
        <v/>
      </c>
      <c r="GD731" s="59">
        <f>$CS731-$CS732</f>
        <v/>
      </c>
      <c r="GE731" s="59">
        <f>$CT731-$CT732</f>
        <v/>
      </c>
    </row>
    <row r="732">
      <c r="CU732" s="58">
        <f>IFERROR($B732/$B733-1,"")</f>
        <v/>
      </c>
      <c r="CV732" s="59">
        <f>($F732-$F733)*100</f>
        <v/>
      </c>
      <c r="CW732" s="59">
        <f>($E732-$E733)*100</f>
        <v/>
      </c>
      <c r="CX732" s="58">
        <f>IFERROR($K732/$K733-1,"")</f>
        <v/>
      </c>
      <c r="CY732" s="59">
        <f>($AH732-$AH733)*100</f>
        <v/>
      </c>
      <c r="CZ732" s="59">
        <f>($AI732-$AI733)*100</f>
        <v/>
      </c>
      <c r="DA732" s="59">
        <f>($AJ732-$AJ733)*100</f>
        <v/>
      </c>
      <c r="DB732" s="59">
        <f>($AK732-$AK733)*100</f>
        <v/>
      </c>
      <c r="DC732" s="59">
        <f>($AL732-$AL733)*100</f>
        <v/>
      </c>
      <c r="DD732" s="59">
        <f>($AM732-$AM733)*100</f>
        <v/>
      </c>
      <c r="DE732" s="59">
        <f>($AN732-$AN733)*100</f>
        <v/>
      </c>
      <c r="DF732" s="59">
        <f>($AO732-$AO733)*100</f>
        <v/>
      </c>
      <c r="DG732" s="59">
        <f>($AP732-$AP733)*100</f>
        <v/>
      </c>
      <c r="DH732" s="59">
        <f>($AQ732-$AQ733)*100</f>
        <v/>
      </c>
      <c r="DI732" s="59">
        <f>($AR732-$AR733)*100</f>
        <v/>
      </c>
      <c r="DJ732" s="59">
        <f>($AS732-$AS733)*100</f>
        <v/>
      </c>
      <c r="DK732" s="59">
        <f>($AT732-$AT733)*100</f>
        <v/>
      </c>
      <c r="DL732" s="59">
        <f>($AU732-$AU733)*100</f>
        <v/>
      </c>
      <c r="DM732" s="59">
        <f>($AV732-$AV733)*100</f>
        <v/>
      </c>
      <c r="DN732" s="59">
        <f>($AW732-$AW733)*100</f>
        <v/>
      </c>
      <c r="DO732" s="59">
        <f>($AX732-$AX733)*100</f>
        <v/>
      </c>
      <c r="DP732" s="59">
        <f>($AY732-$AY733)*100</f>
        <v/>
      </c>
      <c r="DQ732" s="59">
        <f>($AZ732-$AZ733)*100</f>
        <v/>
      </c>
      <c r="DR732" s="59">
        <f>($BA732-$BA733)*100</f>
        <v/>
      </c>
      <c r="DS732" s="58">
        <f>IFERROR($N733/$N732-1,"")</f>
        <v/>
      </c>
      <c r="DT732" s="58">
        <f>IFERROR($O733/$O732-1,"")</f>
        <v/>
      </c>
      <c r="DU732" s="58">
        <f>IFERROR($P733/$P732-1,"")</f>
        <v/>
      </c>
      <c r="DV732" s="58">
        <f>IFERROR($Q733/$Q732-1,"")</f>
        <v/>
      </c>
      <c r="DW732" s="58">
        <f>IFERROR($R733/$R732-1,"")</f>
        <v/>
      </c>
      <c r="DX732" s="58">
        <f>IFERROR($S733/$S732-1,"")</f>
        <v/>
      </c>
      <c r="DY732" s="58">
        <f>IFERROR($T733/$T732-1,"")</f>
        <v/>
      </c>
      <c r="DZ732" s="58">
        <f>IFERROR($U733/$U732-1,"")</f>
        <v/>
      </c>
      <c r="EA732" s="58">
        <f>IFERROR($V733/$V732-1,"")</f>
        <v/>
      </c>
      <c r="EB732" s="58">
        <f>IFERROR($W733/$W732-1,"")</f>
        <v/>
      </c>
      <c r="EC732" s="58">
        <f>IFERROR($X733/$X732-1,"")</f>
        <v/>
      </c>
      <c r="ED732" s="58">
        <f>IFERROR($Y733/$Y732-1,"")</f>
        <v/>
      </c>
      <c r="EE732" s="58">
        <f>IFERROR($Z733/$Z732-1,"")</f>
        <v/>
      </c>
      <c r="EF732" s="58">
        <f>IFERROR($AA733/$AA732-1,"")</f>
        <v/>
      </c>
      <c r="EG732" s="58">
        <f>IFERROR($AB733/$AB732-1,"")</f>
        <v/>
      </c>
      <c r="EH732" s="58">
        <f>IFERROR($AC733/$AC732-1,"")</f>
        <v/>
      </c>
      <c r="EI732" s="58">
        <f>IFERROR($AD733/$AD732-1,"")</f>
        <v/>
      </c>
      <c r="EJ732" s="58">
        <f>IFERROR($AE733/$AE732-1,"")</f>
        <v/>
      </c>
      <c r="EK732" s="58">
        <f>IFERROR($AF733/$AF732-1,"")</f>
        <v/>
      </c>
      <c r="EL732" s="58">
        <f>IFERROR($AG733/$AG732-1,"")</f>
        <v/>
      </c>
      <c r="EM732" s="58">
        <f>IFERROR($BB732/$BB733-1,"")</f>
        <v/>
      </c>
      <c r="EN732" s="58">
        <f>IFERROR($BC732/$BC733-1,"")</f>
        <v/>
      </c>
      <c r="EO732" s="58">
        <f>IFERROR($BD732/$BD733-1,"")</f>
        <v/>
      </c>
      <c r="EP732" s="58">
        <f>IFERROR($BE732/$BE733-1,"")</f>
        <v/>
      </c>
      <c r="EQ732" s="58">
        <f>IFERROR($BF732/$BF733-1,"")</f>
        <v/>
      </c>
      <c r="ER732" s="58">
        <f>IFERROR($BG732/$BG733-1,"")</f>
        <v/>
      </c>
      <c r="ES732" s="58">
        <f>IFERROR($BH732/$BH733-1,"")</f>
        <v/>
      </c>
      <c r="ET732" s="58">
        <f>IFERROR($BI732/$BI733-1,"")</f>
        <v/>
      </c>
      <c r="EU732" s="58">
        <f>IFERROR($BJ732/$BJ733-1,"")</f>
        <v/>
      </c>
      <c r="EV732" s="58">
        <f>IFERROR($BK732/$BK733-1,"")</f>
        <v/>
      </c>
      <c r="EW732" s="58">
        <f>IFERROR($BL732/$BL733-1,"")</f>
        <v/>
      </c>
      <c r="EX732" s="58">
        <f>IFERROR($BM732/$BM733-1,"")</f>
        <v/>
      </c>
      <c r="EY732" s="58">
        <f>IFERROR($BN732/$BN733-1,"")</f>
        <v/>
      </c>
      <c r="EZ732" s="58">
        <f>IFERROR($BO732/$BO733-1,"")</f>
        <v/>
      </c>
      <c r="FA732" s="58">
        <f>IFERROR($BP732/$BP733-1,"")</f>
        <v/>
      </c>
      <c r="FB732" s="58">
        <f>IFERROR($BQ732/$BQ733-1,"")</f>
        <v/>
      </c>
      <c r="FC732" s="58">
        <f>IFERROR($BR732/$BR733-1,"")</f>
        <v/>
      </c>
      <c r="FD732" s="58">
        <f>IFERROR($BS732/$BS733-1,"")</f>
        <v/>
      </c>
      <c r="FE732" s="58">
        <f>IFERROR($BT732/$BT733-1,"")</f>
        <v/>
      </c>
      <c r="FF732" s="58">
        <f>IFERROR($BU732/$BU733-1,"")</f>
        <v/>
      </c>
      <c r="FG732" s="58">
        <f>IFERROR($BV732/$BV733-1,"")</f>
        <v/>
      </c>
      <c r="FH732" s="58">
        <f>IFERROR($BW732/$BW733-1,"")</f>
        <v/>
      </c>
      <c r="FI732" s="58">
        <f>IFERROR($BX732/$BX733-1,"")</f>
        <v/>
      </c>
      <c r="FJ732" s="59">
        <f>$BY732-$BY733</f>
        <v/>
      </c>
      <c r="FK732" s="59">
        <f>$BZ732-$BZ733</f>
        <v/>
      </c>
      <c r="FL732" s="59">
        <f>$CA732-$CA733</f>
        <v/>
      </c>
      <c r="FM732" s="59">
        <f>$CB732-$CB733</f>
        <v/>
      </c>
      <c r="FN732" s="59">
        <f>$CC732-$CC733</f>
        <v/>
      </c>
      <c r="FO732" s="59">
        <f>$CD732-$CD733</f>
        <v/>
      </c>
      <c r="FP732" s="59">
        <f>$CE732-$CE733</f>
        <v/>
      </c>
      <c r="FQ732" s="59">
        <f>$CF732-$CF733</f>
        <v/>
      </c>
      <c r="FR732" s="59">
        <f>$CG732-$CG733</f>
        <v/>
      </c>
      <c r="FS732" s="59">
        <f>$CH732-$CH733</f>
        <v/>
      </c>
      <c r="FT732" s="59">
        <f>$CI732-$CI733</f>
        <v/>
      </c>
      <c r="FU732" s="59">
        <f>$CJ732-$CJ733</f>
        <v/>
      </c>
      <c r="FV732" s="59">
        <f>$CK732-$CK733</f>
        <v/>
      </c>
      <c r="FW732" s="59">
        <f>$CL732-$CL733</f>
        <v/>
      </c>
      <c r="FX732" s="59">
        <f>$CM732-$CM733</f>
        <v/>
      </c>
      <c r="FY732" s="59">
        <f>$CN732-$CN733</f>
        <v/>
      </c>
      <c r="FZ732" s="59">
        <f>$CO732-$CO733</f>
        <v/>
      </c>
      <c r="GA732" s="59">
        <f>$CP732-$CP733</f>
        <v/>
      </c>
      <c r="GB732" s="59">
        <f>$CQ732-$CQ733</f>
        <v/>
      </c>
      <c r="GC732" s="59">
        <f>$CR732-$CR733</f>
        <v/>
      </c>
      <c r="GD732" s="59">
        <f>$CS732-$CS733</f>
        <v/>
      </c>
      <c r="GE732" s="59">
        <f>$CT732-$CT733</f>
        <v/>
      </c>
    </row>
    <row r="733">
      <c r="CU733" s="58">
        <f>IFERROR($B733/$B734-1,"")</f>
        <v/>
      </c>
      <c r="CV733" s="59">
        <f>($F733-$F734)*100</f>
        <v/>
      </c>
      <c r="CW733" s="59">
        <f>($E733-$E734)*100</f>
        <v/>
      </c>
      <c r="CX733" s="58">
        <f>IFERROR($K733/$K734-1,"")</f>
        <v/>
      </c>
      <c r="CY733" s="59">
        <f>($AH733-$AH734)*100</f>
        <v/>
      </c>
      <c r="CZ733" s="59">
        <f>($AI733-$AI734)*100</f>
        <v/>
      </c>
      <c r="DA733" s="59">
        <f>($AJ733-$AJ734)*100</f>
        <v/>
      </c>
      <c r="DB733" s="59">
        <f>($AK733-$AK734)*100</f>
        <v/>
      </c>
      <c r="DC733" s="59">
        <f>($AL733-$AL734)*100</f>
        <v/>
      </c>
      <c r="DD733" s="59">
        <f>($AM733-$AM734)*100</f>
        <v/>
      </c>
      <c r="DE733" s="59">
        <f>($AN733-$AN734)*100</f>
        <v/>
      </c>
      <c r="DF733" s="59">
        <f>($AO733-$AO734)*100</f>
        <v/>
      </c>
      <c r="DG733" s="59">
        <f>($AP733-$AP734)*100</f>
        <v/>
      </c>
      <c r="DH733" s="59">
        <f>($AQ733-$AQ734)*100</f>
        <v/>
      </c>
      <c r="DI733" s="59">
        <f>($AR733-$AR734)*100</f>
        <v/>
      </c>
      <c r="DJ733" s="59">
        <f>($AS733-$AS734)*100</f>
        <v/>
      </c>
      <c r="DK733" s="59">
        <f>($AT733-$AT734)*100</f>
        <v/>
      </c>
      <c r="DL733" s="59">
        <f>($AU733-$AU734)*100</f>
        <v/>
      </c>
      <c r="DM733" s="59">
        <f>($AV733-$AV734)*100</f>
        <v/>
      </c>
      <c r="DN733" s="59">
        <f>($AW733-$AW734)*100</f>
        <v/>
      </c>
      <c r="DO733" s="59">
        <f>($AX733-$AX734)*100</f>
        <v/>
      </c>
      <c r="DP733" s="59">
        <f>($AY733-$AY734)*100</f>
        <v/>
      </c>
      <c r="DQ733" s="59">
        <f>($AZ733-$AZ734)*100</f>
        <v/>
      </c>
      <c r="DR733" s="59">
        <f>($BA733-$BA734)*100</f>
        <v/>
      </c>
      <c r="DS733" s="58">
        <f>IFERROR($N734/$N733-1,"")</f>
        <v/>
      </c>
      <c r="DT733" s="58">
        <f>IFERROR($O734/$O733-1,"")</f>
        <v/>
      </c>
      <c r="DU733" s="58">
        <f>IFERROR($P734/$P733-1,"")</f>
        <v/>
      </c>
      <c r="DV733" s="58">
        <f>IFERROR($Q734/$Q733-1,"")</f>
        <v/>
      </c>
      <c r="DW733" s="58">
        <f>IFERROR($R734/$R733-1,"")</f>
        <v/>
      </c>
      <c r="DX733" s="58">
        <f>IFERROR($S734/$S733-1,"")</f>
        <v/>
      </c>
      <c r="DY733" s="58">
        <f>IFERROR($T734/$T733-1,"")</f>
        <v/>
      </c>
      <c r="DZ733" s="58">
        <f>IFERROR($U734/$U733-1,"")</f>
        <v/>
      </c>
      <c r="EA733" s="58">
        <f>IFERROR($V734/$V733-1,"")</f>
        <v/>
      </c>
      <c r="EB733" s="58">
        <f>IFERROR($W734/$W733-1,"")</f>
        <v/>
      </c>
      <c r="EC733" s="58">
        <f>IFERROR($X734/$X733-1,"")</f>
        <v/>
      </c>
      <c r="ED733" s="58">
        <f>IFERROR($Y734/$Y733-1,"")</f>
        <v/>
      </c>
      <c r="EE733" s="58">
        <f>IFERROR($Z734/$Z733-1,"")</f>
        <v/>
      </c>
      <c r="EF733" s="58">
        <f>IFERROR($AA734/$AA733-1,"")</f>
        <v/>
      </c>
      <c r="EG733" s="58">
        <f>IFERROR($AB734/$AB733-1,"")</f>
        <v/>
      </c>
      <c r="EH733" s="58">
        <f>IFERROR($AC734/$AC733-1,"")</f>
        <v/>
      </c>
      <c r="EI733" s="58">
        <f>IFERROR($AD734/$AD733-1,"")</f>
        <v/>
      </c>
      <c r="EJ733" s="58">
        <f>IFERROR($AE734/$AE733-1,"")</f>
        <v/>
      </c>
      <c r="EK733" s="58">
        <f>IFERROR($AF734/$AF733-1,"")</f>
        <v/>
      </c>
      <c r="EL733" s="58">
        <f>IFERROR($AG734/$AG733-1,"")</f>
        <v/>
      </c>
      <c r="EM733" s="58">
        <f>IFERROR($BB733/$BB734-1,"")</f>
        <v/>
      </c>
      <c r="EN733" s="58">
        <f>IFERROR($BC733/$BC734-1,"")</f>
        <v/>
      </c>
      <c r="EO733" s="58">
        <f>IFERROR($BD733/$BD734-1,"")</f>
        <v/>
      </c>
      <c r="EP733" s="58">
        <f>IFERROR($BE733/$BE734-1,"")</f>
        <v/>
      </c>
      <c r="EQ733" s="58">
        <f>IFERROR($BF733/$BF734-1,"")</f>
        <v/>
      </c>
      <c r="ER733" s="58">
        <f>IFERROR($BG733/$BG734-1,"")</f>
        <v/>
      </c>
      <c r="ES733" s="58">
        <f>IFERROR($BH733/$BH734-1,"")</f>
        <v/>
      </c>
      <c r="ET733" s="58">
        <f>IFERROR($BI733/$BI734-1,"")</f>
        <v/>
      </c>
      <c r="EU733" s="58">
        <f>IFERROR($BJ733/$BJ734-1,"")</f>
        <v/>
      </c>
      <c r="EV733" s="58">
        <f>IFERROR($BK733/$BK734-1,"")</f>
        <v/>
      </c>
      <c r="EW733" s="58">
        <f>IFERROR($BL733/$BL734-1,"")</f>
        <v/>
      </c>
      <c r="EX733" s="58">
        <f>IFERROR($BM733/$BM734-1,"")</f>
        <v/>
      </c>
      <c r="EY733" s="58">
        <f>IFERROR($BN733/$BN734-1,"")</f>
        <v/>
      </c>
      <c r="EZ733" s="58">
        <f>IFERROR($BO733/$BO734-1,"")</f>
        <v/>
      </c>
      <c r="FA733" s="58">
        <f>IFERROR($BP733/$BP734-1,"")</f>
        <v/>
      </c>
      <c r="FB733" s="58">
        <f>IFERROR($BQ733/$BQ734-1,"")</f>
        <v/>
      </c>
      <c r="FC733" s="58">
        <f>IFERROR($BR733/$BR734-1,"")</f>
        <v/>
      </c>
      <c r="FD733" s="58">
        <f>IFERROR($BS733/$BS734-1,"")</f>
        <v/>
      </c>
      <c r="FE733" s="58">
        <f>IFERROR($BT733/$BT734-1,"")</f>
        <v/>
      </c>
      <c r="FF733" s="58">
        <f>IFERROR($BU733/$BU734-1,"")</f>
        <v/>
      </c>
      <c r="FG733" s="58">
        <f>IFERROR($BV733/$BV734-1,"")</f>
        <v/>
      </c>
      <c r="FH733" s="58">
        <f>IFERROR($BW733/$BW734-1,"")</f>
        <v/>
      </c>
      <c r="FI733" s="58">
        <f>IFERROR($BX733/$BX734-1,"")</f>
        <v/>
      </c>
      <c r="FJ733" s="59">
        <f>$BY733-$BY734</f>
        <v/>
      </c>
      <c r="FK733" s="59">
        <f>$BZ733-$BZ734</f>
        <v/>
      </c>
      <c r="FL733" s="59">
        <f>$CA733-$CA734</f>
        <v/>
      </c>
      <c r="FM733" s="59">
        <f>$CB733-$CB734</f>
        <v/>
      </c>
      <c r="FN733" s="59">
        <f>$CC733-$CC734</f>
        <v/>
      </c>
      <c r="FO733" s="59">
        <f>$CD733-$CD734</f>
        <v/>
      </c>
      <c r="FP733" s="59">
        <f>$CE733-$CE734</f>
        <v/>
      </c>
      <c r="FQ733" s="59">
        <f>$CF733-$CF734</f>
        <v/>
      </c>
      <c r="FR733" s="59">
        <f>$CG733-$CG734</f>
        <v/>
      </c>
      <c r="FS733" s="59">
        <f>$CH733-$CH734</f>
        <v/>
      </c>
      <c r="FT733" s="59">
        <f>$CI733-$CI734</f>
        <v/>
      </c>
      <c r="FU733" s="59">
        <f>$CJ733-$CJ734</f>
        <v/>
      </c>
      <c r="FV733" s="59">
        <f>$CK733-$CK734</f>
        <v/>
      </c>
      <c r="FW733" s="59">
        <f>$CL733-$CL734</f>
        <v/>
      </c>
      <c r="FX733" s="59">
        <f>$CM733-$CM734</f>
        <v/>
      </c>
      <c r="FY733" s="59">
        <f>$CN733-$CN734</f>
        <v/>
      </c>
      <c r="FZ733" s="59">
        <f>$CO733-$CO734</f>
        <v/>
      </c>
      <c r="GA733" s="59">
        <f>$CP733-$CP734</f>
        <v/>
      </c>
      <c r="GB733" s="59">
        <f>$CQ733-$CQ734</f>
        <v/>
      </c>
      <c r="GC733" s="59">
        <f>$CR733-$CR734</f>
        <v/>
      </c>
      <c r="GD733" s="59">
        <f>$CS733-$CS734</f>
        <v/>
      </c>
      <c r="GE733" s="59">
        <f>$CT733-$CT734</f>
        <v/>
      </c>
    </row>
    <row r="734">
      <c r="CU734" s="58">
        <f>IFERROR($B734/$B735-1,"")</f>
        <v/>
      </c>
      <c r="CV734" s="59">
        <f>($F734-$F735)*100</f>
        <v/>
      </c>
      <c r="CW734" s="59">
        <f>($E734-$E735)*100</f>
        <v/>
      </c>
      <c r="CX734" s="58">
        <f>IFERROR($K734/$K735-1,"")</f>
        <v/>
      </c>
      <c r="CY734" s="59">
        <f>($AH734-$AH735)*100</f>
        <v/>
      </c>
      <c r="CZ734" s="59">
        <f>($AI734-$AI735)*100</f>
        <v/>
      </c>
      <c r="DA734" s="59">
        <f>($AJ734-$AJ735)*100</f>
        <v/>
      </c>
      <c r="DB734" s="59">
        <f>($AK734-$AK735)*100</f>
        <v/>
      </c>
      <c r="DC734" s="59">
        <f>($AL734-$AL735)*100</f>
        <v/>
      </c>
      <c r="DD734" s="59">
        <f>($AM734-$AM735)*100</f>
        <v/>
      </c>
      <c r="DE734" s="59">
        <f>($AN734-$AN735)*100</f>
        <v/>
      </c>
      <c r="DF734" s="59">
        <f>($AO734-$AO735)*100</f>
        <v/>
      </c>
      <c r="DG734" s="59">
        <f>($AP734-$AP735)*100</f>
        <v/>
      </c>
      <c r="DH734" s="59">
        <f>($AQ734-$AQ735)*100</f>
        <v/>
      </c>
      <c r="DI734" s="59">
        <f>($AR734-$AR735)*100</f>
        <v/>
      </c>
      <c r="DJ734" s="59">
        <f>($AS734-$AS735)*100</f>
        <v/>
      </c>
      <c r="DK734" s="59">
        <f>($AT734-$AT735)*100</f>
        <v/>
      </c>
      <c r="DL734" s="59">
        <f>($AU734-$AU735)*100</f>
        <v/>
      </c>
      <c r="DM734" s="59">
        <f>($AV734-$AV735)*100</f>
        <v/>
      </c>
      <c r="DN734" s="59">
        <f>($AW734-$AW735)*100</f>
        <v/>
      </c>
      <c r="DO734" s="59">
        <f>($AX734-$AX735)*100</f>
        <v/>
      </c>
      <c r="DP734" s="59">
        <f>($AY734-$AY735)*100</f>
        <v/>
      </c>
      <c r="DQ734" s="59">
        <f>($AZ734-$AZ735)*100</f>
        <v/>
      </c>
      <c r="DR734" s="59">
        <f>($BA734-$BA735)*100</f>
        <v/>
      </c>
      <c r="DS734" s="58">
        <f>IFERROR($N735/$N734-1,"")</f>
        <v/>
      </c>
      <c r="DT734" s="58">
        <f>IFERROR($O735/$O734-1,"")</f>
        <v/>
      </c>
      <c r="DU734" s="58">
        <f>IFERROR($P735/$P734-1,"")</f>
        <v/>
      </c>
      <c r="DV734" s="58">
        <f>IFERROR($Q735/$Q734-1,"")</f>
        <v/>
      </c>
      <c r="DW734" s="58">
        <f>IFERROR($R735/$R734-1,"")</f>
        <v/>
      </c>
      <c r="DX734" s="58">
        <f>IFERROR($S735/$S734-1,"")</f>
        <v/>
      </c>
      <c r="DY734" s="58">
        <f>IFERROR($T735/$T734-1,"")</f>
        <v/>
      </c>
      <c r="DZ734" s="58">
        <f>IFERROR($U735/$U734-1,"")</f>
        <v/>
      </c>
      <c r="EA734" s="58">
        <f>IFERROR($V735/$V734-1,"")</f>
        <v/>
      </c>
      <c r="EB734" s="58">
        <f>IFERROR($W735/$W734-1,"")</f>
        <v/>
      </c>
      <c r="EC734" s="58">
        <f>IFERROR($X735/$X734-1,"")</f>
        <v/>
      </c>
      <c r="ED734" s="58">
        <f>IFERROR($Y735/$Y734-1,"")</f>
        <v/>
      </c>
      <c r="EE734" s="58">
        <f>IFERROR($Z735/$Z734-1,"")</f>
        <v/>
      </c>
      <c r="EF734" s="58">
        <f>IFERROR($AA735/$AA734-1,"")</f>
        <v/>
      </c>
      <c r="EG734" s="58">
        <f>IFERROR($AB735/$AB734-1,"")</f>
        <v/>
      </c>
      <c r="EH734" s="58">
        <f>IFERROR($AC735/$AC734-1,"")</f>
        <v/>
      </c>
      <c r="EI734" s="58">
        <f>IFERROR($AD735/$AD734-1,"")</f>
        <v/>
      </c>
      <c r="EJ734" s="58">
        <f>IFERROR($AE735/$AE734-1,"")</f>
        <v/>
      </c>
      <c r="EK734" s="58">
        <f>IFERROR($AF735/$AF734-1,"")</f>
        <v/>
      </c>
      <c r="EL734" s="58">
        <f>IFERROR($AG735/$AG734-1,"")</f>
        <v/>
      </c>
      <c r="EM734" s="58">
        <f>IFERROR($BB734/$BB735-1,"")</f>
        <v/>
      </c>
      <c r="EN734" s="58">
        <f>IFERROR($BC734/$BC735-1,"")</f>
        <v/>
      </c>
      <c r="EO734" s="58">
        <f>IFERROR($BD734/$BD735-1,"")</f>
        <v/>
      </c>
      <c r="EP734" s="58">
        <f>IFERROR($BE734/$BE735-1,"")</f>
        <v/>
      </c>
      <c r="EQ734" s="58">
        <f>IFERROR($BF734/$BF735-1,"")</f>
        <v/>
      </c>
      <c r="ER734" s="58">
        <f>IFERROR($BG734/$BG735-1,"")</f>
        <v/>
      </c>
      <c r="ES734" s="58">
        <f>IFERROR($BH734/$BH735-1,"")</f>
        <v/>
      </c>
      <c r="ET734" s="58">
        <f>IFERROR($BI734/$BI735-1,"")</f>
        <v/>
      </c>
      <c r="EU734" s="58">
        <f>IFERROR($BJ734/$BJ735-1,"")</f>
        <v/>
      </c>
      <c r="EV734" s="58">
        <f>IFERROR($BK734/$BK735-1,"")</f>
        <v/>
      </c>
      <c r="EW734" s="58">
        <f>IFERROR($BL734/$BL735-1,"")</f>
        <v/>
      </c>
      <c r="EX734" s="58">
        <f>IFERROR($BM734/$BM735-1,"")</f>
        <v/>
      </c>
      <c r="EY734" s="58">
        <f>IFERROR($BN734/$BN735-1,"")</f>
        <v/>
      </c>
      <c r="EZ734" s="58">
        <f>IFERROR($BO734/$BO735-1,"")</f>
        <v/>
      </c>
      <c r="FA734" s="58">
        <f>IFERROR($BP734/$BP735-1,"")</f>
        <v/>
      </c>
      <c r="FB734" s="58">
        <f>IFERROR($BQ734/$BQ735-1,"")</f>
        <v/>
      </c>
      <c r="FC734" s="58">
        <f>IFERROR($BR734/$BR735-1,"")</f>
        <v/>
      </c>
      <c r="FD734" s="58">
        <f>IFERROR($BS734/$BS735-1,"")</f>
        <v/>
      </c>
      <c r="FE734" s="58">
        <f>IFERROR($BT734/$BT735-1,"")</f>
        <v/>
      </c>
      <c r="FF734" s="58">
        <f>IFERROR($BU734/$BU735-1,"")</f>
        <v/>
      </c>
      <c r="FG734" s="58">
        <f>IFERROR($BV734/$BV735-1,"")</f>
        <v/>
      </c>
      <c r="FH734" s="58">
        <f>IFERROR($BW734/$BW735-1,"")</f>
        <v/>
      </c>
      <c r="FI734" s="58">
        <f>IFERROR($BX734/$BX735-1,"")</f>
        <v/>
      </c>
      <c r="FJ734" s="59">
        <f>$BY734-$BY735</f>
        <v/>
      </c>
      <c r="FK734" s="59">
        <f>$BZ734-$BZ735</f>
        <v/>
      </c>
      <c r="FL734" s="59">
        <f>$CA734-$CA735</f>
        <v/>
      </c>
      <c r="FM734" s="59">
        <f>$CB734-$CB735</f>
        <v/>
      </c>
      <c r="FN734" s="59">
        <f>$CC734-$CC735</f>
        <v/>
      </c>
      <c r="FO734" s="59">
        <f>$CD734-$CD735</f>
        <v/>
      </c>
      <c r="FP734" s="59">
        <f>$CE734-$CE735</f>
        <v/>
      </c>
      <c r="FQ734" s="59">
        <f>$CF734-$CF735</f>
        <v/>
      </c>
      <c r="FR734" s="59">
        <f>$CG734-$CG735</f>
        <v/>
      </c>
      <c r="FS734" s="59">
        <f>$CH734-$CH735</f>
        <v/>
      </c>
      <c r="FT734" s="59">
        <f>$CI734-$CI735</f>
        <v/>
      </c>
      <c r="FU734" s="59">
        <f>$CJ734-$CJ735</f>
        <v/>
      </c>
      <c r="FV734" s="59">
        <f>$CK734-$CK735</f>
        <v/>
      </c>
      <c r="FW734" s="59">
        <f>$CL734-$CL735</f>
        <v/>
      </c>
      <c r="FX734" s="59">
        <f>$CM734-$CM735</f>
        <v/>
      </c>
      <c r="FY734" s="59">
        <f>$CN734-$CN735</f>
        <v/>
      </c>
      <c r="FZ734" s="59">
        <f>$CO734-$CO735</f>
        <v/>
      </c>
      <c r="GA734" s="59">
        <f>$CP734-$CP735</f>
        <v/>
      </c>
      <c r="GB734" s="59">
        <f>$CQ734-$CQ735</f>
        <v/>
      </c>
      <c r="GC734" s="59">
        <f>$CR734-$CR735</f>
        <v/>
      </c>
      <c r="GD734" s="59">
        <f>$CS734-$CS735</f>
        <v/>
      </c>
      <c r="GE734" s="59">
        <f>$CT734-$CT735</f>
        <v/>
      </c>
    </row>
    <row r="735">
      <c r="CU735" s="58">
        <f>IFERROR($B735/$B736-1,"")</f>
        <v/>
      </c>
      <c r="CV735" s="59">
        <f>($F735-$F736)*100</f>
        <v/>
      </c>
      <c r="CW735" s="59">
        <f>($E735-$E736)*100</f>
        <v/>
      </c>
      <c r="CX735" s="58">
        <f>IFERROR($K735/$K736-1,"")</f>
        <v/>
      </c>
      <c r="CY735" s="59">
        <f>($AH735-$AH736)*100</f>
        <v/>
      </c>
      <c r="CZ735" s="59">
        <f>($AI735-$AI736)*100</f>
        <v/>
      </c>
      <c r="DA735" s="59">
        <f>($AJ735-$AJ736)*100</f>
        <v/>
      </c>
      <c r="DB735" s="59">
        <f>($AK735-$AK736)*100</f>
        <v/>
      </c>
      <c r="DC735" s="59">
        <f>($AL735-$AL736)*100</f>
        <v/>
      </c>
      <c r="DD735" s="59">
        <f>($AM735-$AM736)*100</f>
        <v/>
      </c>
      <c r="DE735" s="59">
        <f>($AN735-$AN736)*100</f>
        <v/>
      </c>
      <c r="DF735" s="59">
        <f>($AO735-$AO736)*100</f>
        <v/>
      </c>
      <c r="DG735" s="59">
        <f>($AP735-$AP736)*100</f>
        <v/>
      </c>
      <c r="DH735" s="59">
        <f>($AQ735-$AQ736)*100</f>
        <v/>
      </c>
      <c r="DI735" s="59">
        <f>($AR735-$AR736)*100</f>
        <v/>
      </c>
      <c r="DJ735" s="59">
        <f>($AS735-$AS736)*100</f>
        <v/>
      </c>
      <c r="DK735" s="59">
        <f>($AT735-$AT736)*100</f>
        <v/>
      </c>
      <c r="DL735" s="59">
        <f>($AU735-$AU736)*100</f>
        <v/>
      </c>
      <c r="DM735" s="59">
        <f>($AV735-$AV736)*100</f>
        <v/>
      </c>
      <c r="DN735" s="59">
        <f>($AW735-$AW736)*100</f>
        <v/>
      </c>
      <c r="DO735" s="59">
        <f>($AX735-$AX736)*100</f>
        <v/>
      </c>
      <c r="DP735" s="59">
        <f>($AY735-$AY736)*100</f>
        <v/>
      </c>
      <c r="DQ735" s="59">
        <f>($AZ735-$AZ736)*100</f>
        <v/>
      </c>
      <c r="DR735" s="59">
        <f>($BA735-$BA736)*100</f>
        <v/>
      </c>
      <c r="DS735" s="58">
        <f>IFERROR($N736/$N735-1,"")</f>
        <v/>
      </c>
      <c r="DT735" s="58">
        <f>IFERROR($O736/$O735-1,"")</f>
        <v/>
      </c>
      <c r="DU735" s="58">
        <f>IFERROR($P736/$P735-1,"")</f>
        <v/>
      </c>
      <c r="DV735" s="58">
        <f>IFERROR($Q736/$Q735-1,"")</f>
        <v/>
      </c>
      <c r="DW735" s="58">
        <f>IFERROR($R736/$R735-1,"")</f>
        <v/>
      </c>
      <c r="DX735" s="58">
        <f>IFERROR($S736/$S735-1,"")</f>
        <v/>
      </c>
      <c r="DY735" s="58">
        <f>IFERROR($T736/$T735-1,"")</f>
        <v/>
      </c>
      <c r="DZ735" s="58">
        <f>IFERROR($U736/$U735-1,"")</f>
        <v/>
      </c>
      <c r="EA735" s="58">
        <f>IFERROR($V736/$V735-1,"")</f>
        <v/>
      </c>
      <c r="EB735" s="58">
        <f>IFERROR($W736/$W735-1,"")</f>
        <v/>
      </c>
      <c r="EC735" s="58">
        <f>IFERROR($X736/$X735-1,"")</f>
        <v/>
      </c>
      <c r="ED735" s="58">
        <f>IFERROR($Y736/$Y735-1,"")</f>
        <v/>
      </c>
      <c r="EE735" s="58">
        <f>IFERROR($Z736/$Z735-1,"")</f>
        <v/>
      </c>
      <c r="EF735" s="58">
        <f>IFERROR($AA736/$AA735-1,"")</f>
        <v/>
      </c>
      <c r="EG735" s="58">
        <f>IFERROR($AB736/$AB735-1,"")</f>
        <v/>
      </c>
      <c r="EH735" s="58">
        <f>IFERROR($AC736/$AC735-1,"")</f>
        <v/>
      </c>
      <c r="EI735" s="58">
        <f>IFERROR($AD736/$AD735-1,"")</f>
        <v/>
      </c>
      <c r="EJ735" s="58">
        <f>IFERROR($AE736/$AE735-1,"")</f>
        <v/>
      </c>
      <c r="EK735" s="58">
        <f>IFERROR($AF736/$AF735-1,"")</f>
        <v/>
      </c>
      <c r="EL735" s="58">
        <f>IFERROR($AG736/$AG735-1,"")</f>
        <v/>
      </c>
      <c r="EM735" s="58">
        <f>IFERROR($BB735/$BB736-1,"")</f>
        <v/>
      </c>
      <c r="EN735" s="58">
        <f>IFERROR($BC735/$BC736-1,"")</f>
        <v/>
      </c>
      <c r="EO735" s="58">
        <f>IFERROR($BD735/$BD736-1,"")</f>
        <v/>
      </c>
      <c r="EP735" s="58">
        <f>IFERROR($BE735/$BE736-1,"")</f>
        <v/>
      </c>
      <c r="EQ735" s="58">
        <f>IFERROR($BF735/$BF736-1,"")</f>
        <v/>
      </c>
      <c r="ER735" s="58">
        <f>IFERROR($BG735/$BG736-1,"")</f>
        <v/>
      </c>
      <c r="ES735" s="58">
        <f>IFERROR($BH735/$BH736-1,"")</f>
        <v/>
      </c>
      <c r="ET735" s="58">
        <f>IFERROR($BI735/$BI736-1,"")</f>
        <v/>
      </c>
      <c r="EU735" s="58">
        <f>IFERROR($BJ735/$BJ736-1,"")</f>
        <v/>
      </c>
      <c r="EV735" s="58">
        <f>IFERROR($BK735/$BK736-1,"")</f>
        <v/>
      </c>
      <c r="EW735" s="58">
        <f>IFERROR($BL735/$BL736-1,"")</f>
        <v/>
      </c>
      <c r="EX735" s="58">
        <f>IFERROR($BM735/$BM736-1,"")</f>
        <v/>
      </c>
      <c r="EY735" s="58">
        <f>IFERROR($BN735/$BN736-1,"")</f>
        <v/>
      </c>
      <c r="EZ735" s="58">
        <f>IFERROR($BO735/$BO736-1,"")</f>
        <v/>
      </c>
      <c r="FA735" s="58">
        <f>IFERROR($BP735/$BP736-1,"")</f>
        <v/>
      </c>
      <c r="FB735" s="58">
        <f>IFERROR($BQ735/$BQ736-1,"")</f>
        <v/>
      </c>
      <c r="FC735" s="58">
        <f>IFERROR($BR735/$BR736-1,"")</f>
        <v/>
      </c>
      <c r="FD735" s="58">
        <f>IFERROR($BS735/$BS736-1,"")</f>
        <v/>
      </c>
      <c r="FE735" s="58">
        <f>IFERROR($BT735/$BT736-1,"")</f>
        <v/>
      </c>
      <c r="FF735" s="58">
        <f>IFERROR($BU735/$BU736-1,"")</f>
        <v/>
      </c>
      <c r="FG735" s="58">
        <f>IFERROR($BV735/$BV736-1,"")</f>
        <v/>
      </c>
      <c r="FH735" s="58">
        <f>IFERROR($BW735/$BW736-1,"")</f>
        <v/>
      </c>
      <c r="FI735" s="58">
        <f>IFERROR($BX735/$BX736-1,"")</f>
        <v/>
      </c>
      <c r="FJ735" s="59">
        <f>$BY735-$BY736</f>
        <v/>
      </c>
      <c r="FK735" s="59">
        <f>$BZ735-$BZ736</f>
        <v/>
      </c>
      <c r="FL735" s="59">
        <f>$CA735-$CA736</f>
        <v/>
      </c>
      <c r="FM735" s="59">
        <f>$CB735-$CB736</f>
        <v/>
      </c>
      <c r="FN735" s="59">
        <f>$CC735-$CC736</f>
        <v/>
      </c>
      <c r="FO735" s="59">
        <f>$CD735-$CD736</f>
        <v/>
      </c>
      <c r="FP735" s="59">
        <f>$CE735-$CE736</f>
        <v/>
      </c>
      <c r="FQ735" s="59">
        <f>$CF735-$CF736</f>
        <v/>
      </c>
      <c r="FR735" s="59">
        <f>$CG735-$CG736</f>
        <v/>
      </c>
      <c r="FS735" s="59">
        <f>$CH735-$CH736</f>
        <v/>
      </c>
      <c r="FT735" s="59">
        <f>$CI735-$CI736</f>
        <v/>
      </c>
      <c r="FU735" s="59">
        <f>$CJ735-$CJ736</f>
        <v/>
      </c>
      <c r="FV735" s="59">
        <f>$CK735-$CK736</f>
        <v/>
      </c>
      <c r="FW735" s="59">
        <f>$CL735-$CL736</f>
        <v/>
      </c>
      <c r="FX735" s="59">
        <f>$CM735-$CM736</f>
        <v/>
      </c>
      <c r="FY735" s="59">
        <f>$CN735-$CN736</f>
        <v/>
      </c>
      <c r="FZ735" s="59">
        <f>$CO735-$CO736</f>
        <v/>
      </c>
      <c r="GA735" s="59">
        <f>$CP735-$CP736</f>
        <v/>
      </c>
      <c r="GB735" s="59">
        <f>$CQ735-$CQ736</f>
        <v/>
      </c>
      <c r="GC735" s="59">
        <f>$CR735-$CR736</f>
        <v/>
      </c>
      <c r="GD735" s="59">
        <f>$CS735-$CS736</f>
        <v/>
      </c>
      <c r="GE735" s="59">
        <f>$CT735-$CT736</f>
        <v/>
      </c>
    </row>
    <row r="736">
      <c r="CU736" s="58">
        <f>IFERROR($B736/$B737-1,"")</f>
        <v/>
      </c>
      <c r="CV736" s="59">
        <f>($F736-$F737)*100</f>
        <v/>
      </c>
      <c r="CW736" s="59">
        <f>($E736-$E737)*100</f>
        <v/>
      </c>
      <c r="CX736" s="58">
        <f>IFERROR($K736/$K737-1,"")</f>
        <v/>
      </c>
      <c r="CY736" s="59">
        <f>($AH736-$AH737)*100</f>
        <v/>
      </c>
      <c r="CZ736" s="59">
        <f>($AI736-$AI737)*100</f>
        <v/>
      </c>
      <c r="DA736" s="59">
        <f>($AJ736-$AJ737)*100</f>
        <v/>
      </c>
      <c r="DB736" s="59">
        <f>($AK736-$AK737)*100</f>
        <v/>
      </c>
      <c r="DC736" s="59">
        <f>($AL736-$AL737)*100</f>
        <v/>
      </c>
      <c r="DD736" s="59">
        <f>($AM736-$AM737)*100</f>
        <v/>
      </c>
      <c r="DE736" s="59">
        <f>($AN736-$AN737)*100</f>
        <v/>
      </c>
      <c r="DF736" s="59">
        <f>($AO736-$AO737)*100</f>
        <v/>
      </c>
      <c r="DG736" s="59">
        <f>($AP736-$AP737)*100</f>
        <v/>
      </c>
      <c r="DH736" s="59">
        <f>($AQ736-$AQ737)*100</f>
        <v/>
      </c>
      <c r="DI736" s="59">
        <f>($AR736-$AR737)*100</f>
        <v/>
      </c>
      <c r="DJ736" s="59">
        <f>($AS736-$AS737)*100</f>
        <v/>
      </c>
      <c r="DK736" s="59">
        <f>($AT736-$AT737)*100</f>
        <v/>
      </c>
      <c r="DL736" s="59">
        <f>($AU736-$AU737)*100</f>
        <v/>
      </c>
      <c r="DM736" s="59">
        <f>($AV736-$AV737)*100</f>
        <v/>
      </c>
      <c r="DN736" s="59">
        <f>($AW736-$AW737)*100</f>
        <v/>
      </c>
      <c r="DO736" s="59">
        <f>($AX736-$AX737)*100</f>
        <v/>
      </c>
      <c r="DP736" s="59">
        <f>($AY736-$AY737)*100</f>
        <v/>
      </c>
      <c r="DQ736" s="59">
        <f>($AZ736-$AZ737)*100</f>
        <v/>
      </c>
      <c r="DR736" s="59">
        <f>($BA736-$BA737)*100</f>
        <v/>
      </c>
      <c r="DS736" s="58">
        <f>IFERROR($N737/$N736-1,"")</f>
        <v/>
      </c>
      <c r="DT736" s="58">
        <f>IFERROR($O737/$O736-1,"")</f>
        <v/>
      </c>
      <c r="DU736" s="58">
        <f>IFERROR($P737/$P736-1,"")</f>
        <v/>
      </c>
      <c r="DV736" s="58">
        <f>IFERROR($Q737/$Q736-1,"")</f>
        <v/>
      </c>
      <c r="DW736" s="58">
        <f>IFERROR($R737/$R736-1,"")</f>
        <v/>
      </c>
      <c r="DX736" s="58">
        <f>IFERROR($S737/$S736-1,"")</f>
        <v/>
      </c>
      <c r="DY736" s="58">
        <f>IFERROR($T737/$T736-1,"")</f>
        <v/>
      </c>
      <c r="DZ736" s="58">
        <f>IFERROR($U737/$U736-1,"")</f>
        <v/>
      </c>
      <c r="EA736" s="58">
        <f>IFERROR($V737/$V736-1,"")</f>
        <v/>
      </c>
      <c r="EB736" s="58">
        <f>IFERROR($W737/$W736-1,"")</f>
        <v/>
      </c>
      <c r="EC736" s="58">
        <f>IFERROR($X737/$X736-1,"")</f>
        <v/>
      </c>
      <c r="ED736" s="58">
        <f>IFERROR($Y737/$Y736-1,"")</f>
        <v/>
      </c>
      <c r="EE736" s="58">
        <f>IFERROR($Z737/$Z736-1,"")</f>
        <v/>
      </c>
      <c r="EF736" s="58">
        <f>IFERROR($AA737/$AA736-1,"")</f>
        <v/>
      </c>
      <c r="EG736" s="58">
        <f>IFERROR($AB737/$AB736-1,"")</f>
        <v/>
      </c>
      <c r="EH736" s="58">
        <f>IFERROR($AC737/$AC736-1,"")</f>
        <v/>
      </c>
      <c r="EI736" s="58">
        <f>IFERROR($AD737/$AD736-1,"")</f>
        <v/>
      </c>
      <c r="EJ736" s="58">
        <f>IFERROR($AE737/$AE736-1,"")</f>
        <v/>
      </c>
      <c r="EK736" s="58">
        <f>IFERROR($AF737/$AF736-1,"")</f>
        <v/>
      </c>
      <c r="EL736" s="58">
        <f>IFERROR($AG737/$AG736-1,"")</f>
        <v/>
      </c>
      <c r="EM736" s="58">
        <f>IFERROR($BB736/$BB737-1,"")</f>
        <v/>
      </c>
      <c r="EN736" s="58">
        <f>IFERROR($BC736/$BC737-1,"")</f>
        <v/>
      </c>
      <c r="EO736" s="58">
        <f>IFERROR($BD736/$BD737-1,"")</f>
        <v/>
      </c>
      <c r="EP736" s="58">
        <f>IFERROR($BE736/$BE737-1,"")</f>
        <v/>
      </c>
      <c r="EQ736" s="58">
        <f>IFERROR($BF736/$BF737-1,"")</f>
        <v/>
      </c>
      <c r="ER736" s="58">
        <f>IFERROR($BG736/$BG737-1,"")</f>
        <v/>
      </c>
      <c r="ES736" s="58">
        <f>IFERROR($BH736/$BH737-1,"")</f>
        <v/>
      </c>
      <c r="ET736" s="58">
        <f>IFERROR($BI736/$BI737-1,"")</f>
        <v/>
      </c>
      <c r="EU736" s="58">
        <f>IFERROR($BJ736/$BJ737-1,"")</f>
        <v/>
      </c>
      <c r="EV736" s="58">
        <f>IFERROR($BK736/$BK737-1,"")</f>
        <v/>
      </c>
      <c r="EW736" s="58">
        <f>IFERROR($BL736/$BL737-1,"")</f>
        <v/>
      </c>
      <c r="EX736" s="58">
        <f>IFERROR($BM736/$BM737-1,"")</f>
        <v/>
      </c>
      <c r="EY736" s="58">
        <f>IFERROR($BN736/$BN737-1,"")</f>
        <v/>
      </c>
      <c r="EZ736" s="58">
        <f>IFERROR($BO736/$BO737-1,"")</f>
        <v/>
      </c>
      <c r="FA736" s="58">
        <f>IFERROR($BP736/$BP737-1,"")</f>
        <v/>
      </c>
      <c r="FB736" s="58">
        <f>IFERROR($BQ736/$BQ737-1,"")</f>
        <v/>
      </c>
      <c r="FC736" s="58">
        <f>IFERROR($BR736/$BR737-1,"")</f>
        <v/>
      </c>
      <c r="FD736" s="58">
        <f>IFERROR($BS736/$BS737-1,"")</f>
        <v/>
      </c>
      <c r="FE736" s="58">
        <f>IFERROR($BT736/$BT737-1,"")</f>
        <v/>
      </c>
      <c r="FF736" s="58">
        <f>IFERROR($BU736/$BU737-1,"")</f>
        <v/>
      </c>
      <c r="FG736" s="58">
        <f>IFERROR($BV736/$BV737-1,"")</f>
        <v/>
      </c>
      <c r="FH736" s="58">
        <f>IFERROR($BW736/$BW737-1,"")</f>
        <v/>
      </c>
      <c r="FI736" s="58">
        <f>IFERROR($BX736/$BX737-1,"")</f>
        <v/>
      </c>
      <c r="FJ736" s="59">
        <f>$BY736-$BY737</f>
        <v/>
      </c>
      <c r="FK736" s="59">
        <f>$BZ736-$BZ737</f>
        <v/>
      </c>
      <c r="FL736" s="59">
        <f>$CA736-$CA737</f>
        <v/>
      </c>
      <c r="FM736" s="59">
        <f>$CB736-$CB737</f>
        <v/>
      </c>
      <c r="FN736" s="59">
        <f>$CC736-$CC737</f>
        <v/>
      </c>
      <c r="FO736" s="59">
        <f>$CD736-$CD737</f>
        <v/>
      </c>
      <c r="FP736" s="59">
        <f>$CE736-$CE737</f>
        <v/>
      </c>
      <c r="FQ736" s="59">
        <f>$CF736-$CF737</f>
        <v/>
      </c>
      <c r="FR736" s="59">
        <f>$CG736-$CG737</f>
        <v/>
      </c>
      <c r="FS736" s="59">
        <f>$CH736-$CH737</f>
        <v/>
      </c>
      <c r="FT736" s="59">
        <f>$CI736-$CI737</f>
        <v/>
      </c>
      <c r="FU736" s="59">
        <f>$CJ736-$CJ737</f>
        <v/>
      </c>
      <c r="FV736" s="59">
        <f>$CK736-$CK737</f>
        <v/>
      </c>
      <c r="FW736" s="59">
        <f>$CL736-$CL737</f>
        <v/>
      </c>
      <c r="FX736" s="59">
        <f>$CM736-$CM737</f>
        <v/>
      </c>
      <c r="FY736" s="59">
        <f>$CN736-$CN737</f>
        <v/>
      </c>
      <c r="FZ736" s="59">
        <f>$CO736-$CO737</f>
        <v/>
      </c>
      <c r="GA736" s="59">
        <f>$CP736-$CP737</f>
        <v/>
      </c>
      <c r="GB736" s="59">
        <f>$CQ736-$CQ737</f>
        <v/>
      </c>
      <c r="GC736" s="59">
        <f>$CR736-$CR737</f>
        <v/>
      </c>
      <c r="GD736" s="59">
        <f>$CS736-$CS737</f>
        <v/>
      </c>
      <c r="GE736" s="59">
        <f>$CT736-$CT737</f>
        <v/>
      </c>
    </row>
    <row r="737">
      <c r="CU737" s="58">
        <f>IFERROR($B737/$B738-1,"")</f>
        <v/>
      </c>
      <c r="CV737" s="59">
        <f>($F737-$F738)*100</f>
        <v/>
      </c>
      <c r="CW737" s="59">
        <f>($E737-$E738)*100</f>
        <v/>
      </c>
      <c r="CX737" s="58">
        <f>IFERROR($K737/$K738-1,"")</f>
        <v/>
      </c>
      <c r="CY737" s="59">
        <f>($AH737-$AH738)*100</f>
        <v/>
      </c>
      <c r="CZ737" s="59">
        <f>($AI737-$AI738)*100</f>
        <v/>
      </c>
      <c r="DA737" s="59">
        <f>($AJ737-$AJ738)*100</f>
        <v/>
      </c>
      <c r="DB737" s="59">
        <f>($AK737-$AK738)*100</f>
        <v/>
      </c>
      <c r="DC737" s="59">
        <f>($AL737-$AL738)*100</f>
        <v/>
      </c>
      <c r="DD737" s="59">
        <f>($AM737-$AM738)*100</f>
        <v/>
      </c>
      <c r="DE737" s="59">
        <f>($AN737-$AN738)*100</f>
        <v/>
      </c>
      <c r="DF737" s="59">
        <f>($AO737-$AO738)*100</f>
        <v/>
      </c>
      <c r="DG737" s="59">
        <f>($AP737-$AP738)*100</f>
        <v/>
      </c>
      <c r="DH737" s="59">
        <f>($AQ737-$AQ738)*100</f>
        <v/>
      </c>
      <c r="DI737" s="59">
        <f>($AR737-$AR738)*100</f>
        <v/>
      </c>
      <c r="DJ737" s="59">
        <f>($AS737-$AS738)*100</f>
        <v/>
      </c>
      <c r="DK737" s="59">
        <f>($AT737-$AT738)*100</f>
        <v/>
      </c>
      <c r="DL737" s="59">
        <f>($AU737-$AU738)*100</f>
        <v/>
      </c>
      <c r="DM737" s="59">
        <f>($AV737-$AV738)*100</f>
        <v/>
      </c>
      <c r="DN737" s="59">
        <f>($AW737-$AW738)*100</f>
        <v/>
      </c>
      <c r="DO737" s="59">
        <f>($AX737-$AX738)*100</f>
        <v/>
      </c>
      <c r="DP737" s="59">
        <f>($AY737-$AY738)*100</f>
        <v/>
      </c>
      <c r="DQ737" s="59">
        <f>($AZ737-$AZ738)*100</f>
        <v/>
      </c>
      <c r="DR737" s="59">
        <f>($BA737-$BA738)*100</f>
        <v/>
      </c>
      <c r="DS737" s="58">
        <f>IFERROR($N738/$N737-1,"")</f>
        <v/>
      </c>
      <c r="DT737" s="58">
        <f>IFERROR($O738/$O737-1,"")</f>
        <v/>
      </c>
      <c r="DU737" s="58">
        <f>IFERROR($P738/$P737-1,"")</f>
        <v/>
      </c>
      <c r="DV737" s="58">
        <f>IFERROR($Q738/$Q737-1,"")</f>
        <v/>
      </c>
      <c r="DW737" s="58">
        <f>IFERROR($R738/$R737-1,"")</f>
        <v/>
      </c>
      <c r="DX737" s="58">
        <f>IFERROR($S738/$S737-1,"")</f>
        <v/>
      </c>
      <c r="DY737" s="58">
        <f>IFERROR($T738/$T737-1,"")</f>
        <v/>
      </c>
      <c r="DZ737" s="58">
        <f>IFERROR($U738/$U737-1,"")</f>
        <v/>
      </c>
      <c r="EA737" s="58">
        <f>IFERROR($V738/$V737-1,"")</f>
        <v/>
      </c>
      <c r="EB737" s="58">
        <f>IFERROR($W738/$W737-1,"")</f>
        <v/>
      </c>
      <c r="EC737" s="58">
        <f>IFERROR($X738/$X737-1,"")</f>
        <v/>
      </c>
      <c r="ED737" s="58">
        <f>IFERROR($Y738/$Y737-1,"")</f>
        <v/>
      </c>
      <c r="EE737" s="58">
        <f>IFERROR($Z738/$Z737-1,"")</f>
        <v/>
      </c>
      <c r="EF737" s="58">
        <f>IFERROR($AA738/$AA737-1,"")</f>
        <v/>
      </c>
      <c r="EG737" s="58">
        <f>IFERROR($AB738/$AB737-1,"")</f>
        <v/>
      </c>
      <c r="EH737" s="58">
        <f>IFERROR($AC738/$AC737-1,"")</f>
        <v/>
      </c>
      <c r="EI737" s="58">
        <f>IFERROR($AD738/$AD737-1,"")</f>
        <v/>
      </c>
      <c r="EJ737" s="58">
        <f>IFERROR($AE738/$AE737-1,"")</f>
        <v/>
      </c>
      <c r="EK737" s="58">
        <f>IFERROR($AF738/$AF737-1,"")</f>
        <v/>
      </c>
      <c r="EL737" s="58">
        <f>IFERROR($AG738/$AG737-1,"")</f>
        <v/>
      </c>
      <c r="EM737" s="58">
        <f>IFERROR($BB737/$BB738-1,"")</f>
        <v/>
      </c>
      <c r="EN737" s="58">
        <f>IFERROR($BC737/$BC738-1,"")</f>
        <v/>
      </c>
      <c r="EO737" s="58">
        <f>IFERROR($BD737/$BD738-1,"")</f>
        <v/>
      </c>
      <c r="EP737" s="58">
        <f>IFERROR($BE737/$BE738-1,"")</f>
        <v/>
      </c>
      <c r="EQ737" s="58">
        <f>IFERROR($BF737/$BF738-1,"")</f>
        <v/>
      </c>
      <c r="ER737" s="58">
        <f>IFERROR($BG737/$BG738-1,"")</f>
        <v/>
      </c>
      <c r="ES737" s="58">
        <f>IFERROR($BH737/$BH738-1,"")</f>
        <v/>
      </c>
      <c r="ET737" s="58">
        <f>IFERROR($BI737/$BI738-1,"")</f>
        <v/>
      </c>
      <c r="EU737" s="58">
        <f>IFERROR($BJ737/$BJ738-1,"")</f>
        <v/>
      </c>
      <c r="EV737" s="58">
        <f>IFERROR($BK737/$BK738-1,"")</f>
        <v/>
      </c>
      <c r="EW737" s="58">
        <f>IFERROR($BL737/$BL738-1,"")</f>
        <v/>
      </c>
      <c r="EX737" s="58">
        <f>IFERROR($BM737/$BM738-1,"")</f>
        <v/>
      </c>
      <c r="EY737" s="58">
        <f>IFERROR($BN737/$BN738-1,"")</f>
        <v/>
      </c>
      <c r="EZ737" s="58">
        <f>IFERROR($BO737/$BO738-1,"")</f>
        <v/>
      </c>
      <c r="FA737" s="58">
        <f>IFERROR($BP737/$BP738-1,"")</f>
        <v/>
      </c>
      <c r="FB737" s="58">
        <f>IFERROR($BQ737/$BQ738-1,"")</f>
        <v/>
      </c>
      <c r="FC737" s="58">
        <f>IFERROR($BR737/$BR738-1,"")</f>
        <v/>
      </c>
      <c r="FD737" s="58">
        <f>IFERROR($BS737/$BS738-1,"")</f>
        <v/>
      </c>
      <c r="FE737" s="58">
        <f>IFERROR($BT737/$BT738-1,"")</f>
        <v/>
      </c>
      <c r="FF737" s="58">
        <f>IFERROR($BU737/$BU738-1,"")</f>
        <v/>
      </c>
      <c r="FG737" s="58">
        <f>IFERROR($BV737/$BV738-1,"")</f>
        <v/>
      </c>
      <c r="FH737" s="58">
        <f>IFERROR($BW737/$BW738-1,"")</f>
        <v/>
      </c>
      <c r="FI737" s="58">
        <f>IFERROR($BX737/$BX738-1,"")</f>
        <v/>
      </c>
      <c r="FJ737" s="59">
        <f>$BY737-$BY738</f>
        <v/>
      </c>
      <c r="FK737" s="59">
        <f>$BZ737-$BZ738</f>
        <v/>
      </c>
      <c r="FL737" s="59">
        <f>$CA737-$CA738</f>
        <v/>
      </c>
      <c r="FM737" s="59">
        <f>$CB737-$CB738</f>
        <v/>
      </c>
      <c r="FN737" s="59">
        <f>$CC737-$CC738</f>
        <v/>
      </c>
      <c r="FO737" s="59">
        <f>$CD737-$CD738</f>
        <v/>
      </c>
      <c r="FP737" s="59">
        <f>$CE737-$CE738</f>
        <v/>
      </c>
      <c r="FQ737" s="59">
        <f>$CF737-$CF738</f>
        <v/>
      </c>
      <c r="FR737" s="59">
        <f>$CG737-$CG738</f>
        <v/>
      </c>
      <c r="FS737" s="59">
        <f>$CH737-$CH738</f>
        <v/>
      </c>
      <c r="FT737" s="59">
        <f>$CI737-$CI738</f>
        <v/>
      </c>
      <c r="FU737" s="59">
        <f>$CJ737-$CJ738</f>
        <v/>
      </c>
      <c r="FV737" s="59">
        <f>$CK737-$CK738</f>
        <v/>
      </c>
      <c r="FW737" s="59">
        <f>$CL737-$CL738</f>
        <v/>
      </c>
      <c r="FX737" s="59">
        <f>$CM737-$CM738</f>
        <v/>
      </c>
      <c r="FY737" s="59">
        <f>$CN737-$CN738</f>
        <v/>
      </c>
      <c r="FZ737" s="59">
        <f>$CO737-$CO738</f>
        <v/>
      </c>
      <c r="GA737" s="59">
        <f>$CP737-$CP738</f>
        <v/>
      </c>
      <c r="GB737" s="59">
        <f>$CQ737-$CQ738</f>
        <v/>
      </c>
      <c r="GC737" s="59">
        <f>$CR737-$CR738</f>
        <v/>
      </c>
      <c r="GD737" s="59">
        <f>$CS737-$CS738</f>
        <v/>
      </c>
      <c r="GE737" s="59">
        <f>$CT737-$CT738</f>
        <v/>
      </c>
    </row>
    <row r="738">
      <c r="CU738" s="58">
        <f>IFERROR($B738/$B739-1,"")</f>
        <v/>
      </c>
      <c r="CV738" s="59">
        <f>($F738-$F739)*100</f>
        <v/>
      </c>
      <c r="CW738" s="59">
        <f>($E738-$E739)*100</f>
        <v/>
      </c>
      <c r="CX738" s="58">
        <f>IFERROR($K738/$K739-1,"")</f>
        <v/>
      </c>
      <c r="CY738" s="59">
        <f>($AH738-$AH739)*100</f>
        <v/>
      </c>
      <c r="CZ738" s="59">
        <f>($AI738-$AI739)*100</f>
        <v/>
      </c>
      <c r="DA738" s="59">
        <f>($AJ738-$AJ739)*100</f>
        <v/>
      </c>
      <c r="DB738" s="59">
        <f>($AK738-$AK739)*100</f>
        <v/>
      </c>
      <c r="DC738" s="59">
        <f>($AL738-$AL739)*100</f>
        <v/>
      </c>
      <c r="DD738" s="59">
        <f>($AM738-$AM739)*100</f>
        <v/>
      </c>
      <c r="DE738" s="59">
        <f>($AN738-$AN739)*100</f>
        <v/>
      </c>
      <c r="DF738" s="59">
        <f>($AO738-$AO739)*100</f>
        <v/>
      </c>
      <c r="DG738" s="59">
        <f>($AP738-$AP739)*100</f>
        <v/>
      </c>
      <c r="DH738" s="59">
        <f>($AQ738-$AQ739)*100</f>
        <v/>
      </c>
      <c r="DI738" s="59">
        <f>($AR738-$AR739)*100</f>
        <v/>
      </c>
      <c r="DJ738" s="59">
        <f>($AS738-$AS739)*100</f>
        <v/>
      </c>
      <c r="DK738" s="59">
        <f>($AT738-$AT739)*100</f>
        <v/>
      </c>
      <c r="DL738" s="59">
        <f>($AU738-$AU739)*100</f>
        <v/>
      </c>
      <c r="DM738" s="59">
        <f>($AV738-$AV739)*100</f>
        <v/>
      </c>
      <c r="DN738" s="59">
        <f>($AW738-$AW739)*100</f>
        <v/>
      </c>
      <c r="DO738" s="59">
        <f>($AX738-$AX739)*100</f>
        <v/>
      </c>
      <c r="DP738" s="59">
        <f>($AY738-$AY739)*100</f>
        <v/>
      </c>
      <c r="DQ738" s="59">
        <f>($AZ738-$AZ739)*100</f>
        <v/>
      </c>
      <c r="DR738" s="59">
        <f>($BA738-$BA739)*100</f>
        <v/>
      </c>
      <c r="DS738" s="58">
        <f>IFERROR($N739/$N738-1,"")</f>
        <v/>
      </c>
      <c r="DT738" s="58">
        <f>IFERROR($O739/$O738-1,"")</f>
        <v/>
      </c>
      <c r="DU738" s="58">
        <f>IFERROR($P739/$P738-1,"")</f>
        <v/>
      </c>
      <c r="DV738" s="58">
        <f>IFERROR($Q739/$Q738-1,"")</f>
        <v/>
      </c>
      <c r="DW738" s="58">
        <f>IFERROR($R739/$R738-1,"")</f>
        <v/>
      </c>
      <c r="DX738" s="58">
        <f>IFERROR($S739/$S738-1,"")</f>
        <v/>
      </c>
      <c r="DY738" s="58">
        <f>IFERROR($T739/$T738-1,"")</f>
        <v/>
      </c>
      <c r="DZ738" s="58">
        <f>IFERROR($U739/$U738-1,"")</f>
        <v/>
      </c>
      <c r="EA738" s="58">
        <f>IFERROR($V739/$V738-1,"")</f>
        <v/>
      </c>
      <c r="EB738" s="58">
        <f>IFERROR($W739/$W738-1,"")</f>
        <v/>
      </c>
      <c r="EC738" s="58">
        <f>IFERROR($X739/$X738-1,"")</f>
        <v/>
      </c>
      <c r="ED738" s="58">
        <f>IFERROR($Y739/$Y738-1,"")</f>
        <v/>
      </c>
      <c r="EE738" s="58">
        <f>IFERROR($Z739/$Z738-1,"")</f>
        <v/>
      </c>
      <c r="EF738" s="58">
        <f>IFERROR($AA739/$AA738-1,"")</f>
        <v/>
      </c>
      <c r="EG738" s="58">
        <f>IFERROR($AB739/$AB738-1,"")</f>
        <v/>
      </c>
      <c r="EH738" s="58">
        <f>IFERROR($AC739/$AC738-1,"")</f>
        <v/>
      </c>
      <c r="EI738" s="58">
        <f>IFERROR($AD739/$AD738-1,"")</f>
        <v/>
      </c>
      <c r="EJ738" s="58">
        <f>IFERROR($AE739/$AE738-1,"")</f>
        <v/>
      </c>
      <c r="EK738" s="58">
        <f>IFERROR($AF739/$AF738-1,"")</f>
        <v/>
      </c>
      <c r="EL738" s="58">
        <f>IFERROR($AG739/$AG738-1,"")</f>
        <v/>
      </c>
      <c r="EM738" s="58">
        <f>IFERROR($BB738/$BB739-1,"")</f>
        <v/>
      </c>
      <c r="EN738" s="58">
        <f>IFERROR($BC738/$BC739-1,"")</f>
        <v/>
      </c>
      <c r="EO738" s="58">
        <f>IFERROR($BD738/$BD739-1,"")</f>
        <v/>
      </c>
      <c r="EP738" s="58">
        <f>IFERROR($BE738/$BE739-1,"")</f>
        <v/>
      </c>
      <c r="EQ738" s="58">
        <f>IFERROR($BF738/$BF739-1,"")</f>
        <v/>
      </c>
      <c r="ER738" s="58">
        <f>IFERROR($BG738/$BG739-1,"")</f>
        <v/>
      </c>
      <c r="ES738" s="58">
        <f>IFERROR($BH738/$BH739-1,"")</f>
        <v/>
      </c>
      <c r="ET738" s="58">
        <f>IFERROR($BI738/$BI739-1,"")</f>
        <v/>
      </c>
      <c r="EU738" s="58">
        <f>IFERROR($BJ738/$BJ739-1,"")</f>
        <v/>
      </c>
      <c r="EV738" s="58">
        <f>IFERROR($BK738/$BK739-1,"")</f>
        <v/>
      </c>
      <c r="EW738" s="58">
        <f>IFERROR($BL738/$BL739-1,"")</f>
        <v/>
      </c>
      <c r="EX738" s="58">
        <f>IFERROR($BM738/$BM739-1,"")</f>
        <v/>
      </c>
      <c r="EY738" s="58">
        <f>IFERROR($BN738/$BN739-1,"")</f>
        <v/>
      </c>
      <c r="EZ738" s="58">
        <f>IFERROR($BO738/$BO739-1,"")</f>
        <v/>
      </c>
      <c r="FA738" s="58">
        <f>IFERROR($BP738/$BP739-1,"")</f>
        <v/>
      </c>
      <c r="FB738" s="58">
        <f>IFERROR($BQ738/$BQ739-1,"")</f>
        <v/>
      </c>
      <c r="FC738" s="58">
        <f>IFERROR($BR738/$BR739-1,"")</f>
        <v/>
      </c>
      <c r="FD738" s="58">
        <f>IFERROR($BS738/$BS739-1,"")</f>
        <v/>
      </c>
      <c r="FE738" s="58">
        <f>IFERROR($BT738/$BT739-1,"")</f>
        <v/>
      </c>
      <c r="FF738" s="58">
        <f>IFERROR($BU738/$BU739-1,"")</f>
        <v/>
      </c>
      <c r="FG738" s="58">
        <f>IFERROR($BV738/$BV739-1,"")</f>
        <v/>
      </c>
      <c r="FH738" s="58">
        <f>IFERROR($BW738/$BW739-1,"")</f>
        <v/>
      </c>
      <c r="FI738" s="58">
        <f>IFERROR($BX738/$BX739-1,"")</f>
        <v/>
      </c>
      <c r="FJ738" s="59">
        <f>$BY738-$BY739</f>
        <v/>
      </c>
      <c r="FK738" s="59">
        <f>$BZ738-$BZ739</f>
        <v/>
      </c>
      <c r="FL738" s="59">
        <f>$CA738-$CA739</f>
        <v/>
      </c>
      <c r="FM738" s="59">
        <f>$CB738-$CB739</f>
        <v/>
      </c>
      <c r="FN738" s="59">
        <f>$CC738-$CC739</f>
        <v/>
      </c>
      <c r="FO738" s="59">
        <f>$CD738-$CD739</f>
        <v/>
      </c>
      <c r="FP738" s="59">
        <f>$CE738-$CE739</f>
        <v/>
      </c>
      <c r="FQ738" s="59">
        <f>$CF738-$CF739</f>
        <v/>
      </c>
      <c r="FR738" s="59">
        <f>$CG738-$CG739</f>
        <v/>
      </c>
      <c r="FS738" s="59">
        <f>$CH738-$CH739</f>
        <v/>
      </c>
      <c r="FT738" s="59">
        <f>$CI738-$CI739</f>
        <v/>
      </c>
      <c r="FU738" s="59">
        <f>$CJ738-$CJ739</f>
        <v/>
      </c>
      <c r="FV738" s="59">
        <f>$CK738-$CK739</f>
        <v/>
      </c>
      <c r="FW738" s="59">
        <f>$CL738-$CL739</f>
        <v/>
      </c>
      <c r="FX738" s="59">
        <f>$CM738-$CM739</f>
        <v/>
      </c>
      <c r="FY738" s="59">
        <f>$CN738-$CN739</f>
        <v/>
      </c>
      <c r="FZ738" s="59">
        <f>$CO738-$CO739</f>
        <v/>
      </c>
      <c r="GA738" s="59">
        <f>$CP738-$CP739</f>
        <v/>
      </c>
      <c r="GB738" s="59">
        <f>$CQ738-$CQ739</f>
        <v/>
      </c>
      <c r="GC738" s="59">
        <f>$CR738-$CR739</f>
        <v/>
      </c>
      <c r="GD738" s="59">
        <f>$CS738-$CS739</f>
        <v/>
      </c>
      <c r="GE738" s="59">
        <f>$CT738-$CT739</f>
        <v/>
      </c>
    </row>
    <row r="739">
      <c r="CU739" s="58">
        <f>IFERROR($B739/$B740-1,"")</f>
        <v/>
      </c>
      <c r="CV739" s="59">
        <f>($F739-$F740)*100</f>
        <v/>
      </c>
      <c r="CW739" s="59">
        <f>($E739-$E740)*100</f>
        <v/>
      </c>
      <c r="CX739" s="58">
        <f>IFERROR($K739/$K740-1,"")</f>
        <v/>
      </c>
      <c r="CY739" s="59">
        <f>($AH739-$AH740)*100</f>
        <v/>
      </c>
      <c r="CZ739" s="59">
        <f>($AI739-$AI740)*100</f>
        <v/>
      </c>
      <c r="DA739" s="59">
        <f>($AJ739-$AJ740)*100</f>
        <v/>
      </c>
      <c r="DB739" s="59">
        <f>($AK739-$AK740)*100</f>
        <v/>
      </c>
      <c r="DC739" s="59">
        <f>($AL739-$AL740)*100</f>
        <v/>
      </c>
      <c r="DD739" s="59">
        <f>($AM739-$AM740)*100</f>
        <v/>
      </c>
      <c r="DE739" s="59">
        <f>($AN739-$AN740)*100</f>
        <v/>
      </c>
      <c r="DF739" s="59">
        <f>($AO739-$AO740)*100</f>
        <v/>
      </c>
      <c r="DG739" s="59">
        <f>($AP739-$AP740)*100</f>
        <v/>
      </c>
      <c r="DH739" s="59">
        <f>($AQ739-$AQ740)*100</f>
        <v/>
      </c>
      <c r="DI739" s="59">
        <f>($AR739-$AR740)*100</f>
        <v/>
      </c>
      <c r="DJ739" s="59">
        <f>($AS739-$AS740)*100</f>
        <v/>
      </c>
      <c r="DK739" s="59">
        <f>($AT739-$AT740)*100</f>
        <v/>
      </c>
      <c r="DL739" s="59">
        <f>($AU739-$AU740)*100</f>
        <v/>
      </c>
      <c r="DM739" s="59">
        <f>($AV739-$AV740)*100</f>
        <v/>
      </c>
      <c r="DN739" s="59">
        <f>($AW739-$AW740)*100</f>
        <v/>
      </c>
      <c r="DO739" s="59">
        <f>($AX739-$AX740)*100</f>
        <v/>
      </c>
      <c r="DP739" s="59">
        <f>($AY739-$AY740)*100</f>
        <v/>
      </c>
      <c r="DQ739" s="59">
        <f>($AZ739-$AZ740)*100</f>
        <v/>
      </c>
      <c r="DR739" s="59">
        <f>($BA739-$BA740)*100</f>
        <v/>
      </c>
      <c r="DS739" s="58">
        <f>IFERROR($N740/$N739-1,"")</f>
        <v/>
      </c>
      <c r="DT739" s="58">
        <f>IFERROR($O740/$O739-1,"")</f>
        <v/>
      </c>
      <c r="DU739" s="58">
        <f>IFERROR($P740/$P739-1,"")</f>
        <v/>
      </c>
      <c r="DV739" s="58">
        <f>IFERROR($Q740/$Q739-1,"")</f>
        <v/>
      </c>
      <c r="DW739" s="58">
        <f>IFERROR($R740/$R739-1,"")</f>
        <v/>
      </c>
      <c r="DX739" s="58">
        <f>IFERROR($S740/$S739-1,"")</f>
        <v/>
      </c>
      <c r="DY739" s="58">
        <f>IFERROR($T740/$T739-1,"")</f>
        <v/>
      </c>
      <c r="DZ739" s="58">
        <f>IFERROR($U740/$U739-1,"")</f>
        <v/>
      </c>
      <c r="EA739" s="58">
        <f>IFERROR($V740/$V739-1,"")</f>
        <v/>
      </c>
      <c r="EB739" s="58">
        <f>IFERROR($W740/$W739-1,"")</f>
        <v/>
      </c>
      <c r="EC739" s="58">
        <f>IFERROR($X740/$X739-1,"")</f>
        <v/>
      </c>
      <c r="ED739" s="58">
        <f>IFERROR($Y740/$Y739-1,"")</f>
        <v/>
      </c>
      <c r="EE739" s="58">
        <f>IFERROR($Z740/$Z739-1,"")</f>
        <v/>
      </c>
      <c r="EF739" s="58">
        <f>IFERROR($AA740/$AA739-1,"")</f>
        <v/>
      </c>
      <c r="EG739" s="58">
        <f>IFERROR($AB740/$AB739-1,"")</f>
        <v/>
      </c>
      <c r="EH739" s="58">
        <f>IFERROR($AC740/$AC739-1,"")</f>
        <v/>
      </c>
      <c r="EI739" s="58">
        <f>IFERROR($AD740/$AD739-1,"")</f>
        <v/>
      </c>
      <c r="EJ739" s="58">
        <f>IFERROR($AE740/$AE739-1,"")</f>
        <v/>
      </c>
      <c r="EK739" s="58">
        <f>IFERROR($AF740/$AF739-1,"")</f>
        <v/>
      </c>
      <c r="EL739" s="58">
        <f>IFERROR($AG740/$AG739-1,"")</f>
        <v/>
      </c>
      <c r="EM739" s="58">
        <f>IFERROR($BB739/$BB740-1,"")</f>
        <v/>
      </c>
      <c r="EN739" s="58">
        <f>IFERROR($BC739/$BC740-1,"")</f>
        <v/>
      </c>
      <c r="EO739" s="58">
        <f>IFERROR($BD739/$BD740-1,"")</f>
        <v/>
      </c>
      <c r="EP739" s="58">
        <f>IFERROR($BE739/$BE740-1,"")</f>
        <v/>
      </c>
      <c r="EQ739" s="58">
        <f>IFERROR($BF739/$BF740-1,"")</f>
        <v/>
      </c>
      <c r="ER739" s="58">
        <f>IFERROR($BG739/$BG740-1,"")</f>
        <v/>
      </c>
      <c r="ES739" s="58">
        <f>IFERROR($BH739/$BH740-1,"")</f>
        <v/>
      </c>
      <c r="ET739" s="58">
        <f>IFERROR($BI739/$BI740-1,"")</f>
        <v/>
      </c>
      <c r="EU739" s="58">
        <f>IFERROR($BJ739/$BJ740-1,"")</f>
        <v/>
      </c>
      <c r="EV739" s="58">
        <f>IFERROR($BK739/$BK740-1,"")</f>
        <v/>
      </c>
      <c r="EW739" s="58">
        <f>IFERROR($BL739/$BL740-1,"")</f>
        <v/>
      </c>
      <c r="EX739" s="58">
        <f>IFERROR($BM739/$BM740-1,"")</f>
        <v/>
      </c>
      <c r="EY739" s="58">
        <f>IFERROR($BN739/$BN740-1,"")</f>
        <v/>
      </c>
      <c r="EZ739" s="58">
        <f>IFERROR($BO739/$BO740-1,"")</f>
        <v/>
      </c>
      <c r="FA739" s="58">
        <f>IFERROR($BP739/$BP740-1,"")</f>
        <v/>
      </c>
      <c r="FB739" s="58">
        <f>IFERROR($BQ739/$BQ740-1,"")</f>
        <v/>
      </c>
      <c r="FC739" s="58">
        <f>IFERROR($BR739/$BR740-1,"")</f>
        <v/>
      </c>
      <c r="FD739" s="58">
        <f>IFERROR($BS739/$BS740-1,"")</f>
        <v/>
      </c>
      <c r="FE739" s="58">
        <f>IFERROR($BT739/$BT740-1,"")</f>
        <v/>
      </c>
      <c r="FF739" s="58">
        <f>IFERROR($BU739/$BU740-1,"")</f>
        <v/>
      </c>
      <c r="FG739" s="58">
        <f>IFERROR($BV739/$BV740-1,"")</f>
        <v/>
      </c>
      <c r="FH739" s="58">
        <f>IFERROR($BW739/$BW740-1,"")</f>
        <v/>
      </c>
      <c r="FI739" s="58">
        <f>IFERROR($BX739/$BX740-1,"")</f>
        <v/>
      </c>
      <c r="FJ739" s="59">
        <f>$BY739-$BY740</f>
        <v/>
      </c>
      <c r="FK739" s="59">
        <f>$BZ739-$BZ740</f>
        <v/>
      </c>
      <c r="FL739" s="59">
        <f>$CA739-$CA740</f>
        <v/>
      </c>
      <c r="FM739" s="59">
        <f>$CB739-$CB740</f>
        <v/>
      </c>
      <c r="FN739" s="59">
        <f>$CC739-$CC740</f>
        <v/>
      </c>
      <c r="FO739" s="59">
        <f>$CD739-$CD740</f>
        <v/>
      </c>
      <c r="FP739" s="59">
        <f>$CE739-$CE740</f>
        <v/>
      </c>
      <c r="FQ739" s="59">
        <f>$CF739-$CF740</f>
        <v/>
      </c>
      <c r="FR739" s="59">
        <f>$CG739-$CG740</f>
        <v/>
      </c>
      <c r="FS739" s="59">
        <f>$CH739-$CH740</f>
        <v/>
      </c>
      <c r="FT739" s="59">
        <f>$CI739-$CI740</f>
        <v/>
      </c>
      <c r="FU739" s="59">
        <f>$CJ739-$CJ740</f>
        <v/>
      </c>
      <c r="FV739" s="59">
        <f>$CK739-$CK740</f>
        <v/>
      </c>
      <c r="FW739" s="59">
        <f>$CL739-$CL740</f>
        <v/>
      </c>
      <c r="FX739" s="59">
        <f>$CM739-$CM740</f>
        <v/>
      </c>
      <c r="FY739" s="59">
        <f>$CN739-$CN740</f>
        <v/>
      </c>
      <c r="FZ739" s="59">
        <f>$CO739-$CO740</f>
        <v/>
      </c>
      <c r="GA739" s="59">
        <f>$CP739-$CP740</f>
        <v/>
      </c>
      <c r="GB739" s="59">
        <f>$CQ739-$CQ740</f>
        <v/>
      </c>
      <c r="GC739" s="59">
        <f>$CR739-$CR740</f>
        <v/>
      </c>
      <c r="GD739" s="59">
        <f>$CS739-$CS740</f>
        <v/>
      </c>
      <c r="GE739" s="59">
        <f>$CT739-$CT740</f>
        <v/>
      </c>
    </row>
    <row r="740">
      <c r="CU740" s="58">
        <f>IFERROR($B740/$B741-1,"")</f>
        <v/>
      </c>
      <c r="CV740" s="59">
        <f>($F740-$F741)*100</f>
        <v/>
      </c>
      <c r="CW740" s="59">
        <f>($E740-$E741)*100</f>
        <v/>
      </c>
      <c r="CX740" s="58">
        <f>IFERROR($K740/$K741-1,"")</f>
        <v/>
      </c>
      <c r="CY740" s="59">
        <f>($AH740-$AH741)*100</f>
        <v/>
      </c>
      <c r="CZ740" s="59">
        <f>($AI740-$AI741)*100</f>
        <v/>
      </c>
      <c r="DA740" s="59">
        <f>($AJ740-$AJ741)*100</f>
        <v/>
      </c>
      <c r="DB740" s="59">
        <f>($AK740-$AK741)*100</f>
        <v/>
      </c>
      <c r="DC740" s="59">
        <f>($AL740-$AL741)*100</f>
        <v/>
      </c>
      <c r="DD740" s="59">
        <f>($AM740-$AM741)*100</f>
        <v/>
      </c>
      <c r="DE740" s="59">
        <f>($AN740-$AN741)*100</f>
        <v/>
      </c>
      <c r="DF740" s="59">
        <f>($AO740-$AO741)*100</f>
        <v/>
      </c>
      <c r="DG740" s="59">
        <f>($AP740-$AP741)*100</f>
        <v/>
      </c>
      <c r="DH740" s="59">
        <f>($AQ740-$AQ741)*100</f>
        <v/>
      </c>
      <c r="DI740" s="59">
        <f>($AR740-$AR741)*100</f>
        <v/>
      </c>
      <c r="DJ740" s="59">
        <f>($AS740-$AS741)*100</f>
        <v/>
      </c>
      <c r="DK740" s="59">
        <f>($AT740-$AT741)*100</f>
        <v/>
      </c>
      <c r="DL740" s="59">
        <f>($AU740-$AU741)*100</f>
        <v/>
      </c>
      <c r="DM740" s="59">
        <f>($AV740-$AV741)*100</f>
        <v/>
      </c>
      <c r="DN740" s="59">
        <f>($AW740-$AW741)*100</f>
        <v/>
      </c>
      <c r="DO740" s="59">
        <f>($AX740-$AX741)*100</f>
        <v/>
      </c>
      <c r="DP740" s="59">
        <f>($AY740-$AY741)*100</f>
        <v/>
      </c>
      <c r="DQ740" s="59">
        <f>($AZ740-$AZ741)*100</f>
        <v/>
      </c>
      <c r="DR740" s="59">
        <f>($BA740-$BA741)*100</f>
        <v/>
      </c>
      <c r="DS740" s="58">
        <f>IFERROR($N741/$N740-1,"")</f>
        <v/>
      </c>
      <c r="DT740" s="58">
        <f>IFERROR($O741/$O740-1,"")</f>
        <v/>
      </c>
      <c r="DU740" s="58">
        <f>IFERROR($P741/$P740-1,"")</f>
        <v/>
      </c>
      <c r="DV740" s="58">
        <f>IFERROR($Q741/$Q740-1,"")</f>
        <v/>
      </c>
      <c r="DW740" s="58">
        <f>IFERROR($R741/$R740-1,"")</f>
        <v/>
      </c>
      <c r="DX740" s="58">
        <f>IFERROR($S741/$S740-1,"")</f>
        <v/>
      </c>
      <c r="DY740" s="58">
        <f>IFERROR($T741/$T740-1,"")</f>
        <v/>
      </c>
      <c r="DZ740" s="58">
        <f>IFERROR($U741/$U740-1,"")</f>
        <v/>
      </c>
      <c r="EA740" s="58">
        <f>IFERROR($V741/$V740-1,"")</f>
        <v/>
      </c>
      <c r="EB740" s="58">
        <f>IFERROR($W741/$W740-1,"")</f>
        <v/>
      </c>
      <c r="EC740" s="58">
        <f>IFERROR($X741/$X740-1,"")</f>
        <v/>
      </c>
      <c r="ED740" s="58">
        <f>IFERROR($Y741/$Y740-1,"")</f>
        <v/>
      </c>
      <c r="EE740" s="58">
        <f>IFERROR($Z741/$Z740-1,"")</f>
        <v/>
      </c>
      <c r="EF740" s="58">
        <f>IFERROR($AA741/$AA740-1,"")</f>
        <v/>
      </c>
      <c r="EG740" s="58">
        <f>IFERROR($AB741/$AB740-1,"")</f>
        <v/>
      </c>
      <c r="EH740" s="58">
        <f>IFERROR($AC741/$AC740-1,"")</f>
        <v/>
      </c>
      <c r="EI740" s="58">
        <f>IFERROR($AD741/$AD740-1,"")</f>
        <v/>
      </c>
      <c r="EJ740" s="58">
        <f>IFERROR($AE741/$AE740-1,"")</f>
        <v/>
      </c>
      <c r="EK740" s="58">
        <f>IFERROR($AF741/$AF740-1,"")</f>
        <v/>
      </c>
      <c r="EL740" s="58">
        <f>IFERROR($AG741/$AG740-1,"")</f>
        <v/>
      </c>
      <c r="EM740" s="58">
        <f>IFERROR($BB740/$BB741-1,"")</f>
        <v/>
      </c>
      <c r="EN740" s="58">
        <f>IFERROR($BC740/$BC741-1,"")</f>
        <v/>
      </c>
      <c r="EO740" s="58">
        <f>IFERROR($BD740/$BD741-1,"")</f>
        <v/>
      </c>
      <c r="EP740" s="58">
        <f>IFERROR($BE740/$BE741-1,"")</f>
        <v/>
      </c>
      <c r="EQ740" s="58">
        <f>IFERROR($BF740/$BF741-1,"")</f>
        <v/>
      </c>
      <c r="ER740" s="58">
        <f>IFERROR($BG740/$BG741-1,"")</f>
        <v/>
      </c>
      <c r="ES740" s="58">
        <f>IFERROR($BH740/$BH741-1,"")</f>
        <v/>
      </c>
      <c r="ET740" s="58">
        <f>IFERROR($BI740/$BI741-1,"")</f>
        <v/>
      </c>
      <c r="EU740" s="58">
        <f>IFERROR($BJ740/$BJ741-1,"")</f>
        <v/>
      </c>
      <c r="EV740" s="58">
        <f>IFERROR($BK740/$BK741-1,"")</f>
        <v/>
      </c>
      <c r="EW740" s="58">
        <f>IFERROR($BL740/$BL741-1,"")</f>
        <v/>
      </c>
      <c r="EX740" s="58">
        <f>IFERROR($BM740/$BM741-1,"")</f>
        <v/>
      </c>
      <c r="EY740" s="58">
        <f>IFERROR($BN740/$BN741-1,"")</f>
        <v/>
      </c>
      <c r="EZ740" s="58">
        <f>IFERROR($BO740/$BO741-1,"")</f>
        <v/>
      </c>
      <c r="FA740" s="58">
        <f>IFERROR($BP740/$BP741-1,"")</f>
        <v/>
      </c>
      <c r="FB740" s="58">
        <f>IFERROR($BQ740/$BQ741-1,"")</f>
        <v/>
      </c>
      <c r="FC740" s="58">
        <f>IFERROR($BR740/$BR741-1,"")</f>
        <v/>
      </c>
      <c r="FD740" s="58">
        <f>IFERROR($BS740/$BS741-1,"")</f>
        <v/>
      </c>
      <c r="FE740" s="58">
        <f>IFERROR($BT740/$BT741-1,"")</f>
        <v/>
      </c>
      <c r="FF740" s="58">
        <f>IFERROR($BU740/$BU741-1,"")</f>
        <v/>
      </c>
      <c r="FG740" s="58">
        <f>IFERROR($BV740/$BV741-1,"")</f>
        <v/>
      </c>
      <c r="FH740" s="58">
        <f>IFERROR($BW740/$BW741-1,"")</f>
        <v/>
      </c>
      <c r="FI740" s="58">
        <f>IFERROR($BX740/$BX741-1,"")</f>
        <v/>
      </c>
      <c r="FJ740" s="59">
        <f>$BY740-$BY741</f>
        <v/>
      </c>
      <c r="FK740" s="59">
        <f>$BZ740-$BZ741</f>
        <v/>
      </c>
      <c r="FL740" s="59">
        <f>$CA740-$CA741</f>
        <v/>
      </c>
      <c r="FM740" s="59">
        <f>$CB740-$CB741</f>
        <v/>
      </c>
      <c r="FN740" s="59">
        <f>$CC740-$CC741</f>
        <v/>
      </c>
      <c r="FO740" s="59">
        <f>$CD740-$CD741</f>
        <v/>
      </c>
      <c r="FP740" s="59">
        <f>$CE740-$CE741</f>
        <v/>
      </c>
      <c r="FQ740" s="59">
        <f>$CF740-$CF741</f>
        <v/>
      </c>
      <c r="FR740" s="59">
        <f>$CG740-$CG741</f>
        <v/>
      </c>
      <c r="FS740" s="59">
        <f>$CH740-$CH741</f>
        <v/>
      </c>
      <c r="FT740" s="59">
        <f>$CI740-$CI741</f>
        <v/>
      </c>
      <c r="FU740" s="59">
        <f>$CJ740-$CJ741</f>
        <v/>
      </c>
      <c r="FV740" s="59">
        <f>$CK740-$CK741</f>
        <v/>
      </c>
      <c r="FW740" s="59">
        <f>$CL740-$CL741</f>
        <v/>
      </c>
      <c r="FX740" s="59">
        <f>$CM740-$CM741</f>
        <v/>
      </c>
      <c r="FY740" s="59">
        <f>$CN740-$CN741</f>
        <v/>
      </c>
      <c r="FZ740" s="59">
        <f>$CO740-$CO741</f>
        <v/>
      </c>
      <c r="GA740" s="59">
        <f>$CP740-$CP741</f>
        <v/>
      </c>
      <c r="GB740" s="59">
        <f>$CQ740-$CQ741</f>
        <v/>
      </c>
      <c r="GC740" s="59">
        <f>$CR740-$CR741</f>
        <v/>
      </c>
      <c r="GD740" s="59">
        <f>$CS740-$CS741</f>
        <v/>
      </c>
      <c r="GE740" s="59">
        <f>$CT740-$CT741</f>
        <v/>
      </c>
    </row>
    <row r="741">
      <c r="CU741" s="58">
        <f>IFERROR($B741/$B742-1,"")</f>
        <v/>
      </c>
      <c r="CV741" s="59">
        <f>($F741-$F742)*100</f>
        <v/>
      </c>
      <c r="CW741" s="59">
        <f>($E741-$E742)*100</f>
        <v/>
      </c>
      <c r="CX741" s="58">
        <f>IFERROR($K741/$K742-1,"")</f>
        <v/>
      </c>
      <c r="CY741" s="59">
        <f>($AH741-$AH742)*100</f>
        <v/>
      </c>
      <c r="CZ741" s="59">
        <f>($AI741-$AI742)*100</f>
        <v/>
      </c>
      <c r="DA741" s="59">
        <f>($AJ741-$AJ742)*100</f>
        <v/>
      </c>
      <c r="DB741" s="59">
        <f>($AK741-$AK742)*100</f>
        <v/>
      </c>
      <c r="DC741" s="59">
        <f>($AL741-$AL742)*100</f>
        <v/>
      </c>
      <c r="DD741" s="59">
        <f>($AM741-$AM742)*100</f>
        <v/>
      </c>
      <c r="DE741" s="59">
        <f>($AN741-$AN742)*100</f>
        <v/>
      </c>
      <c r="DF741" s="59">
        <f>($AO741-$AO742)*100</f>
        <v/>
      </c>
      <c r="DG741" s="59">
        <f>($AP741-$AP742)*100</f>
        <v/>
      </c>
      <c r="DH741" s="59">
        <f>($AQ741-$AQ742)*100</f>
        <v/>
      </c>
      <c r="DI741" s="59">
        <f>($AR741-$AR742)*100</f>
        <v/>
      </c>
      <c r="DJ741" s="59">
        <f>($AS741-$AS742)*100</f>
        <v/>
      </c>
      <c r="DK741" s="59">
        <f>($AT741-$AT742)*100</f>
        <v/>
      </c>
      <c r="DL741" s="59">
        <f>($AU741-$AU742)*100</f>
        <v/>
      </c>
      <c r="DM741" s="59">
        <f>($AV741-$AV742)*100</f>
        <v/>
      </c>
      <c r="DN741" s="59">
        <f>($AW741-$AW742)*100</f>
        <v/>
      </c>
      <c r="DO741" s="59">
        <f>($AX741-$AX742)*100</f>
        <v/>
      </c>
      <c r="DP741" s="59">
        <f>($AY741-$AY742)*100</f>
        <v/>
      </c>
      <c r="DQ741" s="59">
        <f>($AZ741-$AZ742)*100</f>
        <v/>
      </c>
      <c r="DR741" s="59">
        <f>($BA741-$BA742)*100</f>
        <v/>
      </c>
      <c r="DS741" s="58">
        <f>IFERROR($N742/$N741-1,"")</f>
        <v/>
      </c>
      <c r="DT741" s="58">
        <f>IFERROR($O742/$O741-1,"")</f>
        <v/>
      </c>
      <c r="DU741" s="58">
        <f>IFERROR($P742/$P741-1,"")</f>
        <v/>
      </c>
      <c r="DV741" s="58">
        <f>IFERROR($Q742/$Q741-1,"")</f>
        <v/>
      </c>
      <c r="DW741" s="58">
        <f>IFERROR($R742/$R741-1,"")</f>
        <v/>
      </c>
      <c r="DX741" s="58">
        <f>IFERROR($S742/$S741-1,"")</f>
        <v/>
      </c>
      <c r="DY741" s="58">
        <f>IFERROR($T742/$T741-1,"")</f>
        <v/>
      </c>
      <c r="DZ741" s="58">
        <f>IFERROR($U742/$U741-1,"")</f>
        <v/>
      </c>
      <c r="EA741" s="58">
        <f>IFERROR($V742/$V741-1,"")</f>
        <v/>
      </c>
      <c r="EB741" s="58">
        <f>IFERROR($W742/$W741-1,"")</f>
        <v/>
      </c>
      <c r="EC741" s="58">
        <f>IFERROR($X742/$X741-1,"")</f>
        <v/>
      </c>
      <c r="ED741" s="58">
        <f>IFERROR($Y742/$Y741-1,"")</f>
        <v/>
      </c>
      <c r="EE741" s="58">
        <f>IFERROR($Z742/$Z741-1,"")</f>
        <v/>
      </c>
      <c r="EF741" s="58">
        <f>IFERROR($AA742/$AA741-1,"")</f>
        <v/>
      </c>
      <c r="EG741" s="58">
        <f>IFERROR($AB742/$AB741-1,"")</f>
        <v/>
      </c>
      <c r="EH741" s="58">
        <f>IFERROR($AC742/$AC741-1,"")</f>
        <v/>
      </c>
      <c r="EI741" s="58">
        <f>IFERROR($AD742/$AD741-1,"")</f>
        <v/>
      </c>
      <c r="EJ741" s="58">
        <f>IFERROR($AE742/$AE741-1,"")</f>
        <v/>
      </c>
      <c r="EK741" s="58">
        <f>IFERROR($AF742/$AF741-1,"")</f>
        <v/>
      </c>
      <c r="EL741" s="58">
        <f>IFERROR($AG742/$AG741-1,"")</f>
        <v/>
      </c>
      <c r="EM741" s="58">
        <f>IFERROR($BB741/$BB742-1,"")</f>
        <v/>
      </c>
      <c r="EN741" s="58">
        <f>IFERROR($BC741/$BC742-1,"")</f>
        <v/>
      </c>
      <c r="EO741" s="58">
        <f>IFERROR($BD741/$BD742-1,"")</f>
        <v/>
      </c>
      <c r="EP741" s="58">
        <f>IFERROR($BE741/$BE742-1,"")</f>
        <v/>
      </c>
      <c r="EQ741" s="58">
        <f>IFERROR($BF741/$BF742-1,"")</f>
        <v/>
      </c>
      <c r="ER741" s="58">
        <f>IFERROR($BG741/$BG742-1,"")</f>
        <v/>
      </c>
      <c r="ES741" s="58">
        <f>IFERROR($BH741/$BH742-1,"")</f>
        <v/>
      </c>
      <c r="ET741" s="58">
        <f>IFERROR($BI741/$BI742-1,"")</f>
        <v/>
      </c>
      <c r="EU741" s="58">
        <f>IFERROR($BJ741/$BJ742-1,"")</f>
        <v/>
      </c>
      <c r="EV741" s="58">
        <f>IFERROR($BK741/$BK742-1,"")</f>
        <v/>
      </c>
      <c r="EW741" s="58">
        <f>IFERROR($BL741/$BL742-1,"")</f>
        <v/>
      </c>
      <c r="EX741" s="58">
        <f>IFERROR($BM741/$BM742-1,"")</f>
        <v/>
      </c>
      <c r="EY741" s="58">
        <f>IFERROR($BN741/$BN742-1,"")</f>
        <v/>
      </c>
      <c r="EZ741" s="58">
        <f>IFERROR($BO741/$BO742-1,"")</f>
        <v/>
      </c>
      <c r="FA741" s="58">
        <f>IFERROR($BP741/$BP742-1,"")</f>
        <v/>
      </c>
      <c r="FB741" s="58">
        <f>IFERROR($BQ741/$BQ742-1,"")</f>
        <v/>
      </c>
      <c r="FC741" s="58">
        <f>IFERROR($BR741/$BR742-1,"")</f>
        <v/>
      </c>
      <c r="FD741" s="58">
        <f>IFERROR($BS741/$BS742-1,"")</f>
        <v/>
      </c>
      <c r="FE741" s="58">
        <f>IFERROR($BT741/$BT742-1,"")</f>
        <v/>
      </c>
      <c r="FF741" s="58">
        <f>IFERROR($BU741/$BU742-1,"")</f>
        <v/>
      </c>
      <c r="FG741" s="58">
        <f>IFERROR($BV741/$BV742-1,"")</f>
        <v/>
      </c>
      <c r="FH741" s="58">
        <f>IFERROR($BW741/$BW742-1,"")</f>
        <v/>
      </c>
      <c r="FI741" s="58">
        <f>IFERROR($BX741/$BX742-1,"")</f>
        <v/>
      </c>
      <c r="FJ741" s="59">
        <f>$BY741-$BY742</f>
        <v/>
      </c>
      <c r="FK741" s="59">
        <f>$BZ741-$BZ742</f>
        <v/>
      </c>
      <c r="FL741" s="59">
        <f>$CA741-$CA742</f>
        <v/>
      </c>
      <c r="FM741" s="59">
        <f>$CB741-$CB742</f>
        <v/>
      </c>
      <c r="FN741" s="59">
        <f>$CC741-$CC742</f>
        <v/>
      </c>
      <c r="FO741" s="59">
        <f>$CD741-$CD742</f>
        <v/>
      </c>
      <c r="FP741" s="59">
        <f>$CE741-$CE742</f>
        <v/>
      </c>
      <c r="FQ741" s="59">
        <f>$CF741-$CF742</f>
        <v/>
      </c>
      <c r="FR741" s="59">
        <f>$CG741-$CG742</f>
        <v/>
      </c>
      <c r="FS741" s="59">
        <f>$CH741-$CH742</f>
        <v/>
      </c>
      <c r="FT741" s="59">
        <f>$CI741-$CI742</f>
        <v/>
      </c>
      <c r="FU741" s="59">
        <f>$CJ741-$CJ742</f>
        <v/>
      </c>
      <c r="FV741" s="59">
        <f>$CK741-$CK742</f>
        <v/>
      </c>
      <c r="FW741" s="59">
        <f>$CL741-$CL742</f>
        <v/>
      </c>
      <c r="FX741" s="59">
        <f>$CM741-$CM742</f>
        <v/>
      </c>
      <c r="FY741" s="59">
        <f>$CN741-$CN742</f>
        <v/>
      </c>
      <c r="FZ741" s="59">
        <f>$CO741-$CO742</f>
        <v/>
      </c>
      <c r="GA741" s="59">
        <f>$CP741-$CP742</f>
        <v/>
      </c>
      <c r="GB741" s="59">
        <f>$CQ741-$CQ742</f>
        <v/>
      </c>
      <c r="GC741" s="59">
        <f>$CR741-$CR742</f>
        <v/>
      </c>
      <c r="GD741" s="59">
        <f>$CS741-$CS742</f>
        <v/>
      </c>
      <c r="GE741" s="59">
        <f>$CT741-$CT742</f>
        <v/>
      </c>
    </row>
    <row r="742">
      <c r="CU742" s="58">
        <f>IFERROR($B742/$B743-1,"")</f>
        <v/>
      </c>
      <c r="CV742" s="59">
        <f>($F742-$F743)*100</f>
        <v/>
      </c>
      <c r="CW742" s="59">
        <f>($E742-$E743)*100</f>
        <v/>
      </c>
      <c r="CX742" s="58">
        <f>IFERROR($K742/$K743-1,"")</f>
        <v/>
      </c>
      <c r="CY742" s="59">
        <f>($AH742-$AH743)*100</f>
        <v/>
      </c>
      <c r="CZ742" s="59">
        <f>($AI742-$AI743)*100</f>
        <v/>
      </c>
      <c r="DA742" s="59">
        <f>($AJ742-$AJ743)*100</f>
        <v/>
      </c>
      <c r="DB742" s="59">
        <f>($AK742-$AK743)*100</f>
        <v/>
      </c>
      <c r="DC742" s="59">
        <f>($AL742-$AL743)*100</f>
        <v/>
      </c>
      <c r="DD742" s="59">
        <f>($AM742-$AM743)*100</f>
        <v/>
      </c>
      <c r="DE742" s="59">
        <f>($AN742-$AN743)*100</f>
        <v/>
      </c>
      <c r="DF742" s="59">
        <f>($AO742-$AO743)*100</f>
        <v/>
      </c>
      <c r="DG742" s="59">
        <f>($AP742-$AP743)*100</f>
        <v/>
      </c>
      <c r="DH742" s="59">
        <f>($AQ742-$AQ743)*100</f>
        <v/>
      </c>
      <c r="DI742" s="59">
        <f>($AR742-$AR743)*100</f>
        <v/>
      </c>
      <c r="DJ742" s="59">
        <f>($AS742-$AS743)*100</f>
        <v/>
      </c>
      <c r="DK742" s="59">
        <f>($AT742-$AT743)*100</f>
        <v/>
      </c>
      <c r="DL742" s="59">
        <f>($AU742-$AU743)*100</f>
        <v/>
      </c>
      <c r="DM742" s="59">
        <f>($AV742-$AV743)*100</f>
        <v/>
      </c>
      <c r="DN742" s="59">
        <f>($AW742-$AW743)*100</f>
        <v/>
      </c>
      <c r="DO742" s="59">
        <f>($AX742-$AX743)*100</f>
        <v/>
      </c>
      <c r="DP742" s="59">
        <f>($AY742-$AY743)*100</f>
        <v/>
      </c>
      <c r="DQ742" s="59">
        <f>($AZ742-$AZ743)*100</f>
        <v/>
      </c>
      <c r="DR742" s="59">
        <f>($BA742-$BA743)*100</f>
        <v/>
      </c>
      <c r="DS742" s="58">
        <f>IFERROR($N743/$N742-1,"")</f>
        <v/>
      </c>
      <c r="DT742" s="58">
        <f>IFERROR($O743/$O742-1,"")</f>
        <v/>
      </c>
      <c r="DU742" s="58">
        <f>IFERROR($P743/$P742-1,"")</f>
        <v/>
      </c>
      <c r="DV742" s="58">
        <f>IFERROR($Q743/$Q742-1,"")</f>
        <v/>
      </c>
      <c r="DW742" s="58">
        <f>IFERROR($R743/$R742-1,"")</f>
        <v/>
      </c>
      <c r="DX742" s="58">
        <f>IFERROR($S743/$S742-1,"")</f>
        <v/>
      </c>
      <c r="DY742" s="58">
        <f>IFERROR($T743/$T742-1,"")</f>
        <v/>
      </c>
      <c r="DZ742" s="58">
        <f>IFERROR($U743/$U742-1,"")</f>
        <v/>
      </c>
      <c r="EA742" s="58">
        <f>IFERROR($V743/$V742-1,"")</f>
        <v/>
      </c>
      <c r="EB742" s="58">
        <f>IFERROR($W743/$W742-1,"")</f>
        <v/>
      </c>
      <c r="EC742" s="58">
        <f>IFERROR($X743/$X742-1,"")</f>
        <v/>
      </c>
      <c r="ED742" s="58">
        <f>IFERROR($Y743/$Y742-1,"")</f>
        <v/>
      </c>
      <c r="EE742" s="58">
        <f>IFERROR($Z743/$Z742-1,"")</f>
        <v/>
      </c>
      <c r="EF742" s="58">
        <f>IFERROR($AA743/$AA742-1,"")</f>
        <v/>
      </c>
      <c r="EG742" s="58">
        <f>IFERROR($AB743/$AB742-1,"")</f>
        <v/>
      </c>
      <c r="EH742" s="58">
        <f>IFERROR($AC743/$AC742-1,"")</f>
        <v/>
      </c>
      <c r="EI742" s="58">
        <f>IFERROR($AD743/$AD742-1,"")</f>
        <v/>
      </c>
      <c r="EJ742" s="58">
        <f>IFERROR($AE743/$AE742-1,"")</f>
        <v/>
      </c>
      <c r="EK742" s="58">
        <f>IFERROR($AF743/$AF742-1,"")</f>
        <v/>
      </c>
      <c r="EL742" s="58">
        <f>IFERROR($AG743/$AG742-1,"")</f>
        <v/>
      </c>
      <c r="EM742" s="58">
        <f>IFERROR($BB742/$BB743-1,"")</f>
        <v/>
      </c>
      <c r="EN742" s="58">
        <f>IFERROR($BC742/$BC743-1,"")</f>
        <v/>
      </c>
      <c r="EO742" s="58">
        <f>IFERROR($BD742/$BD743-1,"")</f>
        <v/>
      </c>
      <c r="EP742" s="58">
        <f>IFERROR($BE742/$BE743-1,"")</f>
        <v/>
      </c>
      <c r="EQ742" s="58">
        <f>IFERROR($BF742/$BF743-1,"")</f>
        <v/>
      </c>
      <c r="ER742" s="58">
        <f>IFERROR($BG742/$BG743-1,"")</f>
        <v/>
      </c>
      <c r="ES742" s="58">
        <f>IFERROR($BH742/$BH743-1,"")</f>
        <v/>
      </c>
      <c r="ET742" s="58">
        <f>IFERROR($BI742/$BI743-1,"")</f>
        <v/>
      </c>
      <c r="EU742" s="58">
        <f>IFERROR($BJ742/$BJ743-1,"")</f>
        <v/>
      </c>
      <c r="EV742" s="58">
        <f>IFERROR($BK742/$BK743-1,"")</f>
        <v/>
      </c>
      <c r="EW742" s="58">
        <f>IFERROR($BL742/$BL743-1,"")</f>
        <v/>
      </c>
      <c r="EX742" s="58">
        <f>IFERROR($BM742/$BM743-1,"")</f>
        <v/>
      </c>
      <c r="EY742" s="58">
        <f>IFERROR($BN742/$BN743-1,"")</f>
        <v/>
      </c>
      <c r="EZ742" s="58">
        <f>IFERROR($BO742/$BO743-1,"")</f>
        <v/>
      </c>
      <c r="FA742" s="58">
        <f>IFERROR($BP742/$BP743-1,"")</f>
        <v/>
      </c>
      <c r="FB742" s="58">
        <f>IFERROR($BQ742/$BQ743-1,"")</f>
        <v/>
      </c>
      <c r="FC742" s="58">
        <f>IFERROR($BR742/$BR743-1,"")</f>
        <v/>
      </c>
      <c r="FD742" s="58">
        <f>IFERROR($BS742/$BS743-1,"")</f>
        <v/>
      </c>
      <c r="FE742" s="58">
        <f>IFERROR($BT742/$BT743-1,"")</f>
        <v/>
      </c>
      <c r="FF742" s="58">
        <f>IFERROR($BU742/$BU743-1,"")</f>
        <v/>
      </c>
      <c r="FG742" s="58">
        <f>IFERROR($BV742/$BV743-1,"")</f>
        <v/>
      </c>
      <c r="FH742" s="58">
        <f>IFERROR($BW742/$BW743-1,"")</f>
        <v/>
      </c>
      <c r="FI742" s="58">
        <f>IFERROR($BX742/$BX743-1,"")</f>
        <v/>
      </c>
      <c r="FJ742" s="59">
        <f>$BY742-$BY743</f>
        <v/>
      </c>
      <c r="FK742" s="59">
        <f>$BZ742-$BZ743</f>
        <v/>
      </c>
      <c r="FL742" s="59">
        <f>$CA742-$CA743</f>
        <v/>
      </c>
      <c r="FM742" s="59">
        <f>$CB742-$CB743</f>
        <v/>
      </c>
      <c r="FN742" s="59">
        <f>$CC742-$CC743</f>
        <v/>
      </c>
      <c r="FO742" s="59">
        <f>$CD742-$CD743</f>
        <v/>
      </c>
      <c r="FP742" s="59">
        <f>$CE742-$CE743</f>
        <v/>
      </c>
      <c r="FQ742" s="59">
        <f>$CF742-$CF743</f>
        <v/>
      </c>
      <c r="FR742" s="59">
        <f>$CG742-$CG743</f>
        <v/>
      </c>
      <c r="FS742" s="59">
        <f>$CH742-$CH743</f>
        <v/>
      </c>
      <c r="FT742" s="59">
        <f>$CI742-$CI743</f>
        <v/>
      </c>
      <c r="FU742" s="59">
        <f>$CJ742-$CJ743</f>
        <v/>
      </c>
      <c r="FV742" s="59">
        <f>$CK742-$CK743</f>
        <v/>
      </c>
      <c r="FW742" s="59">
        <f>$CL742-$CL743</f>
        <v/>
      </c>
      <c r="FX742" s="59">
        <f>$CM742-$CM743</f>
        <v/>
      </c>
      <c r="FY742" s="59">
        <f>$CN742-$CN743</f>
        <v/>
      </c>
      <c r="FZ742" s="59">
        <f>$CO742-$CO743</f>
        <v/>
      </c>
      <c r="GA742" s="59">
        <f>$CP742-$CP743</f>
        <v/>
      </c>
      <c r="GB742" s="59">
        <f>$CQ742-$CQ743</f>
        <v/>
      </c>
      <c r="GC742" s="59">
        <f>$CR742-$CR743</f>
        <v/>
      </c>
      <c r="GD742" s="59">
        <f>$CS742-$CS743</f>
        <v/>
      </c>
      <c r="GE742" s="59">
        <f>$CT742-$CT743</f>
        <v/>
      </c>
    </row>
    <row r="743">
      <c r="CU743" s="58">
        <f>IFERROR($B743/$B744-1,"")</f>
        <v/>
      </c>
      <c r="CV743" s="59">
        <f>($F743-$F744)*100</f>
        <v/>
      </c>
      <c r="CW743" s="59">
        <f>($E743-$E744)*100</f>
        <v/>
      </c>
      <c r="CX743" s="58">
        <f>IFERROR($K743/$K744-1,"")</f>
        <v/>
      </c>
      <c r="CY743" s="59">
        <f>($AH743-$AH744)*100</f>
        <v/>
      </c>
      <c r="CZ743" s="59">
        <f>($AI743-$AI744)*100</f>
        <v/>
      </c>
      <c r="DA743" s="59">
        <f>($AJ743-$AJ744)*100</f>
        <v/>
      </c>
      <c r="DB743" s="59">
        <f>($AK743-$AK744)*100</f>
        <v/>
      </c>
      <c r="DC743" s="59">
        <f>($AL743-$AL744)*100</f>
        <v/>
      </c>
      <c r="DD743" s="59">
        <f>($AM743-$AM744)*100</f>
        <v/>
      </c>
      <c r="DE743" s="59">
        <f>($AN743-$AN744)*100</f>
        <v/>
      </c>
      <c r="DF743" s="59">
        <f>($AO743-$AO744)*100</f>
        <v/>
      </c>
      <c r="DG743" s="59">
        <f>($AP743-$AP744)*100</f>
        <v/>
      </c>
      <c r="DH743" s="59">
        <f>($AQ743-$AQ744)*100</f>
        <v/>
      </c>
      <c r="DI743" s="59">
        <f>($AR743-$AR744)*100</f>
        <v/>
      </c>
      <c r="DJ743" s="59">
        <f>($AS743-$AS744)*100</f>
        <v/>
      </c>
      <c r="DK743" s="59">
        <f>($AT743-$AT744)*100</f>
        <v/>
      </c>
      <c r="DL743" s="59">
        <f>($AU743-$AU744)*100</f>
        <v/>
      </c>
      <c r="DM743" s="59">
        <f>($AV743-$AV744)*100</f>
        <v/>
      </c>
      <c r="DN743" s="59">
        <f>($AW743-$AW744)*100</f>
        <v/>
      </c>
      <c r="DO743" s="59">
        <f>($AX743-$AX744)*100</f>
        <v/>
      </c>
      <c r="DP743" s="59">
        <f>($AY743-$AY744)*100</f>
        <v/>
      </c>
      <c r="DQ743" s="59">
        <f>($AZ743-$AZ744)*100</f>
        <v/>
      </c>
      <c r="DR743" s="59">
        <f>($BA743-$BA744)*100</f>
        <v/>
      </c>
      <c r="DS743" s="58">
        <f>IFERROR($N744/$N743-1,"")</f>
        <v/>
      </c>
      <c r="DT743" s="58">
        <f>IFERROR($O744/$O743-1,"")</f>
        <v/>
      </c>
      <c r="DU743" s="58">
        <f>IFERROR($P744/$P743-1,"")</f>
        <v/>
      </c>
      <c r="DV743" s="58">
        <f>IFERROR($Q744/$Q743-1,"")</f>
        <v/>
      </c>
      <c r="DW743" s="58">
        <f>IFERROR($R744/$R743-1,"")</f>
        <v/>
      </c>
      <c r="DX743" s="58">
        <f>IFERROR($S744/$S743-1,"")</f>
        <v/>
      </c>
      <c r="DY743" s="58">
        <f>IFERROR($T744/$T743-1,"")</f>
        <v/>
      </c>
      <c r="DZ743" s="58">
        <f>IFERROR($U744/$U743-1,"")</f>
        <v/>
      </c>
      <c r="EA743" s="58">
        <f>IFERROR($V744/$V743-1,"")</f>
        <v/>
      </c>
      <c r="EB743" s="58">
        <f>IFERROR($W744/$W743-1,"")</f>
        <v/>
      </c>
      <c r="EC743" s="58">
        <f>IFERROR($X744/$X743-1,"")</f>
        <v/>
      </c>
      <c r="ED743" s="58">
        <f>IFERROR($Y744/$Y743-1,"")</f>
        <v/>
      </c>
      <c r="EE743" s="58">
        <f>IFERROR($Z744/$Z743-1,"")</f>
        <v/>
      </c>
      <c r="EF743" s="58">
        <f>IFERROR($AA744/$AA743-1,"")</f>
        <v/>
      </c>
      <c r="EG743" s="58">
        <f>IFERROR($AB744/$AB743-1,"")</f>
        <v/>
      </c>
      <c r="EH743" s="58">
        <f>IFERROR($AC744/$AC743-1,"")</f>
        <v/>
      </c>
      <c r="EI743" s="58">
        <f>IFERROR($AD744/$AD743-1,"")</f>
        <v/>
      </c>
      <c r="EJ743" s="58">
        <f>IFERROR($AE744/$AE743-1,"")</f>
        <v/>
      </c>
      <c r="EK743" s="58">
        <f>IFERROR($AF744/$AF743-1,"")</f>
        <v/>
      </c>
      <c r="EL743" s="58">
        <f>IFERROR($AG744/$AG743-1,"")</f>
        <v/>
      </c>
      <c r="EM743" s="58">
        <f>IFERROR($BB743/$BB744-1,"")</f>
        <v/>
      </c>
      <c r="EN743" s="58">
        <f>IFERROR($BC743/$BC744-1,"")</f>
        <v/>
      </c>
      <c r="EO743" s="58">
        <f>IFERROR($BD743/$BD744-1,"")</f>
        <v/>
      </c>
      <c r="EP743" s="58">
        <f>IFERROR($BE743/$BE744-1,"")</f>
        <v/>
      </c>
      <c r="EQ743" s="58">
        <f>IFERROR($BF743/$BF744-1,"")</f>
        <v/>
      </c>
      <c r="ER743" s="58">
        <f>IFERROR($BG743/$BG744-1,"")</f>
        <v/>
      </c>
      <c r="ES743" s="58">
        <f>IFERROR($BH743/$BH744-1,"")</f>
        <v/>
      </c>
      <c r="ET743" s="58">
        <f>IFERROR($BI743/$BI744-1,"")</f>
        <v/>
      </c>
      <c r="EU743" s="58">
        <f>IFERROR($BJ743/$BJ744-1,"")</f>
        <v/>
      </c>
      <c r="EV743" s="58">
        <f>IFERROR($BK743/$BK744-1,"")</f>
        <v/>
      </c>
      <c r="EW743" s="58">
        <f>IFERROR($BL743/$BL744-1,"")</f>
        <v/>
      </c>
      <c r="EX743" s="58">
        <f>IFERROR($BM743/$BM744-1,"")</f>
        <v/>
      </c>
      <c r="EY743" s="58">
        <f>IFERROR($BN743/$BN744-1,"")</f>
        <v/>
      </c>
      <c r="EZ743" s="58">
        <f>IFERROR($BO743/$BO744-1,"")</f>
        <v/>
      </c>
      <c r="FA743" s="58">
        <f>IFERROR($BP743/$BP744-1,"")</f>
        <v/>
      </c>
      <c r="FB743" s="58">
        <f>IFERROR($BQ743/$BQ744-1,"")</f>
        <v/>
      </c>
      <c r="FC743" s="58">
        <f>IFERROR($BR743/$BR744-1,"")</f>
        <v/>
      </c>
      <c r="FD743" s="58">
        <f>IFERROR($BS743/$BS744-1,"")</f>
        <v/>
      </c>
      <c r="FE743" s="58">
        <f>IFERROR($BT743/$BT744-1,"")</f>
        <v/>
      </c>
      <c r="FF743" s="58">
        <f>IFERROR($BU743/$BU744-1,"")</f>
        <v/>
      </c>
      <c r="FG743" s="58">
        <f>IFERROR($BV743/$BV744-1,"")</f>
        <v/>
      </c>
      <c r="FH743" s="58">
        <f>IFERROR($BW743/$BW744-1,"")</f>
        <v/>
      </c>
      <c r="FI743" s="58">
        <f>IFERROR($BX743/$BX744-1,"")</f>
        <v/>
      </c>
      <c r="FJ743" s="59">
        <f>$BY743-$BY744</f>
        <v/>
      </c>
      <c r="FK743" s="59">
        <f>$BZ743-$BZ744</f>
        <v/>
      </c>
      <c r="FL743" s="59">
        <f>$CA743-$CA744</f>
        <v/>
      </c>
      <c r="FM743" s="59">
        <f>$CB743-$CB744</f>
        <v/>
      </c>
      <c r="FN743" s="59">
        <f>$CC743-$CC744</f>
        <v/>
      </c>
      <c r="FO743" s="59">
        <f>$CD743-$CD744</f>
        <v/>
      </c>
      <c r="FP743" s="59">
        <f>$CE743-$CE744</f>
        <v/>
      </c>
      <c r="FQ743" s="59">
        <f>$CF743-$CF744</f>
        <v/>
      </c>
      <c r="FR743" s="59">
        <f>$CG743-$CG744</f>
        <v/>
      </c>
      <c r="FS743" s="59">
        <f>$CH743-$CH744</f>
        <v/>
      </c>
      <c r="FT743" s="59">
        <f>$CI743-$CI744</f>
        <v/>
      </c>
      <c r="FU743" s="59">
        <f>$CJ743-$CJ744</f>
        <v/>
      </c>
      <c r="FV743" s="59">
        <f>$CK743-$CK744</f>
        <v/>
      </c>
      <c r="FW743" s="59">
        <f>$CL743-$CL744</f>
        <v/>
      </c>
      <c r="FX743" s="59">
        <f>$CM743-$CM744</f>
        <v/>
      </c>
      <c r="FY743" s="59">
        <f>$CN743-$CN744</f>
        <v/>
      </c>
      <c r="FZ743" s="59">
        <f>$CO743-$CO744</f>
        <v/>
      </c>
      <c r="GA743" s="59">
        <f>$CP743-$CP744</f>
        <v/>
      </c>
      <c r="GB743" s="59">
        <f>$CQ743-$CQ744</f>
        <v/>
      </c>
      <c r="GC743" s="59">
        <f>$CR743-$CR744</f>
        <v/>
      </c>
      <c r="GD743" s="59">
        <f>$CS743-$CS744</f>
        <v/>
      </c>
      <c r="GE743" s="59">
        <f>$CT743-$CT744</f>
        <v/>
      </c>
    </row>
    <row r="744">
      <c r="CU744" s="58">
        <f>IFERROR($B744/$B745-1,"")</f>
        <v/>
      </c>
      <c r="CV744" s="59">
        <f>($F744-$F745)*100</f>
        <v/>
      </c>
      <c r="CW744" s="59">
        <f>($E744-$E745)*100</f>
        <v/>
      </c>
      <c r="CX744" s="58">
        <f>IFERROR($K744/$K745-1,"")</f>
        <v/>
      </c>
      <c r="CY744" s="59">
        <f>($AH744-$AH745)*100</f>
        <v/>
      </c>
      <c r="CZ744" s="59">
        <f>($AI744-$AI745)*100</f>
        <v/>
      </c>
      <c r="DA744" s="59">
        <f>($AJ744-$AJ745)*100</f>
        <v/>
      </c>
      <c r="DB744" s="59">
        <f>($AK744-$AK745)*100</f>
        <v/>
      </c>
      <c r="DC744" s="59">
        <f>($AL744-$AL745)*100</f>
        <v/>
      </c>
      <c r="DD744" s="59">
        <f>($AM744-$AM745)*100</f>
        <v/>
      </c>
      <c r="DE744" s="59">
        <f>($AN744-$AN745)*100</f>
        <v/>
      </c>
      <c r="DF744" s="59">
        <f>($AO744-$AO745)*100</f>
        <v/>
      </c>
      <c r="DG744" s="59">
        <f>($AP744-$AP745)*100</f>
        <v/>
      </c>
      <c r="DH744" s="59">
        <f>($AQ744-$AQ745)*100</f>
        <v/>
      </c>
      <c r="DI744" s="59">
        <f>($AR744-$AR745)*100</f>
        <v/>
      </c>
      <c r="DJ744" s="59">
        <f>($AS744-$AS745)*100</f>
        <v/>
      </c>
      <c r="DK744" s="59">
        <f>($AT744-$AT745)*100</f>
        <v/>
      </c>
      <c r="DL744" s="59">
        <f>($AU744-$AU745)*100</f>
        <v/>
      </c>
      <c r="DM744" s="59">
        <f>($AV744-$AV745)*100</f>
        <v/>
      </c>
      <c r="DN744" s="59">
        <f>($AW744-$AW745)*100</f>
        <v/>
      </c>
      <c r="DO744" s="59">
        <f>($AX744-$AX745)*100</f>
        <v/>
      </c>
      <c r="DP744" s="59">
        <f>($AY744-$AY745)*100</f>
        <v/>
      </c>
      <c r="DQ744" s="59">
        <f>($AZ744-$AZ745)*100</f>
        <v/>
      </c>
      <c r="DR744" s="59">
        <f>($BA744-$BA745)*100</f>
        <v/>
      </c>
      <c r="DS744" s="58">
        <f>IFERROR($N745/$N744-1,"")</f>
        <v/>
      </c>
      <c r="DT744" s="58">
        <f>IFERROR($O745/$O744-1,"")</f>
        <v/>
      </c>
      <c r="DU744" s="58">
        <f>IFERROR($P745/$P744-1,"")</f>
        <v/>
      </c>
      <c r="DV744" s="58">
        <f>IFERROR($Q745/$Q744-1,"")</f>
        <v/>
      </c>
      <c r="DW744" s="58">
        <f>IFERROR($R745/$R744-1,"")</f>
        <v/>
      </c>
      <c r="DX744" s="58">
        <f>IFERROR($S745/$S744-1,"")</f>
        <v/>
      </c>
      <c r="DY744" s="58">
        <f>IFERROR($T745/$T744-1,"")</f>
        <v/>
      </c>
      <c r="DZ744" s="58">
        <f>IFERROR($U745/$U744-1,"")</f>
        <v/>
      </c>
      <c r="EA744" s="58">
        <f>IFERROR($V745/$V744-1,"")</f>
        <v/>
      </c>
      <c r="EB744" s="58">
        <f>IFERROR($W745/$W744-1,"")</f>
        <v/>
      </c>
      <c r="EC744" s="58">
        <f>IFERROR($X745/$X744-1,"")</f>
        <v/>
      </c>
      <c r="ED744" s="58">
        <f>IFERROR($Y745/$Y744-1,"")</f>
        <v/>
      </c>
      <c r="EE744" s="58">
        <f>IFERROR($Z745/$Z744-1,"")</f>
        <v/>
      </c>
      <c r="EF744" s="58">
        <f>IFERROR($AA745/$AA744-1,"")</f>
        <v/>
      </c>
      <c r="EG744" s="58">
        <f>IFERROR($AB745/$AB744-1,"")</f>
        <v/>
      </c>
      <c r="EH744" s="58">
        <f>IFERROR($AC745/$AC744-1,"")</f>
        <v/>
      </c>
      <c r="EI744" s="58">
        <f>IFERROR($AD745/$AD744-1,"")</f>
        <v/>
      </c>
      <c r="EJ744" s="58">
        <f>IFERROR($AE745/$AE744-1,"")</f>
        <v/>
      </c>
      <c r="EK744" s="58">
        <f>IFERROR($AF745/$AF744-1,"")</f>
        <v/>
      </c>
      <c r="EL744" s="58">
        <f>IFERROR($AG745/$AG744-1,"")</f>
        <v/>
      </c>
      <c r="EM744" s="58">
        <f>IFERROR($BB744/$BB745-1,"")</f>
        <v/>
      </c>
      <c r="EN744" s="58">
        <f>IFERROR($BC744/$BC745-1,"")</f>
        <v/>
      </c>
      <c r="EO744" s="58">
        <f>IFERROR($BD744/$BD745-1,"")</f>
        <v/>
      </c>
      <c r="EP744" s="58">
        <f>IFERROR($BE744/$BE745-1,"")</f>
        <v/>
      </c>
      <c r="EQ744" s="58">
        <f>IFERROR($BF744/$BF745-1,"")</f>
        <v/>
      </c>
      <c r="ER744" s="58">
        <f>IFERROR($BG744/$BG745-1,"")</f>
        <v/>
      </c>
      <c r="ES744" s="58">
        <f>IFERROR($BH744/$BH745-1,"")</f>
        <v/>
      </c>
      <c r="ET744" s="58">
        <f>IFERROR($BI744/$BI745-1,"")</f>
        <v/>
      </c>
      <c r="EU744" s="58">
        <f>IFERROR($BJ744/$BJ745-1,"")</f>
        <v/>
      </c>
      <c r="EV744" s="58">
        <f>IFERROR($BK744/$BK745-1,"")</f>
        <v/>
      </c>
      <c r="EW744" s="58">
        <f>IFERROR($BL744/$BL745-1,"")</f>
        <v/>
      </c>
      <c r="EX744" s="58">
        <f>IFERROR($BM744/$BM745-1,"")</f>
        <v/>
      </c>
      <c r="EY744" s="58">
        <f>IFERROR($BN744/$BN745-1,"")</f>
        <v/>
      </c>
      <c r="EZ744" s="58">
        <f>IFERROR($BO744/$BO745-1,"")</f>
        <v/>
      </c>
      <c r="FA744" s="58">
        <f>IFERROR($BP744/$BP745-1,"")</f>
        <v/>
      </c>
      <c r="FB744" s="58">
        <f>IFERROR($BQ744/$BQ745-1,"")</f>
        <v/>
      </c>
      <c r="FC744" s="58">
        <f>IFERROR($BR744/$BR745-1,"")</f>
        <v/>
      </c>
      <c r="FD744" s="58">
        <f>IFERROR($BS744/$BS745-1,"")</f>
        <v/>
      </c>
      <c r="FE744" s="58">
        <f>IFERROR($BT744/$BT745-1,"")</f>
        <v/>
      </c>
      <c r="FF744" s="58">
        <f>IFERROR($BU744/$BU745-1,"")</f>
        <v/>
      </c>
      <c r="FG744" s="58">
        <f>IFERROR($BV744/$BV745-1,"")</f>
        <v/>
      </c>
      <c r="FH744" s="58">
        <f>IFERROR($BW744/$BW745-1,"")</f>
        <v/>
      </c>
      <c r="FI744" s="58">
        <f>IFERROR($BX744/$BX745-1,"")</f>
        <v/>
      </c>
      <c r="FJ744" s="59">
        <f>$BY744-$BY745</f>
        <v/>
      </c>
      <c r="FK744" s="59">
        <f>$BZ744-$BZ745</f>
        <v/>
      </c>
      <c r="FL744" s="59">
        <f>$CA744-$CA745</f>
        <v/>
      </c>
      <c r="FM744" s="59">
        <f>$CB744-$CB745</f>
        <v/>
      </c>
      <c r="FN744" s="59">
        <f>$CC744-$CC745</f>
        <v/>
      </c>
      <c r="FO744" s="59">
        <f>$CD744-$CD745</f>
        <v/>
      </c>
      <c r="FP744" s="59">
        <f>$CE744-$CE745</f>
        <v/>
      </c>
      <c r="FQ744" s="59">
        <f>$CF744-$CF745</f>
        <v/>
      </c>
      <c r="FR744" s="59">
        <f>$CG744-$CG745</f>
        <v/>
      </c>
      <c r="FS744" s="59">
        <f>$CH744-$CH745</f>
        <v/>
      </c>
      <c r="FT744" s="59">
        <f>$CI744-$CI745</f>
        <v/>
      </c>
      <c r="FU744" s="59">
        <f>$CJ744-$CJ745</f>
        <v/>
      </c>
      <c r="FV744" s="59">
        <f>$CK744-$CK745</f>
        <v/>
      </c>
      <c r="FW744" s="59">
        <f>$CL744-$CL745</f>
        <v/>
      </c>
      <c r="FX744" s="59">
        <f>$CM744-$CM745</f>
        <v/>
      </c>
      <c r="FY744" s="59">
        <f>$CN744-$CN745</f>
        <v/>
      </c>
      <c r="FZ744" s="59">
        <f>$CO744-$CO745</f>
        <v/>
      </c>
      <c r="GA744" s="59">
        <f>$CP744-$CP745</f>
        <v/>
      </c>
      <c r="GB744" s="59">
        <f>$CQ744-$CQ745</f>
        <v/>
      </c>
      <c r="GC744" s="59">
        <f>$CR744-$CR745</f>
        <v/>
      </c>
      <c r="GD744" s="59">
        <f>$CS744-$CS745</f>
        <v/>
      </c>
      <c r="GE744" s="59">
        <f>$CT744-$CT745</f>
        <v/>
      </c>
    </row>
    <row r="745">
      <c r="CU745" s="58">
        <f>IFERROR($B745/$B746-1,"")</f>
        <v/>
      </c>
      <c r="CV745" s="59">
        <f>($F745-$F746)*100</f>
        <v/>
      </c>
      <c r="CW745" s="59">
        <f>($E745-$E746)*100</f>
        <v/>
      </c>
      <c r="CX745" s="58">
        <f>IFERROR($K745/$K746-1,"")</f>
        <v/>
      </c>
      <c r="CY745" s="59">
        <f>($AH745-$AH746)*100</f>
        <v/>
      </c>
      <c r="CZ745" s="59">
        <f>($AI745-$AI746)*100</f>
        <v/>
      </c>
      <c r="DA745" s="59">
        <f>($AJ745-$AJ746)*100</f>
        <v/>
      </c>
      <c r="DB745" s="59">
        <f>($AK745-$AK746)*100</f>
        <v/>
      </c>
      <c r="DC745" s="59">
        <f>($AL745-$AL746)*100</f>
        <v/>
      </c>
      <c r="DD745" s="59">
        <f>($AM745-$AM746)*100</f>
        <v/>
      </c>
      <c r="DE745" s="59">
        <f>($AN745-$AN746)*100</f>
        <v/>
      </c>
      <c r="DF745" s="59">
        <f>($AO745-$AO746)*100</f>
        <v/>
      </c>
      <c r="DG745" s="59">
        <f>($AP745-$AP746)*100</f>
        <v/>
      </c>
      <c r="DH745" s="59">
        <f>($AQ745-$AQ746)*100</f>
        <v/>
      </c>
      <c r="DI745" s="59">
        <f>($AR745-$AR746)*100</f>
        <v/>
      </c>
      <c r="DJ745" s="59">
        <f>($AS745-$AS746)*100</f>
        <v/>
      </c>
      <c r="DK745" s="59">
        <f>($AT745-$AT746)*100</f>
        <v/>
      </c>
      <c r="DL745" s="59">
        <f>($AU745-$AU746)*100</f>
        <v/>
      </c>
      <c r="DM745" s="59">
        <f>($AV745-$AV746)*100</f>
        <v/>
      </c>
      <c r="DN745" s="59">
        <f>($AW745-$AW746)*100</f>
        <v/>
      </c>
      <c r="DO745" s="59">
        <f>($AX745-$AX746)*100</f>
        <v/>
      </c>
      <c r="DP745" s="59">
        <f>($AY745-$AY746)*100</f>
        <v/>
      </c>
      <c r="DQ745" s="59">
        <f>($AZ745-$AZ746)*100</f>
        <v/>
      </c>
      <c r="DR745" s="59">
        <f>($BA745-$BA746)*100</f>
        <v/>
      </c>
      <c r="DS745" s="58">
        <f>IFERROR($N746/$N745-1,"")</f>
        <v/>
      </c>
      <c r="DT745" s="58">
        <f>IFERROR($O746/$O745-1,"")</f>
        <v/>
      </c>
      <c r="DU745" s="58">
        <f>IFERROR($P746/$P745-1,"")</f>
        <v/>
      </c>
      <c r="DV745" s="58">
        <f>IFERROR($Q746/$Q745-1,"")</f>
        <v/>
      </c>
      <c r="DW745" s="58">
        <f>IFERROR($R746/$R745-1,"")</f>
        <v/>
      </c>
      <c r="DX745" s="58">
        <f>IFERROR($S746/$S745-1,"")</f>
        <v/>
      </c>
      <c r="DY745" s="58">
        <f>IFERROR($T746/$T745-1,"")</f>
        <v/>
      </c>
      <c r="DZ745" s="58">
        <f>IFERROR($U746/$U745-1,"")</f>
        <v/>
      </c>
      <c r="EA745" s="58">
        <f>IFERROR($V746/$V745-1,"")</f>
        <v/>
      </c>
      <c r="EB745" s="58">
        <f>IFERROR($W746/$W745-1,"")</f>
        <v/>
      </c>
      <c r="EC745" s="58">
        <f>IFERROR($X746/$X745-1,"")</f>
        <v/>
      </c>
      <c r="ED745" s="58">
        <f>IFERROR($Y746/$Y745-1,"")</f>
        <v/>
      </c>
      <c r="EE745" s="58">
        <f>IFERROR($Z746/$Z745-1,"")</f>
        <v/>
      </c>
      <c r="EF745" s="58">
        <f>IFERROR($AA746/$AA745-1,"")</f>
        <v/>
      </c>
      <c r="EG745" s="58">
        <f>IFERROR($AB746/$AB745-1,"")</f>
        <v/>
      </c>
      <c r="EH745" s="58">
        <f>IFERROR($AC746/$AC745-1,"")</f>
        <v/>
      </c>
      <c r="EI745" s="58">
        <f>IFERROR($AD746/$AD745-1,"")</f>
        <v/>
      </c>
      <c r="EJ745" s="58">
        <f>IFERROR($AE746/$AE745-1,"")</f>
        <v/>
      </c>
      <c r="EK745" s="58">
        <f>IFERROR($AF746/$AF745-1,"")</f>
        <v/>
      </c>
      <c r="EL745" s="58">
        <f>IFERROR($AG746/$AG745-1,"")</f>
        <v/>
      </c>
      <c r="EM745" s="58">
        <f>IFERROR($BB745/$BB746-1,"")</f>
        <v/>
      </c>
      <c r="EN745" s="58">
        <f>IFERROR($BC745/$BC746-1,"")</f>
        <v/>
      </c>
      <c r="EO745" s="58">
        <f>IFERROR($BD745/$BD746-1,"")</f>
        <v/>
      </c>
      <c r="EP745" s="58">
        <f>IFERROR($BE745/$BE746-1,"")</f>
        <v/>
      </c>
      <c r="EQ745" s="58">
        <f>IFERROR($BF745/$BF746-1,"")</f>
        <v/>
      </c>
      <c r="ER745" s="58">
        <f>IFERROR($BG745/$BG746-1,"")</f>
        <v/>
      </c>
      <c r="ES745" s="58">
        <f>IFERROR($BH745/$BH746-1,"")</f>
        <v/>
      </c>
      <c r="ET745" s="58">
        <f>IFERROR($BI745/$BI746-1,"")</f>
        <v/>
      </c>
      <c r="EU745" s="58">
        <f>IFERROR($BJ745/$BJ746-1,"")</f>
        <v/>
      </c>
      <c r="EV745" s="58">
        <f>IFERROR($BK745/$BK746-1,"")</f>
        <v/>
      </c>
      <c r="EW745" s="58">
        <f>IFERROR($BL745/$BL746-1,"")</f>
        <v/>
      </c>
      <c r="EX745" s="58">
        <f>IFERROR($BM745/$BM746-1,"")</f>
        <v/>
      </c>
      <c r="EY745" s="58">
        <f>IFERROR($BN745/$BN746-1,"")</f>
        <v/>
      </c>
      <c r="EZ745" s="58">
        <f>IFERROR($BO745/$BO746-1,"")</f>
        <v/>
      </c>
      <c r="FA745" s="58">
        <f>IFERROR($BP745/$BP746-1,"")</f>
        <v/>
      </c>
      <c r="FB745" s="58">
        <f>IFERROR($BQ745/$BQ746-1,"")</f>
        <v/>
      </c>
      <c r="FC745" s="58">
        <f>IFERROR($BR745/$BR746-1,"")</f>
        <v/>
      </c>
      <c r="FD745" s="58">
        <f>IFERROR($BS745/$BS746-1,"")</f>
        <v/>
      </c>
      <c r="FE745" s="58">
        <f>IFERROR($BT745/$BT746-1,"")</f>
        <v/>
      </c>
      <c r="FF745" s="58">
        <f>IFERROR($BU745/$BU746-1,"")</f>
        <v/>
      </c>
      <c r="FG745" s="58">
        <f>IFERROR($BV745/$BV746-1,"")</f>
        <v/>
      </c>
      <c r="FH745" s="58">
        <f>IFERROR($BW745/$BW746-1,"")</f>
        <v/>
      </c>
      <c r="FI745" s="58">
        <f>IFERROR($BX745/$BX746-1,"")</f>
        <v/>
      </c>
      <c r="FJ745" s="59">
        <f>$BY745-$BY746</f>
        <v/>
      </c>
      <c r="FK745" s="59">
        <f>$BZ745-$BZ746</f>
        <v/>
      </c>
      <c r="FL745" s="59">
        <f>$CA745-$CA746</f>
        <v/>
      </c>
      <c r="FM745" s="59">
        <f>$CB745-$CB746</f>
        <v/>
      </c>
      <c r="FN745" s="59">
        <f>$CC745-$CC746</f>
        <v/>
      </c>
      <c r="FO745" s="59">
        <f>$CD745-$CD746</f>
        <v/>
      </c>
      <c r="FP745" s="59">
        <f>$CE745-$CE746</f>
        <v/>
      </c>
      <c r="FQ745" s="59">
        <f>$CF745-$CF746</f>
        <v/>
      </c>
      <c r="FR745" s="59">
        <f>$CG745-$CG746</f>
        <v/>
      </c>
      <c r="FS745" s="59">
        <f>$CH745-$CH746</f>
        <v/>
      </c>
      <c r="FT745" s="59">
        <f>$CI745-$CI746</f>
        <v/>
      </c>
      <c r="FU745" s="59">
        <f>$CJ745-$CJ746</f>
        <v/>
      </c>
      <c r="FV745" s="59">
        <f>$CK745-$CK746</f>
        <v/>
      </c>
      <c r="FW745" s="59">
        <f>$CL745-$CL746</f>
        <v/>
      </c>
      <c r="FX745" s="59">
        <f>$CM745-$CM746</f>
        <v/>
      </c>
      <c r="FY745" s="59">
        <f>$CN745-$CN746</f>
        <v/>
      </c>
      <c r="FZ745" s="59">
        <f>$CO745-$CO746</f>
        <v/>
      </c>
      <c r="GA745" s="59">
        <f>$CP745-$CP746</f>
        <v/>
      </c>
      <c r="GB745" s="59">
        <f>$CQ745-$CQ746</f>
        <v/>
      </c>
      <c r="GC745" s="59">
        <f>$CR745-$CR746</f>
        <v/>
      </c>
      <c r="GD745" s="59">
        <f>$CS745-$CS746</f>
        <v/>
      </c>
      <c r="GE745" s="59">
        <f>$CT745-$CT746</f>
        <v/>
      </c>
    </row>
    <row r="746">
      <c r="CU746" s="58">
        <f>IFERROR($B746/$B747-1,"")</f>
        <v/>
      </c>
      <c r="CV746" s="59">
        <f>($F746-$F747)*100</f>
        <v/>
      </c>
      <c r="CW746" s="59">
        <f>($E746-$E747)*100</f>
        <v/>
      </c>
      <c r="CX746" s="58">
        <f>IFERROR($K746/$K747-1,"")</f>
        <v/>
      </c>
      <c r="CY746" s="59">
        <f>($AH746-$AH747)*100</f>
        <v/>
      </c>
      <c r="CZ746" s="59">
        <f>($AI746-$AI747)*100</f>
        <v/>
      </c>
      <c r="DA746" s="59">
        <f>($AJ746-$AJ747)*100</f>
        <v/>
      </c>
      <c r="DB746" s="59">
        <f>($AK746-$AK747)*100</f>
        <v/>
      </c>
      <c r="DC746" s="59">
        <f>($AL746-$AL747)*100</f>
        <v/>
      </c>
      <c r="DD746" s="59">
        <f>($AM746-$AM747)*100</f>
        <v/>
      </c>
      <c r="DE746" s="59">
        <f>($AN746-$AN747)*100</f>
        <v/>
      </c>
      <c r="DF746" s="59">
        <f>($AO746-$AO747)*100</f>
        <v/>
      </c>
      <c r="DG746" s="59">
        <f>($AP746-$AP747)*100</f>
        <v/>
      </c>
      <c r="DH746" s="59">
        <f>($AQ746-$AQ747)*100</f>
        <v/>
      </c>
      <c r="DI746" s="59">
        <f>($AR746-$AR747)*100</f>
        <v/>
      </c>
      <c r="DJ746" s="59">
        <f>($AS746-$AS747)*100</f>
        <v/>
      </c>
      <c r="DK746" s="59">
        <f>($AT746-$AT747)*100</f>
        <v/>
      </c>
      <c r="DL746" s="59">
        <f>($AU746-$AU747)*100</f>
        <v/>
      </c>
      <c r="DM746" s="59">
        <f>($AV746-$AV747)*100</f>
        <v/>
      </c>
      <c r="DN746" s="59">
        <f>($AW746-$AW747)*100</f>
        <v/>
      </c>
      <c r="DO746" s="59">
        <f>($AX746-$AX747)*100</f>
        <v/>
      </c>
      <c r="DP746" s="59">
        <f>($AY746-$AY747)*100</f>
        <v/>
      </c>
      <c r="DQ746" s="59">
        <f>($AZ746-$AZ747)*100</f>
        <v/>
      </c>
      <c r="DR746" s="59">
        <f>($BA746-$BA747)*100</f>
        <v/>
      </c>
      <c r="DS746" s="58">
        <f>IFERROR($N747/$N746-1,"")</f>
        <v/>
      </c>
      <c r="DT746" s="58">
        <f>IFERROR($O747/$O746-1,"")</f>
        <v/>
      </c>
      <c r="DU746" s="58">
        <f>IFERROR($P747/$P746-1,"")</f>
        <v/>
      </c>
      <c r="DV746" s="58">
        <f>IFERROR($Q747/$Q746-1,"")</f>
        <v/>
      </c>
      <c r="DW746" s="58">
        <f>IFERROR($R747/$R746-1,"")</f>
        <v/>
      </c>
      <c r="DX746" s="58">
        <f>IFERROR($S747/$S746-1,"")</f>
        <v/>
      </c>
      <c r="DY746" s="58">
        <f>IFERROR($T747/$T746-1,"")</f>
        <v/>
      </c>
      <c r="DZ746" s="58">
        <f>IFERROR($U747/$U746-1,"")</f>
        <v/>
      </c>
      <c r="EA746" s="58">
        <f>IFERROR($V747/$V746-1,"")</f>
        <v/>
      </c>
      <c r="EB746" s="58">
        <f>IFERROR($W747/$W746-1,"")</f>
        <v/>
      </c>
      <c r="EC746" s="58">
        <f>IFERROR($X747/$X746-1,"")</f>
        <v/>
      </c>
      <c r="ED746" s="58">
        <f>IFERROR($Y747/$Y746-1,"")</f>
        <v/>
      </c>
      <c r="EE746" s="58">
        <f>IFERROR($Z747/$Z746-1,"")</f>
        <v/>
      </c>
      <c r="EF746" s="58">
        <f>IFERROR($AA747/$AA746-1,"")</f>
        <v/>
      </c>
      <c r="EG746" s="58">
        <f>IFERROR($AB747/$AB746-1,"")</f>
        <v/>
      </c>
      <c r="EH746" s="58">
        <f>IFERROR($AC747/$AC746-1,"")</f>
        <v/>
      </c>
      <c r="EI746" s="58">
        <f>IFERROR($AD747/$AD746-1,"")</f>
        <v/>
      </c>
      <c r="EJ746" s="58">
        <f>IFERROR($AE747/$AE746-1,"")</f>
        <v/>
      </c>
      <c r="EK746" s="58">
        <f>IFERROR($AF747/$AF746-1,"")</f>
        <v/>
      </c>
      <c r="EL746" s="58">
        <f>IFERROR($AG747/$AG746-1,"")</f>
        <v/>
      </c>
      <c r="EM746" s="58">
        <f>IFERROR($BB746/$BB747-1,"")</f>
        <v/>
      </c>
      <c r="EN746" s="58">
        <f>IFERROR($BC746/$BC747-1,"")</f>
        <v/>
      </c>
      <c r="EO746" s="58">
        <f>IFERROR($BD746/$BD747-1,"")</f>
        <v/>
      </c>
      <c r="EP746" s="58">
        <f>IFERROR($BE746/$BE747-1,"")</f>
        <v/>
      </c>
      <c r="EQ746" s="58">
        <f>IFERROR($BF746/$BF747-1,"")</f>
        <v/>
      </c>
      <c r="ER746" s="58">
        <f>IFERROR($BG746/$BG747-1,"")</f>
        <v/>
      </c>
      <c r="ES746" s="58">
        <f>IFERROR($BH746/$BH747-1,"")</f>
        <v/>
      </c>
      <c r="ET746" s="58">
        <f>IFERROR($BI746/$BI747-1,"")</f>
        <v/>
      </c>
      <c r="EU746" s="58">
        <f>IFERROR($BJ746/$BJ747-1,"")</f>
        <v/>
      </c>
      <c r="EV746" s="58">
        <f>IFERROR($BK746/$BK747-1,"")</f>
        <v/>
      </c>
      <c r="EW746" s="58">
        <f>IFERROR($BL746/$BL747-1,"")</f>
        <v/>
      </c>
      <c r="EX746" s="58">
        <f>IFERROR($BM746/$BM747-1,"")</f>
        <v/>
      </c>
      <c r="EY746" s="58">
        <f>IFERROR($BN746/$BN747-1,"")</f>
        <v/>
      </c>
      <c r="EZ746" s="58">
        <f>IFERROR($BO746/$BO747-1,"")</f>
        <v/>
      </c>
      <c r="FA746" s="58">
        <f>IFERROR($BP746/$BP747-1,"")</f>
        <v/>
      </c>
      <c r="FB746" s="58">
        <f>IFERROR($BQ746/$BQ747-1,"")</f>
        <v/>
      </c>
      <c r="FC746" s="58">
        <f>IFERROR($BR746/$BR747-1,"")</f>
        <v/>
      </c>
      <c r="FD746" s="58">
        <f>IFERROR($BS746/$BS747-1,"")</f>
        <v/>
      </c>
      <c r="FE746" s="58">
        <f>IFERROR($BT746/$BT747-1,"")</f>
        <v/>
      </c>
      <c r="FF746" s="58">
        <f>IFERROR($BU746/$BU747-1,"")</f>
        <v/>
      </c>
      <c r="FG746" s="58">
        <f>IFERROR($BV746/$BV747-1,"")</f>
        <v/>
      </c>
      <c r="FH746" s="58">
        <f>IFERROR($BW746/$BW747-1,"")</f>
        <v/>
      </c>
      <c r="FI746" s="58">
        <f>IFERROR($BX746/$BX747-1,"")</f>
        <v/>
      </c>
      <c r="FJ746" s="59">
        <f>$BY746-$BY747</f>
        <v/>
      </c>
      <c r="FK746" s="59">
        <f>$BZ746-$BZ747</f>
        <v/>
      </c>
      <c r="FL746" s="59">
        <f>$CA746-$CA747</f>
        <v/>
      </c>
      <c r="FM746" s="59">
        <f>$CB746-$CB747</f>
        <v/>
      </c>
      <c r="FN746" s="59">
        <f>$CC746-$CC747</f>
        <v/>
      </c>
      <c r="FO746" s="59">
        <f>$CD746-$CD747</f>
        <v/>
      </c>
      <c r="FP746" s="59">
        <f>$CE746-$CE747</f>
        <v/>
      </c>
      <c r="FQ746" s="59">
        <f>$CF746-$CF747</f>
        <v/>
      </c>
      <c r="FR746" s="59">
        <f>$CG746-$CG747</f>
        <v/>
      </c>
      <c r="FS746" s="59">
        <f>$CH746-$CH747</f>
        <v/>
      </c>
      <c r="FT746" s="59">
        <f>$CI746-$CI747</f>
        <v/>
      </c>
      <c r="FU746" s="59">
        <f>$CJ746-$CJ747</f>
        <v/>
      </c>
      <c r="FV746" s="59">
        <f>$CK746-$CK747</f>
        <v/>
      </c>
      <c r="FW746" s="59">
        <f>$CL746-$CL747</f>
        <v/>
      </c>
      <c r="FX746" s="59">
        <f>$CM746-$CM747</f>
        <v/>
      </c>
      <c r="FY746" s="59">
        <f>$CN746-$CN747</f>
        <v/>
      </c>
      <c r="FZ746" s="59">
        <f>$CO746-$CO747</f>
        <v/>
      </c>
      <c r="GA746" s="59">
        <f>$CP746-$CP747</f>
        <v/>
      </c>
      <c r="GB746" s="59">
        <f>$CQ746-$CQ747</f>
        <v/>
      </c>
      <c r="GC746" s="59">
        <f>$CR746-$CR747</f>
        <v/>
      </c>
      <c r="GD746" s="59">
        <f>$CS746-$CS747</f>
        <v/>
      </c>
      <c r="GE746" s="59">
        <f>$CT746-$CT747</f>
        <v/>
      </c>
    </row>
    <row r="747">
      <c r="CU747" s="58">
        <f>IFERROR($B747/$B748-1,"")</f>
        <v/>
      </c>
      <c r="CV747" s="59">
        <f>($F747-$F748)*100</f>
        <v/>
      </c>
      <c r="CW747" s="59">
        <f>($E747-$E748)*100</f>
        <v/>
      </c>
      <c r="CX747" s="58">
        <f>IFERROR($K747/$K748-1,"")</f>
        <v/>
      </c>
      <c r="CY747" s="59">
        <f>($AH747-$AH748)*100</f>
        <v/>
      </c>
      <c r="CZ747" s="59">
        <f>($AI747-$AI748)*100</f>
        <v/>
      </c>
      <c r="DA747" s="59">
        <f>($AJ747-$AJ748)*100</f>
        <v/>
      </c>
      <c r="DB747" s="59">
        <f>($AK747-$AK748)*100</f>
        <v/>
      </c>
      <c r="DC747" s="59">
        <f>($AL747-$AL748)*100</f>
        <v/>
      </c>
      <c r="DD747" s="59">
        <f>($AM747-$AM748)*100</f>
        <v/>
      </c>
      <c r="DE747" s="59">
        <f>($AN747-$AN748)*100</f>
        <v/>
      </c>
      <c r="DF747" s="59">
        <f>($AO747-$AO748)*100</f>
        <v/>
      </c>
      <c r="DG747" s="59">
        <f>($AP747-$AP748)*100</f>
        <v/>
      </c>
      <c r="DH747" s="59">
        <f>($AQ747-$AQ748)*100</f>
        <v/>
      </c>
      <c r="DI747" s="59">
        <f>($AR747-$AR748)*100</f>
        <v/>
      </c>
      <c r="DJ747" s="59">
        <f>($AS747-$AS748)*100</f>
        <v/>
      </c>
      <c r="DK747" s="59">
        <f>($AT747-$AT748)*100</f>
        <v/>
      </c>
      <c r="DL747" s="59">
        <f>($AU747-$AU748)*100</f>
        <v/>
      </c>
      <c r="DM747" s="59">
        <f>($AV747-$AV748)*100</f>
        <v/>
      </c>
      <c r="DN747" s="59">
        <f>($AW747-$AW748)*100</f>
        <v/>
      </c>
      <c r="DO747" s="59">
        <f>($AX747-$AX748)*100</f>
        <v/>
      </c>
      <c r="DP747" s="59">
        <f>($AY747-$AY748)*100</f>
        <v/>
      </c>
      <c r="DQ747" s="59">
        <f>($AZ747-$AZ748)*100</f>
        <v/>
      </c>
      <c r="DR747" s="59">
        <f>($BA747-$BA748)*100</f>
        <v/>
      </c>
      <c r="DS747" s="58">
        <f>IFERROR($N748/$N747-1,"")</f>
        <v/>
      </c>
      <c r="DT747" s="58">
        <f>IFERROR($O748/$O747-1,"")</f>
        <v/>
      </c>
      <c r="DU747" s="58">
        <f>IFERROR($P748/$P747-1,"")</f>
        <v/>
      </c>
      <c r="DV747" s="58">
        <f>IFERROR($Q748/$Q747-1,"")</f>
        <v/>
      </c>
      <c r="DW747" s="58">
        <f>IFERROR($R748/$R747-1,"")</f>
        <v/>
      </c>
      <c r="DX747" s="58">
        <f>IFERROR($S748/$S747-1,"")</f>
        <v/>
      </c>
      <c r="DY747" s="58">
        <f>IFERROR($T748/$T747-1,"")</f>
        <v/>
      </c>
      <c r="DZ747" s="58">
        <f>IFERROR($U748/$U747-1,"")</f>
        <v/>
      </c>
      <c r="EA747" s="58">
        <f>IFERROR($V748/$V747-1,"")</f>
        <v/>
      </c>
      <c r="EB747" s="58">
        <f>IFERROR($W748/$W747-1,"")</f>
        <v/>
      </c>
      <c r="EC747" s="58">
        <f>IFERROR($X748/$X747-1,"")</f>
        <v/>
      </c>
      <c r="ED747" s="58">
        <f>IFERROR($Y748/$Y747-1,"")</f>
        <v/>
      </c>
      <c r="EE747" s="58">
        <f>IFERROR($Z748/$Z747-1,"")</f>
        <v/>
      </c>
      <c r="EF747" s="58">
        <f>IFERROR($AA748/$AA747-1,"")</f>
        <v/>
      </c>
      <c r="EG747" s="58">
        <f>IFERROR($AB748/$AB747-1,"")</f>
        <v/>
      </c>
      <c r="EH747" s="58">
        <f>IFERROR($AC748/$AC747-1,"")</f>
        <v/>
      </c>
      <c r="EI747" s="58">
        <f>IFERROR($AD748/$AD747-1,"")</f>
        <v/>
      </c>
      <c r="EJ747" s="58">
        <f>IFERROR($AE748/$AE747-1,"")</f>
        <v/>
      </c>
      <c r="EK747" s="58">
        <f>IFERROR($AF748/$AF747-1,"")</f>
        <v/>
      </c>
      <c r="EL747" s="58">
        <f>IFERROR($AG748/$AG747-1,"")</f>
        <v/>
      </c>
      <c r="EM747" s="58">
        <f>IFERROR($BB747/$BB748-1,"")</f>
        <v/>
      </c>
      <c r="EN747" s="58">
        <f>IFERROR($BC747/$BC748-1,"")</f>
        <v/>
      </c>
      <c r="EO747" s="58">
        <f>IFERROR($BD747/$BD748-1,"")</f>
        <v/>
      </c>
      <c r="EP747" s="58">
        <f>IFERROR($BE747/$BE748-1,"")</f>
        <v/>
      </c>
      <c r="EQ747" s="58">
        <f>IFERROR($BF747/$BF748-1,"")</f>
        <v/>
      </c>
      <c r="ER747" s="58">
        <f>IFERROR($BG747/$BG748-1,"")</f>
        <v/>
      </c>
      <c r="ES747" s="58">
        <f>IFERROR($BH747/$BH748-1,"")</f>
        <v/>
      </c>
      <c r="ET747" s="58">
        <f>IFERROR($BI747/$BI748-1,"")</f>
        <v/>
      </c>
      <c r="EU747" s="58">
        <f>IFERROR($BJ747/$BJ748-1,"")</f>
        <v/>
      </c>
      <c r="EV747" s="58">
        <f>IFERROR($BK747/$BK748-1,"")</f>
        <v/>
      </c>
      <c r="EW747" s="58">
        <f>IFERROR($BL747/$BL748-1,"")</f>
        <v/>
      </c>
      <c r="EX747" s="58">
        <f>IFERROR($BM747/$BM748-1,"")</f>
        <v/>
      </c>
      <c r="EY747" s="58">
        <f>IFERROR($BN747/$BN748-1,"")</f>
        <v/>
      </c>
      <c r="EZ747" s="58">
        <f>IFERROR($BO747/$BO748-1,"")</f>
        <v/>
      </c>
      <c r="FA747" s="58">
        <f>IFERROR($BP747/$BP748-1,"")</f>
        <v/>
      </c>
      <c r="FB747" s="58">
        <f>IFERROR($BQ747/$BQ748-1,"")</f>
        <v/>
      </c>
      <c r="FC747" s="58">
        <f>IFERROR($BR747/$BR748-1,"")</f>
        <v/>
      </c>
      <c r="FD747" s="58">
        <f>IFERROR($BS747/$BS748-1,"")</f>
        <v/>
      </c>
      <c r="FE747" s="58">
        <f>IFERROR($BT747/$BT748-1,"")</f>
        <v/>
      </c>
      <c r="FF747" s="58">
        <f>IFERROR($BU747/$BU748-1,"")</f>
        <v/>
      </c>
      <c r="FG747" s="58">
        <f>IFERROR($BV747/$BV748-1,"")</f>
        <v/>
      </c>
      <c r="FH747" s="58">
        <f>IFERROR($BW747/$BW748-1,"")</f>
        <v/>
      </c>
      <c r="FI747" s="58">
        <f>IFERROR($BX747/$BX748-1,"")</f>
        <v/>
      </c>
      <c r="FJ747" s="59">
        <f>$BY747-$BY748</f>
        <v/>
      </c>
      <c r="FK747" s="59">
        <f>$BZ747-$BZ748</f>
        <v/>
      </c>
      <c r="FL747" s="59">
        <f>$CA747-$CA748</f>
        <v/>
      </c>
      <c r="FM747" s="59">
        <f>$CB747-$CB748</f>
        <v/>
      </c>
      <c r="FN747" s="59">
        <f>$CC747-$CC748</f>
        <v/>
      </c>
      <c r="FO747" s="59">
        <f>$CD747-$CD748</f>
        <v/>
      </c>
      <c r="FP747" s="59">
        <f>$CE747-$CE748</f>
        <v/>
      </c>
      <c r="FQ747" s="59">
        <f>$CF747-$CF748</f>
        <v/>
      </c>
      <c r="FR747" s="59">
        <f>$CG747-$CG748</f>
        <v/>
      </c>
      <c r="FS747" s="59">
        <f>$CH747-$CH748</f>
        <v/>
      </c>
      <c r="FT747" s="59">
        <f>$CI747-$CI748</f>
        <v/>
      </c>
      <c r="FU747" s="59">
        <f>$CJ747-$CJ748</f>
        <v/>
      </c>
      <c r="FV747" s="59">
        <f>$CK747-$CK748</f>
        <v/>
      </c>
      <c r="FW747" s="59">
        <f>$CL747-$CL748</f>
        <v/>
      </c>
      <c r="FX747" s="59">
        <f>$CM747-$CM748</f>
        <v/>
      </c>
      <c r="FY747" s="59">
        <f>$CN747-$CN748</f>
        <v/>
      </c>
      <c r="FZ747" s="59">
        <f>$CO747-$CO748</f>
        <v/>
      </c>
      <c r="GA747" s="59">
        <f>$CP747-$CP748</f>
        <v/>
      </c>
      <c r="GB747" s="59">
        <f>$CQ747-$CQ748</f>
        <v/>
      </c>
      <c r="GC747" s="59">
        <f>$CR747-$CR748</f>
        <v/>
      </c>
      <c r="GD747" s="59">
        <f>$CS747-$CS748</f>
        <v/>
      </c>
      <c r="GE747" s="59">
        <f>$CT747-$CT748</f>
        <v/>
      </c>
    </row>
    <row r="748">
      <c r="CU748" s="58">
        <f>IFERROR($B748/$B749-1,"")</f>
        <v/>
      </c>
      <c r="CV748" s="59">
        <f>($F748-$F749)*100</f>
        <v/>
      </c>
      <c r="CW748" s="59">
        <f>($E748-$E749)*100</f>
        <v/>
      </c>
      <c r="CX748" s="58">
        <f>IFERROR($K748/$K749-1,"")</f>
        <v/>
      </c>
      <c r="CY748" s="59">
        <f>($AH748-$AH749)*100</f>
        <v/>
      </c>
      <c r="CZ748" s="59">
        <f>($AI748-$AI749)*100</f>
        <v/>
      </c>
      <c r="DA748" s="59">
        <f>($AJ748-$AJ749)*100</f>
        <v/>
      </c>
      <c r="DB748" s="59">
        <f>($AK748-$AK749)*100</f>
        <v/>
      </c>
      <c r="DC748" s="59">
        <f>($AL748-$AL749)*100</f>
        <v/>
      </c>
      <c r="DD748" s="59">
        <f>($AM748-$AM749)*100</f>
        <v/>
      </c>
      <c r="DE748" s="59">
        <f>($AN748-$AN749)*100</f>
        <v/>
      </c>
      <c r="DF748" s="59">
        <f>($AO748-$AO749)*100</f>
        <v/>
      </c>
      <c r="DG748" s="59">
        <f>($AP748-$AP749)*100</f>
        <v/>
      </c>
      <c r="DH748" s="59">
        <f>($AQ748-$AQ749)*100</f>
        <v/>
      </c>
      <c r="DI748" s="59">
        <f>($AR748-$AR749)*100</f>
        <v/>
      </c>
      <c r="DJ748" s="59">
        <f>($AS748-$AS749)*100</f>
        <v/>
      </c>
      <c r="DK748" s="59">
        <f>($AT748-$AT749)*100</f>
        <v/>
      </c>
      <c r="DL748" s="59">
        <f>($AU748-$AU749)*100</f>
        <v/>
      </c>
      <c r="DM748" s="59">
        <f>($AV748-$AV749)*100</f>
        <v/>
      </c>
      <c r="DN748" s="59">
        <f>($AW748-$AW749)*100</f>
        <v/>
      </c>
      <c r="DO748" s="59">
        <f>($AX748-$AX749)*100</f>
        <v/>
      </c>
      <c r="DP748" s="59">
        <f>($AY748-$AY749)*100</f>
        <v/>
      </c>
      <c r="DQ748" s="59">
        <f>($AZ748-$AZ749)*100</f>
        <v/>
      </c>
      <c r="DR748" s="59">
        <f>($BA748-$BA749)*100</f>
        <v/>
      </c>
      <c r="DS748" s="58">
        <f>IFERROR($N749/$N748-1,"")</f>
        <v/>
      </c>
      <c r="DT748" s="58">
        <f>IFERROR($O749/$O748-1,"")</f>
        <v/>
      </c>
      <c r="DU748" s="58">
        <f>IFERROR($P749/$P748-1,"")</f>
        <v/>
      </c>
      <c r="DV748" s="58">
        <f>IFERROR($Q749/$Q748-1,"")</f>
        <v/>
      </c>
      <c r="DW748" s="58">
        <f>IFERROR($R749/$R748-1,"")</f>
        <v/>
      </c>
      <c r="DX748" s="58">
        <f>IFERROR($S749/$S748-1,"")</f>
        <v/>
      </c>
      <c r="DY748" s="58">
        <f>IFERROR($T749/$T748-1,"")</f>
        <v/>
      </c>
      <c r="DZ748" s="58">
        <f>IFERROR($U749/$U748-1,"")</f>
        <v/>
      </c>
      <c r="EA748" s="58">
        <f>IFERROR($V749/$V748-1,"")</f>
        <v/>
      </c>
      <c r="EB748" s="58">
        <f>IFERROR($W749/$W748-1,"")</f>
        <v/>
      </c>
      <c r="EC748" s="58">
        <f>IFERROR($X749/$X748-1,"")</f>
        <v/>
      </c>
      <c r="ED748" s="58">
        <f>IFERROR($Y749/$Y748-1,"")</f>
        <v/>
      </c>
      <c r="EE748" s="58">
        <f>IFERROR($Z749/$Z748-1,"")</f>
        <v/>
      </c>
      <c r="EF748" s="58">
        <f>IFERROR($AA749/$AA748-1,"")</f>
        <v/>
      </c>
      <c r="EG748" s="58">
        <f>IFERROR($AB749/$AB748-1,"")</f>
        <v/>
      </c>
      <c r="EH748" s="58">
        <f>IFERROR($AC749/$AC748-1,"")</f>
        <v/>
      </c>
      <c r="EI748" s="58">
        <f>IFERROR($AD749/$AD748-1,"")</f>
        <v/>
      </c>
      <c r="EJ748" s="58">
        <f>IFERROR($AE749/$AE748-1,"")</f>
        <v/>
      </c>
      <c r="EK748" s="58">
        <f>IFERROR($AF749/$AF748-1,"")</f>
        <v/>
      </c>
      <c r="EL748" s="58">
        <f>IFERROR($AG749/$AG748-1,"")</f>
        <v/>
      </c>
      <c r="EM748" s="58">
        <f>IFERROR($BB748/$BB749-1,"")</f>
        <v/>
      </c>
      <c r="EN748" s="58">
        <f>IFERROR($BC748/$BC749-1,"")</f>
        <v/>
      </c>
      <c r="EO748" s="58">
        <f>IFERROR($BD748/$BD749-1,"")</f>
        <v/>
      </c>
      <c r="EP748" s="58">
        <f>IFERROR($BE748/$BE749-1,"")</f>
        <v/>
      </c>
      <c r="EQ748" s="58">
        <f>IFERROR($BF748/$BF749-1,"")</f>
        <v/>
      </c>
      <c r="ER748" s="58">
        <f>IFERROR($BG748/$BG749-1,"")</f>
        <v/>
      </c>
      <c r="ES748" s="58">
        <f>IFERROR($BH748/$BH749-1,"")</f>
        <v/>
      </c>
      <c r="ET748" s="58">
        <f>IFERROR($BI748/$BI749-1,"")</f>
        <v/>
      </c>
      <c r="EU748" s="58">
        <f>IFERROR($BJ748/$BJ749-1,"")</f>
        <v/>
      </c>
      <c r="EV748" s="58">
        <f>IFERROR($BK748/$BK749-1,"")</f>
        <v/>
      </c>
      <c r="EW748" s="58">
        <f>IFERROR($BL748/$BL749-1,"")</f>
        <v/>
      </c>
      <c r="EX748" s="58">
        <f>IFERROR($BM748/$BM749-1,"")</f>
        <v/>
      </c>
      <c r="EY748" s="58">
        <f>IFERROR($BN748/$BN749-1,"")</f>
        <v/>
      </c>
      <c r="EZ748" s="58">
        <f>IFERROR($BO748/$BO749-1,"")</f>
        <v/>
      </c>
      <c r="FA748" s="58">
        <f>IFERROR($BP748/$BP749-1,"")</f>
        <v/>
      </c>
      <c r="FB748" s="58">
        <f>IFERROR($BQ748/$BQ749-1,"")</f>
        <v/>
      </c>
      <c r="FC748" s="58">
        <f>IFERROR($BR748/$BR749-1,"")</f>
        <v/>
      </c>
      <c r="FD748" s="58">
        <f>IFERROR($BS748/$BS749-1,"")</f>
        <v/>
      </c>
      <c r="FE748" s="58">
        <f>IFERROR($BT748/$BT749-1,"")</f>
        <v/>
      </c>
      <c r="FF748" s="58">
        <f>IFERROR($BU748/$BU749-1,"")</f>
        <v/>
      </c>
      <c r="FG748" s="58">
        <f>IFERROR($BV748/$BV749-1,"")</f>
        <v/>
      </c>
      <c r="FH748" s="58">
        <f>IFERROR($BW748/$BW749-1,"")</f>
        <v/>
      </c>
      <c r="FI748" s="58">
        <f>IFERROR($BX748/$BX749-1,"")</f>
        <v/>
      </c>
      <c r="FJ748" s="59">
        <f>$BY748-$BY749</f>
        <v/>
      </c>
      <c r="FK748" s="59">
        <f>$BZ748-$BZ749</f>
        <v/>
      </c>
      <c r="FL748" s="59">
        <f>$CA748-$CA749</f>
        <v/>
      </c>
      <c r="FM748" s="59">
        <f>$CB748-$CB749</f>
        <v/>
      </c>
      <c r="FN748" s="59">
        <f>$CC748-$CC749</f>
        <v/>
      </c>
      <c r="FO748" s="59">
        <f>$CD748-$CD749</f>
        <v/>
      </c>
      <c r="FP748" s="59">
        <f>$CE748-$CE749</f>
        <v/>
      </c>
      <c r="FQ748" s="59">
        <f>$CF748-$CF749</f>
        <v/>
      </c>
      <c r="FR748" s="59">
        <f>$CG748-$CG749</f>
        <v/>
      </c>
      <c r="FS748" s="59">
        <f>$CH748-$CH749</f>
        <v/>
      </c>
      <c r="FT748" s="59">
        <f>$CI748-$CI749</f>
        <v/>
      </c>
      <c r="FU748" s="59">
        <f>$CJ748-$CJ749</f>
        <v/>
      </c>
      <c r="FV748" s="59">
        <f>$CK748-$CK749</f>
        <v/>
      </c>
      <c r="FW748" s="59">
        <f>$CL748-$CL749</f>
        <v/>
      </c>
      <c r="FX748" s="59">
        <f>$CM748-$CM749</f>
        <v/>
      </c>
      <c r="FY748" s="59">
        <f>$CN748-$CN749</f>
        <v/>
      </c>
      <c r="FZ748" s="59">
        <f>$CO748-$CO749</f>
        <v/>
      </c>
      <c r="GA748" s="59">
        <f>$CP748-$CP749</f>
        <v/>
      </c>
      <c r="GB748" s="59">
        <f>$CQ748-$CQ749</f>
        <v/>
      </c>
      <c r="GC748" s="59">
        <f>$CR748-$CR749</f>
        <v/>
      </c>
      <c r="GD748" s="59">
        <f>$CS748-$CS749</f>
        <v/>
      </c>
      <c r="GE748" s="59">
        <f>$CT748-$CT749</f>
        <v/>
      </c>
    </row>
    <row r="749">
      <c r="CU749" s="58">
        <f>IFERROR($B749/$B750-1,"")</f>
        <v/>
      </c>
      <c r="CV749" s="59">
        <f>($F749-$F750)*100</f>
        <v/>
      </c>
      <c r="CW749" s="59">
        <f>($E749-$E750)*100</f>
        <v/>
      </c>
      <c r="CX749" s="58">
        <f>IFERROR($K749/$K750-1,"")</f>
        <v/>
      </c>
      <c r="CY749" s="59">
        <f>($AH749-$AH750)*100</f>
        <v/>
      </c>
      <c r="CZ749" s="59">
        <f>($AI749-$AI750)*100</f>
        <v/>
      </c>
      <c r="DA749" s="59">
        <f>($AJ749-$AJ750)*100</f>
        <v/>
      </c>
      <c r="DB749" s="59">
        <f>($AK749-$AK750)*100</f>
        <v/>
      </c>
      <c r="DC749" s="59">
        <f>($AL749-$AL750)*100</f>
        <v/>
      </c>
      <c r="DD749" s="59">
        <f>($AM749-$AM750)*100</f>
        <v/>
      </c>
      <c r="DE749" s="59">
        <f>($AN749-$AN750)*100</f>
        <v/>
      </c>
      <c r="DF749" s="59">
        <f>($AO749-$AO750)*100</f>
        <v/>
      </c>
      <c r="DG749" s="59">
        <f>($AP749-$AP750)*100</f>
        <v/>
      </c>
      <c r="DH749" s="59">
        <f>($AQ749-$AQ750)*100</f>
        <v/>
      </c>
      <c r="DI749" s="59">
        <f>($AR749-$AR750)*100</f>
        <v/>
      </c>
      <c r="DJ749" s="59">
        <f>($AS749-$AS750)*100</f>
        <v/>
      </c>
      <c r="DK749" s="59">
        <f>($AT749-$AT750)*100</f>
        <v/>
      </c>
      <c r="DL749" s="59">
        <f>($AU749-$AU750)*100</f>
        <v/>
      </c>
      <c r="DM749" s="59">
        <f>($AV749-$AV750)*100</f>
        <v/>
      </c>
      <c r="DN749" s="59">
        <f>($AW749-$AW750)*100</f>
        <v/>
      </c>
      <c r="DO749" s="59">
        <f>($AX749-$AX750)*100</f>
        <v/>
      </c>
      <c r="DP749" s="59">
        <f>($AY749-$AY750)*100</f>
        <v/>
      </c>
      <c r="DQ749" s="59">
        <f>($AZ749-$AZ750)*100</f>
        <v/>
      </c>
      <c r="DR749" s="59">
        <f>($BA749-$BA750)*100</f>
        <v/>
      </c>
      <c r="DS749" s="58">
        <f>IFERROR($N750/$N749-1,"")</f>
        <v/>
      </c>
      <c r="DT749" s="58">
        <f>IFERROR($O750/$O749-1,"")</f>
        <v/>
      </c>
      <c r="DU749" s="58">
        <f>IFERROR($P750/$P749-1,"")</f>
        <v/>
      </c>
      <c r="DV749" s="58">
        <f>IFERROR($Q750/$Q749-1,"")</f>
        <v/>
      </c>
      <c r="DW749" s="58">
        <f>IFERROR($R750/$R749-1,"")</f>
        <v/>
      </c>
      <c r="DX749" s="58">
        <f>IFERROR($S750/$S749-1,"")</f>
        <v/>
      </c>
      <c r="DY749" s="58">
        <f>IFERROR($T750/$T749-1,"")</f>
        <v/>
      </c>
      <c r="DZ749" s="58">
        <f>IFERROR($U750/$U749-1,"")</f>
        <v/>
      </c>
      <c r="EA749" s="58">
        <f>IFERROR($V750/$V749-1,"")</f>
        <v/>
      </c>
      <c r="EB749" s="58">
        <f>IFERROR($W750/$W749-1,"")</f>
        <v/>
      </c>
      <c r="EC749" s="58">
        <f>IFERROR($X750/$X749-1,"")</f>
        <v/>
      </c>
      <c r="ED749" s="58">
        <f>IFERROR($Y750/$Y749-1,"")</f>
        <v/>
      </c>
      <c r="EE749" s="58">
        <f>IFERROR($Z750/$Z749-1,"")</f>
        <v/>
      </c>
      <c r="EF749" s="58">
        <f>IFERROR($AA750/$AA749-1,"")</f>
        <v/>
      </c>
      <c r="EG749" s="58">
        <f>IFERROR($AB750/$AB749-1,"")</f>
        <v/>
      </c>
      <c r="EH749" s="58">
        <f>IFERROR($AC750/$AC749-1,"")</f>
        <v/>
      </c>
      <c r="EI749" s="58">
        <f>IFERROR($AD750/$AD749-1,"")</f>
        <v/>
      </c>
      <c r="EJ749" s="58">
        <f>IFERROR($AE750/$AE749-1,"")</f>
        <v/>
      </c>
      <c r="EK749" s="58">
        <f>IFERROR($AF750/$AF749-1,"")</f>
        <v/>
      </c>
      <c r="EL749" s="58">
        <f>IFERROR($AG750/$AG749-1,"")</f>
        <v/>
      </c>
      <c r="EM749" s="58">
        <f>IFERROR($BB749/$BB750-1,"")</f>
        <v/>
      </c>
      <c r="EN749" s="58">
        <f>IFERROR($BC749/$BC750-1,"")</f>
        <v/>
      </c>
      <c r="EO749" s="58">
        <f>IFERROR($BD749/$BD750-1,"")</f>
        <v/>
      </c>
      <c r="EP749" s="58">
        <f>IFERROR($BE749/$BE750-1,"")</f>
        <v/>
      </c>
      <c r="EQ749" s="58">
        <f>IFERROR($BF749/$BF750-1,"")</f>
        <v/>
      </c>
      <c r="ER749" s="58">
        <f>IFERROR($BG749/$BG750-1,"")</f>
        <v/>
      </c>
      <c r="ES749" s="58">
        <f>IFERROR($BH749/$BH750-1,"")</f>
        <v/>
      </c>
      <c r="ET749" s="58">
        <f>IFERROR($BI749/$BI750-1,"")</f>
        <v/>
      </c>
      <c r="EU749" s="58">
        <f>IFERROR($BJ749/$BJ750-1,"")</f>
        <v/>
      </c>
      <c r="EV749" s="58">
        <f>IFERROR($BK749/$BK750-1,"")</f>
        <v/>
      </c>
      <c r="EW749" s="58">
        <f>IFERROR($BL749/$BL750-1,"")</f>
        <v/>
      </c>
      <c r="EX749" s="58">
        <f>IFERROR($BM749/$BM750-1,"")</f>
        <v/>
      </c>
      <c r="EY749" s="58">
        <f>IFERROR($BN749/$BN750-1,"")</f>
        <v/>
      </c>
      <c r="EZ749" s="58">
        <f>IFERROR($BO749/$BO750-1,"")</f>
        <v/>
      </c>
      <c r="FA749" s="58">
        <f>IFERROR($BP749/$BP750-1,"")</f>
        <v/>
      </c>
      <c r="FB749" s="58">
        <f>IFERROR($BQ749/$BQ750-1,"")</f>
        <v/>
      </c>
      <c r="FC749" s="58">
        <f>IFERROR($BR749/$BR750-1,"")</f>
        <v/>
      </c>
      <c r="FD749" s="58">
        <f>IFERROR($BS749/$BS750-1,"")</f>
        <v/>
      </c>
      <c r="FE749" s="58">
        <f>IFERROR($BT749/$BT750-1,"")</f>
        <v/>
      </c>
      <c r="FF749" s="58">
        <f>IFERROR($BU749/$BU750-1,"")</f>
        <v/>
      </c>
      <c r="FG749" s="58">
        <f>IFERROR($BV749/$BV750-1,"")</f>
        <v/>
      </c>
      <c r="FH749" s="58">
        <f>IFERROR($BW749/$BW750-1,"")</f>
        <v/>
      </c>
      <c r="FI749" s="58">
        <f>IFERROR($BX749/$BX750-1,"")</f>
        <v/>
      </c>
      <c r="FJ749" s="59">
        <f>$BY749-$BY750</f>
        <v/>
      </c>
      <c r="FK749" s="59">
        <f>$BZ749-$BZ750</f>
        <v/>
      </c>
      <c r="FL749" s="59">
        <f>$CA749-$CA750</f>
        <v/>
      </c>
      <c r="FM749" s="59">
        <f>$CB749-$CB750</f>
        <v/>
      </c>
      <c r="FN749" s="59">
        <f>$CC749-$CC750</f>
        <v/>
      </c>
      <c r="FO749" s="59">
        <f>$CD749-$CD750</f>
        <v/>
      </c>
      <c r="FP749" s="59">
        <f>$CE749-$CE750</f>
        <v/>
      </c>
      <c r="FQ749" s="59">
        <f>$CF749-$CF750</f>
        <v/>
      </c>
      <c r="FR749" s="59">
        <f>$CG749-$CG750</f>
        <v/>
      </c>
      <c r="FS749" s="59">
        <f>$CH749-$CH750</f>
        <v/>
      </c>
      <c r="FT749" s="59">
        <f>$CI749-$CI750</f>
        <v/>
      </c>
      <c r="FU749" s="59">
        <f>$CJ749-$CJ750</f>
        <v/>
      </c>
      <c r="FV749" s="59">
        <f>$CK749-$CK750</f>
        <v/>
      </c>
      <c r="FW749" s="59">
        <f>$CL749-$CL750</f>
        <v/>
      </c>
      <c r="FX749" s="59">
        <f>$CM749-$CM750</f>
        <v/>
      </c>
      <c r="FY749" s="59">
        <f>$CN749-$CN750</f>
        <v/>
      </c>
      <c r="FZ749" s="59">
        <f>$CO749-$CO750</f>
        <v/>
      </c>
      <c r="GA749" s="59">
        <f>$CP749-$CP750</f>
        <v/>
      </c>
      <c r="GB749" s="59">
        <f>$CQ749-$CQ750</f>
        <v/>
      </c>
      <c r="GC749" s="59">
        <f>$CR749-$CR750</f>
        <v/>
      </c>
      <c r="GD749" s="59">
        <f>$CS749-$CS750</f>
        <v/>
      </c>
      <c r="GE749" s="59">
        <f>$CT749-$CT750</f>
        <v/>
      </c>
    </row>
    <row r="750">
      <c r="CU750" s="58">
        <f>IFERROR($B750/$B751-1,"")</f>
        <v/>
      </c>
      <c r="CV750" s="59">
        <f>($F750-$F751)*100</f>
        <v/>
      </c>
      <c r="CW750" s="59">
        <f>($E750-$E751)*100</f>
        <v/>
      </c>
      <c r="CX750" s="58">
        <f>IFERROR($K750/$K751-1,"")</f>
        <v/>
      </c>
      <c r="CY750" s="59">
        <f>($AH750-$AH751)*100</f>
        <v/>
      </c>
      <c r="CZ750" s="59">
        <f>($AI750-$AI751)*100</f>
        <v/>
      </c>
      <c r="DA750" s="59">
        <f>($AJ750-$AJ751)*100</f>
        <v/>
      </c>
      <c r="DB750" s="59">
        <f>($AK750-$AK751)*100</f>
        <v/>
      </c>
      <c r="DC750" s="59">
        <f>($AL750-$AL751)*100</f>
        <v/>
      </c>
      <c r="DD750" s="59">
        <f>($AM750-$AM751)*100</f>
        <v/>
      </c>
      <c r="DE750" s="59">
        <f>($AN750-$AN751)*100</f>
        <v/>
      </c>
      <c r="DF750" s="59">
        <f>($AO750-$AO751)*100</f>
        <v/>
      </c>
      <c r="DG750" s="59">
        <f>($AP750-$AP751)*100</f>
        <v/>
      </c>
      <c r="DH750" s="59">
        <f>($AQ750-$AQ751)*100</f>
        <v/>
      </c>
      <c r="DI750" s="59">
        <f>($AR750-$AR751)*100</f>
        <v/>
      </c>
      <c r="DJ750" s="59">
        <f>($AS750-$AS751)*100</f>
        <v/>
      </c>
      <c r="DK750" s="59">
        <f>($AT750-$AT751)*100</f>
        <v/>
      </c>
      <c r="DL750" s="59">
        <f>($AU750-$AU751)*100</f>
        <v/>
      </c>
      <c r="DM750" s="59">
        <f>($AV750-$AV751)*100</f>
        <v/>
      </c>
      <c r="DN750" s="59">
        <f>($AW750-$AW751)*100</f>
        <v/>
      </c>
      <c r="DO750" s="59">
        <f>($AX750-$AX751)*100</f>
        <v/>
      </c>
      <c r="DP750" s="59">
        <f>($AY750-$AY751)*100</f>
        <v/>
      </c>
      <c r="DQ750" s="59">
        <f>($AZ750-$AZ751)*100</f>
        <v/>
      </c>
      <c r="DR750" s="59">
        <f>($BA750-$BA751)*100</f>
        <v/>
      </c>
      <c r="DS750" s="58">
        <f>IFERROR($N751/$N750-1,"")</f>
        <v/>
      </c>
      <c r="DT750" s="58">
        <f>IFERROR($O751/$O750-1,"")</f>
        <v/>
      </c>
      <c r="DU750" s="58">
        <f>IFERROR($P751/$P750-1,"")</f>
        <v/>
      </c>
      <c r="DV750" s="58">
        <f>IFERROR($Q751/$Q750-1,"")</f>
        <v/>
      </c>
      <c r="DW750" s="58">
        <f>IFERROR($R751/$R750-1,"")</f>
        <v/>
      </c>
      <c r="DX750" s="58">
        <f>IFERROR($S751/$S750-1,"")</f>
        <v/>
      </c>
      <c r="DY750" s="58">
        <f>IFERROR($T751/$T750-1,"")</f>
        <v/>
      </c>
      <c r="DZ750" s="58">
        <f>IFERROR($U751/$U750-1,"")</f>
        <v/>
      </c>
      <c r="EA750" s="58">
        <f>IFERROR($V751/$V750-1,"")</f>
        <v/>
      </c>
      <c r="EB750" s="58">
        <f>IFERROR($W751/$W750-1,"")</f>
        <v/>
      </c>
      <c r="EC750" s="58">
        <f>IFERROR($X751/$X750-1,"")</f>
        <v/>
      </c>
      <c r="ED750" s="58">
        <f>IFERROR($Y751/$Y750-1,"")</f>
        <v/>
      </c>
      <c r="EE750" s="58">
        <f>IFERROR($Z751/$Z750-1,"")</f>
        <v/>
      </c>
      <c r="EF750" s="58">
        <f>IFERROR($AA751/$AA750-1,"")</f>
        <v/>
      </c>
      <c r="EG750" s="58">
        <f>IFERROR($AB751/$AB750-1,"")</f>
        <v/>
      </c>
      <c r="EH750" s="58">
        <f>IFERROR($AC751/$AC750-1,"")</f>
        <v/>
      </c>
      <c r="EI750" s="58">
        <f>IFERROR($AD751/$AD750-1,"")</f>
        <v/>
      </c>
      <c r="EJ750" s="58">
        <f>IFERROR($AE751/$AE750-1,"")</f>
        <v/>
      </c>
      <c r="EK750" s="58">
        <f>IFERROR($AF751/$AF750-1,"")</f>
        <v/>
      </c>
      <c r="EL750" s="58">
        <f>IFERROR($AG751/$AG750-1,"")</f>
        <v/>
      </c>
      <c r="EM750" s="58">
        <f>IFERROR($BB750/$BB751-1,"")</f>
        <v/>
      </c>
      <c r="EN750" s="58">
        <f>IFERROR($BC750/$BC751-1,"")</f>
        <v/>
      </c>
      <c r="EO750" s="58">
        <f>IFERROR($BD750/$BD751-1,"")</f>
        <v/>
      </c>
      <c r="EP750" s="58">
        <f>IFERROR($BE750/$BE751-1,"")</f>
        <v/>
      </c>
      <c r="EQ750" s="58">
        <f>IFERROR($BF750/$BF751-1,"")</f>
        <v/>
      </c>
      <c r="ER750" s="58">
        <f>IFERROR($BG750/$BG751-1,"")</f>
        <v/>
      </c>
      <c r="ES750" s="58">
        <f>IFERROR($BH750/$BH751-1,"")</f>
        <v/>
      </c>
      <c r="ET750" s="58">
        <f>IFERROR($BI750/$BI751-1,"")</f>
        <v/>
      </c>
      <c r="EU750" s="58">
        <f>IFERROR($BJ750/$BJ751-1,"")</f>
        <v/>
      </c>
      <c r="EV750" s="58">
        <f>IFERROR($BK750/$BK751-1,"")</f>
        <v/>
      </c>
      <c r="EW750" s="58">
        <f>IFERROR($BL750/$BL751-1,"")</f>
        <v/>
      </c>
      <c r="EX750" s="58">
        <f>IFERROR($BM750/$BM751-1,"")</f>
        <v/>
      </c>
      <c r="EY750" s="58">
        <f>IFERROR($BN750/$BN751-1,"")</f>
        <v/>
      </c>
      <c r="EZ750" s="58">
        <f>IFERROR($BO750/$BO751-1,"")</f>
        <v/>
      </c>
      <c r="FA750" s="58">
        <f>IFERROR($BP750/$BP751-1,"")</f>
        <v/>
      </c>
      <c r="FB750" s="58">
        <f>IFERROR($BQ750/$BQ751-1,"")</f>
        <v/>
      </c>
      <c r="FC750" s="58">
        <f>IFERROR($BR750/$BR751-1,"")</f>
        <v/>
      </c>
      <c r="FD750" s="58">
        <f>IFERROR($BS750/$BS751-1,"")</f>
        <v/>
      </c>
      <c r="FE750" s="58">
        <f>IFERROR($BT750/$BT751-1,"")</f>
        <v/>
      </c>
      <c r="FF750" s="58">
        <f>IFERROR($BU750/$BU751-1,"")</f>
        <v/>
      </c>
      <c r="FG750" s="58">
        <f>IFERROR($BV750/$BV751-1,"")</f>
        <v/>
      </c>
      <c r="FH750" s="58">
        <f>IFERROR($BW750/$BW751-1,"")</f>
        <v/>
      </c>
      <c r="FI750" s="58">
        <f>IFERROR($BX750/$BX751-1,"")</f>
        <v/>
      </c>
      <c r="FJ750" s="59">
        <f>$BY750-$BY751</f>
        <v/>
      </c>
      <c r="FK750" s="59">
        <f>$BZ750-$BZ751</f>
        <v/>
      </c>
      <c r="FL750" s="59">
        <f>$CA750-$CA751</f>
        <v/>
      </c>
      <c r="FM750" s="59">
        <f>$CB750-$CB751</f>
        <v/>
      </c>
      <c r="FN750" s="59">
        <f>$CC750-$CC751</f>
        <v/>
      </c>
      <c r="FO750" s="59">
        <f>$CD750-$CD751</f>
        <v/>
      </c>
      <c r="FP750" s="59">
        <f>$CE750-$CE751</f>
        <v/>
      </c>
      <c r="FQ750" s="59">
        <f>$CF750-$CF751</f>
        <v/>
      </c>
      <c r="FR750" s="59">
        <f>$CG750-$CG751</f>
        <v/>
      </c>
      <c r="FS750" s="59">
        <f>$CH750-$CH751</f>
        <v/>
      </c>
      <c r="FT750" s="59">
        <f>$CI750-$CI751</f>
        <v/>
      </c>
      <c r="FU750" s="59">
        <f>$CJ750-$CJ751</f>
        <v/>
      </c>
      <c r="FV750" s="59">
        <f>$CK750-$CK751</f>
        <v/>
      </c>
      <c r="FW750" s="59">
        <f>$CL750-$CL751</f>
        <v/>
      </c>
      <c r="FX750" s="59">
        <f>$CM750-$CM751</f>
        <v/>
      </c>
      <c r="FY750" s="59">
        <f>$CN750-$CN751</f>
        <v/>
      </c>
      <c r="FZ750" s="59">
        <f>$CO750-$CO751</f>
        <v/>
      </c>
      <c r="GA750" s="59">
        <f>$CP750-$CP751</f>
        <v/>
      </c>
      <c r="GB750" s="59">
        <f>$CQ750-$CQ751</f>
        <v/>
      </c>
      <c r="GC750" s="59">
        <f>$CR750-$CR751</f>
        <v/>
      </c>
      <c r="GD750" s="59">
        <f>$CS750-$CS751</f>
        <v/>
      </c>
      <c r="GE750" s="59">
        <f>$CT750-$CT751</f>
        <v/>
      </c>
    </row>
    <row r="751">
      <c r="CU751" s="58">
        <f>IFERROR($B751/$B752-1,"")</f>
        <v/>
      </c>
      <c r="CV751" s="59">
        <f>($F751-$F752)*100</f>
        <v/>
      </c>
      <c r="CW751" s="59">
        <f>($E751-$E752)*100</f>
        <v/>
      </c>
      <c r="CX751" s="58">
        <f>IFERROR($K751/$K752-1,"")</f>
        <v/>
      </c>
      <c r="CY751" s="59">
        <f>($AH751-$AH752)*100</f>
        <v/>
      </c>
      <c r="CZ751" s="59">
        <f>($AI751-$AI752)*100</f>
        <v/>
      </c>
      <c r="DA751" s="59">
        <f>($AJ751-$AJ752)*100</f>
        <v/>
      </c>
      <c r="DB751" s="59">
        <f>($AK751-$AK752)*100</f>
        <v/>
      </c>
      <c r="DC751" s="59">
        <f>($AL751-$AL752)*100</f>
        <v/>
      </c>
      <c r="DD751" s="59">
        <f>($AM751-$AM752)*100</f>
        <v/>
      </c>
      <c r="DE751" s="59">
        <f>($AN751-$AN752)*100</f>
        <v/>
      </c>
      <c r="DF751" s="59">
        <f>($AO751-$AO752)*100</f>
        <v/>
      </c>
      <c r="DG751" s="59">
        <f>($AP751-$AP752)*100</f>
        <v/>
      </c>
      <c r="DH751" s="59">
        <f>($AQ751-$AQ752)*100</f>
        <v/>
      </c>
      <c r="DI751" s="59">
        <f>($AR751-$AR752)*100</f>
        <v/>
      </c>
      <c r="DJ751" s="59">
        <f>($AS751-$AS752)*100</f>
        <v/>
      </c>
      <c r="DK751" s="59">
        <f>($AT751-$AT752)*100</f>
        <v/>
      </c>
      <c r="DL751" s="59">
        <f>($AU751-$AU752)*100</f>
        <v/>
      </c>
      <c r="DM751" s="59">
        <f>($AV751-$AV752)*100</f>
        <v/>
      </c>
      <c r="DN751" s="59">
        <f>($AW751-$AW752)*100</f>
        <v/>
      </c>
      <c r="DO751" s="59">
        <f>($AX751-$AX752)*100</f>
        <v/>
      </c>
      <c r="DP751" s="59">
        <f>($AY751-$AY752)*100</f>
        <v/>
      </c>
      <c r="DQ751" s="59">
        <f>($AZ751-$AZ752)*100</f>
        <v/>
      </c>
      <c r="DR751" s="59">
        <f>($BA751-$BA752)*100</f>
        <v/>
      </c>
      <c r="DS751" s="58">
        <f>IFERROR($N752/$N751-1,"")</f>
        <v/>
      </c>
      <c r="DT751" s="58">
        <f>IFERROR($O752/$O751-1,"")</f>
        <v/>
      </c>
      <c r="DU751" s="58">
        <f>IFERROR($P752/$P751-1,"")</f>
        <v/>
      </c>
      <c r="DV751" s="58">
        <f>IFERROR($Q752/$Q751-1,"")</f>
        <v/>
      </c>
      <c r="DW751" s="58">
        <f>IFERROR($R752/$R751-1,"")</f>
        <v/>
      </c>
      <c r="DX751" s="58">
        <f>IFERROR($S752/$S751-1,"")</f>
        <v/>
      </c>
      <c r="DY751" s="58">
        <f>IFERROR($T752/$T751-1,"")</f>
        <v/>
      </c>
      <c r="DZ751" s="58">
        <f>IFERROR($U752/$U751-1,"")</f>
        <v/>
      </c>
      <c r="EA751" s="58">
        <f>IFERROR($V752/$V751-1,"")</f>
        <v/>
      </c>
      <c r="EB751" s="58">
        <f>IFERROR($W752/$W751-1,"")</f>
        <v/>
      </c>
      <c r="EC751" s="58">
        <f>IFERROR($X752/$X751-1,"")</f>
        <v/>
      </c>
      <c r="ED751" s="58">
        <f>IFERROR($Y752/$Y751-1,"")</f>
        <v/>
      </c>
      <c r="EE751" s="58">
        <f>IFERROR($Z752/$Z751-1,"")</f>
        <v/>
      </c>
      <c r="EF751" s="58">
        <f>IFERROR($AA752/$AA751-1,"")</f>
        <v/>
      </c>
      <c r="EG751" s="58">
        <f>IFERROR($AB752/$AB751-1,"")</f>
        <v/>
      </c>
      <c r="EH751" s="58">
        <f>IFERROR($AC752/$AC751-1,"")</f>
        <v/>
      </c>
      <c r="EI751" s="58">
        <f>IFERROR($AD752/$AD751-1,"")</f>
        <v/>
      </c>
      <c r="EJ751" s="58">
        <f>IFERROR($AE752/$AE751-1,"")</f>
        <v/>
      </c>
      <c r="EK751" s="58">
        <f>IFERROR($AF752/$AF751-1,"")</f>
        <v/>
      </c>
      <c r="EL751" s="58">
        <f>IFERROR($AG752/$AG751-1,"")</f>
        <v/>
      </c>
      <c r="EM751" s="58">
        <f>IFERROR($BB751/$BB752-1,"")</f>
        <v/>
      </c>
      <c r="EN751" s="58">
        <f>IFERROR($BC751/$BC752-1,"")</f>
        <v/>
      </c>
      <c r="EO751" s="58">
        <f>IFERROR($BD751/$BD752-1,"")</f>
        <v/>
      </c>
      <c r="EP751" s="58">
        <f>IFERROR($BE751/$BE752-1,"")</f>
        <v/>
      </c>
      <c r="EQ751" s="58">
        <f>IFERROR($BF751/$BF752-1,"")</f>
        <v/>
      </c>
      <c r="ER751" s="58">
        <f>IFERROR($BG751/$BG752-1,"")</f>
        <v/>
      </c>
      <c r="ES751" s="58">
        <f>IFERROR($BH751/$BH752-1,"")</f>
        <v/>
      </c>
      <c r="ET751" s="58">
        <f>IFERROR($BI751/$BI752-1,"")</f>
        <v/>
      </c>
      <c r="EU751" s="58">
        <f>IFERROR($BJ751/$BJ752-1,"")</f>
        <v/>
      </c>
      <c r="EV751" s="58">
        <f>IFERROR($BK751/$BK752-1,"")</f>
        <v/>
      </c>
      <c r="EW751" s="58">
        <f>IFERROR($BL751/$BL752-1,"")</f>
        <v/>
      </c>
      <c r="EX751" s="58">
        <f>IFERROR($BM751/$BM752-1,"")</f>
        <v/>
      </c>
      <c r="EY751" s="58">
        <f>IFERROR($BN751/$BN752-1,"")</f>
        <v/>
      </c>
      <c r="EZ751" s="58">
        <f>IFERROR($BO751/$BO752-1,"")</f>
        <v/>
      </c>
      <c r="FA751" s="58">
        <f>IFERROR($BP751/$BP752-1,"")</f>
        <v/>
      </c>
      <c r="FB751" s="58">
        <f>IFERROR($BQ751/$BQ752-1,"")</f>
        <v/>
      </c>
      <c r="FC751" s="58">
        <f>IFERROR($BR751/$BR752-1,"")</f>
        <v/>
      </c>
      <c r="FD751" s="58">
        <f>IFERROR($BS751/$BS752-1,"")</f>
        <v/>
      </c>
      <c r="FE751" s="58">
        <f>IFERROR($BT751/$BT752-1,"")</f>
        <v/>
      </c>
      <c r="FF751" s="58">
        <f>IFERROR($BU751/$BU752-1,"")</f>
        <v/>
      </c>
      <c r="FG751" s="58">
        <f>IFERROR($BV751/$BV752-1,"")</f>
        <v/>
      </c>
      <c r="FH751" s="58">
        <f>IFERROR($BW751/$BW752-1,"")</f>
        <v/>
      </c>
      <c r="FI751" s="58">
        <f>IFERROR($BX751/$BX752-1,"")</f>
        <v/>
      </c>
      <c r="FJ751" s="59">
        <f>$BY751-$BY752</f>
        <v/>
      </c>
      <c r="FK751" s="59">
        <f>$BZ751-$BZ752</f>
        <v/>
      </c>
      <c r="FL751" s="59">
        <f>$CA751-$CA752</f>
        <v/>
      </c>
      <c r="FM751" s="59">
        <f>$CB751-$CB752</f>
        <v/>
      </c>
      <c r="FN751" s="59">
        <f>$CC751-$CC752</f>
        <v/>
      </c>
      <c r="FO751" s="59">
        <f>$CD751-$CD752</f>
        <v/>
      </c>
      <c r="FP751" s="59">
        <f>$CE751-$CE752</f>
        <v/>
      </c>
      <c r="FQ751" s="59">
        <f>$CF751-$CF752</f>
        <v/>
      </c>
      <c r="FR751" s="59">
        <f>$CG751-$CG752</f>
        <v/>
      </c>
      <c r="FS751" s="59">
        <f>$CH751-$CH752</f>
        <v/>
      </c>
      <c r="FT751" s="59">
        <f>$CI751-$CI752</f>
        <v/>
      </c>
      <c r="FU751" s="59">
        <f>$CJ751-$CJ752</f>
        <v/>
      </c>
      <c r="FV751" s="59">
        <f>$CK751-$CK752</f>
        <v/>
      </c>
      <c r="FW751" s="59">
        <f>$CL751-$CL752</f>
        <v/>
      </c>
      <c r="FX751" s="59">
        <f>$CM751-$CM752</f>
        <v/>
      </c>
      <c r="FY751" s="59">
        <f>$CN751-$CN752</f>
        <v/>
      </c>
      <c r="FZ751" s="59">
        <f>$CO751-$CO752</f>
        <v/>
      </c>
      <c r="GA751" s="59">
        <f>$CP751-$CP752</f>
        <v/>
      </c>
      <c r="GB751" s="59">
        <f>$CQ751-$CQ752</f>
        <v/>
      </c>
      <c r="GC751" s="59">
        <f>$CR751-$CR752</f>
        <v/>
      </c>
      <c r="GD751" s="59">
        <f>$CS751-$CS752</f>
        <v/>
      </c>
      <c r="GE751" s="59">
        <f>$CT751-$CT752</f>
        <v/>
      </c>
    </row>
    <row r="752">
      <c r="CU752" s="58">
        <f>IFERROR($B752/$B753-1,"")</f>
        <v/>
      </c>
      <c r="CV752" s="59">
        <f>($F752-$F753)*100</f>
        <v/>
      </c>
      <c r="CW752" s="59">
        <f>($E752-$E753)*100</f>
        <v/>
      </c>
      <c r="CX752" s="58">
        <f>IFERROR($K752/$K753-1,"")</f>
        <v/>
      </c>
      <c r="CY752" s="59">
        <f>($AH752-$AH753)*100</f>
        <v/>
      </c>
      <c r="CZ752" s="59">
        <f>($AI752-$AI753)*100</f>
        <v/>
      </c>
      <c r="DA752" s="59">
        <f>($AJ752-$AJ753)*100</f>
        <v/>
      </c>
      <c r="DB752" s="59">
        <f>($AK752-$AK753)*100</f>
        <v/>
      </c>
      <c r="DC752" s="59">
        <f>($AL752-$AL753)*100</f>
        <v/>
      </c>
      <c r="DD752" s="59">
        <f>($AM752-$AM753)*100</f>
        <v/>
      </c>
      <c r="DE752" s="59">
        <f>($AN752-$AN753)*100</f>
        <v/>
      </c>
      <c r="DF752" s="59">
        <f>($AO752-$AO753)*100</f>
        <v/>
      </c>
      <c r="DG752" s="59">
        <f>($AP752-$AP753)*100</f>
        <v/>
      </c>
      <c r="DH752" s="59">
        <f>($AQ752-$AQ753)*100</f>
        <v/>
      </c>
      <c r="DI752" s="59">
        <f>($AR752-$AR753)*100</f>
        <v/>
      </c>
      <c r="DJ752" s="59">
        <f>($AS752-$AS753)*100</f>
        <v/>
      </c>
      <c r="DK752" s="59">
        <f>($AT752-$AT753)*100</f>
        <v/>
      </c>
      <c r="DL752" s="59">
        <f>($AU752-$AU753)*100</f>
        <v/>
      </c>
      <c r="DM752" s="59">
        <f>($AV752-$AV753)*100</f>
        <v/>
      </c>
      <c r="DN752" s="59">
        <f>($AW752-$AW753)*100</f>
        <v/>
      </c>
      <c r="DO752" s="59">
        <f>($AX752-$AX753)*100</f>
        <v/>
      </c>
      <c r="DP752" s="59">
        <f>($AY752-$AY753)*100</f>
        <v/>
      </c>
      <c r="DQ752" s="59">
        <f>($AZ752-$AZ753)*100</f>
        <v/>
      </c>
      <c r="DR752" s="59">
        <f>($BA752-$BA753)*100</f>
        <v/>
      </c>
      <c r="DS752" s="58">
        <f>IFERROR($N753/$N752-1,"")</f>
        <v/>
      </c>
      <c r="DT752" s="58">
        <f>IFERROR($O753/$O752-1,"")</f>
        <v/>
      </c>
      <c r="DU752" s="58">
        <f>IFERROR($P753/$P752-1,"")</f>
        <v/>
      </c>
      <c r="DV752" s="58">
        <f>IFERROR($Q753/$Q752-1,"")</f>
        <v/>
      </c>
      <c r="DW752" s="58">
        <f>IFERROR($R753/$R752-1,"")</f>
        <v/>
      </c>
      <c r="DX752" s="58">
        <f>IFERROR($S753/$S752-1,"")</f>
        <v/>
      </c>
      <c r="DY752" s="58">
        <f>IFERROR($T753/$T752-1,"")</f>
        <v/>
      </c>
      <c r="DZ752" s="58">
        <f>IFERROR($U753/$U752-1,"")</f>
        <v/>
      </c>
      <c r="EA752" s="58">
        <f>IFERROR($V753/$V752-1,"")</f>
        <v/>
      </c>
      <c r="EB752" s="58">
        <f>IFERROR($W753/$W752-1,"")</f>
        <v/>
      </c>
      <c r="EC752" s="58">
        <f>IFERROR($X753/$X752-1,"")</f>
        <v/>
      </c>
      <c r="ED752" s="58">
        <f>IFERROR($Y753/$Y752-1,"")</f>
        <v/>
      </c>
      <c r="EE752" s="58">
        <f>IFERROR($Z753/$Z752-1,"")</f>
        <v/>
      </c>
      <c r="EF752" s="58">
        <f>IFERROR($AA753/$AA752-1,"")</f>
        <v/>
      </c>
      <c r="EG752" s="58">
        <f>IFERROR($AB753/$AB752-1,"")</f>
        <v/>
      </c>
      <c r="EH752" s="58">
        <f>IFERROR($AC753/$AC752-1,"")</f>
        <v/>
      </c>
      <c r="EI752" s="58">
        <f>IFERROR($AD753/$AD752-1,"")</f>
        <v/>
      </c>
      <c r="EJ752" s="58">
        <f>IFERROR($AE753/$AE752-1,"")</f>
        <v/>
      </c>
      <c r="EK752" s="58">
        <f>IFERROR($AF753/$AF752-1,"")</f>
        <v/>
      </c>
      <c r="EL752" s="58">
        <f>IFERROR($AG753/$AG752-1,"")</f>
        <v/>
      </c>
      <c r="EM752" s="58">
        <f>IFERROR($BB752/$BB753-1,"")</f>
        <v/>
      </c>
      <c r="EN752" s="58">
        <f>IFERROR($BC752/$BC753-1,"")</f>
        <v/>
      </c>
      <c r="EO752" s="58">
        <f>IFERROR($BD752/$BD753-1,"")</f>
        <v/>
      </c>
      <c r="EP752" s="58">
        <f>IFERROR($BE752/$BE753-1,"")</f>
        <v/>
      </c>
      <c r="EQ752" s="58">
        <f>IFERROR($BF752/$BF753-1,"")</f>
        <v/>
      </c>
      <c r="ER752" s="58">
        <f>IFERROR($BG752/$BG753-1,"")</f>
        <v/>
      </c>
      <c r="ES752" s="58">
        <f>IFERROR($BH752/$BH753-1,"")</f>
        <v/>
      </c>
      <c r="ET752" s="58">
        <f>IFERROR($BI752/$BI753-1,"")</f>
        <v/>
      </c>
      <c r="EU752" s="58">
        <f>IFERROR($BJ752/$BJ753-1,"")</f>
        <v/>
      </c>
      <c r="EV752" s="58">
        <f>IFERROR($BK752/$BK753-1,"")</f>
        <v/>
      </c>
      <c r="EW752" s="58">
        <f>IFERROR($BL752/$BL753-1,"")</f>
        <v/>
      </c>
      <c r="EX752" s="58">
        <f>IFERROR($BM752/$BM753-1,"")</f>
        <v/>
      </c>
      <c r="EY752" s="58">
        <f>IFERROR($BN752/$BN753-1,"")</f>
        <v/>
      </c>
      <c r="EZ752" s="58">
        <f>IFERROR($BO752/$BO753-1,"")</f>
        <v/>
      </c>
      <c r="FA752" s="58">
        <f>IFERROR($BP752/$BP753-1,"")</f>
        <v/>
      </c>
      <c r="FB752" s="58">
        <f>IFERROR($BQ752/$BQ753-1,"")</f>
        <v/>
      </c>
      <c r="FC752" s="58">
        <f>IFERROR($BR752/$BR753-1,"")</f>
        <v/>
      </c>
      <c r="FD752" s="58">
        <f>IFERROR($BS752/$BS753-1,"")</f>
        <v/>
      </c>
      <c r="FE752" s="58">
        <f>IFERROR($BT752/$BT753-1,"")</f>
        <v/>
      </c>
      <c r="FF752" s="58">
        <f>IFERROR($BU752/$BU753-1,"")</f>
        <v/>
      </c>
      <c r="FG752" s="58">
        <f>IFERROR($BV752/$BV753-1,"")</f>
        <v/>
      </c>
      <c r="FH752" s="58">
        <f>IFERROR($BW752/$BW753-1,"")</f>
        <v/>
      </c>
      <c r="FI752" s="58">
        <f>IFERROR($BX752/$BX753-1,"")</f>
        <v/>
      </c>
      <c r="FJ752" s="59">
        <f>$BY752-$BY753</f>
        <v/>
      </c>
      <c r="FK752" s="59">
        <f>$BZ752-$BZ753</f>
        <v/>
      </c>
      <c r="FL752" s="59">
        <f>$CA752-$CA753</f>
        <v/>
      </c>
      <c r="FM752" s="59">
        <f>$CB752-$CB753</f>
        <v/>
      </c>
      <c r="FN752" s="59">
        <f>$CC752-$CC753</f>
        <v/>
      </c>
      <c r="FO752" s="59">
        <f>$CD752-$CD753</f>
        <v/>
      </c>
      <c r="FP752" s="59">
        <f>$CE752-$CE753</f>
        <v/>
      </c>
      <c r="FQ752" s="59">
        <f>$CF752-$CF753</f>
        <v/>
      </c>
      <c r="FR752" s="59">
        <f>$CG752-$CG753</f>
        <v/>
      </c>
      <c r="FS752" s="59">
        <f>$CH752-$CH753</f>
        <v/>
      </c>
      <c r="FT752" s="59">
        <f>$CI752-$CI753</f>
        <v/>
      </c>
      <c r="FU752" s="59">
        <f>$CJ752-$CJ753</f>
        <v/>
      </c>
      <c r="FV752" s="59">
        <f>$CK752-$CK753</f>
        <v/>
      </c>
      <c r="FW752" s="59">
        <f>$CL752-$CL753</f>
        <v/>
      </c>
      <c r="FX752" s="59">
        <f>$CM752-$CM753</f>
        <v/>
      </c>
      <c r="FY752" s="59">
        <f>$CN752-$CN753</f>
        <v/>
      </c>
      <c r="FZ752" s="59">
        <f>$CO752-$CO753</f>
        <v/>
      </c>
      <c r="GA752" s="59">
        <f>$CP752-$CP753</f>
        <v/>
      </c>
      <c r="GB752" s="59">
        <f>$CQ752-$CQ753</f>
        <v/>
      </c>
      <c r="GC752" s="59">
        <f>$CR752-$CR753</f>
        <v/>
      </c>
      <c r="GD752" s="59">
        <f>$CS752-$CS753</f>
        <v/>
      </c>
      <c r="GE752" s="59">
        <f>$CT752-$CT753</f>
        <v/>
      </c>
    </row>
    <row r="753">
      <c r="CU753" s="58">
        <f>IFERROR($B753/$B754-1,"")</f>
        <v/>
      </c>
      <c r="CV753" s="59">
        <f>($F753-$F754)*100</f>
        <v/>
      </c>
      <c r="CW753" s="59">
        <f>($E753-$E754)*100</f>
        <v/>
      </c>
      <c r="CX753" s="58">
        <f>IFERROR($K753/$K754-1,"")</f>
        <v/>
      </c>
      <c r="CY753" s="59">
        <f>($AH753-$AH754)*100</f>
        <v/>
      </c>
      <c r="CZ753" s="59">
        <f>($AI753-$AI754)*100</f>
        <v/>
      </c>
      <c r="DA753" s="59">
        <f>($AJ753-$AJ754)*100</f>
        <v/>
      </c>
      <c r="DB753" s="59">
        <f>($AK753-$AK754)*100</f>
        <v/>
      </c>
      <c r="DC753" s="59">
        <f>($AL753-$AL754)*100</f>
        <v/>
      </c>
      <c r="DD753" s="59">
        <f>($AM753-$AM754)*100</f>
        <v/>
      </c>
      <c r="DE753" s="59">
        <f>($AN753-$AN754)*100</f>
        <v/>
      </c>
      <c r="DF753" s="59">
        <f>($AO753-$AO754)*100</f>
        <v/>
      </c>
      <c r="DG753" s="59">
        <f>($AP753-$AP754)*100</f>
        <v/>
      </c>
      <c r="DH753" s="59">
        <f>($AQ753-$AQ754)*100</f>
        <v/>
      </c>
      <c r="DI753" s="59">
        <f>($AR753-$AR754)*100</f>
        <v/>
      </c>
      <c r="DJ753" s="59">
        <f>($AS753-$AS754)*100</f>
        <v/>
      </c>
      <c r="DK753" s="59">
        <f>($AT753-$AT754)*100</f>
        <v/>
      </c>
      <c r="DL753" s="59">
        <f>($AU753-$AU754)*100</f>
        <v/>
      </c>
      <c r="DM753" s="59">
        <f>($AV753-$AV754)*100</f>
        <v/>
      </c>
      <c r="DN753" s="59">
        <f>($AW753-$AW754)*100</f>
        <v/>
      </c>
      <c r="DO753" s="59">
        <f>($AX753-$AX754)*100</f>
        <v/>
      </c>
      <c r="DP753" s="59">
        <f>($AY753-$AY754)*100</f>
        <v/>
      </c>
      <c r="DQ753" s="59">
        <f>($AZ753-$AZ754)*100</f>
        <v/>
      </c>
      <c r="DR753" s="59">
        <f>($BA753-$BA754)*100</f>
        <v/>
      </c>
      <c r="DS753" s="58">
        <f>IFERROR($N754/$N753-1,"")</f>
        <v/>
      </c>
      <c r="DT753" s="58">
        <f>IFERROR($O754/$O753-1,"")</f>
        <v/>
      </c>
      <c r="DU753" s="58">
        <f>IFERROR($P754/$P753-1,"")</f>
        <v/>
      </c>
      <c r="DV753" s="58">
        <f>IFERROR($Q754/$Q753-1,"")</f>
        <v/>
      </c>
      <c r="DW753" s="58">
        <f>IFERROR($R754/$R753-1,"")</f>
        <v/>
      </c>
      <c r="DX753" s="58">
        <f>IFERROR($S754/$S753-1,"")</f>
        <v/>
      </c>
      <c r="DY753" s="58">
        <f>IFERROR($T754/$T753-1,"")</f>
        <v/>
      </c>
      <c r="DZ753" s="58">
        <f>IFERROR($U754/$U753-1,"")</f>
        <v/>
      </c>
      <c r="EA753" s="58">
        <f>IFERROR($V754/$V753-1,"")</f>
        <v/>
      </c>
      <c r="EB753" s="58">
        <f>IFERROR($W754/$W753-1,"")</f>
        <v/>
      </c>
      <c r="EC753" s="58">
        <f>IFERROR($X754/$X753-1,"")</f>
        <v/>
      </c>
      <c r="ED753" s="58">
        <f>IFERROR($Y754/$Y753-1,"")</f>
        <v/>
      </c>
      <c r="EE753" s="58">
        <f>IFERROR($Z754/$Z753-1,"")</f>
        <v/>
      </c>
      <c r="EF753" s="58">
        <f>IFERROR($AA754/$AA753-1,"")</f>
        <v/>
      </c>
      <c r="EG753" s="58">
        <f>IFERROR($AB754/$AB753-1,"")</f>
        <v/>
      </c>
      <c r="EH753" s="58">
        <f>IFERROR($AC754/$AC753-1,"")</f>
        <v/>
      </c>
      <c r="EI753" s="58">
        <f>IFERROR($AD754/$AD753-1,"")</f>
        <v/>
      </c>
      <c r="EJ753" s="58">
        <f>IFERROR($AE754/$AE753-1,"")</f>
        <v/>
      </c>
      <c r="EK753" s="58">
        <f>IFERROR($AF754/$AF753-1,"")</f>
        <v/>
      </c>
      <c r="EL753" s="58">
        <f>IFERROR($AG754/$AG753-1,"")</f>
        <v/>
      </c>
      <c r="EM753" s="58">
        <f>IFERROR($BB753/$BB754-1,"")</f>
        <v/>
      </c>
      <c r="EN753" s="58">
        <f>IFERROR($BC753/$BC754-1,"")</f>
        <v/>
      </c>
      <c r="EO753" s="58">
        <f>IFERROR($BD753/$BD754-1,"")</f>
        <v/>
      </c>
      <c r="EP753" s="58">
        <f>IFERROR($BE753/$BE754-1,"")</f>
        <v/>
      </c>
      <c r="EQ753" s="58">
        <f>IFERROR($BF753/$BF754-1,"")</f>
        <v/>
      </c>
      <c r="ER753" s="58">
        <f>IFERROR($BG753/$BG754-1,"")</f>
        <v/>
      </c>
      <c r="ES753" s="58">
        <f>IFERROR($BH753/$BH754-1,"")</f>
        <v/>
      </c>
      <c r="ET753" s="58">
        <f>IFERROR($BI753/$BI754-1,"")</f>
        <v/>
      </c>
      <c r="EU753" s="58">
        <f>IFERROR($BJ753/$BJ754-1,"")</f>
        <v/>
      </c>
      <c r="EV753" s="58">
        <f>IFERROR($BK753/$BK754-1,"")</f>
        <v/>
      </c>
      <c r="EW753" s="58">
        <f>IFERROR($BL753/$BL754-1,"")</f>
        <v/>
      </c>
      <c r="EX753" s="58">
        <f>IFERROR($BM753/$BM754-1,"")</f>
        <v/>
      </c>
      <c r="EY753" s="58">
        <f>IFERROR($BN753/$BN754-1,"")</f>
        <v/>
      </c>
      <c r="EZ753" s="58">
        <f>IFERROR($BO753/$BO754-1,"")</f>
        <v/>
      </c>
      <c r="FA753" s="58">
        <f>IFERROR($BP753/$BP754-1,"")</f>
        <v/>
      </c>
      <c r="FB753" s="58">
        <f>IFERROR($BQ753/$BQ754-1,"")</f>
        <v/>
      </c>
      <c r="FC753" s="58">
        <f>IFERROR($BR753/$BR754-1,"")</f>
        <v/>
      </c>
      <c r="FD753" s="58">
        <f>IFERROR($BS753/$BS754-1,"")</f>
        <v/>
      </c>
      <c r="FE753" s="58">
        <f>IFERROR($BT753/$BT754-1,"")</f>
        <v/>
      </c>
      <c r="FF753" s="58">
        <f>IFERROR($BU753/$BU754-1,"")</f>
        <v/>
      </c>
      <c r="FG753" s="58">
        <f>IFERROR($BV753/$BV754-1,"")</f>
        <v/>
      </c>
      <c r="FH753" s="58">
        <f>IFERROR($BW753/$BW754-1,"")</f>
        <v/>
      </c>
      <c r="FI753" s="58">
        <f>IFERROR($BX753/$BX754-1,"")</f>
        <v/>
      </c>
      <c r="FJ753" s="59">
        <f>$BY753-$BY754</f>
        <v/>
      </c>
      <c r="FK753" s="59">
        <f>$BZ753-$BZ754</f>
        <v/>
      </c>
      <c r="FL753" s="59">
        <f>$CA753-$CA754</f>
        <v/>
      </c>
      <c r="FM753" s="59">
        <f>$CB753-$CB754</f>
        <v/>
      </c>
      <c r="FN753" s="59">
        <f>$CC753-$CC754</f>
        <v/>
      </c>
      <c r="FO753" s="59">
        <f>$CD753-$CD754</f>
        <v/>
      </c>
      <c r="FP753" s="59">
        <f>$CE753-$CE754</f>
        <v/>
      </c>
      <c r="FQ753" s="59">
        <f>$CF753-$CF754</f>
        <v/>
      </c>
      <c r="FR753" s="59">
        <f>$CG753-$CG754</f>
        <v/>
      </c>
      <c r="FS753" s="59">
        <f>$CH753-$CH754</f>
        <v/>
      </c>
      <c r="FT753" s="59">
        <f>$CI753-$CI754</f>
        <v/>
      </c>
      <c r="FU753" s="59">
        <f>$CJ753-$CJ754</f>
        <v/>
      </c>
      <c r="FV753" s="59">
        <f>$CK753-$CK754</f>
        <v/>
      </c>
      <c r="FW753" s="59">
        <f>$CL753-$CL754</f>
        <v/>
      </c>
      <c r="FX753" s="59">
        <f>$CM753-$CM754</f>
        <v/>
      </c>
      <c r="FY753" s="59">
        <f>$CN753-$CN754</f>
        <v/>
      </c>
      <c r="FZ753" s="59">
        <f>$CO753-$CO754</f>
        <v/>
      </c>
      <c r="GA753" s="59">
        <f>$CP753-$CP754</f>
        <v/>
      </c>
      <c r="GB753" s="59">
        <f>$CQ753-$CQ754</f>
        <v/>
      </c>
      <c r="GC753" s="59">
        <f>$CR753-$CR754</f>
        <v/>
      </c>
      <c r="GD753" s="59">
        <f>$CS753-$CS754</f>
        <v/>
      </c>
      <c r="GE753" s="59">
        <f>$CT753-$CT754</f>
        <v/>
      </c>
    </row>
    <row r="754">
      <c r="CU754" s="58">
        <f>IFERROR($B754/$B755-1,"")</f>
        <v/>
      </c>
      <c r="CV754" s="59">
        <f>($F754-$F755)*100</f>
        <v/>
      </c>
      <c r="CW754" s="59">
        <f>($E754-$E755)*100</f>
        <v/>
      </c>
      <c r="CX754" s="58">
        <f>IFERROR($K754/$K755-1,"")</f>
        <v/>
      </c>
      <c r="CY754" s="59">
        <f>($AH754-$AH755)*100</f>
        <v/>
      </c>
      <c r="CZ754" s="59">
        <f>($AI754-$AI755)*100</f>
        <v/>
      </c>
      <c r="DA754" s="59">
        <f>($AJ754-$AJ755)*100</f>
        <v/>
      </c>
      <c r="DB754" s="59">
        <f>($AK754-$AK755)*100</f>
        <v/>
      </c>
      <c r="DC754" s="59">
        <f>($AL754-$AL755)*100</f>
        <v/>
      </c>
      <c r="DD754" s="59">
        <f>($AM754-$AM755)*100</f>
        <v/>
      </c>
      <c r="DE754" s="59">
        <f>($AN754-$AN755)*100</f>
        <v/>
      </c>
      <c r="DF754" s="59">
        <f>($AO754-$AO755)*100</f>
        <v/>
      </c>
      <c r="DG754" s="59">
        <f>($AP754-$AP755)*100</f>
        <v/>
      </c>
      <c r="DH754" s="59">
        <f>($AQ754-$AQ755)*100</f>
        <v/>
      </c>
      <c r="DI754" s="59">
        <f>($AR754-$AR755)*100</f>
        <v/>
      </c>
      <c r="DJ754" s="59">
        <f>($AS754-$AS755)*100</f>
        <v/>
      </c>
      <c r="DK754" s="59">
        <f>($AT754-$AT755)*100</f>
        <v/>
      </c>
      <c r="DL754" s="59">
        <f>($AU754-$AU755)*100</f>
        <v/>
      </c>
      <c r="DM754" s="59">
        <f>($AV754-$AV755)*100</f>
        <v/>
      </c>
      <c r="DN754" s="59">
        <f>($AW754-$AW755)*100</f>
        <v/>
      </c>
      <c r="DO754" s="59">
        <f>($AX754-$AX755)*100</f>
        <v/>
      </c>
      <c r="DP754" s="59">
        <f>($AY754-$AY755)*100</f>
        <v/>
      </c>
      <c r="DQ754" s="59">
        <f>($AZ754-$AZ755)*100</f>
        <v/>
      </c>
      <c r="DR754" s="59">
        <f>($BA754-$BA755)*100</f>
        <v/>
      </c>
      <c r="DS754" s="58">
        <f>IFERROR($N755/$N754-1,"")</f>
        <v/>
      </c>
      <c r="DT754" s="58">
        <f>IFERROR($O755/$O754-1,"")</f>
        <v/>
      </c>
      <c r="DU754" s="58">
        <f>IFERROR($P755/$P754-1,"")</f>
        <v/>
      </c>
      <c r="DV754" s="58">
        <f>IFERROR($Q755/$Q754-1,"")</f>
        <v/>
      </c>
      <c r="DW754" s="58">
        <f>IFERROR($R755/$R754-1,"")</f>
        <v/>
      </c>
      <c r="DX754" s="58">
        <f>IFERROR($S755/$S754-1,"")</f>
        <v/>
      </c>
      <c r="DY754" s="58">
        <f>IFERROR($T755/$T754-1,"")</f>
        <v/>
      </c>
      <c r="DZ754" s="58">
        <f>IFERROR($U755/$U754-1,"")</f>
        <v/>
      </c>
      <c r="EA754" s="58">
        <f>IFERROR($V755/$V754-1,"")</f>
        <v/>
      </c>
      <c r="EB754" s="58">
        <f>IFERROR($W755/$W754-1,"")</f>
        <v/>
      </c>
      <c r="EC754" s="58">
        <f>IFERROR($X755/$X754-1,"")</f>
        <v/>
      </c>
      <c r="ED754" s="58">
        <f>IFERROR($Y755/$Y754-1,"")</f>
        <v/>
      </c>
      <c r="EE754" s="58">
        <f>IFERROR($Z755/$Z754-1,"")</f>
        <v/>
      </c>
      <c r="EF754" s="58">
        <f>IFERROR($AA755/$AA754-1,"")</f>
        <v/>
      </c>
      <c r="EG754" s="58">
        <f>IFERROR($AB755/$AB754-1,"")</f>
        <v/>
      </c>
      <c r="EH754" s="58">
        <f>IFERROR($AC755/$AC754-1,"")</f>
        <v/>
      </c>
      <c r="EI754" s="58">
        <f>IFERROR($AD755/$AD754-1,"")</f>
        <v/>
      </c>
      <c r="EJ754" s="58">
        <f>IFERROR($AE755/$AE754-1,"")</f>
        <v/>
      </c>
      <c r="EK754" s="58">
        <f>IFERROR($AF755/$AF754-1,"")</f>
        <v/>
      </c>
      <c r="EL754" s="58">
        <f>IFERROR($AG755/$AG754-1,"")</f>
        <v/>
      </c>
      <c r="EM754" s="58">
        <f>IFERROR($BB754/$BB755-1,"")</f>
        <v/>
      </c>
      <c r="EN754" s="58">
        <f>IFERROR($BC754/$BC755-1,"")</f>
        <v/>
      </c>
      <c r="EO754" s="58">
        <f>IFERROR($BD754/$BD755-1,"")</f>
        <v/>
      </c>
      <c r="EP754" s="58">
        <f>IFERROR($BE754/$BE755-1,"")</f>
        <v/>
      </c>
      <c r="EQ754" s="58">
        <f>IFERROR($BF754/$BF755-1,"")</f>
        <v/>
      </c>
      <c r="ER754" s="58">
        <f>IFERROR($BG754/$BG755-1,"")</f>
        <v/>
      </c>
      <c r="ES754" s="58">
        <f>IFERROR($BH754/$BH755-1,"")</f>
        <v/>
      </c>
      <c r="ET754" s="58">
        <f>IFERROR($BI754/$BI755-1,"")</f>
        <v/>
      </c>
      <c r="EU754" s="58">
        <f>IFERROR($BJ754/$BJ755-1,"")</f>
        <v/>
      </c>
      <c r="EV754" s="58">
        <f>IFERROR($BK754/$BK755-1,"")</f>
        <v/>
      </c>
      <c r="EW754" s="58">
        <f>IFERROR($BL754/$BL755-1,"")</f>
        <v/>
      </c>
      <c r="EX754" s="58">
        <f>IFERROR($BM754/$BM755-1,"")</f>
        <v/>
      </c>
      <c r="EY754" s="58">
        <f>IFERROR($BN754/$BN755-1,"")</f>
        <v/>
      </c>
      <c r="EZ754" s="58">
        <f>IFERROR($BO754/$BO755-1,"")</f>
        <v/>
      </c>
      <c r="FA754" s="58">
        <f>IFERROR($BP754/$BP755-1,"")</f>
        <v/>
      </c>
      <c r="FB754" s="58">
        <f>IFERROR($BQ754/$BQ755-1,"")</f>
        <v/>
      </c>
      <c r="FC754" s="58">
        <f>IFERROR($BR754/$BR755-1,"")</f>
        <v/>
      </c>
      <c r="FD754" s="58">
        <f>IFERROR($BS754/$BS755-1,"")</f>
        <v/>
      </c>
      <c r="FE754" s="58">
        <f>IFERROR($BT754/$BT755-1,"")</f>
        <v/>
      </c>
      <c r="FF754" s="58">
        <f>IFERROR($BU754/$BU755-1,"")</f>
        <v/>
      </c>
      <c r="FG754" s="58">
        <f>IFERROR($BV754/$BV755-1,"")</f>
        <v/>
      </c>
      <c r="FH754" s="58">
        <f>IFERROR($BW754/$BW755-1,"")</f>
        <v/>
      </c>
      <c r="FI754" s="58">
        <f>IFERROR($BX754/$BX755-1,"")</f>
        <v/>
      </c>
      <c r="FJ754" s="59">
        <f>$BY754-$BY755</f>
        <v/>
      </c>
      <c r="FK754" s="59">
        <f>$BZ754-$BZ755</f>
        <v/>
      </c>
      <c r="FL754" s="59">
        <f>$CA754-$CA755</f>
        <v/>
      </c>
      <c r="FM754" s="59">
        <f>$CB754-$CB755</f>
        <v/>
      </c>
      <c r="FN754" s="59">
        <f>$CC754-$CC755</f>
        <v/>
      </c>
      <c r="FO754" s="59">
        <f>$CD754-$CD755</f>
        <v/>
      </c>
      <c r="FP754" s="59">
        <f>$CE754-$CE755</f>
        <v/>
      </c>
      <c r="FQ754" s="59">
        <f>$CF754-$CF755</f>
        <v/>
      </c>
      <c r="FR754" s="59">
        <f>$CG754-$CG755</f>
        <v/>
      </c>
      <c r="FS754" s="59">
        <f>$CH754-$CH755</f>
        <v/>
      </c>
      <c r="FT754" s="59">
        <f>$CI754-$CI755</f>
        <v/>
      </c>
      <c r="FU754" s="59">
        <f>$CJ754-$CJ755</f>
        <v/>
      </c>
      <c r="FV754" s="59">
        <f>$CK754-$CK755</f>
        <v/>
      </c>
      <c r="FW754" s="59">
        <f>$CL754-$CL755</f>
        <v/>
      </c>
      <c r="FX754" s="59">
        <f>$CM754-$CM755</f>
        <v/>
      </c>
      <c r="FY754" s="59">
        <f>$CN754-$CN755</f>
        <v/>
      </c>
      <c r="FZ754" s="59">
        <f>$CO754-$CO755</f>
        <v/>
      </c>
      <c r="GA754" s="59">
        <f>$CP754-$CP755</f>
        <v/>
      </c>
      <c r="GB754" s="59">
        <f>$CQ754-$CQ755</f>
        <v/>
      </c>
      <c r="GC754" s="59">
        <f>$CR754-$CR755</f>
        <v/>
      </c>
      <c r="GD754" s="59">
        <f>$CS754-$CS755</f>
        <v/>
      </c>
      <c r="GE754" s="59">
        <f>$CT754-$CT755</f>
        <v/>
      </c>
    </row>
    <row r="755">
      <c r="CU755" s="58">
        <f>IFERROR($B755/$B756-1,"")</f>
        <v/>
      </c>
      <c r="CV755" s="59">
        <f>($F755-$F756)*100</f>
        <v/>
      </c>
      <c r="CW755" s="59">
        <f>($E755-$E756)*100</f>
        <v/>
      </c>
      <c r="CX755" s="58">
        <f>IFERROR($K755/$K756-1,"")</f>
        <v/>
      </c>
      <c r="CY755" s="59">
        <f>($AH755-$AH756)*100</f>
        <v/>
      </c>
      <c r="CZ755" s="59">
        <f>($AI755-$AI756)*100</f>
        <v/>
      </c>
      <c r="DA755" s="59">
        <f>($AJ755-$AJ756)*100</f>
        <v/>
      </c>
      <c r="DB755" s="59">
        <f>($AK755-$AK756)*100</f>
        <v/>
      </c>
      <c r="DC755" s="59">
        <f>($AL755-$AL756)*100</f>
        <v/>
      </c>
      <c r="DD755" s="59">
        <f>($AM755-$AM756)*100</f>
        <v/>
      </c>
      <c r="DE755" s="59">
        <f>($AN755-$AN756)*100</f>
        <v/>
      </c>
      <c r="DF755" s="59">
        <f>($AO755-$AO756)*100</f>
        <v/>
      </c>
      <c r="DG755" s="59">
        <f>($AP755-$AP756)*100</f>
        <v/>
      </c>
      <c r="DH755" s="59">
        <f>($AQ755-$AQ756)*100</f>
        <v/>
      </c>
      <c r="DI755" s="59">
        <f>($AR755-$AR756)*100</f>
        <v/>
      </c>
      <c r="DJ755" s="59">
        <f>($AS755-$AS756)*100</f>
        <v/>
      </c>
      <c r="DK755" s="59">
        <f>($AT755-$AT756)*100</f>
        <v/>
      </c>
      <c r="DL755" s="59">
        <f>($AU755-$AU756)*100</f>
        <v/>
      </c>
      <c r="DM755" s="59">
        <f>($AV755-$AV756)*100</f>
        <v/>
      </c>
      <c r="DN755" s="59">
        <f>($AW755-$AW756)*100</f>
        <v/>
      </c>
      <c r="DO755" s="59">
        <f>($AX755-$AX756)*100</f>
        <v/>
      </c>
      <c r="DP755" s="59">
        <f>($AY755-$AY756)*100</f>
        <v/>
      </c>
      <c r="DQ755" s="59">
        <f>($AZ755-$AZ756)*100</f>
        <v/>
      </c>
      <c r="DR755" s="59">
        <f>($BA755-$BA756)*100</f>
        <v/>
      </c>
      <c r="DS755" s="58">
        <f>IFERROR($N756/$N755-1,"")</f>
        <v/>
      </c>
      <c r="DT755" s="58">
        <f>IFERROR($O756/$O755-1,"")</f>
        <v/>
      </c>
      <c r="DU755" s="58">
        <f>IFERROR($P756/$P755-1,"")</f>
        <v/>
      </c>
      <c r="DV755" s="58">
        <f>IFERROR($Q756/$Q755-1,"")</f>
        <v/>
      </c>
      <c r="DW755" s="58">
        <f>IFERROR($R756/$R755-1,"")</f>
        <v/>
      </c>
      <c r="DX755" s="58">
        <f>IFERROR($S756/$S755-1,"")</f>
        <v/>
      </c>
      <c r="DY755" s="58">
        <f>IFERROR($T756/$T755-1,"")</f>
        <v/>
      </c>
      <c r="DZ755" s="58">
        <f>IFERROR($U756/$U755-1,"")</f>
        <v/>
      </c>
      <c r="EA755" s="58">
        <f>IFERROR($V756/$V755-1,"")</f>
        <v/>
      </c>
      <c r="EB755" s="58">
        <f>IFERROR($W756/$W755-1,"")</f>
        <v/>
      </c>
      <c r="EC755" s="58">
        <f>IFERROR($X756/$X755-1,"")</f>
        <v/>
      </c>
      <c r="ED755" s="58">
        <f>IFERROR($Y756/$Y755-1,"")</f>
        <v/>
      </c>
      <c r="EE755" s="58">
        <f>IFERROR($Z756/$Z755-1,"")</f>
        <v/>
      </c>
      <c r="EF755" s="58">
        <f>IFERROR($AA756/$AA755-1,"")</f>
        <v/>
      </c>
      <c r="EG755" s="58">
        <f>IFERROR($AB756/$AB755-1,"")</f>
        <v/>
      </c>
      <c r="EH755" s="58">
        <f>IFERROR($AC756/$AC755-1,"")</f>
        <v/>
      </c>
      <c r="EI755" s="58">
        <f>IFERROR($AD756/$AD755-1,"")</f>
        <v/>
      </c>
      <c r="EJ755" s="58">
        <f>IFERROR($AE756/$AE755-1,"")</f>
        <v/>
      </c>
      <c r="EK755" s="58">
        <f>IFERROR($AF756/$AF755-1,"")</f>
        <v/>
      </c>
      <c r="EL755" s="58">
        <f>IFERROR($AG756/$AG755-1,"")</f>
        <v/>
      </c>
      <c r="EM755" s="58">
        <f>IFERROR($BB755/$BB756-1,"")</f>
        <v/>
      </c>
      <c r="EN755" s="58">
        <f>IFERROR($BC755/$BC756-1,"")</f>
        <v/>
      </c>
      <c r="EO755" s="58">
        <f>IFERROR($BD755/$BD756-1,"")</f>
        <v/>
      </c>
      <c r="EP755" s="58">
        <f>IFERROR($BE755/$BE756-1,"")</f>
        <v/>
      </c>
      <c r="EQ755" s="58">
        <f>IFERROR($BF755/$BF756-1,"")</f>
        <v/>
      </c>
      <c r="ER755" s="58">
        <f>IFERROR($BG755/$BG756-1,"")</f>
        <v/>
      </c>
      <c r="ES755" s="58">
        <f>IFERROR($BH755/$BH756-1,"")</f>
        <v/>
      </c>
      <c r="ET755" s="58">
        <f>IFERROR($BI755/$BI756-1,"")</f>
        <v/>
      </c>
      <c r="EU755" s="58">
        <f>IFERROR($BJ755/$BJ756-1,"")</f>
        <v/>
      </c>
      <c r="EV755" s="58">
        <f>IFERROR($BK755/$BK756-1,"")</f>
        <v/>
      </c>
      <c r="EW755" s="58">
        <f>IFERROR($BL755/$BL756-1,"")</f>
        <v/>
      </c>
      <c r="EX755" s="58">
        <f>IFERROR($BM755/$BM756-1,"")</f>
        <v/>
      </c>
      <c r="EY755" s="58">
        <f>IFERROR($BN755/$BN756-1,"")</f>
        <v/>
      </c>
      <c r="EZ755" s="58">
        <f>IFERROR($BO755/$BO756-1,"")</f>
        <v/>
      </c>
      <c r="FA755" s="58">
        <f>IFERROR($BP755/$BP756-1,"")</f>
        <v/>
      </c>
      <c r="FB755" s="58">
        <f>IFERROR($BQ755/$BQ756-1,"")</f>
        <v/>
      </c>
      <c r="FC755" s="58">
        <f>IFERROR($BR755/$BR756-1,"")</f>
        <v/>
      </c>
      <c r="FD755" s="58">
        <f>IFERROR($BS755/$BS756-1,"")</f>
        <v/>
      </c>
      <c r="FE755" s="58">
        <f>IFERROR($BT755/$BT756-1,"")</f>
        <v/>
      </c>
      <c r="FF755" s="58">
        <f>IFERROR($BU755/$BU756-1,"")</f>
        <v/>
      </c>
      <c r="FG755" s="58">
        <f>IFERROR($BV755/$BV756-1,"")</f>
        <v/>
      </c>
      <c r="FH755" s="58">
        <f>IFERROR($BW755/$BW756-1,"")</f>
        <v/>
      </c>
      <c r="FI755" s="58">
        <f>IFERROR($BX755/$BX756-1,"")</f>
        <v/>
      </c>
      <c r="FJ755" s="59">
        <f>$BY755-$BY756</f>
        <v/>
      </c>
      <c r="FK755" s="59">
        <f>$BZ755-$BZ756</f>
        <v/>
      </c>
      <c r="FL755" s="59">
        <f>$CA755-$CA756</f>
        <v/>
      </c>
      <c r="FM755" s="59">
        <f>$CB755-$CB756</f>
        <v/>
      </c>
      <c r="FN755" s="59">
        <f>$CC755-$CC756</f>
        <v/>
      </c>
      <c r="FO755" s="59">
        <f>$CD755-$CD756</f>
        <v/>
      </c>
      <c r="FP755" s="59">
        <f>$CE755-$CE756</f>
        <v/>
      </c>
      <c r="FQ755" s="59">
        <f>$CF755-$CF756</f>
        <v/>
      </c>
      <c r="FR755" s="59">
        <f>$CG755-$CG756</f>
        <v/>
      </c>
      <c r="FS755" s="59">
        <f>$CH755-$CH756</f>
        <v/>
      </c>
      <c r="FT755" s="59">
        <f>$CI755-$CI756</f>
        <v/>
      </c>
      <c r="FU755" s="59">
        <f>$CJ755-$CJ756</f>
        <v/>
      </c>
      <c r="FV755" s="59">
        <f>$CK755-$CK756</f>
        <v/>
      </c>
      <c r="FW755" s="59">
        <f>$CL755-$CL756</f>
        <v/>
      </c>
      <c r="FX755" s="59">
        <f>$CM755-$CM756</f>
        <v/>
      </c>
      <c r="FY755" s="59">
        <f>$CN755-$CN756</f>
        <v/>
      </c>
      <c r="FZ755" s="59">
        <f>$CO755-$CO756</f>
        <v/>
      </c>
      <c r="GA755" s="59">
        <f>$CP755-$CP756</f>
        <v/>
      </c>
      <c r="GB755" s="59">
        <f>$CQ755-$CQ756</f>
        <v/>
      </c>
      <c r="GC755" s="59">
        <f>$CR755-$CR756</f>
        <v/>
      </c>
      <c r="GD755" s="59">
        <f>$CS755-$CS756</f>
        <v/>
      </c>
      <c r="GE755" s="59">
        <f>$CT755-$CT756</f>
        <v/>
      </c>
    </row>
    <row r="756">
      <c r="CU756" s="58">
        <f>IFERROR($B756/$B757-1,"")</f>
        <v/>
      </c>
      <c r="CV756" s="59">
        <f>($F756-$F757)*100</f>
        <v/>
      </c>
      <c r="CW756" s="59">
        <f>($E756-$E757)*100</f>
        <v/>
      </c>
      <c r="CX756" s="58">
        <f>IFERROR($K756/$K757-1,"")</f>
        <v/>
      </c>
      <c r="CY756" s="59">
        <f>($AH756-$AH757)*100</f>
        <v/>
      </c>
      <c r="CZ756" s="59">
        <f>($AI756-$AI757)*100</f>
        <v/>
      </c>
      <c r="DA756" s="59">
        <f>($AJ756-$AJ757)*100</f>
        <v/>
      </c>
      <c r="DB756" s="59">
        <f>($AK756-$AK757)*100</f>
        <v/>
      </c>
      <c r="DC756" s="59">
        <f>($AL756-$AL757)*100</f>
        <v/>
      </c>
      <c r="DD756" s="59">
        <f>($AM756-$AM757)*100</f>
        <v/>
      </c>
      <c r="DE756" s="59">
        <f>($AN756-$AN757)*100</f>
        <v/>
      </c>
      <c r="DF756" s="59">
        <f>($AO756-$AO757)*100</f>
        <v/>
      </c>
      <c r="DG756" s="59">
        <f>($AP756-$AP757)*100</f>
        <v/>
      </c>
      <c r="DH756" s="59">
        <f>($AQ756-$AQ757)*100</f>
        <v/>
      </c>
      <c r="DI756" s="59">
        <f>($AR756-$AR757)*100</f>
        <v/>
      </c>
      <c r="DJ756" s="59">
        <f>($AS756-$AS757)*100</f>
        <v/>
      </c>
      <c r="DK756" s="59">
        <f>($AT756-$AT757)*100</f>
        <v/>
      </c>
      <c r="DL756" s="59">
        <f>($AU756-$AU757)*100</f>
        <v/>
      </c>
      <c r="DM756" s="59">
        <f>($AV756-$AV757)*100</f>
        <v/>
      </c>
      <c r="DN756" s="59">
        <f>($AW756-$AW757)*100</f>
        <v/>
      </c>
      <c r="DO756" s="59">
        <f>($AX756-$AX757)*100</f>
        <v/>
      </c>
      <c r="DP756" s="59">
        <f>($AY756-$AY757)*100</f>
        <v/>
      </c>
      <c r="DQ756" s="59">
        <f>($AZ756-$AZ757)*100</f>
        <v/>
      </c>
      <c r="DR756" s="59">
        <f>($BA756-$BA757)*100</f>
        <v/>
      </c>
      <c r="DS756" s="58">
        <f>IFERROR($N757/$N756-1,"")</f>
        <v/>
      </c>
      <c r="DT756" s="58">
        <f>IFERROR($O757/$O756-1,"")</f>
        <v/>
      </c>
      <c r="DU756" s="58">
        <f>IFERROR($P757/$P756-1,"")</f>
        <v/>
      </c>
      <c r="DV756" s="58">
        <f>IFERROR($Q757/$Q756-1,"")</f>
        <v/>
      </c>
      <c r="DW756" s="58">
        <f>IFERROR($R757/$R756-1,"")</f>
        <v/>
      </c>
      <c r="DX756" s="58">
        <f>IFERROR($S757/$S756-1,"")</f>
        <v/>
      </c>
      <c r="DY756" s="58">
        <f>IFERROR($T757/$T756-1,"")</f>
        <v/>
      </c>
      <c r="DZ756" s="58">
        <f>IFERROR($U757/$U756-1,"")</f>
        <v/>
      </c>
      <c r="EA756" s="58">
        <f>IFERROR($V757/$V756-1,"")</f>
        <v/>
      </c>
      <c r="EB756" s="58">
        <f>IFERROR($W757/$W756-1,"")</f>
        <v/>
      </c>
      <c r="EC756" s="58">
        <f>IFERROR($X757/$X756-1,"")</f>
        <v/>
      </c>
      <c r="ED756" s="58">
        <f>IFERROR($Y757/$Y756-1,"")</f>
        <v/>
      </c>
      <c r="EE756" s="58">
        <f>IFERROR($Z757/$Z756-1,"")</f>
        <v/>
      </c>
      <c r="EF756" s="58">
        <f>IFERROR($AA757/$AA756-1,"")</f>
        <v/>
      </c>
      <c r="EG756" s="58">
        <f>IFERROR($AB757/$AB756-1,"")</f>
        <v/>
      </c>
      <c r="EH756" s="58">
        <f>IFERROR($AC757/$AC756-1,"")</f>
        <v/>
      </c>
      <c r="EI756" s="58">
        <f>IFERROR($AD757/$AD756-1,"")</f>
        <v/>
      </c>
      <c r="EJ756" s="58">
        <f>IFERROR($AE757/$AE756-1,"")</f>
        <v/>
      </c>
      <c r="EK756" s="58">
        <f>IFERROR($AF757/$AF756-1,"")</f>
        <v/>
      </c>
      <c r="EL756" s="58">
        <f>IFERROR($AG757/$AG756-1,"")</f>
        <v/>
      </c>
      <c r="EM756" s="58">
        <f>IFERROR($BB756/$BB757-1,"")</f>
        <v/>
      </c>
      <c r="EN756" s="58">
        <f>IFERROR($BC756/$BC757-1,"")</f>
        <v/>
      </c>
      <c r="EO756" s="58">
        <f>IFERROR($BD756/$BD757-1,"")</f>
        <v/>
      </c>
      <c r="EP756" s="58">
        <f>IFERROR($BE756/$BE757-1,"")</f>
        <v/>
      </c>
      <c r="EQ756" s="58">
        <f>IFERROR($BF756/$BF757-1,"")</f>
        <v/>
      </c>
      <c r="ER756" s="58">
        <f>IFERROR($BG756/$BG757-1,"")</f>
        <v/>
      </c>
      <c r="ES756" s="58">
        <f>IFERROR($BH756/$BH757-1,"")</f>
        <v/>
      </c>
      <c r="ET756" s="58">
        <f>IFERROR($BI756/$BI757-1,"")</f>
        <v/>
      </c>
      <c r="EU756" s="58">
        <f>IFERROR($BJ756/$BJ757-1,"")</f>
        <v/>
      </c>
      <c r="EV756" s="58">
        <f>IFERROR($BK756/$BK757-1,"")</f>
        <v/>
      </c>
      <c r="EW756" s="58">
        <f>IFERROR($BL756/$BL757-1,"")</f>
        <v/>
      </c>
      <c r="EX756" s="58">
        <f>IFERROR($BM756/$BM757-1,"")</f>
        <v/>
      </c>
      <c r="EY756" s="58">
        <f>IFERROR($BN756/$BN757-1,"")</f>
        <v/>
      </c>
      <c r="EZ756" s="58">
        <f>IFERROR($BO756/$BO757-1,"")</f>
        <v/>
      </c>
      <c r="FA756" s="58">
        <f>IFERROR($BP756/$BP757-1,"")</f>
        <v/>
      </c>
      <c r="FB756" s="58">
        <f>IFERROR($BQ756/$BQ757-1,"")</f>
        <v/>
      </c>
      <c r="FC756" s="58">
        <f>IFERROR($BR756/$BR757-1,"")</f>
        <v/>
      </c>
      <c r="FD756" s="58">
        <f>IFERROR($BS756/$BS757-1,"")</f>
        <v/>
      </c>
      <c r="FE756" s="58">
        <f>IFERROR($BT756/$BT757-1,"")</f>
        <v/>
      </c>
      <c r="FF756" s="58">
        <f>IFERROR($BU756/$BU757-1,"")</f>
        <v/>
      </c>
      <c r="FG756" s="58">
        <f>IFERROR($BV756/$BV757-1,"")</f>
        <v/>
      </c>
      <c r="FH756" s="58">
        <f>IFERROR($BW756/$BW757-1,"")</f>
        <v/>
      </c>
      <c r="FI756" s="58">
        <f>IFERROR($BX756/$BX757-1,"")</f>
        <v/>
      </c>
      <c r="FJ756" s="59">
        <f>$BY756-$BY757</f>
        <v/>
      </c>
      <c r="FK756" s="59">
        <f>$BZ756-$BZ757</f>
        <v/>
      </c>
      <c r="FL756" s="59">
        <f>$CA756-$CA757</f>
        <v/>
      </c>
      <c r="FM756" s="59">
        <f>$CB756-$CB757</f>
        <v/>
      </c>
      <c r="FN756" s="59">
        <f>$CC756-$CC757</f>
        <v/>
      </c>
      <c r="FO756" s="59">
        <f>$CD756-$CD757</f>
        <v/>
      </c>
      <c r="FP756" s="59">
        <f>$CE756-$CE757</f>
        <v/>
      </c>
      <c r="FQ756" s="59">
        <f>$CF756-$CF757</f>
        <v/>
      </c>
      <c r="FR756" s="59">
        <f>$CG756-$CG757</f>
        <v/>
      </c>
      <c r="FS756" s="59">
        <f>$CH756-$CH757</f>
        <v/>
      </c>
      <c r="FT756" s="59">
        <f>$CI756-$CI757</f>
        <v/>
      </c>
      <c r="FU756" s="59">
        <f>$CJ756-$CJ757</f>
        <v/>
      </c>
      <c r="FV756" s="59">
        <f>$CK756-$CK757</f>
        <v/>
      </c>
      <c r="FW756" s="59">
        <f>$CL756-$CL757</f>
        <v/>
      </c>
      <c r="FX756" s="59">
        <f>$CM756-$CM757</f>
        <v/>
      </c>
      <c r="FY756" s="59">
        <f>$CN756-$CN757</f>
        <v/>
      </c>
      <c r="FZ756" s="59">
        <f>$CO756-$CO757</f>
        <v/>
      </c>
      <c r="GA756" s="59">
        <f>$CP756-$CP757</f>
        <v/>
      </c>
      <c r="GB756" s="59">
        <f>$CQ756-$CQ757</f>
        <v/>
      </c>
      <c r="GC756" s="59">
        <f>$CR756-$CR757</f>
        <v/>
      </c>
      <c r="GD756" s="59">
        <f>$CS756-$CS757</f>
        <v/>
      </c>
      <c r="GE756" s="59">
        <f>$CT756-$CT757</f>
        <v/>
      </c>
    </row>
    <row r="757">
      <c r="CU757" s="58">
        <f>IFERROR($B757/$B758-1,"")</f>
        <v/>
      </c>
      <c r="CV757" s="59">
        <f>($F757-$F758)*100</f>
        <v/>
      </c>
      <c r="CW757" s="59">
        <f>($E757-$E758)*100</f>
        <v/>
      </c>
      <c r="CX757" s="58">
        <f>IFERROR($K757/$K758-1,"")</f>
        <v/>
      </c>
      <c r="CY757" s="59">
        <f>($AH757-$AH758)*100</f>
        <v/>
      </c>
      <c r="CZ757" s="59">
        <f>($AI757-$AI758)*100</f>
        <v/>
      </c>
      <c r="DA757" s="59">
        <f>($AJ757-$AJ758)*100</f>
        <v/>
      </c>
      <c r="DB757" s="59">
        <f>($AK757-$AK758)*100</f>
        <v/>
      </c>
      <c r="DC757" s="59">
        <f>($AL757-$AL758)*100</f>
        <v/>
      </c>
      <c r="DD757" s="59">
        <f>($AM757-$AM758)*100</f>
        <v/>
      </c>
      <c r="DE757" s="59">
        <f>($AN757-$AN758)*100</f>
        <v/>
      </c>
      <c r="DF757" s="59">
        <f>($AO757-$AO758)*100</f>
        <v/>
      </c>
      <c r="DG757" s="59">
        <f>($AP757-$AP758)*100</f>
        <v/>
      </c>
      <c r="DH757" s="59">
        <f>($AQ757-$AQ758)*100</f>
        <v/>
      </c>
      <c r="DI757" s="59">
        <f>($AR757-$AR758)*100</f>
        <v/>
      </c>
      <c r="DJ757" s="59">
        <f>($AS757-$AS758)*100</f>
        <v/>
      </c>
      <c r="DK757" s="59">
        <f>($AT757-$AT758)*100</f>
        <v/>
      </c>
      <c r="DL757" s="59">
        <f>($AU757-$AU758)*100</f>
        <v/>
      </c>
      <c r="DM757" s="59">
        <f>($AV757-$AV758)*100</f>
        <v/>
      </c>
      <c r="DN757" s="59">
        <f>($AW757-$AW758)*100</f>
        <v/>
      </c>
      <c r="DO757" s="59">
        <f>($AX757-$AX758)*100</f>
        <v/>
      </c>
      <c r="DP757" s="59">
        <f>($AY757-$AY758)*100</f>
        <v/>
      </c>
      <c r="DQ757" s="59">
        <f>($AZ757-$AZ758)*100</f>
        <v/>
      </c>
      <c r="DR757" s="59">
        <f>($BA757-$BA758)*100</f>
        <v/>
      </c>
      <c r="DS757" s="58">
        <f>IFERROR($N758/$N757-1,"")</f>
        <v/>
      </c>
      <c r="DT757" s="58">
        <f>IFERROR($O758/$O757-1,"")</f>
        <v/>
      </c>
      <c r="DU757" s="58">
        <f>IFERROR($P758/$P757-1,"")</f>
        <v/>
      </c>
      <c r="DV757" s="58">
        <f>IFERROR($Q758/$Q757-1,"")</f>
        <v/>
      </c>
      <c r="DW757" s="58">
        <f>IFERROR($R758/$R757-1,"")</f>
        <v/>
      </c>
      <c r="DX757" s="58">
        <f>IFERROR($S758/$S757-1,"")</f>
        <v/>
      </c>
      <c r="DY757" s="58">
        <f>IFERROR($T758/$T757-1,"")</f>
        <v/>
      </c>
      <c r="DZ757" s="58">
        <f>IFERROR($U758/$U757-1,"")</f>
        <v/>
      </c>
      <c r="EA757" s="58">
        <f>IFERROR($V758/$V757-1,"")</f>
        <v/>
      </c>
      <c r="EB757" s="58">
        <f>IFERROR($W758/$W757-1,"")</f>
        <v/>
      </c>
      <c r="EC757" s="58">
        <f>IFERROR($X758/$X757-1,"")</f>
        <v/>
      </c>
      <c r="ED757" s="58">
        <f>IFERROR($Y758/$Y757-1,"")</f>
        <v/>
      </c>
      <c r="EE757" s="58">
        <f>IFERROR($Z758/$Z757-1,"")</f>
        <v/>
      </c>
      <c r="EF757" s="58">
        <f>IFERROR($AA758/$AA757-1,"")</f>
        <v/>
      </c>
      <c r="EG757" s="58">
        <f>IFERROR($AB758/$AB757-1,"")</f>
        <v/>
      </c>
      <c r="EH757" s="58">
        <f>IFERROR($AC758/$AC757-1,"")</f>
        <v/>
      </c>
      <c r="EI757" s="58">
        <f>IFERROR($AD758/$AD757-1,"")</f>
        <v/>
      </c>
      <c r="EJ757" s="58">
        <f>IFERROR($AE758/$AE757-1,"")</f>
        <v/>
      </c>
      <c r="EK757" s="58">
        <f>IFERROR($AF758/$AF757-1,"")</f>
        <v/>
      </c>
      <c r="EL757" s="58">
        <f>IFERROR($AG758/$AG757-1,"")</f>
        <v/>
      </c>
      <c r="EM757" s="58">
        <f>IFERROR($BB757/$BB758-1,"")</f>
        <v/>
      </c>
      <c r="EN757" s="58">
        <f>IFERROR($BC757/$BC758-1,"")</f>
        <v/>
      </c>
      <c r="EO757" s="58">
        <f>IFERROR($BD757/$BD758-1,"")</f>
        <v/>
      </c>
      <c r="EP757" s="58">
        <f>IFERROR($BE757/$BE758-1,"")</f>
        <v/>
      </c>
      <c r="EQ757" s="58">
        <f>IFERROR($BF757/$BF758-1,"")</f>
        <v/>
      </c>
      <c r="ER757" s="58">
        <f>IFERROR($BG757/$BG758-1,"")</f>
        <v/>
      </c>
      <c r="ES757" s="58">
        <f>IFERROR($BH757/$BH758-1,"")</f>
        <v/>
      </c>
      <c r="ET757" s="58">
        <f>IFERROR($BI757/$BI758-1,"")</f>
        <v/>
      </c>
      <c r="EU757" s="58">
        <f>IFERROR($BJ757/$BJ758-1,"")</f>
        <v/>
      </c>
      <c r="EV757" s="58">
        <f>IFERROR($BK757/$BK758-1,"")</f>
        <v/>
      </c>
      <c r="EW757" s="58">
        <f>IFERROR($BL757/$BL758-1,"")</f>
        <v/>
      </c>
      <c r="EX757" s="58">
        <f>IFERROR($BM757/$BM758-1,"")</f>
        <v/>
      </c>
      <c r="EY757" s="58">
        <f>IFERROR($BN757/$BN758-1,"")</f>
        <v/>
      </c>
      <c r="EZ757" s="58">
        <f>IFERROR($BO757/$BO758-1,"")</f>
        <v/>
      </c>
      <c r="FA757" s="58">
        <f>IFERROR($BP757/$BP758-1,"")</f>
        <v/>
      </c>
      <c r="FB757" s="58">
        <f>IFERROR($BQ757/$BQ758-1,"")</f>
        <v/>
      </c>
      <c r="FC757" s="58">
        <f>IFERROR($BR757/$BR758-1,"")</f>
        <v/>
      </c>
      <c r="FD757" s="58">
        <f>IFERROR($BS757/$BS758-1,"")</f>
        <v/>
      </c>
      <c r="FE757" s="58">
        <f>IFERROR($BT757/$BT758-1,"")</f>
        <v/>
      </c>
      <c r="FF757" s="58">
        <f>IFERROR($BU757/$BU758-1,"")</f>
        <v/>
      </c>
      <c r="FG757" s="58">
        <f>IFERROR($BV757/$BV758-1,"")</f>
        <v/>
      </c>
      <c r="FH757" s="58">
        <f>IFERROR($BW757/$BW758-1,"")</f>
        <v/>
      </c>
      <c r="FI757" s="58">
        <f>IFERROR($BX757/$BX758-1,"")</f>
        <v/>
      </c>
      <c r="FJ757" s="59">
        <f>$BY757-$BY758</f>
        <v/>
      </c>
      <c r="FK757" s="59">
        <f>$BZ757-$BZ758</f>
        <v/>
      </c>
      <c r="FL757" s="59">
        <f>$CA757-$CA758</f>
        <v/>
      </c>
      <c r="FM757" s="59">
        <f>$CB757-$CB758</f>
        <v/>
      </c>
      <c r="FN757" s="59">
        <f>$CC757-$CC758</f>
        <v/>
      </c>
      <c r="FO757" s="59">
        <f>$CD757-$CD758</f>
        <v/>
      </c>
      <c r="FP757" s="59">
        <f>$CE757-$CE758</f>
        <v/>
      </c>
      <c r="FQ757" s="59">
        <f>$CF757-$CF758</f>
        <v/>
      </c>
      <c r="FR757" s="59">
        <f>$CG757-$CG758</f>
        <v/>
      </c>
      <c r="FS757" s="59">
        <f>$CH757-$CH758</f>
        <v/>
      </c>
      <c r="FT757" s="59">
        <f>$CI757-$CI758</f>
        <v/>
      </c>
      <c r="FU757" s="59">
        <f>$CJ757-$CJ758</f>
        <v/>
      </c>
      <c r="FV757" s="59">
        <f>$CK757-$CK758</f>
        <v/>
      </c>
      <c r="FW757" s="59">
        <f>$CL757-$CL758</f>
        <v/>
      </c>
      <c r="FX757" s="59">
        <f>$CM757-$CM758</f>
        <v/>
      </c>
      <c r="FY757" s="59">
        <f>$CN757-$CN758</f>
        <v/>
      </c>
      <c r="FZ757" s="59">
        <f>$CO757-$CO758</f>
        <v/>
      </c>
      <c r="GA757" s="59">
        <f>$CP757-$CP758</f>
        <v/>
      </c>
      <c r="GB757" s="59">
        <f>$CQ757-$CQ758</f>
        <v/>
      </c>
      <c r="GC757" s="59">
        <f>$CR757-$CR758</f>
        <v/>
      </c>
      <c r="GD757" s="59">
        <f>$CS757-$CS758</f>
        <v/>
      </c>
      <c r="GE757" s="59">
        <f>$CT757-$CT758</f>
        <v/>
      </c>
    </row>
    <row r="758">
      <c r="CU758" s="58">
        <f>IFERROR($B758/$B759-1,"")</f>
        <v/>
      </c>
      <c r="CV758" s="59">
        <f>($F758-$F759)*100</f>
        <v/>
      </c>
      <c r="CW758" s="59">
        <f>($E758-$E759)*100</f>
        <v/>
      </c>
      <c r="CX758" s="58">
        <f>IFERROR($K758/$K759-1,"")</f>
        <v/>
      </c>
      <c r="CY758" s="59">
        <f>($AH758-$AH759)*100</f>
        <v/>
      </c>
      <c r="CZ758" s="59">
        <f>($AI758-$AI759)*100</f>
        <v/>
      </c>
      <c r="DA758" s="59">
        <f>($AJ758-$AJ759)*100</f>
        <v/>
      </c>
      <c r="DB758" s="59">
        <f>($AK758-$AK759)*100</f>
        <v/>
      </c>
      <c r="DC758" s="59">
        <f>($AL758-$AL759)*100</f>
        <v/>
      </c>
      <c r="DD758" s="59">
        <f>($AM758-$AM759)*100</f>
        <v/>
      </c>
      <c r="DE758" s="59">
        <f>($AN758-$AN759)*100</f>
        <v/>
      </c>
      <c r="DF758" s="59">
        <f>($AO758-$AO759)*100</f>
        <v/>
      </c>
      <c r="DG758" s="59">
        <f>($AP758-$AP759)*100</f>
        <v/>
      </c>
      <c r="DH758" s="59">
        <f>($AQ758-$AQ759)*100</f>
        <v/>
      </c>
      <c r="DI758" s="59">
        <f>($AR758-$AR759)*100</f>
        <v/>
      </c>
      <c r="DJ758" s="59">
        <f>($AS758-$AS759)*100</f>
        <v/>
      </c>
      <c r="DK758" s="59">
        <f>($AT758-$AT759)*100</f>
        <v/>
      </c>
      <c r="DL758" s="59">
        <f>($AU758-$AU759)*100</f>
        <v/>
      </c>
      <c r="DM758" s="59">
        <f>($AV758-$AV759)*100</f>
        <v/>
      </c>
      <c r="DN758" s="59">
        <f>($AW758-$AW759)*100</f>
        <v/>
      </c>
      <c r="DO758" s="59">
        <f>($AX758-$AX759)*100</f>
        <v/>
      </c>
      <c r="DP758" s="59">
        <f>($AY758-$AY759)*100</f>
        <v/>
      </c>
      <c r="DQ758" s="59">
        <f>($AZ758-$AZ759)*100</f>
        <v/>
      </c>
      <c r="DR758" s="59">
        <f>($BA758-$BA759)*100</f>
        <v/>
      </c>
      <c r="DS758" s="58">
        <f>IFERROR($N759/$N758-1,"")</f>
        <v/>
      </c>
      <c r="DT758" s="58">
        <f>IFERROR($O759/$O758-1,"")</f>
        <v/>
      </c>
      <c r="DU758" s="58">
        <f>IFERROR($P759/$P758-1,"")</f>
        <v/>
      </c>
      <c r="DV758" s="58">
        <f>IFERROR($Q759/$Q758-1,"")</f>
        <v/>
      </c>
      <c r="DW758" s="58">
        <f>IFERROR($R759/$R758-1,"")</f>
        <v/>
      </c>
      <c r="DX758" s="58">
        <f>IFERROR($S759/$S758-1,"")</f>
        <v/>
      </c>
      <c r="DY758" s="58">
        <f>IFERROR($T759/$T758-1,"")</f>
        <v/>
      </c>
      <c r="DZ758" s="58">
        <f>IFERROR($U759/$U758-1,"")</f>
        <v/>
      </c>
      <c r="EA758" s="58">
        <f>IFERROR($V759/$V758-1,"")</f>
        <v/>
      </c>
      <c r="EB758" s="58">
        <f>IFERROR($W759/$W758-1,"")</f>
        <v/>
      </c>
      <c r="EC758" s="58">
        <f>IFERROR($X759/$X758-1,"")</f>
        <v/>
      </c>
      <c r="ED758" s="58">
        <f>IFERROR($Y759/$Y758-1,"")</f>
        <v/>
      </c>
      <c r="EE758" s="58">
        <f>IFERROR($Z759/$Z758-1,"")</f>
        <v/>
      </c>
      <c r="EF758" s="58">
        <f>IFERROR($AA759/$AA758-1,"")</f>
        <v/>
      </c>
      <c r="EG758" s="58">
        <f>IFERROR($AB759/$AB758-1,"")</f>
        <v/>
      </c>
      <c r="EH758" s="58">
        <f>IFERROR($AC759/$AC758-1,"")</f>
        <v/>
      </c>
      <c r="EI758" s="58">
        <f>IFERROR($AD759/$AD758-1,"")</f>
        <v/>
      </c>
      <c r="EJ758" s="58">
        <f>IFERROR($AE759/$AE758-1,"")</f>
        <v/>
      </c>
      <c r="EK758" s="58">
        <f>IFERROR($AF759/$AF758-1,"")</f>
        <v/>
      </c>
      <c r="EL758" s="58">
        <f>IFERROR($AG759/$AG758-1,"")</f>
        <v/>
      </c>
      <c r="EM758" s="58">
        <f>IFERROR($BB758/$BB759-1,"")</f>
        <v/>
      </c>
      <c r="EN758" s="58">
        <f>IFERROR($BC758/$BC759-1,"")</f>
        <v/>
      </c>
      <c r="EO758" s="58">
        <f>IFERROR($BD758/$BD759-1,"")</f>
        <v/>
      </c>
      <c r="EP758" s="58">
        <f>IFERROR($BE758/$BE759-1,"")</f>
        <v/>
      </c>
      <c r="EQ758" s="58">
        <f>IFERROR($BF758/$BF759-1,"")</f>
        <v/>
      </c>
      <c r="ER758" s="58">
        <f>IFERROR($BG758/$BG759-1,"")</f>
        <v/>
      </c>
      <c r="ES758" s="58">
        <f>IFERROR($BH758/$BH759-1,"")</f>
        <v/>
      </c>
      <c r="ET758" s="58">
        <f>IFERROR($BI758/$BI759-1,"")</f>
        <v/>
      </c>
      <c r="EU758" s="58">
        <f>IFERROR($BJ758/$BJ759-1,"")</f>
        <v/>
      </c>
      <c r="EV758" s="58">
        <f>IFERROR($BK758/$BK759-1,"")</f>
        <v/>
      </c>
      <c r="EW758" s="58">
        <f>IFERROR($BL758/$BL759-1,"")</f>
        <v/>
      </c>
      <c r="EX758" s="58">
        <f>IFERROR($BM758/$BM759-1,"")</f>
        <v/>
      </c>
      <c r="EY758" s="58">
        <f>IFERROR($BN758/$BN759-1,"")</f>
        <v/>
      </c>
      <c r="EZ758" s="58">
        <f>IFERROR($BO758/$BO759-1,"")</f>
        <v/>
      </c>
      <c r="FA758" s="58">
        <f>IFERROR($BP758/$BP759-1,"")</f>
        <v/>
      </c>
      <c r="FB758" s="58">
        <f>IFERROR($BQ758/$BQ759-1,"")</f>
        <v/>
      </c>
      <c r="FC758" s="58">
        <f>IFERROR($BR758/$BR759-1,"")</f>
        <v/>
      </c>
      <c r="FD758" s="58">
        <f>IFERROR($BS758/$BS759-1,"")</f>
        <v/>
      </c>
      <c r="FE758" s="58">
        <f>IFERROR($BT758/$BT759-1,"")</f>
        <v/>
      </c>
      <c r="FF758" s="58">
        <f>IFERROR($BU758/$BU759-1,"")</f>
        <v/>
      </c>
      <c r="FG758" s="58">
        <f>IFERROR($BV758/$BV759-1,"")</f>
        <v/>
      </c>
      <c r="FH758" s="58">
        <f>IFERROR($BW758/$BW759-1,"")</f>
        <v/>
      </c>
      <c r="FI758" s="58">
        <f>IFERROR($BX758/$BX759-1,"")</f>
        <v/>
      </c>
      <c r="FJ758" s="59">
        <f>$BY758-$BY759</f>
        <v/>
      </c>
      <c r="FK758" s="59">
        <f>$BZ758-$BZ759</f>
        <v/>
      </c>
      <c r="FL758" s="59">
        <f>$CA758-$CA759</f>
        <v/>
      </c>
      <c r="FM758" s="59">
        <f>$CB758-$CB759</f>
        <v/>
      </c>
      <c r="FN758" s="59">
        <f>$CC758-$CC759</f>
        <v/>
      </c>
      <c r="FO758" s="59">
        <f>$CD758-$CD759</f>
        <v/>
      </c>
      <c r="FP758" s="59">
        <f>$CE758-$CE759</f>
        <v/>
      </c>
      <c r="FQ758" s="59">
        <f>$CF758-$CF759</f>
        <v/>
      </c>
      <c r="FR758" s="59">
        <f>$CG758-$CG759</f>
        <v/>
      </c>
      <c r="FS758" s="59">
        <f>$CH758-$CH759</f>
        <v/>
      </c>
      <c r="FT758" s="59">
        <f>$CI758-$CI759</f>
        <v/>
      </c>
      <c r="FU758" s="59">
        <f>$CJ758-$CJ759</f>
        <v/>
      </c>
      <c r="FV758" s="59">
        <f>$CK758-$CK759</f>
        <v/>
      </c>
      <c r="FW758" s="59">
        <f>$CL758-$CL759</f>
        <v/>
      </c>
      <c r="FX758" s="59">
        <f>$CM758-$CM759</f>
        <v/>
      </c>
      <c r="FY758" s="59">
        <f>$CN758-$CN759</f>
        <v/>
      </c>
      <c r="FZ758" s="59">
        <f>$CO758-$CO759</f>
        <v/>
      </c>
      <c r="GA758" s="59">
        <f>$CP758-$CP759</f>
        <v/>
      </c>
      <c r="GB758" s="59">
        <f>$CQ758-$CQ759</f>
        <v/>
      </c>
      <c r="GC758" s="59">
        <f>$CR758-$CR759</f>
        <v/>
      </c>
      <c r="GD758" s="59">
        <f>$CS758-$CS759</f>
        <v/>
      </c>
      <c r="GE758" s="59">
        <f>$CT758-$CT759</f>
        <v/>
      </c>
    </row>
    <row r="759">
      <c r="CU759" s="58">
        <f>IFERROR($B759/$B760-1,"")</f>
        <v/>
      </c>
      <c r="CV759" s="59">
        <f>($F759-$F760)*100</f>
        <v/>
      </c>
      <c r="CW759" s="59">
        <f>($E759-$E760)*100</f>
        <v/>
      </c>
      <c r="CX759" s="58">
        <f>IFERROR($K759/$K760-1,"")</f>
        <v/>
      </c>
      <c r="CY759" s="59">
        <f>($AH759-$AH760)*100</f>
        <v/>
      </c>
      <c r="CZ759" s="59">
        <f>($AI759-$AI760)*100</f>
        <v/>
      </c>
      <c r="DA759" s="59">
        <f>($AJ759-$AJ760)*100</f>
        <v/>
      </c>
      <c r="DB759" s="59">
        <f>($AK759-$AK760)*100</f>
        <v/>
      </c>
      <c r="DC759" s="59">
        <f>($AL759-$AL760)*100</f>
        <v/>
      </c>
      <c r="DD759" s="59">
        <f>($AM759-$AM760)*100</f>
        <v/>
      </c>
      <c r="DE759" s="59">
        <f>($AN759-$AN760)*100</f>
        <v/>
      </c>
      <c r="DF759" s="59">
        <f>($AO759-$AO760)*100</f>
        <v/>
      </c>
      <c r="DG759" s="59">
        <f>($AP759-$AP760)*100</f>
        <v/>
      </c>
      <c r="DH759" s="59">
        <f>($AQ759-$AQ760)*100</f>
        <v/>
      </c>
      <c r="DI759" s="59">
        <f>($AR759-$AR760)*100</f>
        <v/>
      </c>
      <c r="DJ759" s="59">
        <f>($AS759-$AS760)*100</f>
        <v/>
      </c>
      <c r="DK759" s="59">
        <f>($AT759-$AT760)*100</f>
        <v/>
      </c>
      <c r="DL759" s="59">
        <f>($AU759-$AU760)*100</f>
        <v/>
      </c>
      <c r="DM759" s="59">
        <f>($AV759-$AV760)*100</f>
        <v/>
      </c>
      <c r="DN759" s="59">
        <f>($AW759-$AW760)*100</f>
        <v/>
      </c>
      <c r="DO759" s="59">
        <f>($AX759-$AX760)*100</f>
        <v/>
      </c>
      <c r="DP759" s="59">
        <f>($AY759-$AY760)*100</f>
        <v/>
      </c>
      <c r="DQ759" s="59">
        <f>($AZ759-$AZ760)*100</f>
        <v/>
      </c>
      <c r="DR759" s="59">
        <f>($BA759-$BA760)*100</f>
        <v/>
      </c>
      <c r="DS759" s="58">
        <f>IFERROR($N760/$N759-1,"")</f>
        <v/>
      </c>
      <c r="DT759" s="58">
        <f>IFERROR($O760/$O759-1,"")</f>
        <v/>
      </c>
      <c r="DU759" s="58">
        <f>IFERROR($P760/$P759-1,"")</f>
        <v/>
      </c>
      <c r="DV759" s="58">
        <f>IFERROR($Q760/$Q759-1,"")</f>
        <v/>
      </c>
      <c r="DW759" s="58">
        <f>IFERROR($R760/$R759-1,"")</f>
        <v/>
      </c>
      <c r="DX759" s="58">
        <f>IFERROR($S760/$S759-1,"")</f>
        <v/>
      </c>
      <c r="DY759" s="58">
        <f>IFERROR($T760/$T759-1,"")</f>
        <v/>
      </c>
      <c r="DZ759" s="58">
        <f>IFERROR($U760/$U759-1,"")</f>
        <v/>
      </c>
      <c r="EA759" s="58">
        <f>IFERROR($V760/$V759-1,"")</f>
        <v/>
      </c>
      <c r="EB759" s="58">
        <f>IFERROR($W760/$W759-1,"")</f>
        <v/>
      </c>
      <c r="EC759" s="58">
        <f>IFERROR($X760/$X759-1,"")</f>
        <v/>
      </c>
      <c r="ED759" s="58">
        <f>IFERROR($Y760/$Y759-1,"")</f>
        <v/>
      </c>
      <c r="EE759" s="58">
        <f>IFERROR($Z760/$Z759-1,"")</f>
        <v/>
      </c>
      <c r="EF759" s="58">
        <f>IFERROR($AA760/$AA759-1,"")</f>
        <v/>
      </c>
      <c r="EG759" s="58">
        <f>IFERROR($AB760/$AB759-1,"")</f>
        <v/>
      </c>
      <c r="EH759" s="58">
        <f>IFERROR($AC760/$AC759-1,"")</f>
        <v/>
      </c>
      <c r="EI759" s="58">
        <f>IFERROR($AD760/$AD759-1,"")</f>
        <v/>
      </c>
      <c r="EJ759" s="58">
        <f>IFERROR($AE760/$AE759-1,"")</f>
        <v/>
      </c>
      <c r="EK759" s="58">
        <f>IFERROR($AF760/$AF759-1,"")</f>
        <v/>
      </c>
      <c r="EL759" s="58">
        <f>IFERROR($AG760/$AG759-1,"")</f>
        <v/>
      </c>
      <c r="EM759" s="58">
        <f>IFERROR($BB759/$BB760-1,"")</f>
        <v/>
      </c>
      <c r="EN759" s="58">
        <f>IFERROR($BC759/$BC760-1,"")</f>
        <v/>
      </c>
      <c r="EO759" s="58">
        <f>IFERROR($BD759/$BD760-1,"")</f>
        <v/>
      </c>
      <c r="EP759" s="58">
        <f>IFERROR($BE759/$BE760-1,"")</f>
        <v/>
      </c>
      <c r="EQ759" s="58">
        <f>IFERROR($BF759/$BF760-1,"")</f>
        <v/>
      </c>
      <c r="ER759" s="58">
        <f>IFERROR($BG759/$BG760-1,"")</f>
        <v/>
      </c>
      <c r="ES759" s="58">
        <f>IFERROR($BH759/$BH760-1,"")</f>
        <v/>
      </c>
      <c r="ET759" s="58">
        <f>IFERROR($BI759/$BI760-1,"")</f>
        <v/>
      </c>
      <c r="EU759" s="58">
        <f>IFERROR($BJ759/$BJ760-1,"")</f>
        <v/>
      </c>
      <c r="EV759" s="58">
        <f>IFERROR($BK759/$BK760-1,"")</f>
        <v/>
      </c>
      <c r="EW759" s="58">
        <f>IFERROR($BL759/$BL760-1,"")</f>
        <v/>
      </c>
      <c r="EX759" s="58">
        <f>IFERROR($BM759/$BM760-1,"")</f>
        <v/>
      </c>
      <c r="EY759" s="58">
        <f>IFERROR($BN759/$BN760-1,"")</f>
        <v/>
      </c>
      <c r="EZ759" s="58">
        <f>IFERROR($BO759/$BO760-1,"")</f>
        <v/>
      </c>
      <c r="FA759" s="58">
        <f>IFERROR($BP759/$BP760-1,"")</f>
        <v/>
      </c>
      <c r="FB759" s="58">
        <f>IFERROR($BQ759/$BQ760-1,"")</f>
        <v/>
      </c>
      <c r="FC759" s="58">
        <f>IFERROR($BR759/$BR760-1,"")</f>
        <v/>
      </c>
      <c r="FD759" s="58">
        <f>IFERROR($BS759/$BS760-1,"")</f>
        <v/>
      </c>
      <c r="FE759" s="58">
        <f>IFERROR($BT759/$BT760-1,"")</f>
        <v/>
      </c>
      <c r="FF759" s="58">
        <f>IFERROR($BU759/$BU760-1,"")</f>
        <v/>
      </c>
      <c r="FG759" s="58">
        <f>IFERROR($BV759/$BV760-1,"")</f>
        <v/>
      </c>
      <c r="FH759" s="58">
        <f>IFERROR($BW759/$BW760-1,"")</f>
        <v/>
      </c>
      <c r="FI759" s="58">
        <f>IFERROR($BX759/$BX760-1,"")</f>
        <v/>
      </c>
      <c r="FJ759" s="59">
        <f>$BY759-$BY760</f>
        <v/>
      </c>
      <c r="FK759" s="59">
        <f>$BZ759-$BZ760</f>
        <v/>
      </c>
      <c r="FL759" s="59">
        <f>$CA759-$CA760</f>
        <v/>
      </c>
      <c r="FM759" s="59">
        <f>$CB759-$CB760</f>
        <v/>
      </c>
      <c r="FN759" s="59">
        <f>$CC759-$CC760</f>
        <v/>
      </c>
      <c r="FO759" s="59">
        <f>$CD759-$CD760</f>
        <v/>
      </c>
      <c r="FP759" s="59">
        <f>$CE759-$CE760</f>
        <v/>
      </c>
      <c r="FQ759" s="59">
        <f>$CF759-$CF760</f>
        <v/>
      </c>
      <c r="FR759" s="59">
        <f>$CG759-$CG760</f>
        <v/>
      </c>
      <c r="FS759" s="59">
        <f>$CH759-$CH760</f>
        <v/>
      </c>
      <c r="FT759" s="59">
        <f>$CI759-$CI760</f>
        <v/>
      </c>
      <c r="FU759" s="59">
        <f>$CJ759-$CJ760</f>
        <v/>
      </c>
      <c r="FV759" s="59">
        <f>$CK759-$CK760</f>
        <v/>
      </c>
      <c r="FW759" s="59">
        <f>$CL759-$CL760</f>
        <v/>
      </c>
      <c r="FX759" s="59">
        <f>$CM759-$CM760</f>
        <v/>
      </c>
      <c r="FY759" s="59">
        <f>$CN759-$CN760</f>
        <v/>
      </c>
      <c r="FZ759" s="59">
        <f>$CO759-$CO760</f>
        <v/>
      </c>
      <c r="GA759" s="59">
        <f>$CP759-$CP760</f>
        <v/>
      </c>
      <c r="GB759" s="59">
        <f>$CQ759-$CQ760</f>
        <v/>
      </c>
      <c r="GC759" s="59">
        <f>$CR759-$CR760</f>
        <v/>
      </c>
      <c r="GD759" s="59">
        <f>$CS759-$CS760</f>
        <v/>
      </c>
      <c r="GE759" s="59">
        <f>$CT759-$CT760</f>
        <v/>
      </c>
    </row>
    <row r="760">
      <c r="CU760" s="58">
        <f>IFERROR($B760/$B761-1,"")</f>
        <v/>
      </c>
      <c r="CV760" s="59">
        <f>($F760-$F761)*100</f>
        <v/>
      </c>
      <c r="CW760" s="59">
        <f>($E760-$E761)*100</f>
        <v/>
      </c>
      <c r="CX760" s="58">
        <f>IFERROR($K760/$K761-1,"")</f>
        <v/>
      </c>
      <c r="CY760" s="59">
        <f>($AH760-$AH761)*100</f>
        <v/>
      </c>
      <c r="CZ760" s="59">
        <f>($AI760-$AI761)*100</f>
        <v/>
      </c>
      <c r="DA760" s="59">
        <f>($AJ760-$AJ761)*100</f>
        <v/>
      </c>
      <c r="DB760" s="59">
        <f>($AK760-$AK761)*100</f>
        <v/>
      </c>
      <c r="DC760" s="59">
        <f>($AL760-$AL761)*100</f>
        <v/>
      </c>
      <c r="DD760" s="59">
        <f>($AM760-$AM761)*100</f>
        <v/>
      </c>
      <c r="DE760" s="59">
        <f>($AN760-$AN761)*100</f>
        <v/>
      </c>
      <c r="DF760" s="59">
        <f>($AO760-$AO761)*100</f>
        <v/>
      </c>
      <c r="DG760" s="59">
        <f>($AP760-$AP761)*100</f>
        <v/>
      </c>
      <c r="DH760" s="59">
        <f>($AQ760-$AQ761)*100</f>
        <v/>
      </c>
      <c r="DI760" s="59">
        <f>($AR760-$AR761)*100</f>
        <v/>
      </c>
      <c r="DJ760" s="59">
        <f>($AS760-$AS761)*100</f>
        <v/>
      </c>
      <c r="DK760" s="59">
        <f>($AT760-$AT761)*100</f>
        <v/>
      </c>
      <c r="DL760" s="59">
        <f>($AU760-$AU761)*100</f>
        <v/>
      </c>
      <c r="DM760" s="59">
        <f>($AV760-$AV761)*100</f>
        <v/>
      </c>
      <c r="DN760" s="59">
        <f>($AW760-$AW761)*100</f>
        <v/>
      </c>
      <c r="DO760" s="59">
        <f>($AX760-$AX761)*100</f>
        <v/>
      </c>
      <c r="DP760" s="59">
        <f>($AY760-$AY761)*100</f>
        <v/>
      </c>
      <c r="DQ760" s="59">
        <f>($AZ760-$AZ761)*100</f>
        <v/>
      </c>
      <c r="DR760" s="59">
        <f>($BA760-$BA761)*100</f>
        <v/>
      </c>
      <c r="DS760" s="58">
        <f>IFERROR($N761/$N760-1,"")</f>
        <v/>
      </c>
      <c r="DT760" s="58">
        <f>IFERROR($O761/$O760-1,"")</f>
        <v/>
      </c>
      <c r="DU760" s="58">
        <f>IFERROR($P761/$P760-1,"")</f>
        <v/>
      </c>
      <c r="DV760" s="58">
        <f>IFERROR($Q761/$Q760-1,"")</f>
        <v/>
      </c>
      <c r="DW760" s="58">
        <f>IFERROR($R761/$R760-1,"")</f>
        <v/>
      </c>
      <c r="DX760" s="58">
        <f>IFERROR($S761/$S760-1,"")</f>
        <v/>
      </c>
      <c r="DY760" s="58">
        <f>IFERROR($T761/$T760-1,"")</f>
        <v/>
      </c>
      <c r="DZ760" s="58">
        <f>IFERROR($U761/$U760-1,"")</f>
        <v/>
      </c>
      <c r="EA760" s="58">
        <f>IFERROR($V761/$V760-1,"")</f>
        <v/>
      </c>
      <c r="EB760" s="58">
        <f>IFERROR($W761/$W760-1,"")</f>
        <v/>
      </c>
      <c r="EC760" s="58">
        <f>IFERROR($X761/$X760-1,"")</f>
        <v/>
      </c>
      <c r="ED760" s="58">
        <f>IFERROR($Y761/$Y760-1,"")</f>
        <v/>
      </c>
      <c r="EE760" s="58">
        <f>IFERROR($Z761/$Z760-1,"")</f>
        <v/>
      </c>
      <c r="EF760" s="58">
        <f>IFERROR($AA761/$AA760-1,"")</f>
        <v/>
      </c>
      <c r="EG760" s="58">
        <f>IFERROR($AB761/$AB760-1,"")</f>
        <v/>
      </c>
      <c r="EH760" s="58">
        <f>IFERROR($AC761/$AC760-1,"")</f>
        <v/>
      </c>
      <c r="EI760" s="58">
        <f>IFERROR($AD761/$AD760-1,"")</f>
        <v/>
      </c>
      <c r="EJ760" s="58">
        <f>IFERROR($AE761/$AE760-1,"")</f>
        <v/>
      </c>
      <c r="EK760" s="58">
        <f>IFERROR($AF761/$AF760-1,"")</f>
        <v/>
      </c>
      <c r="EL760" s="58">
        <f>IFERROR($AG761/$AG760-1,"")</f>
        <v/>
      </c>
      <c r="EM760" s="58">
        <f>IFERROR($BB760/$BB761-1,"")</f>
        <v/>
      </c>
      <c r="EN760" s="58">
        <f>IFERROR($BC760/$BC761-1,"")</f>
        <v/>
      </c>
      <c r="EO760" s="58">
        <f>IFERROR($BD760/$BD761-1,"")</f>
        <v/>
      </c>
      <c r="EP760" s="58">
        <f>IFERROR($BE760/$BE761-1,"")</f>
        <v/>
      </c>
      <c r="EQ760" s="58">
        <f>IFERROR($BF760/$BF761-1,"")</f>
        <v/>
      </c>
      <c r="ER760" s="58">
        <f>IFERROR($BG760/$BG761-1,"")</f>
        <v/>
      </c>
      <c r="ES760" s="58">
        <f>IFERROR($BH760/$BH761-1,"")</f>
        <v/>
      </c>
      <c r="ET760" s="58">
        <f>IFERROR($BI760/$BI761-1,"")</f>
        <v/>
      </c>
      <c r="EU760" s="58">
        <f>IFERROR($BJ760/$BJ761-1,"")</f>
        <v/>
      </c>
      <c r="EV760" s="58">
        <f>IFERROR($BK760/$BK761-1,"")</f>
        <v/>
      </c>
      <c r="EW760" s="58">
        <f>IFERROR($BL760/$BL761-1,"")</f>
        <v/>
      </c>
      <c r="EX760" s="58">
        <f>IFERROR($BM760/$BM761-1,"")</f>
        <v/>
      </c>
      <c r="EY760" s="58">
        <f>IFERROR($BN760/$BN761-1,"")</f>
        <v/>
      </c>
      <c r="EZ760" s="58">
        <f>IFERROR($BO760/$BO761-1,"")</f>
        <v/>
      </c>
      <c r="FA760" s="58">
        <f>IFERROR($BP760/$BP761-1,"")</f>
        <v/>
      </c>
      <c r="FB760" s="58">
        <f>IFERROR($BQ760/$BQ761-1,"")</f>
        <v/>
      </c>
      <c r="FC760" s="58">
        <f>IFERROR($BR760/$BR761-1,"")</f>
        <v/>
      </c>
      <c r="FD760" s="58">
        <f>IFERROR($BS760/$BS761-1,"")</f>
        <v/>
      </c>
      <c r="FE760" s="58">
        <f>IFERROR($BT760/$BT761-1,"")</f>
        <v/>
      </c>
      <c r="FF760" s="58">
        <f>IFERROR($BU760/$BU761-1,"")</f>
        <v/>
      </c>
      <c r="FG760" s="58">
        <f>IFERROR($BV760/$BV761-1,"")</f>
        <v/>
      </c>
      <c r="FH760" s="58">
        <f>IFERROR($BW760/$BW761-1,"")</f>
        <v/>
      </c>
      <c r="FI760" s="58">
        <f>IFERROR($BX760/$BX761-1,"")</f>
        <v/>
      </c>
      <c r="FJ760" s="59">
        <f>$BY760-$BY761</f>
        <v/>
      </c>
      <c r="FK760" s="59">
        <f>$BZ760-$BZ761</f>
        <v/>
      </c>
      <c r="FL760" s="59">
        <f>$CA760-$CA761</f>
        <v/>
      </c>
      <c r="FM760" s="59">
        <f>$CB760-$CB761</f>
        <v/>
      </c>
      <c r="FN760" s="59">
        <f>$CC760-$CC761</f>
        <v/>
      </c>
      <c r="FO760" s="59">
        <f>$CD760-$CD761</f>
        <v/>
      </c>
      <c r="FP760" s="59">
        <f>$CE760-$CE761</f>
        <v/>
      </c>
      <c r="FQ760" s="59">
        <f>$CF760-$CF761</f>
        <v/>
      </c>
      <c r="FR760" s="59">
        <f>$CG760-$CG761</f>
        <v/>
      </c>
      <c r="FS760" s="59">
        <f>$CH760-$CH761</f>
        <v/>
      </c>
      <c r="FT760" s="59">
        <f>$CI760-$CI761</f>
        <v/>
      </c>
      <c r="FU760" s="59">
        <f>$CJ760-$CJ761</f>
        <v/>
      </c>
      <c r="FV760" s="59">
        <f>$CK760-$CK761</f>
        <v/>
      </c>
      <c r="FW760" s="59">
        <f>$CL760-$CL761</f>
        <v/>
      </c>
      <c r="FX760" s="59">
        <f>$CM760-$CM761</f>
        <v/>
      </c>
      <c r="FY760" s="59">
        <f>$CN760-$CN761</f>
        <v/>
      </c>
      <c r="FZ760" s="59">
        <f>$CO760-$CO761</f>
        <v/>
      </c>
      <c r="GA760" s="59">
        <f>$CP760-$CP761</f>
        <v/>
      </c>
      <c r="GB760" s="59">
        <f>$CQ760-$CQ761</f>
        <v/>
      </c>
      <c r="GC760" s="59">
        <f>$CR760-$CR761</f>
        <v/>
      </c>
      <c r="GD760" s="59">
        <f>$CS760-$CS761</f>
        <v/>
      </c>
      <c r="GE760" s="59">
        <f>$CT760-$CT761</f>
        <v/>
      </c>
    </row>
    <row r="761">
      <c r="CU761" s="58">
        <f>IFERROR($B761/$B762-1,"")</f>
        <v/>
      </c>
      <c r="CV761" s="59">
        <f>($F761-$F762)*100</f>
        <v/>
      </c>
      <c r="CW761" s="59">
        <f>($E761-$E762)*100</f>
        <v/>
      </c>
      <c r="CX761" s="58">
        <f>IFERROR($K761/$K762-1,"")</f>
        <v/>
      </c>
      <c r="CY761" s="59">
        <f>($AH761-$AH762)*100</f>
        <v/>
      </c>
      <c r="CZ761" s="59">
        <f>($AI761-$AI762)*100</f>
        <v/>
      </c>
      <c r="DA761" s="59">
        <f>($AJ761-$AJ762)*100</f>
        <v/>
      </c>
      <c r="DB761" s="59">
        <f>($AK761-$AK762)*100</f>
        <v/>
      </c>
      <c r="DC761" s="59">
        <f>($AL761-$AL762)*100</f>
        <v/>
      </c>
      <c r="DD761" s="59">
        <f>($AM761-$AM762)*100</f>
        <v/>
      </c>
      <c r="DE761" s="59">
        <f>($AN761-$AN762)*100</f>
        <v/>
      </c>
      <c r="DF761" s="59">
        <f>($AO761-$AO762)*100</f>
        <v/>
      </c>
      <c r="DG761" s="59">
        <f>($AP761-$AP762)*100</f>
        <v/>
      </c>
      <c r="DH761" s="59">
        <f>($AQ761-$AQ762)*100</f>
        <v/>
      </c>
      <c r="DI761" s="59">
        <f>($AR761-$AR762)*100</f>
        <v/>
      </c>
      <c r="DJ761" s="59">
        <f>($AS761-$AS762)*100</f>
        <v/>
      </c>
      <c r="DK761" s="59">
        <f>($AT761-$AT762)*100</f>
        <v/>
      </c>
      <c r="DL761" s="59">
        <f>($AU761-$AU762)*100</f>
        <v/>
      </c>
      <c r="DM761" s="59">
        <f>($AV761-$AV762)*100</f>
        <v/>
      </c>
      <c r="DN761" s="59">
        <f>($AW761-$AW762)*100</f>
        <v/>
      </c>
      <c r="DO761" s="59">
        <f>($AX761-$AX762)*100</f>
        <v/>
      </c>
      <c r="DP761" s="59">
        <f>($AY761-$AY762)*100</f>
        <v/>
      </c>
      <c r="DQ761" s="59">
        <f>($AZ761-$AZ762)*100</f>
        <v/>
      </c>
      <c r="DR761" s="59">
        <f>($BA761-$BA762)*100</f>
        <v/>
      </c>
      <c r="DS761" s="58">
        <f>IFERROR($N762/$N761-1,"")</f>
        <v/>
      </c>
      <c r="DT761" s="58">
        <f>IFERROR($O762/$O761-1,"")</f>
        <v/>
      </c>
      <c r="DU761" s="58">
        <f>IFERROR($P762/$P761-1,"")</f>
        <v/>
      </c>
      <c r="DV761" s="58">
        <f>IFERROR($Q762/$Q761-1,"")</f>
        <v/>
      </c>
      <c r="DW761" s="58">
        <f>IFERROR($R762/$R761-1,"")</f>
        <v/>
      </c>
      <c r="DX761" s="58">
        <f>IFERROR($S762/$S761-1,"")</f>
        <v/>
      </c>
      <c r="DY761" s="58">
        <f>IFERROR($T762/$T761-1,"")</f>
        <v/>
      </c>
      <c r="DZ761" s="58">
        <f>IFERROR($U762/$U761-1,"")</f>
        <v/>
      </c>
      <c r="EA761" s="58">
        <f>IFERROR($V762/$V761-1,"")</f>
        <v/>
      </c>
      <c r="EB761" s="58">
        <f>IFERROR($W762/$W761-1,"")</f>
        <v/>
      </c>
      <c r="EC761" s="58">
        <f>IFERROR($X762/$X761-1,"")</f>
        <v/>
      </c>
      <c r="ED761" s="58">
        <f>IFERROR($Y762/$Y761-1,"")</f>
        <v/>
      </c>
      <c r="EE761" s="58">
        <f>IFERROR($Z762/$Z761-1,"")</f>
        <v/>
      </c>
      <c r="EF761" s="58">
        <f>IFERROR($AA762/$AA761-1,"")</f>
        <v/>
      </c>
      <c r="EG761" s="58">
        <f>IFERROR($AB762/$AB761-1,"")</f>
        <v/>
      </c>
      <c r="EH761" s="58">
        <f>IFERROR($AC762/$AC761-1,"")</f>
        <v/>
      </c>
      <c r="EI761" s="58">
        <f>IFERROR($AD762/$AD761-1,"")</f>
        <v/>
      </c>
      <c r="EJ761" s="58">
        <f>IFERROR($AE762/$AE761-1,"")</f>
        <v/>
      </c>
      <c r="EK761" s="58">
        <f>IFERROR($AF762/$AF761-1,"")</f>
        <v/>
      </c>
      <c r="EL761" s="58">
        <f>IFERROR($AG762/$AG761-1,"")</f>
        <v/>
      </c>
      <c r="EM761" s="58">
        <f>IFERROR($BB761/$BB762-1,"")</f>
        <v/>
      </c>
      <c r="EN761" s="58">
        <f>IFERROR($BC761/$BC762-1,"")</f>
        <v/>
      </c>
      <c r="EO761" s="58">
        <f>IFERROR($BD761/$BD762-1,"")</f>
        <v/>
      </c>
      <c r="EP761" s="58">
        <f>IFERROR($BE761/$BE762-1,"")</f>
        <v/>
      </c>
      <c r="EQ761" s="58">
        <f>IFERROR($BF761/$BF762-1,"")</f>
        <v/>
      </c>
      <c r="ER761" s="58">
        <f>IFERROR($BG761/$BG762-1,"")</f>
        <v/>
      </c>
      <c r="ES761" s="58">
        <f>IFERROR($BH761/$BH762-1,"")</f>
        <v/>
      </c>
      <c r="ET761" s="58">
        <f>IFERROR($BI761/$BI762-1,"")</f>
        <v/>
      </c>
      <c r="EU761" s="58">
        <f>IFERROR($BJ761/$BJ762-1,"")</f>
        <v/>
      </c>
      <c r="EV761" s="58">
        <f>IFERROR($BK761/$BK762-1,"")</f>
        <v/>
      </c>
      <c r="EW761" s="58">
        <f>IFERROR($BL761/$BL762-1,"")</f>
        <v/>
      </c>
      <c r="EX761" s="58">
        <f>IFERROR($BM761/$BM762-1,"")</f>
        <v/>
      </c>
      <c r="EY761" s="58">
        <f>IFERROR($BN761/$BN762-1,"")</f>
        <v/>
      </c>
      <c r="EZ761" s="58">
        <f>IFERROR($BO761/$BO762-1,"")</f>
        <v/>
      </c>
      <c r="FA761" s="58">
        <f>IFERROR($BP761/$BP762-1,"")</f>
        <v/>
      </c>
      <c r="FB761" s="58">
        <f>IFERROR($BQ761/$BQ762-1,"")</f>
        <v/>
      </c>
      <c r="FC761" s="58">
        <f>IFERROR($BR761/$BR762-1,"")</f>
        <v/>
      </c>
      <c r="FD761" s="58">
        <f>IFERROR($BS761/$BS762-1,"")</f>
        <v/>
      </c>
      <c r="FE761" s="58">
        <f>IFERROR($BT761/$BT762-1,"")</f>
        <v/>
      </c>
      <c r="FF761" s="58">
        <f>IFERROR($BU761/$BU762-1,"")</f>
        <v/>
      </c>
      <c r="FG761" s="58">
        <f>IFERROR($BV761/$BV762-1,"")</f>
        <v/>
      </c>
      <c r="FH761" s="58">
        <f>IFERROR($BW761/$BW762-1,"")</f>
        <v/>
      </c>
      <c r="FI761" s="58">
        <f>IFERROR($BX761/$BX762-1,"")</f>
        <v/>
      </c>
      <c r="FJ761" s="59">
        <f>$BY761-$BY762</f>
        <v/>
      </c>
      <c r="FK761" s="59">
        <f>$BZ761-$BZ762</f>
        <v/>
      </c>
      <c r="FL761" s="59">
        <f>$CA761-$CA762</f>
        <v/>
      </c>
      <c r="FM761" s="59">
        <f>$CB761-$CB762</f>
        <v/>
      </c>
      <c r="FN761" s="59">
        <f>$CC761-$CC762</f>
        <v/>
      </c>
      <c r="FO761" s="59">
        <f>$CD761-$CD762</f>
        <v/>
      </c>
      <c r="FP761" s="59">
        <f>$CE761-$CE762</f>
        <v/>
      </c>
      <c r="FQ761" s="59">
        <f>$CF761-$CF762</f>
        <v/>
      </c>
      <c r="FR761" s="59">
        <f>$CG761-$CG762</f>
        <v/>
      </c>
      <c r="FS761" s="59">
        <f>$CH761-$CH762</f>
        <v/>
      </c>
      <c r="FT761" s="59">
        <f>$CI761-$CI762</f>
        <v/>
      </c>
      <c r="FU761" s="59">
        <f>$CJ761-$CJ762</f>
        <v/>
      </c>
      <c r="FV761" s="59">
        <f>$CK761-$CK762</f>
        <v/>
      </c>
      <c r="FW761" s="59">
        <f>$CL761-$CL762</f>
        <v/>
      </c>
      <c r="FX761" s="59">
        <f>$CM761-$CM762</f>
        <v/>
      </c>
      <c r="FY761" s="59">
        <f>$CN761-$CN762</f>
        <v/>
      </c>
      <c r="FZ761" s="59">
        <f>$CO761-$CO762</f>
        <v/>
      </c>
      <c r="GA761" s="59">
        <f>$CP761-$CP762</f>
        <v/>
      </c>
      <c r="GB761" s="59">
        <f>$CQ761-$CQ762</f>
        <v/>
      </c>
      <c r="GC761" s="59">
        <f>$CR761-$CR762</f>
        <v/>
      </c>
      <c r="GD761" s="59">
        <f>$CS761-$CS762</f>
        <v/>
      </c>
      <c r="GE761" s="59">
        <f>$CT761-$CT762</f>
        <v/>
      </c>
    </row>
    <row r="762">
      <c r="CU762" s="58">
        <f>IFERROR($B762/$B763-1,"")</f>
        <v/>
      </c>
      <c r="CV762" s="59">
        <f>($F762-$F763)*100</f>
        <v/>
      </c>
      <c r="CW762" s="59">
        <f>($E762-$E763)*100</f>
        <v/>
      </c>
      <c r="CX762" s="58">
        <f>IFERROR($K762/$K763-1,"")</f>
        <v/>
      </c>
      <c r="CY762" s="59">
        <f>($AH762-$AH763)*100</f>
        <v/>
      </c>
      <c r="CZ762" s="59">
        <f>($AI762-$AI763)*100</f>
        <v/>
      </c>
      <c r="DA762" s="59">
        <f>($AJ762-$AJ763)*100</f>
        <v/>
      </c>
      <c r="DB762" s="59">
        <f>($AK762-$AK763)*100</f>
        <v/>
      </c>
      <c r="DC762" s="59">
        <f>($AL762-$AL763)*100</f>
        <v/>
      </c>
      <c r="DD762" s="59">
        <f>($AM762-$AM763)*100</f>
        <v/>
      </c>
      <c r="DE762" s="59">
        <f>($AN762-$AN763)*100</f>
        <v/>
      </c>
      <c r="DF762" s="59">
        <f>($AO762-$AO763)*100</f>
        <v/>
      </c>
      <c r="DG762" s="59">
        <f>($AP762-$AP763)*100</f>
        <v/>
      </c>
      <c r="DH762" s="59">
        <f>($AQ762-$AQ763)*100</f>
        <v/>
      </c>
      <c r="DI762" s="59">
        <f>($AR762-$AR763)*100</f>
        <v/>
      </c>
      <c r="DJ762" s="59">
        <f>($AS762-$AS763)*100</f>
        <v/>
      </c>
      <c r="DK762" s="59">
        <f>($AT762-$AT763)*100</f>
        <v/>
      </c>
      <c r="DL762" s="59">
        <f>($AU762-$AU763)*100</f>
        <v/>
      </c>
      <c r="DM762" s="59">
        <f>($AV762-$AV763)*100</f>
        <v/>
      </c>
      <c r="DN762" s="59">
        <f>($AW762-$AW763)*100</f>
        <v/>
      </c>
      <c r="DO762" s="59">
        <f>($AX762-$AX763)*100</f>
        <v/>
      </c>
      <c r="DP762" s="59">
        <f>($AY762-$AY763)*100</f>
        <v/>
      </c>
      <c r="DQ762" s="59">
        <f>($AZ762-$AZ763)*100</f>
        <v/>
      </c>
      <c r="DR762" s="59">
        <f>($BA762-$BA763)*100</f>
        <v/>
      </c>
      <c r="DS762" s="58">
        <f>IFERROR($N763/$N762-1,"")</f>
        <v/>
      </c>
      <c r="DT762" s="58">
        <f>IFERROR($O763/$O762-1,"")</f>
        <v/>
      </c>
      <c r="DU762" s="58">
        <f>IFERROR($P763/$P762-1,"")</f>
        <v/>
      </c>
      <c r="DV762" s="58">
        <f>IFERROR($Q763/$Q762-1,"")</f>
        <v/>
      </c>
      <c r="DW762" s="58">
        <f>IFERROR($R763/$R762-1,"")</f>
        <v/>
      </c>
      <c r="DX762" s="58">
        <f>IFERROR($S763/$S762-1,"")</f>
        <v/>
      </c>
      <c r="DY762" s="58">
        <f>IFERROR($T763/$T762-1,"")</f>
        <v/>
      </c>
      <c r="DZ762" s="58">
        <f>IFERROR($U763/$U762-1,"")</f>
        <v/>
      </c>
      <c r="EA762" s="58">
        <f>IFERROR($V763/$V762-1,"")</f>
        <v/>
      </c>
      <c r="EB762" s="58">
        <f>IFERROR($W763/$W762-1,"")</f>
        <v/>
      </c>
      <c r="EC762" s="58">
        <f>IFERROR($X763/$X762-1,"")</f>
        <v/>
      </c>
      <c r="ED762" s="58">
        <f>IFERROR($Y763/$Y762-1,"")</f>
        <v/>
      </c>
      <c r="EE762" s="58">
        <f>IFERROR($Z763/$Z762-1,"")</f>
        <v/>
      </c>
      <c r="EF762" s="58">
        <f>IFERROR($AA763/$AA762-1,"")</f>
        <v/>
      </c>
      <c r="EG762" s="58">
        <f>IFERROR($AB763/$AB762-1,"")</f>
        <v/>
      </c>
      <c r="EH762" s="58">
        <f>IFERROR($AC763/$AC762-1,"")</f>
        <v/>
      </c>
      <c r="EI762" s="58">
        <f>IFERROR($AD763/$AD762-1,"")</f>
        <v/>
      </c>
      <c r="EJ762" s="58">
        <f>IFERROR($AE763/$AE762-1,"")</f>
        <v/>
      </c>
      <c r="EK762" s="58">
        <f>IFERROR($AF763/$AF762-1,"")</f>
        <v/>
      </c>
      <c r="EL762" s="58">
        <f>IFERROR($AG763/$AG762-1,"")</f>
        <v/>
      </c>
      <c r="EM762" s="58">
        <f>IFERROR($BB762/$BB763-1,"")</f>
        <v/>
      </c>
      <c r="EN762" s="58">
        <f>IFERROR($BC762/$BC763-1,"")</f>
        <v/>
      </c>
      <c r="EO762" s="58">
        <f>IFERROR($BD762/$BD763-1,"")</f>
        <v/>
      </c>
      <c r="EP762" s="58">
        <f>IFERROR($BE762/$BE763-1,"")</f>
        <v/>
      </c>
      <c r="EQ762" s="58">
        <f>IFERROR($BF762/$BF763-1,"")</f>
        <v/>
      </c>
      <c r="ER762" s="58">
        <f>IFERROR($BG762/$BG763-1,"")</f>
        <v/>
      </c>
      <c r="ES762" s="58">
        <f>IFERROR($BH762/$BH763-1,"")</f>
        <v/>
      </c>
      <c r="ET762" s="58">
        <f>IFERROR($BI762/$BI763-1,"")</f>
        <v/>
      </c>
      <c r="EU762" s="58">
        <f>IFERROR($BJ762/$BJ763-1,"")</f>
        <v/>
      </c>
      <c r="EV762" s="58">
        <f>IFERROR($BK762/$BK763-1,"")</f>
        <v/>
      </c>
      <c r="EW762" s="58">
        <f>IFERROR($BL762/$BL763-1,"")</f>
        <v/>
      </c>
      <c r="EX762" s="58">
        <f>IFERROR($BM762/$BM763-1,"")</f>
        <v/>
      </c>
      <c r="EY762" s="58">
        <f>IFERROR($BN762/$BN763-1,"")</f>
        <v/>
      </c>
      <c r="EZ762" s="58">
        <f>IFERROR($BO762/$BO763-1,"")</f>
        <v/>
      </c>
      <c r="FA762" s="58">
        <f>IFERROR($BP762/$BP763-1,"")</f>
        <v/>
      </c>
      <c r="FB762" s="58">
        <f>IFERROR($BQ762/$BQ763-1,"")</f>
        <v/>
      </c>
      <c r="FC762" s="58">
        <f>IFERROR($BR762/$BR763-1,"")</f>
        <v/>
      </c>
      <c r="FD762" s="58">
        <f>IFERROR($BS762/$BS763-1,"")</f>
        <v/>
      </c>
      <c r="FE762" s="58">
        <f>IFERROR($BT762/$BT763-1,"")</f>
        <v/>
      </c>
      <c r="FF762" s="58">
        <f>IFERROR($BU762/$BU763-1,"")</f>
        <v/>
      </c>
      <c r="FG762" s="58">
        <f>IFERROR($BV762/$BV763-1,"")</f>
        <v/>
      </c>
      <c r="FH762" s="58">
        <f>IFERROR($BW762/$BW763-1,"")</f>
        <v/>
      </c>
      <c r="FI762" s="58">
        <f>IFERROR($BX762/$BX763-1,"")</f>
        <v/>
      </c>
      <c r="FJ762" s="59">
        <f>$BY762-$BY763</f>
        <v/>
      </c>
      <c r="FK762" s="59">
        <f>$BZ762-$BZ763</f>
        <v/>
      </c>
      <c r="FL762" s="59">
        <f>$CA762-$CA763</f>
        <v/>
      </c>
      <c r="FM762" s="59">
        <f>$CB762-$CB763</f>
        <v/>
      </c>
      <c r="FN762" s="59">
        <f>$CC762-$CC763</f>
        <v/>
      </c>
      <c r="FO762" s="59">
        <f>$CD762-$CD763</f>
        <v/>
      </c>
      <c r="FP762" s="59">
        <f>$CE762-$CE763</f>
        <v/>
      </c>
      <c r="FQ762" s="59">
        <f>$CF762-$CF763</f>
        <v/>
      </c>
      <c r="FR762" s="59">
        <f>$CG762-$CG763</f>
        <v/>
      </c>
      <c r="FS762" s="59">
        <f>$CH762-$CH763</f>
        <v/>
      </c>
      <c r="FT762" s="59">
        <f>$CI762-$CI763</f>
        <v/>
      </c>
      <c r="FU762" s="59">
        <f>$CJ762-$CJ763</f>
        <v/>
      </c>
      <c r="FV762" s="59">
        <f>$CK762-$CK763</f>
        <v/>
      </c>
      <c r="FW762" s="59">
        <f>$CL762-$CL763</f>
        <v/>
      </c>
      <c r="FX762" s="59">
        <f>$CM762-$CM763</f>
        <v/>
      </c>
      <c r="FY762" s="59">
        <f>$CN762-$CN763</f>
        <v/>
      </c>
      <c r="FZ762" s="59">
        <f>$CO762-$CO763</f>
        <v/>
      </c>
      <c r="GA762" s="59">
        <f>$CP762-$CP763</f>
        <v/>
      </c>
      <c r="GB762" s="59">
        <f>$CQ762-$CQ763</f>
        <v/>
      </c>
      <c r="GC762" s="59">
        <f>$CR762-$CR763</f>
        <v/>
      </c>
      <c r="GD762" s="59">
        <f>$CS762-$CS763</f>
        <v/>
      </c>
      <c r="GE762" s="59">
        <f>$CT762-$CT763</f>
        <v/>
      </c>
    </row>
    <row r="763">
      <c r="CU763" s="58">
        <f>IFERROR($B763/$B764-1,"")</f>
        <v/>
      </c>
      <c r="CV763" s="59">
        <f>($F763-$F764)*100</f>
        <v/>
      </c>
      <c r="CW763" s="59">
        <f>($E763-$E764)*100</f>
        <v/>
      </c>
      <c r="CX763" s="58">
        <f>IFERROR($K763/$K764-1,"")</f>
        <v/>
      </c>
      <c r="CY763" s="59">
        <f>($AH763-$AH764)*100</f>
        <v/>
      </c>
      <c r="CZ763" s="59">
        <f>($AI763-$AI764)*100</f>
        <v/>
      </c>
      <c r="DA763" s="59">
        <f>($AJ763-$AJ764)*100</f>
        <v/>
      </c>
      <c r="DB763" s="59">
        <f>($AK763-$AK764)*100</f>
        <v/>
      </c>
      <c r="DC763" s="59">
        <f>($AL763-$AL764)*100</f>
        <v/>
      </c>
      <c r="DD763" s="59">
        <f>($AM763-$AM764)*100</f>
        <v/>
      </c>
      <c r="DE763" s="59">
        <f>($AN763-$AN764)*100</f>
        <v/>
      </c>
      <c r="DF763" s="59">
        <f>($AO763-$AO764)*100</f>
        <v/>
      </c>
      <c r="DG763" s="59">
        <f>($AP763-$AP764)*100</f>
        <v/>
      </c>
      <c r="DH763" s="59">
        <f>($AQ763-$AQ764)*100</f>
        <v/>
      </c>
      <c r="DI763" s="59">
        <f>($AR763-$AR764)*100</f>
        <v/>
      </c>
      <c r="DJ763" s="59">
        <f>($AS763-$AS764)*100</f>
        <v/>
      </c>
      <c r="DK763" s="59">
        <f>($AT763-$AT764)*100</f>
        <v/>
      </c>
      <c r="DL763" s="59">
        <f>($AU763-$AU764)*100</f>
        <v/>
      </c>
      <c r="DM763" s="59">
        <f>($AV763-$AV764)*100</f>
        <v/>
      </c>
      <c r="DN763" s="59">
        <f>($AW763-$AW764)*100</f>
        <v/>
      </c>
      <c r="DO763" s="59">
        <f>($AX763-$AX764)*100</f>
        <v/>
      </c>
      <c r="DP763" s="59">
        <f>($AY763-$AY764)*100</f>
        <v/>
      </c>
      <c r="DQ763" s="59">
        <f>($AZ763-$AZ764)*100</f>
        <v/>
      </c>
      <c r="DR763" s="59">
        <f>($BA763-$BA764)*100</f>
        <v/>
      </c>
      <c r="DS763" s="58">
        <f>IFERROR($N764/$N763-1,"")</f>
        <v/>
      </c>
      <c r="DT763" s="58">
        <f>IFERROR($O764/$O763-1,"")</f>
        <v/>
      </c>
      <c r="DU763" s="58">
        <f>IFERROR($P764/$P763-1,"")</f>
        <v/>
      </c>
      <c r="DV763" s="58">
        <f>IFERROR($Q764/$Q763-1,"")</f>
        <v/>
      </c>
      <c r="DW763" s="58">
        <f>IFERROR($R764/$R763-1,"")</f>
        <v/>
      </c>
      <c r="DX763" s="58">
        <f>IFERROR($S764/$S763-1,"")</f>
        <v/>
      </c>
      <c r="DY763" s="58">
        <f>IFERROR($T764/$T763-1,"")</f>
        <v/>
      </c>
      <c r="DZ763" s="58">
        <f>IFERROR($U764/$U763-1,"")</f>
        <v/>
      </c>
      <c r="EA763" s="58">
        <f>IFERROR($V764/$V763-1,"")</f>
        <v/>
      </c>
      <c r="EB763" s="58">
        <f>IFERROR($W764/$W763-1,"")</f>
        <v/>
      </c>
      <c r="EC763" s="58">
        <f>IFERROR($X764/$X763-1,"")</f>
        <v/>
      </c>
      <c r="ED763" s="58">
        <f>IFERROR($Y764/$Y763-1,"")</f>
        <v/>
      </c>
      <c r="EE763" s="58">
        <f>IFERROR($Z764/$Z763-1,"")</f>
        <v/>
      </c>
      <c r="EF763" s="58">
        <f>IFERROR($AA764/$AA763-1,"")</f>
        <v/>
      </c>
      <c r="EG763" s="58">
        <f>IFERROR($AB764/$AB763-1,"")</f>
        <v/>
      </c>
      <c r="EH763" s="58">
        <f>IFERROR($AC764/$AC763-1,"")</f>
        <v/>
      </c>
      <c r="EI763" s="58">
        <f>IFERROR($AD764/$AD763-1,"")</f>
        <v/>
      </c>
      <c r="EJ763" s="58">
        <f>IFERROR($AE764/$AE763-1,"")</f>
        <v/>
      </c>
      <c r="EK763" s="58">
        <f>IFERROR($AF764/$AF763-1,"")</f>
        <v/>
      </c>
      <c r="EL763" s="58">
        <f>IFERROR($AG764/$AG763-1,"")</f>
        <v/>
      </c>
      <c r="EM763" s="58">
        <f>IFERROR($BB763/$BB764-1,"")</f>
        <v/>
      </c>
      <c r="EN763" s="58">
        <f>IFERROR($BC763/$BC764-1,"")</f>
        <v/>
      </c>
      <c r="EO763" s="58">
        <f>IFERROR($BD763/$BD764-1,"")</f>
        <v/>
      </c>
      <c r="EP763" s="58">
        <f>IFERROR($BE763/$BE764-1,"")</f>
        <v/>
      </c>
      <c r="EQ763" s="58">
        <f>IFERROR($BF763/$BF764-1,"")</f>
        <v/>
      </c>
      <c r="ER763" s="58">
        <f>IFERROR($BG763/$BG764-1,"")</f>
        <v/>
      </c>
      <c r="ES763" s="58">
        <f>IFERROR($BH763/$BH764-1,"")</f>
        <v/>
      </c>
      <c r="ET763" s="58">
        <f>IFERROR($BI763/$BI764-1,"")</f>
        <v/>
      </c>
      <c r="EU763" s="58">
        <f>IFERROR($BJ763/$BJ764-1,"")</f>
        <v/>
      </c>
      <c r="EV763" s="58">
        <f>IFERROR($BK763/$BK764-1,"")</f>
        <v/>
      </c>
      <c r="EW763" s="58">
        <f>IFERROR($BL763/$BL764-1,"")</f>
        <v/>
      </c>
      <c r="EX763" s="58">
        <f>IFERROR($BM763/$BM764-1,"")</f>
        <v/>
      </c>
      <c r="EY763" s="58">
        <f>IFERROR($BN763/$BN764-1,"")</f>
        <v/>
      </c>
      <c r="EZ763" s="58">
        <f>IFERROR($BO763/$BO764-1,"")</f>
        <v/>
      </c>
      <c r="FA763" s="58">
        <f>IFERROR($BP763/$BP764-1,"")</f>
        <v/>
      </c>
      <c r="FB763" s="58">
        <f>IFERROR($BQ763/$BQ764-1,"")</f>
        <v/>
      </c>
      <c r="FC763" s="58">
        <f>IFERROR($BR763/$BR764-1,"")</f>
        <v/>
      </c>
      <c r="FD763" s="58">
        <f>IFERROR($BS763/$BS764-1,"")</f>
        <v/>
      </c>
      <c r="FE763" s="58">
        <f>IFERROR($BT763/$BT764-1,"")</f>
        <v/>
      </c>
      <c r="FF763" s="58">
        <f>IFERROR($BU763/$BU764-1,"")</f>
        <v/>
      </c>
      <c r="FG763" s="58">
        <f>IFERROR($BV763/$BV764-1,"")</f>
        <v/>
      </c>
      <c r="FH763" s="58">
        <f>IFERROR($BW763/$BW764-1,"")</f>
        <v/>
      </c>
      <c r="FI763" s="58">
        <f>IFERROR($BX763/$BX764-1,"")</f>
        <v/>
      </c>
      <c r="FJ763" s="59">
        <f>$BY763-$BY764</f>
        <v/>
      </c>
      <c r="FK763" s="59">
        <f>$BZ763-$BZ764</f>
        <v/>
      </c>
      <c r="FL763" s="59">
        <f>$CA763-$CA764</f>
        <v/>
      </c>
      <c r="FM763" s="59">
        <f>$CB763-$CB764</f>
        <v/>
      </c>
      <c r="FN763" s="59">
        <f>$CC763-$CC764</f>
        <v/>
      </c>
      <c r="FO763" s="59">
        <f>$CD763-$CD764</f>
        <v/>
      </c>
      <c r="FP763" s="59">
        <f>$CE763-$CE764</f>
        <v/>
      </c>
      <c r="FQ763" s="59">
        <f>$CF763-$CF764</f>
        <v/>
      </c>
      <c r="FR763" s="59">
        <f>$CG763-$CG764</f>
        <v/>
      </c>
      <c r="FS763" s="59">
        <f>$CH763-$CH764</f>
        <v/>
      </c>
      <c r="FT763" s="59">
        <f>$CI763-$CI764</f>
        <v/>
      </c>
      <c r="FU763" s="59">
        <f>$CJ763-$CJ764</f>
        <v/>
      </c>
      <c r="FV763" s="59">
        <f>$CK763-$CK764</f>
        <v/>
      </c>
      <c r="FW763" s="59">
        <f>$CL763-$CL764</f>
        <v/>
      </c>
      <c r="FX763" s="59">
        <f>$CM763-$CM764</f>
        <v/>
      </c>
      <c r="FY763" s="59">
        <f>$CN763-$CN764</f>
        <v/>
      </c>
      <c r="FZ763" s="59">
        <f>$CO763-$CO764</f>
        <v/>
      </c>
      <c r="GA763" s="59">
        <f>$CP763-$CP764</f>
        <v/>
      </c>
      <c r="GB763" s="59">
        <f>$CQ763-$CQ764</f>
        <v/>
      </c>
      <c r="GC763" s="59">
        <f>$CR763-$CR764</f>
        <v/>
      </c>
      <c r="GD763" s="59">
        <f>$CS763-$CS764</f>
        <v/>
      </c>
      <c r="GE763" s="59">
        <f>$CT763-$CT764</f>
        <v/>
      </c>
    </row>
    <row r="764">
      <c r="CU764" s="58">
        <f>IFERROR($B764/$B765-1,"")</f>
        <v/>
      </c>
      <c r="CV764" s="59">
        <f>($F764-$F765)*100</f>
        <v/>
      </c>
      <c r="CW764" s="59">
        <f>($E764-$E765)*100</f>
        <v/>
      </c>
      <c r="CX764" s="58">
        <f>IFERROR($K764/$K765-1,"")</f>
        <v/>
      </c>
      <c r="CY764" s="59">
        <f>($AH764-$AH765)*100</f>
        <v/>
      </c>
      <c r="CZ764" s="59">
        <f>($AI764-$AI765)*100</f>
        <v/>
      </c>
      <c r="DA764" s="59">
        <f>($AJ764-$AJ765)*100</f>
        <v/>
      </c>
      <c r="DB764" s="59">
        <f>($AK764-$AK765)*100</f>
        <v/>
      </c>
      <c r="DC764" s="59">
        <f>($AL764-$AL765)*100</f>
        <v/>
      </c>
      <c r="DD764" s="59">
        <f>($AM764-$AM765)*100</f>
        <v/>
      </c>
      <c r="DE764" s="59">
        <f>($AN764-$AN765)*100</f>
        <v/>
      </c>
      <c r="DF764" s="59">
        <f>($AO764-$AO765)*100</f>
        <v/>
      </c>
      <c r="DG764" s="59">
        <f>($AP764-$AP765)*100</f>
        <v/>
      </c>
      <c r="DH764" s="59">
        <f>($AQ764-$AQ765)*100</f>
        <v/>
      </c>
      <c r="DI764" s="59">
        <f>($AR764-$AR765)*100</f>
        <v/>
      </c>
      <c r="DJ764" s="59">
        <f>($AS764-$AS765)*100</f>
        <v/>
      </c>
      <c r="DK764" s="59">
        <f>($AT764-$AT765)*100</f>
        <v/>
      </c>
      <c r="DL764" s="59">
        <f>($AU764-$AU765)*100</f>
        <v/>
      </c>
      <c r="DM764" s="59">
        <f>($AV764-$AV765)*100</f>
        <v/>
      </c>
      <c r="DN764" s="59">
        <f>($AW764-$AW765)*100</f>
        <v/>
      </c>
      <c r="DO764" s="59">
        <f>($AX764-$AX765)*100</f>
        <v/>
      </c>
      <c r="DP764" s="59">
        <f>($AY764-$AY765)*100</f>
        <v/>
      </c>
      <c r="DQ764" s="59">
        <f>($AZ764-$AZ765)*100</f>
        <v/>
      </c>
      <c r="DR764" s="59">
        <f>($BA764-$BA765)*100</f>
        <v/>
      </c>
      <c r="DS764" s="58">
        <f>IFERROR($N765/$N764-1,"")</f>
        <v/>
      </c>
      <c r="DT764" s="58">
        <f>IFERROR($O765/$O764-1,"")</f>
        <v/>
      </c>
      <c r="DU764" s="58">
        <f>IFERROR($P765/$P764-1,"")</f>
        <v/>
      </c>
      <c r="DV764" s="58">
        <f>IFERROR($Q765/$Q764-1,"")</f>
        <v/>
      </c>
      <c r="DW764" s="58">
        <f>IFERROR($R765/$R764-1,"")</f>
        <v/>
      </c>
      <c r="DX764" s="58">
        <f>IFERROR($S765/$S764-1,"")</f>
        <v/>
      </c>
      <c r="DY764" s="58">
        <f>IFERROR($T765/$T764-1,"")</f>
        <v/>
      </c>
      <c r="DZ764" s="58">
        <f>IFERROR($U765/$U764-1,"")</f>
        <v/>
      </c>
      <c r="EA764" s="58">
        <f>IFERROR($V765/$V764-1,"")</f>
        <v/>
      </c>
      <c r="EB764" s="58">
        <f>IFERROR($W765/$W764-1,"")</f>
        <v/>
      </c>
      <c r="EC764" s="58">
        <f>IFERROR($X765/$X764-1,"")</f>
        <v/>
      </c>
      <c r="ED764" s="58">
        <f>IFERROR($Y765/$Y764-1,"")</f>
        <v/>
      </c>
      <c r="EE764" s="58">
        <f>IFERROR($Z765/$Z764-1,"")</f>
        <v/>
      </c>
      <c r="EF764" s="58">
        <f>IFERROR($AA765/$AA764-1,"")</f>
        <v/>
      </c>
      <c r="EG764" s="58">
        <f>IFERROR($AB765/$AB764-1,"")</f>
        <v/>
      </c>
      <c r="EH764" s="58">
        <f>IFERROR($AC765/$AC764-1,"")</f>
        <v/>
      </c>
      <c r="EI764" s="58">
        <f>IFERROR($AD765/$AD764-1,"")</f>
        <v/>
      </c>
      <c r="EJ764" s="58">
        <f>IFERROR($AE765/$AE764-1,"")</f>
        <v/>
      </c>
      <c r="EK764" s="58">
        <f>IFERROR($AF765/$AF764-1,"")</f>
        <v/>
      </c>
      <c r="EL764" s="58">
        <f>IFERROR($AG765/$AG764-1,"")</f>
        <v/>
      </c>
      <c r="EM764" s="58">
        <f>IFERROR($BB764/$BB765-1,"")</f>
        <v/>
      </c>
      <c r="EN764" s="58">
        <f>IFERROR($BC764/$BC765-1,"")</f>
        <v/>
      </c>
      <c r="EO764" s="58">
        <f>IFERROR($BD764/$BD765-1,"")</f>
        <v/>
      </c>
      <c r="EP764" s="58">
        <f>IFERROR($BE764/$BE765-1,"")</f>
        <v/>
      </c>
      <c r="EQ764" s="58">
        <f>IFERROR($BF764/$BF765-1,"")</f>
        <v/>
      </c>
      <c r="ER764" s="58">
        <f>IFERROR($BG764/$BG765-1,"")</f>
        <v/>
      </c>
      <c r="ES764" s="58">
        <f>IFERROR($BH764/$BH765-1,"")</f>
        <v/>
      </c>
      <c r="ET764" s="58">
        <f>IFERROR($BI764/$BI765-1,"")</f>
        <v/>
      </c>
      <c r="EU764" s="58">
        <f>IFERROR($BJ764/$BJ765-1,"")</f>
        <v/>
      </c>
      <c r="EV764" s="58">
        <f>IFERROR($BK764/$BK765-1,"")</f>
        <v/>
      </c>
      <c r="EW764" s="58">
        <f>IFERROR($BL764/$BL765-1,"")</f>
        <v/>
      </c>
      <c r="EX764" s="58">
        <f>IFERROR($BM764/$BM765-1,"")</f>
        <v/>
      </c>
      <c r="EY764" s="58">
        <f>IFERROR($BN764/$BN765-1,"")</f>
        <v/>
      </c>
      <c r="EZ764" s="58">
        <f>IFERROR($BO764/$BO765-1,"")</f>
        <v/>
      </c>
      <c r="FA764" s="58">
        <f>IFERROR($BP764/$BP765-1,"")</f>
        <v/>
      </c>
      <c r="FB764" s="58">
        <f>IFERROR($BQ764/$BQ765-1,"")</f>
        <v/>
      </c>
      <c r="FC764" s="58">
        <f>IFERROR($BR764/$BR765-1,"")</f>
        <v/>
      </c>
      <c r="FD764" s="58">
        <f>IFERROR($BS764/$BS765-1,"")</f>
        <v/>
      </c>
      <c r="FE764" s="58">
        <f>IFERROR($BT764/$BT765-1,"")</f>
        <v/>
      </c>
      <c r="FF764" s="58">
        <f>IFERROR($BU764/$BU765-1,"")</f>
        <v/>
      </c>
      <c r="FG764" s="58">
        <f>IFERROR($BV764/$BV765-1,"")</f>
        <v/>
      </c>
      <c r="FH764" s="58">
        <f>IFERROR($BW764/$BW765-1,"")</f>
        <v/>
      </c>
      <c r="FI764" s="58">
        <f>IFERROR($BX764/$BX765-1,"")</f>
        <v/>
      </c>
      <c r="FJ764" s="59">
        <f>$BY764-$BY765</f>
        <v/>
      </c>
      <c r="FK764" s="59">
        <f>$BZ764-$BZ765</f>
        <v/>
      </c>
      <c r="FL764" s="59">
        <f>$CA764-$CA765</f>
        <v/>
      </c>
      <c r="FM764" s="59">
        <f>$CB764-$CB765</f>
        <v/>
      </c>
      <c r="FN764" s="59">
        <f>$CC764-$CC765</f>
        <v/>
      </c>
      <c r="FO764" s="59">
        <f>$CD764-$CD765</f>
        <v/>
      </c>
      <c r="FP764" s="59">
        <f>$CE764-$CE765</f>
        <v/>
      </c>
      <c r="FQ764" s="59">
        <f>$CF764-$CF765</f>
        <v/>
      </c>
      <c r="FR764" s="59">
        <f>$CG764-$CG765</f>
        <v/>
      </c>
      <c r="FS764" s="59">
        <f>$CH764-$CH765</f>
        <v/>
      </c>
      <c r="FT764" s="59">
        <f>$CI764-$CI765</f>
        <v/>
      </c>
      <c r="FU764" s="59">
        <f>$CJ764-$CJ765</f>
        <v/>
      </c>
      <c r="FV764" s="59">
        <f>$CK764-$CK765</f>
        <v/>
      </c>
      <c r="FW764" s="59">
        <f>$CL764-$CL765</f>
        <v/>
      </c>
      <c r="FX764" s="59">
        <f>$CM764-$CM765</f>
        <v/>
      </c>
      <c r="FY764" s="59">
        <f>$CN764-$CN765</f>
        <v/>
      </c>
      <c r="FZ764" s="59">
        <f>$CO764-$CO765</f>
        <v/>
      </c>
      <c r="GA764" s="59">
        <f>$CP764-$CP765</f>
        <v/>
      </c>
      <c r="GB764" s="59">
        <f>$CQ764-$CQ765</f>
        <v/>
      </c>
      <c r="GC764" s="59">
        <f>$CR764-$CR765</f>
        <v/>
      </c>
      <c r="GD764" s="59">
        <f>$CS764-$CS765</f>
        <v/>
      </c>
      <c r="GE764" s="59">
        <f>$CT764-$CT765</f>
        <v/>
      </c>
    </row>
    <row r="765">
      <c r="CU765" s="58">
        <f>IFERROR($B765/$B766-1,"")</f>
        <v/>
      </c>
      <c r="CV765" s="59">
        <f>($F765-$F766)*100</f>
        <v/>
      </c>
      <c r="CW765" s="59">
        <f>($E765-$E766)*100</f>
        <v/>
      </c>
      <c r="CX765" s="58">
        <f>IFERROR($K765/$K766-1,"")</f>
        <v/>
      </c>
      <c r="CY765" s="59">
        <f>($AH765-$AH766)*100</f>
        <v/>
      </c>
      <c r="CZ765" s="59">
        <f>($AI765-$AI766)*100</f>
        <v/>
      </c>
      <c r="DA765" s="59">
        <f>($AJ765-$AJ766)*100</f>
        <v/>
      </c>
      <c r="DB765" s="59">
        <f>($AK765-$AK766)*100</f>
        <v/>
      </c>
      <c r="DC765" s="59">
        <f>($AL765-$AL766)*100</f>
        <v/>
      </c>
      <c r="DD765" s="59">
        <f>($AM765-$AM766)*100</f>
        <v/>
      </c>
      <c r="DE765" s="59">
        <f>($AN765-$AN766)*100</f>
        <v/>
      </c>
      <c r="DF765" s="59">
        <f>($AO765-$AO766)*100</f>
        <v/>
      </c>
      <c r="DG765" s="59">
        <f>($AP765-$AP766)*100</f>
        <v/>
      </c>
      <c r="DH765" s="59">
        <f>($AQ765-$AQ766)*100</f>
        <v/>
      </c>
      <c r="DI765" s="59">
        <f>($AR765-$AR766)*100</f>
        <v/>
      </c>
      <c r="DJ765" s="59">
        <f>($AS765-$AS766)*100</f>
        <v/>
      </c>
      <c r="DK765" s="59">
        <f>($AT765-$AT766)*100</f>
        <v/>
      </c>
      <c r="DL765" s="59">
        <f>($AU765-$AU766)*100</f>
        <v/>
      </c>
      <c r="DM765" s="59">
        <f>($AV765-$AV766)*100</f>
        <v/>
      </c>
      <c r="DN765" s="59">
        <f>($AW765-$AW766)*100</f>
        <v/>
      </c>
      <c r="DO765" s="59">
        <f>($AX765-$AX766)*100</f>
        <v/>
      </c>
      <c r="DP765" s="59">
        <f>($AY765-$AY766)*100</f>
        <v/>
      </c>
      <c r="DQ765" s="59">
        <f>($AZ765-$AZ766)*100</f>
        <v/>
      </c>
      <c r="DR765" s="59">
        <f>($BA765-$BA766)*100</f>
        <v/>
      </c>
      <c r="DS765" s="58">
        <f>IFERROR($N766/$N765-1,"")</f>
        <v/>
      </c>
      <c r="DT765" s="58">
        <f>IFERROR($O766/$O765-1,"")</f>
        <v/>
      </c>
      <c r="DU765" s="58">
        <f>IFERROR($P766/$P765-1,"")</f>
        <v/>
      </c>
      <c r="DV765" s="58">
        <f>IFERROR($Q766/$Q765-1,"")</f>
        <v/>
      </c>
      <c r="DW765" s="58">
        <f>IFERROR($R766/$R765-1,"")</f>
        <v/>
      </c>
      <c r="DX765" s="58">
        <f>IFERROR($S766/$S765-1,"")</f>
        <v/>
      </c>
      <c r="DY765" s="58">
        <f>IFERROR($T766/$T765-1,"")</f>
        <v/>
      </c>
      <c r="DZ765" s="58">
        <f>IFERROR($U766/$U765-1,"")</f>
        <v/>
      </c>
      <c r="EA765" s="58">
        <f>IFERROR($V766/$V765-1,"")</f>
        <v/>
      </c>
      <c r="EB765" s="58">
        <f>IFERROR($W766/$W765-1,"")</f>
        <v/>
      </c>
      <c r="EC765" s="58">
        <f>IFERROR($X766/$X765-1,"")</f>
        <v/>
      </c>
      <c r="ED765" s="58">
        <f>IFERROR($Y766/$Y765-1,"")</f>
        <v/>
      </c>
      <c r="EE765" s="58">
        <f>IFERROR($Z766/$Z765-1,"")</f>
        <v/>
      </c>
      <c r="EF765" s="58">
        <f>IFERROR($AA766/$AA765-1,"")</f>
        <v/>
      </c>
      <c r="EG765" s="58">
        <f>IFERROR($AB766/$AB765-1,"")</f>
        <v/>
      </c>
      <c r="EH765" s="58">
        <f>IFERROR($AC766/$AC765-1,"")</f>
        <v/>
      </c>
      <c r="EI765" s="58">
        <f>IFERROR($AD766/$AD765-1,"")</f>
        <v/>
      </c>
      <c r="EJ765" s="58">
        <f>IFERROR($AE766/$AE765-1,"")</f>
        <v/>
      </c>
      <c r="EK765" s="58">
        <f>IFERROR($AF766/$AF765-1,"")</f>
        <v/>
      </c>
      <c r="EL765" s="58">
        <f>IFERROR($AG766/$AG765-1,"")</f>
        <v/>
      </c>
      <c r="EM765" s="58">
        <f>IFERROR($BB765/$BB766-1,"")</f>
        <v/>
      </c>
      <c r="EN765" s="58">
        <f>IFERROR($BC765/$BC766-1,"")</f>
        <v/>
      </c>
      <c r="EO765" s="58">
        <f>IFERROR($BD765/$BD766-1,"")</f>
        <v/>
      </c>
      <c r="EP765" s="58">
        <f>IFERROR($BE765/$BE766-1,"")</f>
        <v/>
      </c>
      <c r="EQ765" s="58">
        <f>IFERROR($BF765/$BF766-1,"")</f>
        <v/>
      </c>
      <c r="ER765" s="58">
        <f>IFERROR($BG765/$BG766-1,"")</f>
        <v/>
      </c>
      <c r="ES765" s="58">
        <f>IFERROR($BH765/$BH766-1,"")</f>
        <v/>
      </c>
      <c r="ET765" s="58">
        <f>IFERROR($BI765/$BI766-1,"")</f>
        <v/>
      </c>
      <c r="EU765" s="58">
        <f>IFERROR($BJ765/$BJ766-1,"")</f>
        <v/>
      </c>
      <c r="EV765" s="58">
        <f>IFERROR($BK765/$BK766-1,"")</f>
        <v/>
      </c>
      <c r="EW765" s="58">
        <f>IFERROR($BL765/$BL766-1,"")</f>
        <v/>
      </c>
      <c r="EX765" s="58">
        <f>IFERROR($BM765/$BM766-1,"")</f>
        <v/>
      </c>
      <c r="EY765" s="58">
        <f>IFERROR($BN765/$BN766-1,"")</f>
        <v/>
      </c>
      <c r="EZ765" s="58">
        <f>IFERROR($BO765/$BO766-1,"")</f>
        <v/>
      </c>
      <c r="FA765" s="58">
        <f>IFERROR($BP765/$BP766-1,"")</f>
        <v/>
      </c>
      <c r="FB765" s="58">
        <f>IFERROR($BQ765/$BQ766-1,"")</f>
        <v/>
      </c>
      <c r="FC765" s="58">
        <f>IFERROR($BR765/$BR766-1,"")</f>
        <v/>
      </c>
      <c r="FD765" s="58">
        <f>IFERROR($BS765/$BS766-1,"")</f>
        <v/>
      </c>
      <c r="FE765" s="58">
        <f>IFERROR($BT765/$BT766-1,"")</f>
        <v/>
      </c>
      <c r="FF765" s="58">
        <f>IFERROR($BU765/$BU766-1,"")</f>
        <v/>
      </c>
      <c r="FG765" s="58">
        <f>IFERROR($BV765/$BV766-1,"")</f>
        <v/>
      </c>
      <c r="FH765" s="58">
        <f>IFERROR($BW765/$BW766-1,"")</f>
        <v/>
      </c>
      <c r="FI765" s="58">
        <f>IFERROR($BX765/$BX766-1,"")</f>
        <v/>
      </c>
      <c r="FJ765" s="59">
        <f>$BY765-$BY766</f>
        <v/>
      </c>
      <c r="FK765" s="59">
        <f>$BZ765-$BZ766</f>
        <v/>
      </c>
      <c r="FL765" s="59">
        <f>$CA765-$CA766</f>
        <v/>
      </c>
      <c r="FM765" s="59">
        <f>$CB765-$CB766</f>
        <v/>
      </c>
      <c r="FN765" s="59">
        <f>$CC765-$CC766</f>
        <v/>
      </c>
      <c r="FO765" s="59">
        <f>$CD765-$CD766</f>
        <v/>
      </c>
      <c r="FP765" s="59">
        <f>$CE765-$CE766</f>
        <v/>
      </c>
      <c r="FQ765" s="59">
        <f>$CF765-$CF766</f>
        <v/>
      </c>
      <c r="FR765" s="59">
        <f>$CG765-$CG766</f>
        <v/>
      </c>
      <c r="FS765" s="59">
        <f>$CH765-$CH766</f>
        <v/>
      </c>
      <c r="FT765" s="59">
        <f>$CI765-$CI766</f>
        <v/>
      </c>
      <c r="FU765" s="59">
        <f>$CJ765-$CJ766</f>
        <v/>
      </c>
      <c r="FV765" s="59">
        <f>$CK765-$CK766</f>
        <v/>
      </c>
      <c r="FW765" s="59">
        <f>$CL765-$CL766</f>
        <v/>
      </c>
      <c r="FX765" s="59">
        <f>$CM765-$CM766</f>
        <v/>
      </c>
      <c r="FY765" s="59">
        <f>$CN765-$CN766</f>
        <v/>
      </c>
      <c r="FZ765" s="59">
        <f>$CO765-$CO766</f>
        <v/>
      </c>
      <c r="GA765" s="59">
        <f>$CP765-$CP766</f>
        <v/>
      </c>
      <c r="GB765" s="59">
        <f>$CQ765-$CQ766</f>
        <v/>
      </c>
      <c r="GC765" s="59">
        <f>$CR765-$CR766</f>
        <v/>
      </c>
      <c r="GD765" s="59">
        <f>$CS765-$CS766</f>
        <v/>
      </c>
      <c r="GE765" s="59">
        <f>$CT765-$CT766</f>
        <v/>
      </c>
    </row>
    <row r="766">
      <c r="CU766" s="58">
        <f>IFERROR($B766/$B767-1,"")</f>
        <v/>
      </c>
      <c r="CV766" s="59">
        <f>($F766-$F767)*100</f>
        <v/>
      </c>
      <c r="CW766" s="59">
        <f>($E766-$E767)*100</f>
        <v/>
      </c>
      <c r="CX766" s="58">
        <f>IFERROR($K766/$K767-1,"")</f>
        <v/>
      </c>
      <c r="CY766" s="59">
        <f>($AH766-$AH767)*100</f>
        <v/>
      </c>
      <c r="CZ766" s="59">
        <f>($AI766-$AI767)*100</f>
        <v/>
      </c>
      <c r="DA766" s="59">
        <f>($AJ766-$AJ767)*100</f>
        <v/>
      </c>
      <c r="DB766" s="59">
        <f>($AK766-$AK767)*100</f>
        <v/>
      </c>
      <c r="DC766" s="59">
        <f>($AL766-$AL767)*100</f>
        <v/>
      </c>
      <c r="DD766" s="59">
        <f>($AM766-$AM767)*100</f>
        <v/>
      </c>
      <c r="DE766" s="59">
        <f>($AN766-$AN767)*100</f>
        <v/>
      </c>
      <c r="DF766" s="59">
        <f>($AO766-$AO767)*100</f>
        <v/>
      </c>
      <c r="DG766" s="59">
        <f>($AP766-$AP767)*100</f>
        <v/>
      </c>
      <c r="DH766" s="59">
        <f>($AQ766-$AQ767)*100</f>
        <v/>
      </c>
      <c r="DI766" s="59">
        <f>($AR766-$AR767)*100</f>
        <v/>
      </c>
      <c r="DJ766" s="59">
        <f>($AS766-$AS767)*100</f>
        <v/>
      </c>
      <c r="DK766" s="59">
        <f>($AT766-$AT767)*100</f>
        <v/>
      </c>
      <c r="DL766" s="59">
        <f>($AU766-$AU767)*100</f>
        <v/>
      </c>
      <c r="DM766" s="59">
        <f>($AV766-$AV767)*100</f>
        <v/>
      </c>
      <c r="DN766" s="59">
        <f>($AW766-$AW767)*100</f>
        <v/>
      </c>
      <c r="DO766" s="59">
        <f>($AX766-$AX767)*100</f>
        <v/>
      </c>
      <c r="DP766" s="59">
        <f>($AY766-$AY767)*100</f>
        <v/>
      </c>
      <c r="DQ766" s="59">
        <f>($AZ766-$AZ767)*100</f>
        <v/>
      </c>
      <c r="DR766" s="59">
        <f>($BA766-$BA767)*100</f>
        <v/>
      </c>
      <c r="DS766" s="58">
        <f>IFERROR($N767/$N766-1,"")</f>
        <v/>
      </c>
      <c r="DT766" s="58">
        <f>IFERROR($O767/$O766-1,"")</f>
        <v/>
      </c>
      <c r="DU766" s="58">
        <f>IFERROR($P767/$P766-1,"")</f>
        <v/>
      </c>
      <c r="DV766" s="58">
        <f>IFERROR($Q767/$Q766-1,"")</f>
        <v/>
      </c>
      <c r="DW766" s="58">
        <f>IFERROR($R767/$R766-1,"")</f>
        <v/>
      </c>
      <c r="DX766" s="58">
        <f>IFERROR($S767/$S766-1,"")</f>
        <v/>
      </c>
      <c r="DY766" s="58">
        <f>IFERROR($T767/$T766-1,"")</f>
        <v/>
      </c>
      <c r="DZ766" s="58">
        <f>IFERROR($U767/$U766-1,"")</f>
        <v/>
      </c>
      <c r="EA766" s="58">
        <f>IFERROR($V767/$V766-1,"")</f>
        <v/>
      </c>
      <c r="EB766" s="58">
        <f>IFERROR($W767/$W766-1,"")</f>
        <v/>
      </c>
      <c r="EC766" s="58">
        <f>IFERROR($X767/$X766-1,"")</f>
        <v/>
      </c>
      <c r="ED766" s="58">
        <f>IFERROR($Y767/$Y766-1,"")</f>
        <v/>
      </c>
      <c r="EE766" s="58">
        <f>IFERROR($Z767/$Z766-1,"")</f>
        <v/>
      </c>
      <c r="EF766" s="58">
        <f>IFERROR($AA767/$AA766-1,"")</f>
        <v/>
      </c>
      <c r="EG766" s="58">
        <f>IFERROR($AB767/$AB766-1,"")</f>
        <v/>
      </c>
      <c r="EH766" s="58">
        <f>IFERROR($AC767/$AC766-1,"")</f>
        <v/>
      </c>
      <c r="EI766" s="58">
        <f>IFERROR($AD767/$AD766-1,"")</f>
        <v/>
      </c>
      <c r="EJ766" s="58">
        <f>IFERROR($AE767/$AE766-1,"")</f>
        <v/>
      </c>
      <c r="EK766" s="58">
        <f>IFERROR($AF767/$AF766-1,"")</f>
        <v/>
      </c>
      <c r="EL766" s="58">
        <f>IFERROR($AG767/$AG766-1,"")</f>
        <v/>
      </c>
      <c r="EM766" s="58">
        <f>IFERROR($BB766/$BB767-1,"")</f>
        <v/>
      </c>
      <c r="EN766" s="58">
        <f>IFERROR($BC766/$BC767-1,"")</f>
        <v/>
      </c>
      <c r="EO766" s="58">
        <f>IFERROR($BD766/$BD767-1,"")</f>
        <v/>
      </c>
      <c r="EP766" s="58">
        <f>IFERROR($BE766/$BE767-1,"")</f>
        <v/>
      </c>
      <c r="EQ766" s="58">
        <f>IFERROR($BF766/$BF767-1,"")</f>
        <v/>
      </c>
      <c r="ER766" s="58">
        <f>IFERROR($BG766/$BG767-1,"")</f>
        <v/>
      </c>
      <c r="ES766" s="58">
        <f>IFERROR($BH766/$BH767-1,"")</f>
        <v/>
      </c>
      <c r="ET766" s="58">
        <f>IFERROR($BI766/$BI767-1,"")</f>
        <v/>
      </c>
      <c r="EU766" s="58">
        <f>IFERROR($BJ766/$BJ767-1,"")</f>
        <v/>
      </c>
      <c r="EV766" s="58">
        <f>IFERROR($BK766/$BK767-1,"")</f>
        <v/>
      </c>
      <c r="EW766" s="58">
        <f>IFERROR($BL766/$BL767-1,"")</f>
        <v/>
      </c>
      <c r="EX766" s="58">
        <f>IFERROR($BM766/$BM767-1,"")</f>
        <v/>
      </c>
      <c r="EY766" s="58">
        <f>IFERROR($BN766/$BN767-1,"")</f>
        <v/>
      </c>
      <c r="EZ766" s="58">
        <f>IFERROR($BO766/$BO767-1,"")</f>
        <v/>
      </c>
      <c r="FA766" s="58">
        <f>IFERROR($BP766/$BP767-1,"")</f>
        <v/>
      </c>
      <c r="FB766" s="58">
        <f>IFERROR($BQ766/$BQ767-1,"")</f>
        <v/>
      </c>
      <c r="FC766" s="58">
        <f>IFERROR($BR766/$BR767-1,"")</f>
        <v/>
      </c>
      <c r="FD766" s="58">
        <f>IFERROR($BS766/$BS767-1,"")</f>
        <v/>
      </c>
      <c r="FE766" s="58">
        <f>IFERROR($BT766/$BT767-1,"")</f>
        <v/>
      </c>
      <c r="FF766" s="58">
        <f>IFERROR($BU766/$BU767-1,"")</f>
        <v/>
      </c>
      <c r="FG766" s="58">
        <f>IFERROR($BV766/$BV767-1,"")</f>
        <v/>
      </c>
      <c r="FH766" s="58">
        <f>IFERROR($BW766/$BW767-1,"")</f>
        <v/>
      </c>
      <c r="FI766" s="58">
        <f>IFERROR($BX766/$BX767-1,"")</f>
        <v/>
      </c>
      <c r="FJ766" s="59">
        <f>$BY766-$BY767</f>
        <v/>
      </c>
      <c r="FK766" s="59">
        <f>$BZ766-$BZ767</f>
        <v/>
      </c>
      <c r="FL766" s="59">
        <f>$CA766-$CA767</f>
        <v/>
      </c>
      <c r="FM766" s="59">
        <f>$CB766-$CB767</f>
        <v/>
      </c>
      <c r="FN766" s="59">
        <f>$CC766-$CC767</f>
        <v/>
      </c>
      <c r="FO766" s="59">
        <f>$CD766-$CD767</f>
        <v/>
      </c>
      <c r="FP766" s="59">
        <f>$CE766-$CE767</f>
        <v/>
      </c>
      <c r="FQ766" s="59">
        <f>$CF766-$CF767</f>
        <v/>
      </c>
      <c r="FR766" s="59">
        <f>$CG766-$CG767</f>
        <v/>
      </c>
      <c r="FS766" s="59">
        <f>$CH766-$CH767</f>
        <v/>
      </c>
      <c r="FT766" s="59">
        <f>$CI766-$CI767</f>
        <v/>
      </c>
      <c r="FU766" s="59">
        <f>$CJ766-$CJ767</f>
        <v/>
      </c>
      <c r="FV766" s="59">
        <f>$CK766-$CK767</f>
        <v/>
      </c>
      <c r="FW766" s="59">
        <f>$CL766-$CL767</f>
        <v/>
      </c>
      <c r="FX766" s="59">
        <f>$CM766-$CM767</f>
        <v/>
      </c>
      <c r="FY766" s="59">
        <f>$CN766-$CN767</f>
        <v/>
      </c>
      <c r="FZ766" s="59">
        <f>$CO766-$CO767</f>
        <v/>
      </c>
      <c r="GA766" s="59">
        <f>$CP766-$CP767</f>
        <v/>
      </c>
      <c r="GB766" s="59">
        <f>$CQ766-$CQ767</f>
        <v/>
      </c>
      <c r="GC766" s="59">
        <f>$CR766-$CR767</f>
        <v/>
      </c>
      <c r="GD766" s="59">
        <f>$CS766-$CS767</f>
        <v/>
      </c>
      <c r="GE766" s="59">
        <f>$CT766-$CT767</f>
        <v/>
      </c>
    </row>
    <row r="767">
      <c r="CU767" s="58">
        <f>IFERROR($B767/$B768-1,"")</f>
        <v/>
      </c>
      <c r="CV767" s="59">
        <f>($F767-$F768)*100</f>
        <v/>
      </c>
      <c r="CW767" s="59">
        <f>($E767-$E768)*100</f>
        <v/>
      </c>
      <c r="CX767" s="58">
        <f>IFERROR($K767/$K768-1,"")</f>
        <v/>
      </c>
      <c r="CY767" s="59">
        <f>($AH767-$AH768)*100</f>
        <v/>
      </c>
      <c r="CZ767" s="59">
        <f>($AI767-$AI768)*100</f>
        <v/>
      </c>
      <c r="DA767" s="59">
        <f>($AJ767-$AJ768)*100</f>
        <v/>
      </c>
      <c r="DB767" s="59">
        <f>($AK767-$AK768)*100</f>
        <v/>
      </c>
      <c r="DC767" s="59">
        <f>($AL767-$AL768)*100</f>
        <v/>
      </c>
      <c r="DD767" s="59">
        <f>($AM767-$AM768)*100</f>
        <v/>
      </c>
      <c r="DE767" s="59">
        <f>($AN767-$AN768)*100</f>
        <v/>
      </c>
      <c r="DF767" s="59">
        <f>($AO767-$AO768)*100</f>
        <v/>
      </c>
      <c r="DG767" s="59">
        <f>($AP767-$AP768)*100</f>
        <v/>
      </c>
      <c r="DH767" s="59">
        <f>($AQ767-$AQ768)*100</f>
        <v/>
      </c>
      <c r="DI767" s="59">
        <f>($AR767-$AR768)*100</f>
        <v/>
      </c>
      <c r="DJ767" s="59">
        <f>($AS767-$AS768)*100</f>
        <v/>
      </c>
      <c r="DK767" s="59">
        <f>($AT767-$AT768)*100</f>
        <v/>
      </c>
      <c r="DL767" s="59">
        <f>($AU767-$AU768)*100</f>
        <v/>
      </c>
      <c r="DM767" s="59">
        <f>($AV767-$AV768)*100</f>
        <v/>
      </c>
      <c r="DN767" s="59">
        <f>($AW767-$AW768)*100</f>
        <v/>
      </c>
      <c r="DO767" s="59">
        <f>($AX767-$AX768)*100</f>
        <v/>
      </c>
      <c r="DP767" s="59">
        <f>($AY767-$AY768)*100</f>
        <v/>
      </c>
      <c r="DQ767" s="59">
        <f>($AZ767-$AZ768)*100</f>
        <v/>
      </c>
      <c r="DR767" s="59">
        <f>($BA767-$BA768)*100</f>
        <v/>
      </c>
      <c r="DS767" s="58">
        <f>IFERROR($N768/$N767-1,"")</f>
        <v/>
      </c>
      <c r="DT767" s="58">
        <f>IFERROR($O768/$O767-1,"")</f>
        <v/>
      </c>
      <c r="DU767" s="58">
        <f>IFERROR($P768/$P767-1,"")</f>
        <v/>
      </c>
      <c r="DV767" s="58">
        <f>IFERROR($Q768/$Q767-1,"")</f>
        <v/>
      </c>
      <c r="DW767" s="58">
        <f>IFERROR($R768/$R767-1,"")</f>
        <v/>
      </c>
      <c r="DX767" s="58">
        <f>IFERROR($S768/$S767-1,"")</f>
        <v/>
      </c>
      <c r="DY767" s="58">
        <f>IFERROR($T768/$T767-1,"")</f>
        <v/>
      </c>
      <c r="DZ767" s="58">
        <f>IFERROR($U768/$U767-1,"")</f>
        <v/>
      </c>
      <c r="EA767" s="58">
        <f>IFERROR($V768/$V767-1,"")</f>
        <v/>
      </c>
      <c r="EB767" s="58">
        <f>IFERROR($W768/$W767-1,"")</f>
        <v/>
      </c>
      <c r="EC767" s="58">
        <f>IFERROR($X768/$X767-1,"")</f>
        <v/>
      </c>
      <c r="ED767" s="58">
        <f>IFERROR($Y768/$Y767-1,"")</f>
        <v/>
      </c>
      <c r="EE767" s="58">
        <f>IFERROR($Z768/$Z767-1,"")</f>
        <v/>
      </c>
      <c r="EF767" s="58">
        <f>IFERROR($AA768/$AA767-1,"")</f>
        <v/>
      </c>
      <c r="EG767" s="58">
        <f>IFERROR($AB768/$AB767-1,"")</f>
        <v/>
      </c>
      <c r="EH767" s="58">
        <f>IFERROR($AC768/$AC767-1,"")</f>
        <v/>
      </c>
      <c r="EI767" s="58">
        <f>IFERROR($AD768/$AD767-1,"")</f>
        <v/>
      </c>
      <c r="EJ767" s="58">
        <f>IFERROR($AE768/$AE767-1,"")</f>
        <v/>
      </c>
      <c r="EK767" s="58">
        <f>IFERROR($AF768/$AF767-1,"")</f>
        <v/>
      </c>
      <c r="EL767" s="58">
        <f>IFERROR($AG768/$AG767-1,"")</f>
        <v/>
      </c>
      <c r="EM767" s="58">
        <f>IFERROR($BB767/$BB768-1,"")</f>
        <v/>
      </c>
      <c r="EN767" s="58">
        <f>IFERROR($BC767/$BC768-1,"")</f>
        <v/>
      </c>
      <c r="EO767" s="58">
        <f>IFERROR($BD767/$BD768-1,"")</f>
        <v/>
      </c>
      <c r="EP767" s="58">
        <f>IFERROR($BE767/$BE768-1,"")</f>
        <v/>
      </c>
      <c r="EQ767" s="58">
        <f>IFERROR($BF767/$BF768-1,"")</f>
        <v/>
      </c>
      <c r="ER767" s="58">
        <f>IFERROR($BG767/$BG768-1,"")</f>
        <v/>
      </c>
      <c r="ES767" s="58">
        <f>IFERROR($BH767/$BH768-1,"")</f>
        <v/>
      </c>
      <c r="ET767" s="58">
        <f>IFERROR($BI767/$BI768-1,"")</f>
        <v/>
      </c>
      <c r="EU767" s="58">
        <f>IFERROR($BJ767/$BJ768-1,"")</f>
        <v/>
      </c>
      <c r="EV767" s="58">
        <f>IFERROR($BK767/$BK768-1,"")</f>
        <v/>
      </c>
      <c r="EW767" s="58">
        <f>IFERROR($BL767/$BL768-1,"")</f>
        <v/>
      </c>
      <c r="EX767" s="58">
        <f>IFERROR($BM767/$BM768-1,"")</f>
        <v/>
      </c>
      <c r="EY767" s="58">
        <f>IFERROR($BN767/$BN768-1,"")</f>
        <v/>
      </c>
      <c r="EZ767" s="58">
        <f>IFERROR($BO767/$BO768-1,"")</f>
        <v/>
      </c>
      <c r="FA767" s="58">
        <f>IFERROR($BP767/$BP768-1,"")</f>
        <v/>
      </c>
      <c r="FB767" s="58">
        <f>IFERROR($BQ767/$BQ768-1,"")</f>
        <v/>
      </c>
      <c r="FC767" s="58">
        <f>IFERROR($BR767/$BR768-1,"")</f>
        <v/>
      </c>
      <c r="FD767" s="58">
        <f>IFERROR($BS767/$BS768-1,"")</f>
        <v/>
      </c>
      <c r="FE767" s="58">
        <f>IFERROR($BT767/$BT768-1,"")</f>
        <v/>
      </c>
      <c r="FF767" s="58">
        <f>IFERROR($BU767/$BU768-1,"")</f>
        <v/>
      </c>
      <c r="FG767" s="58">
        <f>IFERROR($BV767/$BV768-1,"")</f>
        <v/>
      </c>
      <c r="FH767" s="58">
        <f>IFERROR($BW767/$BW768-1,"")</f>
        <v/>
      </c>
      <c r="FI767" s="58">
        <f>IFERROR($BX767/$BX768-1,"")</f>
        <v/>
      </c>
      <c r="FJ767" s="59">
        <f>$BY767-$BY768</f>
        <v/>
      </c>
      <c r="FK767" s="59">
        <f>$BZ767-$BZ768</f>
        <v/>
      </c>
      <c r="FL767" s="59">
        <f>$CA767-$CA768</f>
        <v/>
      </c>
      <c r="FM767" s="59">
        <f>$CB767-$CB768</f>
        <v/>
      </c>
      <c r="FN767" s="59">
        <f>$CC767-$CC768</f>
        <v/>
      </c>
      <c r="FO767" s="59">
        <f>$CD767-$CD768</f>
        <v/>
      </c>
      <c r="FP767" s="59">
        <f>$CE767-$CE768</f>
        <v/>
      </c>
      <c r="FQ767" s="59">
        <f>$CF767-$CF768</f>
        <v/>
      </c>
      <c r="FR767" s="59">
        <f>$CG767-$CG768</f>
        <v/>
      </c>
      <c r="FS767" s="59">
        <f>$CH767-$CH768</f>
        <v/>
      </c>
      <c r="FT767" s="59">
        <f>$CI767-$CI768</f>
        <v/>
      </c>
      <c r="FU767" s="59">
        <f>$CJ767-$CJ768</f>
        <v/>
      </c>
      <c r="FV767" s="59">
        <f>$CK767-$CK768</f>
        <v/>
      </c>
      <c r="FW767" s="59">
        <f>$CL767-$CL768</f>
        <v/>
      </c>
      <c r="FX767" s="59">
        <f>$CM767-$CM768</f>
        <v/>
      </c>
      <c r="FY767" s="59">
        <f>$CN767-$CN768</f>
        <v/>
      </c>
      <c r="FZ767" s="59">
        <f>$CO767-$CO768</f>
        <v/>
      </c>
      <c r="GA767" s="59">
        <f>$CP767-$CP768</f>
        <v/>
      </c>
      <c r="GB767" s="59">
        <f>$CQ767-$CQ768</f>
        <v/>
      </c>
      <c r="GC767" s="59">
        <f>$CR767-$CR768</f>
        <v/>
      </c>
      <c r="GD767" s="59">
        <f>$CS767-$CS768</f>
        <v/>
      </c>
      <c r="GE767" s="59">
        <f>$CT767-$CT768</f>
        <v/>
      </c>
    </row>
    <row r="768">
      <c r="CU768" s="58">
        <f>IFERROR($B768/$B769-1,"")</f>
        <v/>
      </c>
      <c r="CV768" s="59">
        <f>($F768-$F769)*100</f>
        <v/>
      </c>
      <c r="CW768" s="59">
        <f>($E768-$E769)*100</f>
        <v/>
      </c>
      <c r="CX768" s="58">
        <f>IFERROR($K768/$K769-1,"")</f>
        <v/>
      </c>
      <c r="CY768" s="59">
        <f>($AH768-$AH769)*100</f>
        <v/>
      </c>
      <c r="CZ768" s="59">
        <f>($AI768-$AI769)*100</f>
        <v/>
      </c>
      <c r="DA768" s="59">
        <f>($AJ768-$AJ769)*100</f>
        <v/>
      </c>
      <c r="DB768" s="59">
        <f>($AK768-$AK769)*100</f>
        <v/>
      </c>
      <c r="DC768" s="59">
        <f>($AL768-$AL769)*100</f>
        <v/>
      </c>
      <c r="DD768" s="59">
        <f>($AM768-$AM769)*100</f>
        <v/>
      </c>
      <c r="DE768" s="59">
        <f>($AN768-$AN769)*100</f>
        <v/>
      </c>
      <c r="DF768" s="59">
        <f>($AO768-$AO769)*100</f>
        <v/>
      </c>
      <c r="DG768" s="59">
        <f>($AP768-$AP769)*100</f>
        <v/>
      </c>
      <c r="DH768" s="59">
        <f>($AQ768-$AQ769)*100</f>
        <v/>
      </c>
      <c r="DI768" s="59">
        <f>($AR768-$AR769)*100</f>
        <v/>
      </c>
      <c r="DJ768" s="59">
        <f>($AS768-$AS769)*100</f>
        <v/>
      </c>
      <c r="DK768" s="59">
        <f>($AT768-$AT769)*100</f>
        <v/>
      </c>
      <c r="DL768" s="59">
        <f>($AU768-$AU769)*100</f>
        <v/>
      </c>
      <c r="DM768" s="59">
        <f>($AV768-$AV769)*100</f>
        <v/>
      </c>
      <c r="DN768" s="59">
        <f>($AW768-$AW769)*100</f>
        <v/>
      </c>
      <c r="DO768" s="59">
        <f>($AX768-$AX769)*100</f>
        <v/>
      </c>
      <c r="DP768" s="59">
        <f>($AY768-$AY769)*100</f>
        <v/>
      </c>
      <c r="DQ768" s="59">
        <f>($AZ768-$AZ769)*100</f>
        <v/>
      </c>
      <c r="DR768" s="59">
        <f>($BA768-$BA769)*100</f>
        <v/>
      </c>
      <c r="DS768" s="58">
        <f>IFERROR($N769/$N768-1,"")</f>
        <v/>
      </c>
      <c r="DT768" s="58">
        <f>IFERROR($O769/$O768-1,"")</f>
        <v/>
      </c>
      <c r="DU768" s="58">
        <f>IFERROR($P769/$P768-1,"")</f>
        <v/>
      </c>
      <c r="DV768" s="58">
        <f>IFERROR($Q769/$Q768-1,"")</f>
        <v/>
      </c>
      <c r="DW768" s="58">
        <f>IFERROR($R769/$R768-1,"")</f>
        <v/>
      </c>
      <c r="DX768" s="58">
        <f>IFERROR($S769/$S768-1,"")</f>
        <v/>
      </c>
      <c r="DY768" s="58">
        <f>IFERROR($T769/$T768-1,"")</f>
        <v/>
      </c>
      <c r="DZ768" s="58">
        <f>IFERROR($U769/$U768-1,"")</f>
        <v/>
      </c>
      <c r="EA768" s="58">
        <f>IFERROR($V769/$V768-1,"")</f>
        <v/>
      </c>
      <c r="EB768" s="58">
        <f>IFERROR($W769/$W768-1,"")</f>
        <v/>
      </c>
      <c r="EC768" s="58">
        <f>IFERROR($X769/$X768-1,"")</f>
        <v/>
      </c>
      <c r="ED768" s="58">
        <f>IFERROR($Y769/$Y768-1,"")</f>
        <v/>
      </c>
      <c r="EE768" s="58">
        <f>IFERROR($Z769/$Z768-1,"")</f>
        <v/>
      </c>
      <c r="EF768" s="58">
        <f>IFERROR($AA769/$AA768-1,"")</f>
        <v/>
      </c>
      <c r="EG768" s="58">
        <f>IFERROR($AB769/$AB768-1,"")</f>
        <v/>
      </c>
      <c r="EH768" s="58">
        <f>IFERROR($AC769/$AC768-1,"")</f>
        <v/>
      </c>
      <c r="EI768" s="58">
        <f>IFERROR($AD769/$AD768-1,"")</f>
        <v/>
      </c>
      <c r="EJ768" s="58">
        <f>IFERROR($AE769/$AE768-1,"")</f>
        <v/>
      </c>
      <c r="EK768" s="58">
        <f>IFERROR($AF769/$AF768-1,"")</f>
        <v/>
      </c>
      <c r="EL768" s="58">
        <f>IFERROR($AG769/$AG768-1,"")</f>
        <v/>
      </c>
      <c r="EM768" s="58">
        <f>IFERROR($BB768/$BB769-1,"")</f>
        <v/>
      </c>
      <c r="EN768" s="58">
        <f>IFERROR($BC768/$BC769-1,"")</f>
        <v/>
      </c>
      <c r="EO768" s="58">
        <f>IFERROR($BD768/$BD769-1,"")</f>
        <v/>
      </c>
      <c r="EP768" s="58">
        <f>IFERROR($BE768/$BE769-1,"")</f>
        <v/>
      </c>
      <c r="EQ768" s="58">
        <f>IFERROR($BF768/$BF769-1,"")</f>
        <v/>
      </c>
      <c r="ER768" s="58">
        <f>IFERROR($BG768/$BG769-1,"")</f>
        <v/>
      </c>
      <c r="ES768" s="58">
        <f>IFERROR($BH768/$BH769-1,"")</f>
        <v/>
      </c>
      <c r="ET768" s="58">
        <f>IFERROR($BI768/$BI769-1,"")</f>
        <v/>
      </c>
      <c r="EU768" s="58">
        <f>IFERROR($BJ768/$BJ769-1,"")</f>
        <v/>
      </c>
      <c r="EV768" s="58">
        <f>IFERROR($BK768/$BK769-1,"")</f>
        <v/>
      </c>
      <c r="EW768" s="58">
        <f>IFERROR($BL768/$BL769-1,"")</f>
        <v/>
      </c>
      <c r="EX768" s="58">
        <f>IFERROR($BM768/$BM769-1,"")</f>
        <v/>
      </c>
      <c r="EY768" s="58">
        <f>IFERROR($BN768/$BN769-1,"")</f>
        <v/>
      </c>
      <c r="EZ768" s="58">
        <f>IFERROR($BO768/$BO769-1,"")</f>
        <v/>
      </c>
      <c r="FA768" s="58">
        <f>IFERROR($BP768/$BP769-1,"")</f>
        <v/>
      </c>
      <c r="FB768" s="58">
        <f>IFERROR($BQ768/$BQ769-1,"")</f>
        <v/>
      </c>
      <c r="FC768" s="58">
        <f>IFERROR($BR768/$BR769-1,"")</f>
        <v/>
      </c>
      <c r="FD768" s="58">
        <f>IFERROR($BS768/$BS769-1,"")</f>
        <v/>
      </c>
      <c r="FE768" s="58">
        <f>IFERROR($BT768/$BT769-1,"")</f>
        <v/>
      </c>
      <c r="FF768" s="58">
        <f>IFERROR($BU768/$BU769-1,"")</f>
        <v/>
      </c>
      <c r="FG768" s="58">
        <f>IFERROR($BV768/$BV769-1,"")</f>
        <v/>
      </c>
      <c r="FH768" s="58">
        <f>IFERROR($BW768/$BW769-1,"")</f>
        <v/>
      </c>
      <c r="FI768" s="58">
        <f>IFERROR($BX768/$BX769-1,"")</f>
        <v/>
      </c>
      <c r="FJ768" s="59">
        <f>$BY768-$BY769</f>
        <v/>
      </c>
      <c r="FK768" s="59">
        <f>$BZ768-$BZ769</f>
        <v/>
      </c>
      <c r="FL768" s="59">
        <f>$CA768-$CA769</f>
        <v/>
      </c>
      <c r="FM768" s="59">
        <f>$CB768-$CB769</f>
        <v/>
      </c>
      <c r="FN768" s="59">
        <f>$CC768-$CC769</f>
        <v/>
      </c>
      <c r="FO768" s="59">
        <f>$CD768-$CD769</f>
        <v/>
      </c>
      <c r="FP768" s="59">
        <f>$CE768-$CE769</f>
        <v/>
      </c>
      <c r="FQ768" s="59">
        <f>$CF768-$CF769</f>
        <v/>
      </c>
      <c r="FR768" s="59">
        <f>$CG768-$CG769</f>
        <v/>
      </c>
      <c r="FS768" s="59">
        <f>$CH768-$CH769</f>
        <v/>
      </c>
      <c r="FT768" s="59">
        <f>$CI768-$CI769</f>
        <v/>
      </c>
      <c r="FU768" s="59">
        <f>$CJ768-$CJ769</f>
        <v/>
      </c>
      <c r="FV768" s="59">
        <f>$CK768-$CK769</f>
        <v/>
      </c>
      <c r="FW768" s="59">
        <f>$CL768-$CL769</f>
        <v/>
      </c>
      <c r="FX768" s="59">
        <f>$CM768-$CM769</f>
        <v/>
      </c>
      <c r="FY768" s="59">
        <f>$CN768-$CN769</f>
        <v/>
      </c>
      <c r="FZ768" s="59">
        <f>$CO768-$CO769</f>
        <v/>
      </c>
      <c r="GA768" s="59">
        <f>$CP768-$CP769</f>
        <v/>
      </c>
      <c r="GB768" s="59">
        <f>$CQ768-$CQ769</f>
        <v/>
      </c>
      <c r="GC768" s="59">
        <f>$CR768-$CR769</f>
        <v/>
      </c>
      <c r="GD768" s="59">
        <f>$CS768-$CS769</f>
        <v/>
      </c>
      <c r="GE768" s="59">
        <f>$CT768-$CT769</f>
        <v/>
      </c>
    </row>
    <row r="769">
      <c r="CU769" s="58">
        <f>IFERROR($B769/$B770-1,"")</f>
        <v/>
      </c>
      <c r="CV769" s="59">
        <f>($F769-$F770)*100</f>
        <v/>
      </c>
      <c r="CW769" s="59">
        <f>($E769-$E770)*100</f>
        <v/>
      </c>
      <c r="CX769" s="58">
        <f>IFERROR($K769/$K770-1,"")</f>
        <v/>
      </c>
      <c r="CY769" s="59">
        <f>($AH769-$AH770)*100</f>
        <v/>
      </c>
      <c r="CZ769" s="59">
        <f>($AI769-$AI770)*100</f>
        <v/>
      </c>
      <c r="DA769" s="59">
        <f>($AJ769-$AJ770)*100</f>
        <v/>
      </c>
      <c r="DB769" s="59">
        <f>($AK769-$AK770)*100</f>
        <v/>
      </c>
      <c r="DC769" s="59">
        <f>($AL769-$AL770)*100</f>
        <v/>
      </c>
      <c r="DD769" s="59">
        <f>($AM769-$AM770)*100</f>
        <v/>
      </c>
      <c r="DE769" s="59">
        <f>($AN769-$AN770)*100</f>
        <v/>
      </c>
      <c r="DF769" s="59">
        <f>($AO769-$AO770)*100</f>
        <v/>
      </c>
      <c r="DG769" s="59">
        <f>($AP769-$AP770)*100</f>
        <v/>
      </c>
      <c r="DH769" s="59">
        <f>($AQ769-$AQ770)*100</f>
        <v/>
      </c>
      <c r="DI769" s="59">
        <f>($AR769-$AR770)*100</f>
        <v/>
      </c>
      <c r="DJ769" s="59">
        <f>($AS769-$AS770)*100</f>
        <v/>
      </c>
      <c r="DK769" s="59">
        <f>($AT769-$AT770)*100</f>
        <v/>
      </c>
      <c r="DL769" s="59">
        <f>($AU769-$AU770)*100</f>
        <v/>
      </c>
      <c r="DM769" s="59">
        <f>($AV769-$AV770)*100</f>
        <v/>
      </c>
      <c r="DN769" s="59">
        <f>($AW769-$AW770)*100</f>
        <v/>
      </c>
      <c r="DO769" s="59">
        <f>($AX769-$AX770)*100</f>
        <v/>
      </c>
      <c r="DP769" s="59">
        <f>($AY769-$AY770)*100</f>
        <v/>
      </c>
      <c r="DQ769" s="59">
        <f>($AZ769-$AZ770)*100</f>
        <v/>
      </c>
      <c r="DR769" s="59">
        <f>($BA769-$BA770)*100</f>
        <v/>
      </c>
      <c r="DS769" s="58">
        <f>IFERROR($N770/$N769-1,"")</f>
        <v/>
      </c>
      <c r="DT769" s="58">
        <f>IFERROR($O770/$O769-1,"")</f>
        <v/>
      </c>
      <c r="DU769" s="58">
        <f>IFERROR($P770/$P769-1,"")</f>
        <v/>
      </c>
      <c r="DV769" s="58">
        <f>IFERROR($Q770/$Q769-1,"")</f>
        <v/>
      </c>
      <c r="DW769" s="58">
        <f>IFERROR($R770/$R769-1,"")</f>
        <v/>
      </c>
      <c r="DX769" s="58">
        <f>IFERROR($S770/$S769-1,"")</f>
        <v/>
      </c>
      <c r="DY769" s="58">
        <f>IFERROR($T770/$T769-1,"")</f>
        <v/>
      </c>
      <c r="DZ769" s="58">
        <f>IFERROR($U770/$U769-1,"")</f>
        <v/>
      </c>
      <c r="EA769" s="58">
        <f>IFERROR($V770/$V769-1,"")</f>
        <v/>
      </c>
      <c r="EB769" s="58">
        <f>IFERROR($W770/$W769-1,"")</f>
        <v/>
      </c>
      <c r="EC769" s="58">
        <f>IFERROR($X770/$X769-1,"")</f>
        <v/>
      </c>
      <c r="ED769" s="58">
        <f>IFERROR($Y770/$Y769-1,"")</f>
        <v/>
      </c>
      <c r="EE769" s="58">
        <f>IFERROR($Z770/$Z769-1,"")</f>
        <v/>
      </c>
      <c r="EF769" s="58">
        <f>IFERROR($AA770/$AA769-1,"")</f>
        <v/>
      </c>
      <c r="EG769" s="58">
        <f>IFERROR($AB770/$AB769-1,"")</f>
        <v/>
      </c>
      <c r="EH769" s="58">
        <f>IFERROR($AC770/$AC769-1,"")</f>
        <v/>
      </c>
      <c r="EI769" s="58">
        <f>IFERROR($AD770/$AD769-1,"")</f>
        <v/>
      </c>
      <c r="EJ769" s="58">
        <f>IFERROR($AE770/$AE769-1,"")</f>
        <v/>
      </c>
      <c r="EK769" s="58">
        <f>IFERROR($AF770/$AF769-1,"")</f>
        <v/>
      </c>
      <c r="EL769" s="58">
        <f>IFERROR($AG770/$AG769-1,"")</f>
        <v/>
      </c>
      <c r="EM769" s="58">
        <f>IFERROR($BB769/$BB770-1,"")</f>
        <v/>
      </c>
      <c r="EN769" s="58">
        <f>IFERROR($BC769/$BC770-1,"")</f>
        <v/>
      </c>
      <c r="EO769" s="58">
        <f>IFERROR($BD769/$BD770-1,"")</f>
        <v/>
      </c>
      <c r="EP769" s="58">
        <f>IFERROR($BE769/$BE770-1,"")</f>
        <v/>
      </c>
      <c r="EQ769" s="58">
        <f>IFERROR($BF769/$BF770-1,"")</f>
        <v/>
      </c>
      <c r="ER769" s="58">
        <f>IFERROR($BG769/$BG770-1,"")</f>
        <v/>
      </c>
      <c r="ES769" s="58">
        <f>IFERROR($BH769/$BH770-1,"")</f>
        <v/>
      </c>
      <c r="ET769" s="58">
        <f>IFERROR($BI769/$BI770-1,"")</f>
        <v/>
      </c>
      <c r="EU769" s="58">
        <f>IFERROR($BJ769/$BJ770-1,"")</f>
        <v/>
      </c>
      <c r="EV769" s="58">
        <f>IFERROR($BK769/$BK770-1,"")</f>
        <v/>
      </c>
      <c r="EW769" s="58">
        <f>IFERROR($BL769/$BL770-1,"")</f>
        <v/>
      </c>
      <c r="EX769" s="58">
        <f>IFERROR($BM769/$BM770-1,"")</f>
        <v/>
      </c>
      <c r="EY769" s="58">
        <f>IFERROR($BN769/$BN770-1,"")</f>
        <v/>
      </c>
      <c r="EZ769" s="58">
        <f>IFERROR($BO769/$BO770-1,"")</f>
        <v/>
      </c>
      <c r="FA769" s="58">
        <f>IFERROR($BP769/$BP770-1,"")</f>
        <v/>
      </c>
      <c r="FB769" s="58">
        <f>IFERROR($BQ769/$BQ770-1,"")</f>
        <v/>
      </c>
      <c r="FC769" s="58">
        <f>IFERROR($BR769/$BR770-1,"")</f>
        <v/>
      </c>
      <c r="FD769" s="58">
        <f>IFERROR($BS769/$BS770-1,"")</f>
        <v/>
      </c>
      <c r="FE769" s="58">
        <f>IFERROR($BT769/$BT770-1,"")</f>
        <v/>
      </c>
      <c r="FF769" s="58">
        <f>IFERROR($BU769/$BU770-1,"")</f>
        <v/>
      </c>
      <c r="FG769" s="58">
        <f>IFERROR($BV769/$BV770-1,"")</f>
        <v/>
      </c>
      <c r="FH769" s="58">
        <f>IFERROR($BW769/$BW770-1,"")</f>
        <v/>
      </c>
      <c r="FI769" s="58">
        <f>IFERROR($BX769/$BX770-1,"")</f>
        <v/>
      </c>
      <c r="FJ769" s="59">
        <f>$BY769-$BY770</f>
        <v/>
      </c>
      <c r="FK769" s="59">
        <f>$BZ769-$BZ770</f>
        <v/>
      </c>
      <c r="FL769" s="59">
        <f>$CA769-$CA770</f>
        <v/>
      </c>
      <c r="FM769" s="59">
        <f>$CB769-$CB770</f>
        <v/>
      </c>
      <c r="FN769" s="59">
        <f>$CC769-$CC770</f>
        <v/>
      </c>
      <c r="FO769" s="59">
        <f>$CD769-$CD770</f>
        <v/>
      </c>
      <c r="FP769" s="59">
        <f>$CE769-$CE770</f>
        <v/>
      </c>
      <c r="FQ769" s="59">
        <f>$CF769-$CF770</f>
        <v/>
      </c>
      <c r="FR769" s="59">
        <f>$CG769-$CG770</f>
        <v/>
      </c>
      <c r="FS769" s="59">
        <f>$CH769-$CH770</f>
        <v/>
      </c>
      <c r="FT769" s="59">
        <f>$CI769-$CI770</f>
        <v/>
      </c>
      <c r="FU769" s="59">
        <f>$CJ769-$CJ770</f>
        <v/>
      </c>
      <c r="FV769" s="59">
        <f>$CK769-$CK770</f>
        <v/>
      </c>
      <c r="FW769" s="59">
        <f>$CL769-$CL770</f>
        <v/>
      </c>
      <c r="FX769" s="59">
        <f>$CM769-$CM770</f>
        <v/>
      </c>
      <c r="FY769" s="59">
        <f>$CN769-$CN770</f>
        <v/>
      </c>
      <c r="FZ769" s="59">
        <f>$CO769-$CO770</f>
        <v/>
      </c>
      <c r="GA769" s="59">
        <f>$CP769-$CP770</f>
        <v/>
      </c>
      <c r="GB769" s="59">
        <f>$CQ769-$CQ770</f>
        <v/>
      </c>
      <c r="GC769" s="59">
        <f>$CR769-$CR770</f>
        <v/>
      </c>
      <c r="GD769" s="59">
        <f>$CS769-$CS770</f>
        <v/>
      </c>
      <c r="GE769" s="59">
        <f>$CT769-$CT770</f>
        <v/>
      </c>
    </row>
    <row r="770">
      <c r="CU770" s="58">
        <f>IFERROR($B770/$B771-1,"")</f>
        <v/>
      </c>
      <c r="CV770" s="59">
        <f>($F770-$F771)*100</f>
        <v/>
      </c>
      <c r="CW770" s="59">
        <f>($E770-$E771)*100</f>
        <v/>
      </c>
      <c r="CX770" s="58">
        <f>IFERROR($K770/$K771-1,"")</f>
        <v/>
      </c>
      <c r="CY770" s="59">
        <f>($AH770-$AH771)*100</f>
        <v/>
      </c>
      <c r="CZ770" s="59">
        <f>($AI770-$AI771)*100</f>
        <v/>
      </c>
      <c r="DA770" s="59">
        <f>($AJ770-$AJ771)*100</f>
        <v/>
      </c>
      <c r="DB770" s="59">
        <f>($AK770-$AK771)*100</f>
        <v/>
      </c>
      <c r="DC770" s="59">
        <f>($AL770-$AL771)*100</f>
        <v/>
      </c>
      <c r="DD770" s="59">
        <f>($AM770-$AM771)*100</f>
        <v/>
      </c>
      <c r="DE770" s="59">
        <f>($AN770-$AN771)*100</f>
        <v/>
      </c>
      <c r="DF770" s="59">
        <f>($AO770-$AO771)*100</f>
        <v/>
      </c>
      <c r="DG770" s="59">
        <f>($AP770-$AP771)*100</f>
        <v/>
      </c>
      <c r="DH770" s="59">
        <f>($AQ770-$AQ771)*100</f>
        <v/>
      </c>
      <c r="DI770" s="59">
        <f>($AR770-$AR771)*100</f>
        <v/>
      </c>
      <c r="DJ770" s="59">
        <f>($AS770-$AS771)*100</f>
        <v/>
      </c>
      <c r="DK770" s="59">
        <f>($AT770-$AT771)*100</f>
        <v/>
      </c>
      <c r="DL770" s="59">
        <f>($AU770-$AU771)*100</f>
        <v/>
      </c>
      <c r="DM770" s="59">
        <f>($AV770-$AV771)*100</f>
        <v/>
      </c>
      <c r="DN770" s="59">
        <f>($AW770-$AW771)*100</f>
        <v/>
      </c>
      <c r="DO770" s="59">
        <f>($AX770-$AX771)*100</f>
        <v/>
      </c>
      <c r="DP770" s="59">
        <f>($AY770-$AY771)*100</f>
        <v/>
      </c>
      <c r="DQ770" s="59">
        <f>($AZ770-$AZ771)*100</f>
        <v/>
      </c>
      <c r="DR770" s="59">
        <f>($BA770-$BA771)*100</f>
        <v/>
      </c>
      <c r="DS770" s="58">
        <f>IFERROR($N771/$N770-1,"")</f>
        <v/>
      </c>
      <c r="DT770" s="58">
        <f>IFERROR($O771/$O770-1,"")</f>
        <v/>
      </c>
      <c r="DU770" s="58">
        <f>IFERROR($P771/$P770-1,"")</f>
        <v/>
      </c>
      <c r="DV770" s="58">
        <f>IFERROR($Q771/$Q770-1,"")</f>
        <v/>
      </c>
      <c r="DW770" s="58">
        <f>IFERROR($R771/$R770-1,"")</f>
        <v/>
      </c>
      <c r="DX770" s="58">
        <f>IFERROR($S771/$S770-1,"")</f>
        <v/>
      </c>
      <c r="DY770" s="58">
        <f>IFERROR($T771/$T770-1,"")</f>
        <v/>
      </c>
      <c r="DZ770" s="58">
        <f>IFERROR($U771/$U770-1,"")</f>
        <v/>
      </c>
      <c r="EA770" s="58">
        <f>IFERROR($V771/$V770-1,"")</f>
        <v/>
      </c>
      <c r="EB770" s="58">
        <f>IFERROR($W771/$W770-1,"")</f>
        <v/>
      </c>
      <c r="EC770" s="58">
        <f>IFERROR($X771/$X770-1,"")</f>
        <v/>
      </c>
      <c r="ED770" s="58">
        <f>IFERROR($Y771/$Y770-1,"")</f>
        <v/>
      </c>
      <c r="EE770" s="58">
        <f>IFERROR($Z771/$Z770-1,"")</f>
        <v/>
      </c>
      <c r="EF770" s="58">
        <f>IFERROR($AA771/$AA770-1,"")</f>
        <v/>
      </c>
      <c r="EG770" s="58">
        <f>IFERROR($AB771/$AB770-1,"")</f>
        <v/>
      </c>
      <c r="EH770" s="58">
        <f>IFERROR($AC771/$AC770-1,"")</f>
        <v/>
      </c>
      <c r="EI770" s="58">
        <f>IFERROR($AD771/$AD770-1,"")</f>
        <v/>
      </c>
      <c r="EJ770" s="58">
        <f>IFERROR($AE771/$AE770-1,"")</f>
        <v/>
      </c>
      <c r="EK770" s="58">
        <f>IFERROR($AF771/$AF770-1,"")</f>
        <v/>
      </c>
      <c r="EL770" s="58">
        <f>IFERROR($AG771/$AG770-1,"")</f>
        <v/>
      </c>
      <c r="EM770" s="58">
        <f>IFERROR($BB770/$BB771-1,"")</f>
        <v/>
      </c>
      <c r="EN770" s="58">
        <f>IFERROR($BC770/$BC771-1,"")</f>
        <v/>
      </c>
      <c r="EO770" s="58">
        <f>IFERROR($BD770/$BD771-1,"")</f>
        <v/>
      </c>
      <c r="EP770" s="58">
        <f>IFERROR($BE770/$BE771-1,"")</f>
        <v/>
      </c>
      <c r="EQ770" s="58">
        <f>IFERROR($BF770/$BF771-1,"")</f>
        <v/>
      </c>
      <c r="ER770" s="58">
        <f>IFERROR($BG770/$BG771-1,"")</f>
        <v/>
      </c>
      <c r="ES770" s="58">
        <f>IFERROR($BH770/$BH771-1,"")</f>
        <v/>
      </c>
      <c r="ET770" s="58">
        <f>IFERROR($BI770/$BI771-1,"")</f>
        <v/>
      </c>
      <c r="EU770" s="58">
        <f>IFERROR($BJ770/$BJ771-1,"")</f>
        <v/>
      </c>
      <c r="EV770" s="58">
        <f>IFERROR($BK770/$BK771-1,"")</f>
        <v/>
      </c>
      <c r="EW770" s="58">
        <f>IFERROR($BL770/$BL771-1,"")</f>
        <v/>
      </c>
      <c r="EX770" s="58">
        <f>IFERROR($BM770/$BM771-1,"")</f>
        <v/>
      </c>
      <c r="EY770" s="58">
        <f>IFERROR($BN770/$BN771-1,"")</f>
        <v/>
      </c>
      <c r="EZ770" s="58">
        <f>IFERROR($BO770/$BO771-1,"")</f>
        <v/>
      </c>
      <c r="FA770" s="58">
        <f>IFERROR($BP770/$BP771-1,"")</f>
        <v/>
      </c>
      <c r="FB770" s="58">
        <f>IFERROR($BQ770/$BQ771-1,"")</f>
        <v/>
      </c>
      <c r="FC770" s="58">
        <f>IFERROR($BR770/$BR771-1,"")</f>
        <v/>
      </c>
      <c r="FD770" s="58">
        <f>IFERROR($BS770/$BS771-1,"")</f>
        <v/>
      </c>
      <c r="FE770" s="58">
        <f>IFERROR($BT770/$BT771-1,"")</f>
        <v/>
      </c>
      <c r="FF770" s="58">
        <f>IFERROR($BU770/$BU771-1,"")</f>
        <v/>
      </c>
      <c r="FG770" s="58">
        <f>IFERROR($BV770/$BV771-1,"")</f>
        <v/>
      </c>
      <c r="FH770" s="58">
        <f>IFERROR($BW770/$BW771-1,"")</f>
        <v/>
      </c>
      <c r="FI770" s="58">
        <f>IFERROR($BX770/$BX771-1,"")</f>
        <v/>
      </c>
      <c r="FJ770" s="59">
        <f>$BY770-$BY771</f>
        <v/>
      </c>
      <c r="FK770" s="59">
        <f>$BZ770-$BZ771</f>
        <v/>
      </c>
      <c r="FL770" s="59">
        <f>$CA770-$CA771</f>
        <v/>
      </c>
      <c r="FM770" s="59">
        <f>$CB770-$CB771</f>
        <v/>
      </c>
      <c r="FN770" s="59">
        <f>$CC770-$CC771</f>
        <v/>
      </c>
      <c r="FO770" s="59">
        <f>$CD770-$CD771</f>
        <v/>
      </c>
      <c r="FP770" s="59">
        <f>$CE770-$CE771</f>
        <v/>
      </c>
      <c r="FQ770" s="59">
        <f>$CF770-$CF771</f>
        <v/>
      </c>
      <c r="FR770" s="59">
        <f>$CG770-$CG771</f>
        <v/>
      </c>
      <c r="FS770" s="59">
        <f>$CH770-$CH771</f>
        <v/>
      </c>
      <c r="FT770" s="59">
        <f>$CI770-$CI771</f>
        <v/>
      </c>
      <c r="FU770" s="59">
        <f>$CJ770-$CJ771</f>
        <v/>
      </c>
      <c r="FV770" s="59">
        <f>$CK770-$CK771</f>
        <v/>
      </c>
      <c r="FW770" s="59">
        <f>$CL770-$CL771</f>
        <v/>
      </c>
      <c r="FX770" s="59">
        <f>$CM770-$CM771</f>
        <v/>
      </c>
      <c r="FY770" s="59">
        <f>$CN770-$CN771</f>
        <v/>
      </c>
      <c r="FZ770" s="59">
        <f>$CO770-$CO771</f>
        <v/>
      </c>
      <c r="GA770" s="59">
        <f>$CP770-$CP771</f>
        <v/>
      </c>
      <c r="GB770" s="59">
        <f>$CQ770-$CQ771</f>
        <v/>
      </c>
      <c r="GC770" s="59">
        <f>$CR770-$CR771</f>
        <v/>
      </c>
      <c r="GD770" s="59">
        <f>$CS770-$CS771</f>
        <v/>
      </c>
      <c r="GE770" s="59">
        <f>$CT770-$CT771</f>
        <v/>
      </c>
    </row>
    <row r="771">
      <c r="CU771" s="58">
        <f>IFERROR($B771/$B772-1,"")</f>
        <v/>
      </c>
      <c r="CV771" s="59">
        <f>($F771-$F772)*100</f>
        <v/>
      </c>
      <c r="CW771" s="59">
        <f>($E771-$E772)*100</f>
        <v/>
      </c>
      <c r="CX771" s="58">
        <f>IFERROR($K771/$K772-1,"")</f>
        <v/>
      </c>
      <c r="CY771" s="59">
        <f>($AH771-$AH772)*100</f>
        <v/>
      </c>
      <c r="CZ771" s="59">
        <f>($AI771-$AI772)*100</f>
        <v/>
      </c>
      <c r="DA771" s="59">
        <f>($AJ771-$AJ772)*100</f>
        <v/>
      </c>
      <c r="DB771" s="59">
        <f>($AK771-$AK772)*100</f>
        <v/>
      </c>
      <c r="DC771" s="59">
        <f>($AL771-$AL772)*100</f>
        <v/>
      </c>
      <c r="DD771" s="59">
        <f>($AM771-$AM772)*100</f>
        <v/>
      </c>
      <c r="DE771" s="59">
        <f>($AN771-$AN772)*100</f>
        <v/>
      </c>
      <c r="DF771" s="59">
        <f>($AO771-$AO772)*100</f>
        <v/>
      </c>
      <c r="DG771" s="59">
        <f>($AP771-$AP772)*100</f>
        <v/>
      </c>
      <c r="DH771" s="59">
        <f>($AQ771-$AQ772)*100</f>
        <v/>
      </c>
      <c r="DI771" s="59">
        <f>($AR771-$AR772)*100</f>
        <v/>
      </c>
      <c r="DJ771" s="59">
        <f>($AS771-$AS772)*100</f>
        <v/>
      </c>
      <c r="DK771" s="59">
        <f>($AT771-$AT772)*100</f>
        <v/>
      </c>
      <c r="DL771" s="59">
        <f>($AU771-$AU772)*100</f>
        <v/>
      </c>
      <c r="DM771" s="59">
        <f>($AV771-$AV772)*100</f>
        <v/>
      </c>
      <c r="DN771" s="59">
        <f>($AW771-$AW772)*100</f>
        <v/>
      </c>
      <c r="DO771" s="59">
        <f>($AX771-$AX772)*100</f>
        <v/>
      </c>
      <c r="DP771" s="59">
        <f>($AY771-$AY772)*100</f>
        <v/>
      </c>
      <c r="DQ771" s="59">
        <f>($AZ771-$AZ772)*100</f>
        <v/>
      </c>
      <c r="DR771" s="59">
        <f>($BA771-$BA772)*100</f>
        <v/>
      </c>
      <c r="DS771" s="58">
        <f>IFERROR($N772/$N771-1,"")</f>
        <v/>
      </c>
      <c r="DT771" s="58">
        <f>IFERROR($O772/$O771-1,"")</f>
        <v/>
      </c>
      <c r="DU771" s="58">
        <f>IFERROR($P772/$P771-1,"")</f>
        <v/>
      </c>
      <c r="DV771" s="58">
        <f>IFERROR($Q772/$Q771-1,"")</f>
        <v/>
      </c>
      <c r="DW771" s="58">
        <f>IFERROR($R772/$R771-1,"")</f>
        <v/>
      </c>
      <c r="DX771" s="58">
        <f>IFERROR($S772/$S771-1,"")</f>
        <v/>
      </c>
      <c r="DY771" s="58">
        <f>IFERROR($T772/$T771-1,"")</f>
        <v/>
      </c>
      <c r="DZ771" s="58">
        <f>IFERROR($U772/$U771-1,"")</f>
        <v/>
      </c>
      <c r="EA771" s="58">
        <f>IFERROR($V772/$V771-1,"")</f>
        <v/>
      </c>
      <c r="EB771" s="58">
        <f>IFERROR($W772/$W771-1,"")</f>
        <v/>
      </c>
      <c r="EC771" s="58">
        <f>IFERROR($X772/$X771-1,"")</f>
        <v/>
      </c>
      <c r="ED771" s="58">
        <f>IFERROR($Y772/$Y771-1,"")</f>
        <v/>
      </c>
      <c r="EE771" s="58">
        <f>IFERROR($Z772/$Z771-1,"")</f>
        <v/>
      </c>
      <c r="EF771" s="58">
        <f>IFERROR($AA772/$AA771-1,"")</f>
        <v/>
      </c>
      <c r="EG771" s="58">
        <f>IFERROR($AB772/$AB771-1,"")</f>
        <v/>
      </c>
      <c r="EH771" s="58">
        <f>IFERROR($AC772/$AC771-1,"")</f>
        <v/>
      </c>
      <c r="EI771" s="58">
        <f>IFERROR($AD772/$AD771-1,"")</f>
        <v/>
      </c>
      <c r="EJ771" s="58">
        <f>IFERROR($AE772/$AE771-1,"")</f>
        <v/>
      </c>
      <c r="EK771" s="58">
        <f>IFERROR($AF772/$AF771-1,"")</f>
        <v/>
      </c>
      <c r="EL771" s="58">
        <f>IFERROR($AG772/$AG771-1,"")</f>
        <v/>
      </c>
      <c r="EM771" s="58">
        <f>IFERROR($BB771/$BB772-1,"")</f>
        <v/>
      </c>
      <c r="EN771" s="58">
        <f>IFERROR($BC771/$BC772-1,"")</f>
        <v/>
      </c>
      <c r="EO771" s="58">
        <f>IFERROR($BD771/$BD772-1,"")</f>
        <v/>
      </c>
      <c r="EP771" s="58">
        <f>IFERROR($BE771/$BE772-1,"")</f>
        <v/>
      </c>
      <c r="EQ771" s="58">
        <f>IFERROR($BF771/$BF772-1,"")</f>
        <v/>
      </c>
      <c r="ER771" s="58">
        <f>IFERROR($BG771/$BG772-1,"")</f>
        <v/>
      </c>
      <c r="ES771" s="58">
        <f>IFERROR($BH771/$BH772-1,"")</f>
        <v/>
      </c>
      <c r="ET771" s="58">
        <f>IFERROR($BI771/$BI772-1,"")</f>
        <v/>
      </c>
      <c r="EU771" s="58">
        <f>IFERROR($BJ771/$BJ772-1,"")</f>
        <v/>
      </c>
      <c r="EV771" s="58">
        <f>IFERROR($BK771/$BK772-1,"")</f>
        <v/>
      </c>
      <c r="EW771" s="58">
        <f>IFERROR($BL771/$BL772-1,"")</f>
        <v/>
      </c>
      <c r="EX771" s="58">
        <f>IFERROR($BM771/$BM772-1,"")</f>
        <v/>
      </c>
      <c r="EY771" s="58">
        <f>IFERROR($BN771/$BN772-1,"")</f>
        <v/>
      </c>
      <c r="EZ771" s="58">
        <f>IFERROR($BO771/$BO772-1,"")</f>
        <v/>
      </c>
      <c r="FA771" s="58">
        <f>IFERROR($BP771/$BP772-1,"")</f>
        <v/>
      </c>
      <c r="FB771" s="58">
        <f>IFERROR($BQ771/$BQ772-1,"")</f>
        <v/>
      </c>
      <c r="FC771" s="58">
        <f>IFERROR($BR771/$BR772-1,"")</f>
        <v/>
      </c>
      <c r="FD771" s="58">
        <f>IFERROR($BS771/$BS772-1,"")</f>
        <v/>
      </c>
      <c r="FE771" s="58">
        <f>IFERROR($BT771/$BT772-1,"")</f>
        <v/>
      </c>
      <c r="FF771" s="58">
        <f>IFERROR($BU771/$BU772-1,"")</f>
        <v/>
      </c>
      <c r="FG771" s="58">
        <f>IFERROR($BV771/$BV772-1,"")</f>
        <v/>
      </c>
      <c r="FH771" s="58">
        <f>IFERROR($BW771/$BW772-1,"")</f>
        <v/>
      </c>
      <c r="FI771" s="58">
        <f>IFERROR($BX771/$BX772-1,"")</f>
        <v/>
      </c>
      <c r="FJ771" s="59">
        <f>$BY771-$BY772</f>
        <v/>
      </c>
      <c r="FK771" s="59">
        <f>$BZ771-$BZ772</f>
        <v/>
      </c>
      <c r="FL771" s="59">
        <f>$CA771-$CA772</f>
        <v/>
      </c>
      <c r="FM771" s="59">
        <f>$CB771-$CB772</f>
        <v/>
      </c>
      <c r="FN771" s="59">
        <f>$CC771-$CC772</f>
        <v/>
      </c>
      <c r="FO771" s="59">
        <f>$CD771-$CD772</f>
        <v/>
      </c>
      <c r="FP771" s="59">
        <f>$CE771-$CE772</f>
        <v/>
      </c>
      <c r="FQ771" s="59">
        <f>$CF771-$CF772</f>
        <v/>
      </c>
      <c r="FR771" s="59">
        <f>$CG771-$CG772</f>
        <v/>
      </c>
      <c r="FS771" s="59">
        <f>$CH771-$CH772</f>
        <v/>
      </c>
      <c r="FT771" s="59">
        <f>$CI771-$CI772</f>
        <v/>
      </c>
      <c r="FU771" s="59">
        <f>$CJ771-$CJ772</f>
        <v/>
      </c>
      <c r="FV771" s="59">
        <f>$CK771-$CK772</f>
        <v/>
      </c>
      <c r="FW771" s="59">
        <f>$CL771-$CL772</f>
        <v/>
      </c>
      <c r="FX771" s="59">
        <f>$CM771-$CM772</f>
        <v/>
      </c>
      <c r="FY771" s="59">
        <f>$CN771-$CN772</f>
        <v/>
      </c>
      <c r="FZ771" s="59">
        <f>$CO771-$CO772</f>
        <v/>
      </c>
      <c r="GA771" s="59">
        <f>$CP771-$CP772</f>
        <v/>
      </c>
      <c r="GB771" s="59">
        <f>$CQ771-$CQ772</f>
        <v/>
      </c>
      <c r="GC771" s="59">
        <f>$CR771-$CR772</f>
        <v/>
      </c>
      <c r="GD771" s="59">
        <f>$CS771-$CS772</f>
        <v/>
      </c>
      <c r="GE771" s="59">
        <f>$CT771-$CT772</f>
        <v/>
      </c>
    </row>
    <row r="772">
      <c r="CU772" s="58">
        <f>IFERROR($B772/$B773-1,"")</f>
        <v/>
      </c>
      <c r="CV772" s="59">
        <f>($F772-$F773)*100</f>
        <v/>
      </c>
      <c r="CW772" s="59">
        <f>($E772-$E773)*100</f>
        <v/>
      </c>
      <c r="CX772" s="58">
        <f>IFERROR($K772/$K773-1,"")</f>
        <v/>
      </c>
      <c r="CY772" s="59">
        <f>($AH772-$AH773)*100</f>
        <v/>
      </c>
      <c r="CZ772" s="59">
        <f>($AI772-$AI773)*100</f>
        <v/>
      </c>
      <c r="DA772" s="59">
        <f>($AJ772-$AJ773)*100</f>
        <v/>
      </c>
      <c r="DB772" s="59">
        <f>($AK772-$AK773)*100</f>
        <v/>
      </c>
      <c r="DC772" s="59">
        <f>($AL772-$AL773)*100</f>
        <v/>
      </c>
      <c r="DD772" s="59">
        <f>($AM772-$AM773)*100</f>
        <v/>
      </c>
      <c r="DE772" s="59">
        <f>($AN772-$AN773)*100</f>
        <v/>
      </c>
      <c r="DF772" s="59">
        <f>($AO772-$AO773)*100</f>
        <v/>
      </c>
      <c r="DG772" s="59">
        <f>($AP772-$AP773)*100</f>
        <v/>
      </c>
      <c r="DH772" s="59">
        <f>($AQ772-$AQ773)*100</f>
        <v/>
      </c>
      <c r="DI772" s="59">
        <f>($AR772-$AR773)*100</f>
        <v/>
      </c>
      <c r="DJ772" s="59">
        <f>($AS772-$AS773)*100</f>
        <v/>
      </c>
      <c r="DK772" s="59">
        <f>($AT772-$AT773)*100</f>
        <v/>
      </c>
      <c r="DL772" s="59">
        <f>($AU772-$AU773)*100</f>
        <v/>
      </c>
      <c r="DM772" s="59">
        <f>($AV772-$AV773)*100</f>
        <v/>
      </c>
      <c r="DN772" s="59">
        <f>($AW772-$AW773)*100</f>
        <v/>
      </c>
      <c r="DO772" s="59">
        <f>($AX772-$AX773)*100</f>
        <v/>
      </c>
      <c r="DP772" s="59">
        <f>($AY772-$AY773)*100</f>
        <v/>
      </c>
      <c r="DQ772" s="59">
        <f>($AZ772-$AZ773)*100</f>
        <v/>
      </c>
      <c r="DR772" s="59">
        <f>($BA772-$BA773)*100</f>
        <v/>
      </c>
      <c r="DS772" s="58">
        <f>IFERROR($N773/$N772-1,"")</f>
        <v/>
      </c>
      <c r="DT772" s="58">
        <f>IFERROR($O773/$O772-1,"")</f>
        <v/>
      </c>
      <c r="DU772" s="58">
        <f>IFERROR($P773/$P772-1,"")</f>
        <v/>
      </c>
      <c r="DV772" s="58">
        <f>IFERROR($Q773/$Q772-1,"")</f>
        <v/>
      </c>
      <c r="DW772" s="58">
        <f>IFERROR($R773/$R772-1,"")</f>
        <v/>
      </c>
      <c r="DX772" s="58">
        <f>IFERROR($S773/$S772-1,"")</f>
        <v/>
      </c>
      <c r="DY772" s="58">
        <f>IFERROR($T773/$T772-1,"")</f>
        <v/>
      </c>
      <c r="DZ772" s="58">
        <f>IFERROR($U773/$U772-1,"")</f>
        <v/>
      </c>
      <c r="EA772" s="58">
        <f>IFERROR($V773/$V772-1,"")</f>
        <v/>
      </c>
      <c r="EB772" s="58">
        <f>IFERROR($W773/$W772-1,"")</f>
        <v/>
      </c>
      <c r="EC772" s="58">
        <f>IFERROR($X773/$X772-1,"")</f>
        <v/>
      </c>
      <c r="ED772" s="58">
        <f>IFERROR($Y773/$Y772-1,"")</f>
        <v/>
      </c>
      <c r="EE772" s="58">
        <f>IFERROR($Z773/$Z772-1,"")</f>
        <v/>
      </c>
      <c r="EF772" s="58">
        <f>IFERROR($AA773/$AA772-1,"")</f>
        <v/>
      </c>
      <c r="EG772" s="58">
        <f>IFERROR($AB773/$AB772-1,"")</f>
        <v/>
      </c>
      <c r="EH772" s="58">
        <f>IFERROR($AC773/$AC772-1,"")</f>
        <v/>
      </c>
      <c r="EI772" s="58">
        <f>IFERROR($AD773/$AD772-1,"")</f>
        <v/>
      </c>
      <c r="EJ772" s="58">
        <f>IFERROR($AE773/$AE772-1,"")</f>
        <v/>
      </c>
      <c r="EK772" s="58">
        <f>IFERROR($AF773/$AF772-1,"")</f>
        <v/>
      </c>
      <c r="EL772" s="58">
        <f>IFERROR($AG773/$AG772-1,"")</f>
        <v/>
      </c>
      <c r="EM772" s="58">
        <f>IFERROR($BB772/$BB773-1,"")</f>
        <v/>
      </c>
      <c r="EN772" s="58">
        <f>IFERROR($BC772/$BC773-1,"")</f>
        <v/>
      </c>
      <c r="EO772" s="58">
        <f>IFERROR($BD772/$BD773-1,"")</f>
        <v/>
      </c>
      <c r="EP772" s="58">
        <f>IFERROR($BE772/$BE773-1,"")</f>
        <v/>
      </c>
      <c r="EQ772" s="58">
        <f>IFERROR($BF772/$BF773-1,"")</f>
        <v/>
      </c>
      <c r="ER772" s="58">
        <f>IFERROR($BG772/$BG773-1,"")</f>
        <v/>
      </c>
      <c r="ES772" s="58">
        <f>IFERROR($BH772/$BH773-1,"")</f>
        <v/>
      </c>
      <c r="ET772" s="58">
        <f>IFERROR($BI772/$BI773-1,"")</f>
        <v/>
      </c>
      <c r="EU772" s="58">
        <f>IFERROR($BJ772/$BJ773-1,"")</f>
        <v/>
      </c>
      <c r="EV772" s="58">
        <f>IFERROR($BK772/$BK773-1,"")</f>
        <v/>
      </c>
      <c r="EW772" s="58">
        <f>IFERROR($BL772/$BL773-1,"")</f>
        <v/>
      </c>
      <c r="EX772" s="58">
        <f>IFERROR($BM772/$BM773-1,"")</f>
        <v/>
      </c>
      <c r="EY772" s="58">
        <f>IFERROR($BN772/$BN773-1,"")</f>
        <v/>
      </c>
      <c r="EZ772" s="58">
        <f>IFERROR($BO772/$BO773-1,"")</f>
        <v/>
      </c>
      <c r="FA772" s="58">
        <f>IFERROR($BP772/$BP773-1,"")</f>
        <v/>
      </c>
      <c r="FB772" s="58">
        <f>IFERROR($BQ772/$BQ773-1,"")</f>
        <v/>
      </c>
      <c r="FC772" s="58">
        <f>IFERROR($BR772/$BR773-1,"")</f>
        <v/>
      </c>
      <c r="FD772" s="58">
        <f>IFERROR($BS772/$BS773-1,"")</f>
        <v/>
      </c>
      <c r="FE772" s="58">
        <f>IFERROR($BT772/$BT773-1,"")</f>
        <v/>
      </c>
      <c r="FF772" s="58">
        <f>IFERROR($BU772/$BU773-1,"")</f>
        <v/>
      </c>
      <c r="FG772" s="58">
        <f>IFERROR($BV772/$BV773-1,"")</f>
        <v/>
      </c>
      <c r="FH772" s="58">
        <f>IFERROR($BW772/$BW773-1,"")</f>
        <v/>
      </c>
      <c r="FI772" s="58">
        <f>IFERROR($BX772/$BX773-1,"")</f>
        <v/>
      </c>
      <c r="FJ772" s="59">
        <f>$BY772-$BY773</f>
        <v/>
      </c>
      <c r="FK772" s="59">
        <f>$BZ772-$BZ773</f>
        <v/>
      </c>
      <c r="FL772" s="59">
        <f>$CA772-$CA773</f>
        <v/>
      </c>
      <c r="FM772" s="59">
        <f>$CB772-$CB773</f>
        <v/>
      </c>
      <c r="FN772" s="59">
        <f>$CC772-$CC773</f>
        <v/>
      </c>
      <c r="FO772" s="59">
        <f>$CD772-$CD773</f>
        <v/>
      </c>
      <c r="FP772" s="59">
        <f>$CE772-$CE773</f>
        <v/>
      </c>
      <c r="FQ772" s="59">
        <f>$CF772-$CF773</f>
        <v/>
      </c>
      <c r="FR772" s="59">
        <f>$CG772-$CG773</f>
        <v/>
      </c>
      <c r="FS772" s="59">
        <f>$CH772-$CH773</f>
        <v/>
      </c>
      <c r="FT772" s="59">
        <f>$CI772-$CI773</f>
        <v/>
      </c>
      <c r="FU772" s="59">
        <f>$CJ772-$CJ773</f>
        <v/>
      </c>
      <c r="FV772" s="59">
        <f>$CK772-$CK773</f>
        <v/>
      </c>
      <c r="FW772" s="59">
        <f>$CL772-$CL773</f>
        <v/>
      </c>
      <c r="FX772" s="59">
        <f>$CM772-$CM773</f>
        <v/>
      </c>
      <c r="FY772" s="59">
        <f>$CN772-$CN773</f>
        <v/>
      </c>
      <c r="FZ772" s="59">
        <f>$CO772-$CO773</f>
        <v/>
      </c>
      <c r="GA772" s="59">
        <f>$CP772-$CP773</f>
        <v/>
      </c>
      <c r="GB772" s="59">
        <f>$CQ772-$CQ773</f>
        <v/>
      </c>
      <c r="GC772" s="59">
        <f>$CR772-$CR773</f>
        <v/>
      </c>
      <c r="GD772" s="59">
        <f>$CS772-$CS773</f>
        <v/>
      </c>
      <c r="GE772" s="59">
        <f>$CT772-$CT773</f>
        <v/>
      </c>
    </row>
    <row r="773">
      <c r="CU773" s="58">
        <f>IFERROR($B773/$B774-1,"")</f>
        <v/>
      </c>
      <c r="CV773" s="59">
        <f>($F773-$F774)*100</f>
        <v/>
      </c>
      <c r="CW773" s="59">
        <f>($E773-$E774)*100</f>
        <v/>
      </c>
      <c r="CX773" s="58">
        <f>IFERROR($K773/$K774-1,"")</f>
        <v/>
      </c>
      <c r="CY773" s="59">
        <f>($AH773-$AH774)*100</f>
        <v/>
      </c>
      <c r="CZ773" s="59">
        <f>($AI773-$AI774)*100</f>
        <v/>
      </c>
      <c r="DA773" s="59">
        <f>($AJ773-$AJ774)*100</f>
        <v/>
      </c>
      <c r="DB773" s="59">
        <f>($AK773-$AK774)*100</f>
        <v/>
      </c>
      <c r="DC773" s="59">
        <f>($AL773-$AL774)*100</f>
        <v/>
      </c>
      <c r="DD773" s="59">
        <f>($AM773-$AM774)*100</f>
        <v/>
      </c>
      <c r="DE773" s="59">
        <f>($AN773-$AN774)*100</f>
        <v/>
      </c>
      <c r="DF773" s="59">
        <f>($AO773-$AO774)*100</f>
        <v/>
      </c>
      <c r="DG773" s="59">
        <f>($AP773-$AP774)*100</f>
        <v/>
      </c>
      <c r="DH773" s="59">
        <f>($AQ773-$AQ774)*100</f>
        <v/>
      </c>
      <c r="DI773" s="59">
        <f>($AR773-$AR774)*100</f>
        <v/>
      </c>
      <c r="DJ773" s="59">
        <f>($AS773-$AS774)*100</f>
        <v/>
      </c>
      <c r="DK773" s="59">
        <f>($AT773-$AT774)*100</f>
        <v/>
      </c>
      <c r="DL773" s="59">
        <f>($AU773-$AU774)*100</f>
        <v/>
      </c>
      <c r="DM773" s="59">
        <f>($AV773-$AV774)*100</f>
        <v/>
      </c>
      <c r="DN773" s="59">
        <f>($AW773-$AW774)*100</f>
        <v/>
      </c>
      <c r="DO773" s="59">
        <f>($AX773-$AX774)*100</f>
        <v/>
      </c>
      <c r="DP773" s="59">
        <f>($AY773-$AY774)*100</f>
        <v/>
      </c>
      <c r="DQ773" s="59">
        <f>($AZ773-$AZ774)*100</f>
        <v/>
      </c>
      <c r="DR773" s="59">
        <f>($BA773-$BA774)*100</f>
        <v/>
      </c>
      <c r="DS773" s="58">
        <f>IFERROR($N774/$N773-1,"")</f>
        <v/>
      </c>
      <c r="DT773" s="58">
        <f>IFERROR($O774/$O773-1,"")</f>
        <v/>
      </c>
      <c r="DU773" s="58">
        <f>IFERROR($P774/$P773-1,"")</f>
        <v/>
      </c>
      <c r="DV773" s="58">
        <f>IFERROR($Q774/$Q773-1,"")</f>
        <v/>
      </c>
      <c r="DW773" s="58">
        <f>IFERROR($R774/$R773-1,"")</f>
        <v/>
      </c>
      <c r="DX773" s="58">
        <f>IFERROR($S774/$S773-1,"")</f>
        <v/>
      </c>
      <c r="DY773" s="58">
        <f>IFERROR($T774/$T773-1,"")</f>
        <v/>
      </c>
      <c r="DZ773" s="58">
        <f>IFERROR($U774/$U773-1,"")</f>
        <v/>
      </c>
      <c r="EA773" s="58">
        <f>IFERROR($V774/$V773-1,"")</f>
        <v/>
      </c>
      <c r="EB773" s="58">
        <f>IFERROR($W774/$W773-1,"")</f>
        <v/>
      </c>
      <c r="EC773" s="58">
        <f>IFERROR($X774/$X773-1,"")</f>
        <v/>
      </c>
      <c r="ED773" s="58">
        <f>IFERROR($Y774/$Y773-1,"")</f>
        <v/>
      </c>
      <c r="EE773" s="58">
        <f>IFERROR($Z774/$Z773-1,"")</f>
        <v/>
      </c>
      <c r="EF773" s="58">
        <f>IFERROR($AA774/$AA773-1,"")</f>
        <v/>
      </c>
      <c r="EG773" s="58">
        <f>IFERROR($AB774/$AB773-1,"")</f>
        <v/>
      </c>
      <c r="EH773" s="58">
        <f>IFERROR($AC774/$AC773-1,"")</f>
        <v/>
      </c>
      <c r="EI773" s="58">
        <f>IFERROR($AD774/$AD773-1,"")</f>
        <v/>
      </c>
      <c r="EJ773" s="58">
        <f>IFERROR($AE774/$AE773-1,"")</f>
        <v/>
      </c>
      <c r="EK773" s="58">
        <f>IFERROR($AF774/$AF773-1,"")</f>
        <v/>
      </c>
      <c r="EL773" s="58">
        <f>IFERROR($AG774/$AG773-1,"")</f>
        <v/>
      </c>
      <c r="EM773" s="58">
        <f>IFERROR($BB773/$BB774-1,"")</f>
        <v/>
      </c>
      <c r="EN773" s="58">
        <f>IFERROR($BC773/$BC774-1,"")</f>
        <v/>
      </c>
      <c r="EO773" s="58">
        <f>IFERROR($BD773/$BD774-1,"")</f>
        <v/>
      </c>
      <c r="EP773" s="58">
        <f>IFERROR($BE773/$BE774-1,"")</f>
        <v/>
      </c>
      <c r="EQ773" s="58">
        <f>IFERROR($BF773/$BF774-1,"")</f>
        <v/>
      </c>
      <c r="ER773" s="58">
        <f>IFERROR($BG773/$BG774-1,"")</f>
        <v/>
      </c>
      <c r="ES773" s="58">
        <f>IFERROR($BH773/$BH774-1,"")</f>
        <v/>
      </c>
      <c r="ET773" s="58">
        <f>IFERROR($BI773/$BI774-1,"")</f>
        <v/>
      </c>
      <c r="EU773" s="58">
        <f>IFERROR($BJ773/$BJ774-1,"")</f>
        <v/>
      </c>
      <c r="EV773" s="58">
        <f>IFERROR($BK773/$BK774-1,"")</f>
        <v/>
      </c>
      <c r="EW773" s="58">
        <f>IFERROR($BL773/$BL774-1,"")</f>
        <v/>
      </c>
      <c r="EX773" s="58">
        <f>IFERROR($BM773/$BM774-1,"")</f>
        <v/>
      </c>
      <c r="EY773" s="58">
        <f>IFERROR($BN773/$BN774-1,"")</f>
        <v/>
      </c>
      <c r="EZ773" s="58">
        <f>IFERROR($BO773/$BO774-1,"")</f>
        <v/>
      </c>
      <c r="FA773" s="58">
        <f>IFERROR($BP773/$BP774-1,"")</f>
        <v/>
      </c>
      <c r="FB773" s="58">
        <f>IFERROR($BQ773/$BQ774-1,"")</f>
        <v/>
      </c>
      <c r="FC773" s="58">
        <f>IFERROR($BR773/$BR774-1,"")</f>
        <v/>
      </c>
      <c r="FD773" s="58">
        <f>IFERROR($BS773/$BS774-1,"")</f>
        <v/>
      </c>
      <c r="FE773" s="58">
        <f>IFERROR($BT773/$BT774-1,"")</f>
        <v/>
      </c>
      <c r="FF773" s="58">
        <f>IFERROR($BU773/$BU774-1,"")</f>
        <v/>
      </c>
      <c r="FG773" s="58">
        <f>IFERROR($BV773/$BV774-1,"")</f>
        <v/>
      </c>
      <c r="FH773" s="58">
        <f>IFERROR($BW773/$BW774-1,"")</f>
        <v/>
      </c>
      <c r="FI773" s="58">
        <f>IFERROR($BX773/$BX774-1,"")</f>
        <v/>
      </c>
      <c r="FJ773" s="59">
        <f>$BY773-$BY774</f>
        <v/>
      </c>
      <c r="FK773" s="59">
        <f>$BZ773-$BZ774</f>
        <v/>
      </c>
      <c r="FL773" s="59">
        <f>$CA773-$CA774</f>
        <v/>
      </c>
      <c r="FM773" s="59">
        <f>$CB773-$CB774</f>
        <v/>
      </c>
      <c r="FN773" s="59">
        <f>$CC773-$CC774</f>
        <v/>
      </c>
      <c r="FO773" s="59">
        <f>$CD773-$CD774</f>
        <v/>
      </c>
      <c r="FP773" s="59">
        <f>$CE773-$CE774</f>
        <v/>
      </c>
      <c r="FQ773" s="59">
        <f>$CF773-$CF774</f>
        <v/>
      </c>
      <c r="FR773" s="59">
        <f>$CG773-$CG774</f>
        <v/>
      </c>
      <c r="FS773" s="59">
        <f>$CH773-$CH774</f>
        <v/>
      </c>
      <c r="FT773" s="59">
        <f>$CI773-$CI774</f>
        <v/>
      </c>
      <c r="FU773" s="59">
        <f>$CJ773-$CJ774</f>
        <v/>
      </c>
      <c r="FV773" s="59">
        <f>$CK773-$CK774</f>
        <v/>
      </c>
      <c r="FW773" s="59">
        <f>$CL773-$CL774</f>
        <v/>
      </c>
      <c r="FX773" s="59">
        <f>$CM773-$CM774</f>
        <v/>
      </c>
      <c r="FY773" s="59">
        <f>$CN773-$CN774</f>
        <v/>
      </c>
      <c r="FZ773" s="59">
        <f>$CO773-$CO774</f>
        <v/>
      </c>
      <c r="GA773" s="59">
        <f>$CP773-$CP774</f>
        <v/>
      </c>
      <c r="GB773" s="59">
        <f>$CQ773-$CQ774</f>
        <v/>
      </c>
      <c r="GC773" s="59">
        <f>$CR773-$CR774</f>
        <v/>
      </c>
      <c r="GD773" s="59">
        <f>$CS773-$CS774</f>
        <v/>
      </c>
      <c r="GE773" s="59">
        <f>$CT773-$CT774</f>
        <v/>
      </c>
    </row>
    <row r="774">
      <c r="CU774" s="58">
        <f>IFERROR($B774/$B775-1,"")</f>
        <v/>
      </c>
      <c r="CV774" s="59">
        <f>($F774-$F775)*100</f>
        <v/>
      </c>
      <c r="CW774" s="59">
        <f>($E774-$E775)*100</f>
        <v/>
      </c>
      <c r="CX774" s="58">
        <f>IFERROR($K774/$K775-1,"")</f>
        <v/>
      </c>
      <c r="CY774" s="59">
        <f>($AH774-$AH775)*100</f>
        <v/>
      </c>
      <c r="CZ774" s="59">
        <f>($AI774-$AI775)*100</f>
        <v/>
      </c>
      <c r="DA774" s="59">
        <f>($AJ774-$AJ775)*100</f>
        <v/>
      </c>
      <c r="DB774" s="59">
        <f>($AK774-$AK775)*100</f>
        <v/>
      </c>
      <c r="DC774" s="59">
        <f>($AL774-$AL775)*100</f>
        <v/>
      </c>
      <c r="DD774" s="59">
        <f>($AM774-$AM775)*100</f>
        <v/>
      </c>
      <c r="DE774" s="59">
        <f>($AN774-$AN775)*100</f>
        <v/>
      </c>
      <c r="DF774" s="59">
        <f>($AO774-$AO775)*100</f>
        <v/>
      </c>
      <c r="DG774" s="59">
        <f>($AP774-$AP775)*100</f>
        <v/>
      </c>
      <c r="DH774" s="59">
        <f>($AQ774-$AQ775)*100</f>
        <v/>
      </c>
      <c r="DI774" s="59">
        <f>($AR774-$AR775)*100</f>
        <v/>
      </c>
      <c r="DJ774" s="59">
        <f>($AS774-$AS775)*100</f>
        <v/>
      </c>
      <c r="DK774" s="59">
        <f>($AT774-$AT775)*100</f>
        <v/>
      </c>
      <c r="DL774" s="59">
        <f>($AU774-$AU775)*100</f>
        <v/>
      </c>
      <c r="DM774" s="59">
        <f>($AV774-$AV775)*100</f>
        <v/>
      </c>
      <c r="DN774" s="59">
        <f>($AW774-$AW775)*100</f>
        <v/>
      </c>
      <c r="DO774" s="59">
        <f>($AX774-$AX775)*100</f>
        <v/>
      </c>
      <c r="DP774" s="59">
        <f>($AY774-$AY775)*100</f>
        <v/>
      </c>
      <c r="DQ774" s="59">
        <f>($AZ774-$AZ775)*100</f>
        <v/>
      </c>
      <c r="DR774" s="59">
        <f>($BA774-$BA775)*100</f>
        <v/>
      </c>
      <c r="DS774" s="58">
        <f>IFERROR($N775/$N774-1,"")</f>
        <v/>
      </c>
      <c r="DT774" s="58">
        <f>IFERROR($O775/$O774-1,"")</f>
        <v/>
      </c>
      <c r="DU774" s="58">
        <f>IFERROR($P775/$P774-1,"")</f>
        <v/>
      </c>
      <c r="DV774" s="58">
        <f>IFERROR($Q775/$Q774-1,"")</f>
        <v/>
      </c>
      <c r="DW774" s="58">
        <f>IFERROR($R775/$R774-1,"")</f>
        <v/>
      </c>
      <c r="DX774" s="58">
        <f>IFERROR($S775/$S774-1,"")</f>
        <v/>
      </c>
      <c r="DY774" s="58">
        <f>IFERROR($T775/$T774-1,"")</f>
        <v/>
      </c>
      <c r="DZ774" s="58">
        <f>IFERROR($U775/$U774-1,"")</f>
        <v/>
      </c>
      <c r="EA774" s="58">
        <f>IFERROR($V775/$V774-1,"")</f>
        <v/>
      </c>
      <c r="EB774" s="58">
        <f>IFERROR($W775/$W774-1,"")</f>
        <v/>
      </c>
      <c r="EC774" s="58">
        <f>IFERROR($X775/$X774-1,"")</f>
        <v/>
      </c>
      <c r="ED774" s="58">
        <f>IFERROR($Y775/$Y774-1,"")</f>
        <v/>
      </c>
      <c r="EE774" s="58">
        <f>IFERROR($Z775/$Z774-1,"")</f>
        <v/>
      </c>
      <c r="EF774" s="58">
        <f>IFERROR($AA775/$AA774-1,"")</f>
        <v/>
      </c>
      <c r="EG774" s="58">
        <f>IFERROR($AB775/$AB774-1,"")</f>
        <v/>
      </c>
      <c r="EH774" s="58">
        <f>IFERROR($AC775/$AC774-1,"")</f>
        <v/>
      </c>
      <c r="EI774" s="58">
        <f>IFERROR($AD775/$AD774-1,"")</f>
        <v/>
      </c>
      <c r="EJ774" s="58">
        <f>IFERROR($AE775/$AE774-1,"")</f>
        <v/>
      </c>
      <c r="EK774" s="58">
        <f>IFERROR($AF775/$AF774-1,"")</f>
        <v/>
      </c>
      <c r="EL774" s="58">
        <f>IFERROR($AG775/$AG774-1,"")</f>
        <v/>
      </c>
      <c r="EM774" s="58">
        <f>IFERROR($BB774/$BB775-1,"")</f>
        <v/>
      </c>
      <c r="EN774" s="58">
        <f>IFERROR($BC774/$BC775-1,"")</f>
        <v/>
      </c>
      <c r="EO774" s="58">
        <f>IFERROR($BD774/$BD775-1,"")</f>
        <v/>
      </c>
      <c r="EP774" s="58">
        <f>IFERROR($BE774/$BE775-1,"")</f>
        <v/>
      </c>
      <c r="EQ774" s="58">
        <f>IFERROR($BF774/$BF775-1,"")</f>
        <v/>
      </c>
      <c r="ER774" s="58">
        <f>IFERROR($BG774/$BG775-1,"")</f>
        <v/>
      </c>
      <c r="ES774" s="58">
        <f>IFERROR($BH774/$BH775-1,"")</f>
        <v/>
      </c>
      <c r="ET774" s="58">
        <f>IFERROR($BI774/$BI775-1,"")</f>
        <v/>
      </c>
      <c r="EU774" s="58">
        <f>IFERROR($BJ774/$BJ775-1,"")</f>
        <v/>
      </c>
      <c r="EV774" s="58">
        <f>IFERROR($BK774/$BK775-1,"")</f>
        <v/>
      </c>
      <c r="EW774" s="58">
        <f>IFERROR($BL774/$BL775-1,"")</f>
        <v/>
      </c>
      <c r="EX774" s="58">
        <f>IFERROR($BM774/$BM775-1,"")</f>
        <v/>
      </c>
      <c r="EY774" s="58">
        <f>IFERROR($BN774/$BN775-1,"")</f>
        <v/>
      </c>
      <c r="EZ774" s="58">
        <f>IFERROR($BO774/$BO775-1,"")</f>
        <v/>
      </c>
      <c r="FA774" s="58">
        <f>IFERROR($BP774/$BP775-1,"")</f>
        <v/>
      </c>
      <c r="FB774" s="58">
        <f>IFERROR($BQ774/$BQ775-1,"")</f>
        <v/>
      </c>
      <c r="FC774" s="58">
        <f>IFERROR($BR774/$BR775-1,"")</f>
        <v/>
      </c>
      <c r="FD774" s="58">
        <f>IFERROR($BS774/$BS775-1,"")</f>
        <v/>
      </c>
      <c r="FE774" s="58">
        <f>IFERROR($BT774/$BT775-1,"")</f>
        <v/>
      </c>
      <c r="FF774" s="58">
        <f>IFERROR($BU774/$BU775-1,"")</f>
        <v/>
      </c>
      <c r="FG774" s="58">
        <f>IFERROR($BV774/$BV775-1,"")</f>
        <v/>
      </c>
      <c r="FH774" s="58">
        <f>IFERROR($BW774/$BW775-1,"")</f>
        <v/>
      </c>
      <c r="FI774" s="58">
        <f>IFERROR($BX774/$BX775-1,"")</f>
        <v/>
      </c>
      <c r="FJ774" s="59">
        <f>$BY774-$BY775</f>
        <v/>
      </c>
      <c r="FK774" s="59">
        <f>$BZ774-$BZ775</f>
        <v/>
      </c>
      <c r="FL774" s="59">
        <f>$CA774-$CA775</f>
        <v/>
      </c>
      <c r="FM774" s="59">
        <f>$CB774-$CB775</f>
        <v/>
      </c>
      <c r="FN774" s="59">
        <f>$CC774-$CC775</f>
        <v/>
      </c>
      <c r="FO774" s="59">
        <f>$CD774-$CD775</f>
        <v/>
      </c>
      <c r="FP774" s="59">
        <f>$CE774-$CE775</f>
        <v/>
      </c>
      <c r="FQ774" s="59">
        <f>$CF774-$CF775</f>
        <v/>
      </c>
      <c r="FR774" s="59">
        <f>$CG774-$CG775</f>
        <v/>
      </c>
      <c r="FS774" s="59">
        <f>$CH774-$CH775</f>
        <v/>
      </c>
      <c r="FT774" s="59">
        <f>$CI774-$CI775</f>
        <v/>
      </c>
      <c r="FU774" s="59">
        <f>$CJ774-$CJ775</f>
        <v/>
      </c>
      <c r="FV774" s="59">
        <f>$CK774-$CK775</f>
        <v/>
      </c>
      <c r="FW774" s="59">
        <f>$CL774-$CL775</f>
        <v/>
      </c>
      <c r="FX774" s="59">
        <f>$CM774-$CM775</f>
        <v/>
      </c>
      <c r="FY774" s="59">
        <f>$CN774-$CN775</f>
        <v/>
      </c>
      <c r="FZ774" s="59">
        <f>$CO774-$CO775</f>
        <v/>
      </c>
      <c r="GA774" s="59">
        <f>$CP774-$CP775</f>
        <v/>
      </c>
      <c r="GB774" s="59">
        <f>$CQ774-$CQ775</f>
        <v/>
      </c>
      <c r="GC774" s="59">
        <f>$CR774-$CR775</f>
        <v/>
      </c>
      <c r="GD774" s="59">
        <f>$CS774-$CS775</f>
        <v/>
      </c>
      <c r="GE774" s="59">
        <f>$CT774-$CT775</f>
        <v/>
      </c>
    </row>
    <row r="775">
      <c r="CU775" s="58">
        <f>IFERROR($B775/$B776-1,"")</f>
        <v/>
      </c>
      <c r="CV775" s="59">
        <f>($F775-$F776)*100</f>
        <v/>
      </c>
      <c r="CW775" s="59">
        <f>($E775-$E776)*100</f>
        <v/>
      </c>
      <c r="CX775" s="58">
        <f>IFERROR($K775/$K776-1,"")</f>
        <v/>
      </c>
      <c r="CY775" s="59">
        <f>($AH775-$AH776)*100</f>
        <v/>
      </c>
      <c r="CZ775" s="59">
        <f>($AI775-$AI776)*100</f>
        <v/>
      </c>
      <c r="DA775" s="59">
        <f>($AJ775-$AJ776)*100</f>
        <v/>
      </c>
      <c r="DB775" s="59">
        <f>($AK775-$AK776)*100</f>
        <v/>
      </c>
      <c r="DC775" s="59">
        <f>($AL775-$AL776)*100</f>
        <v/>
      </c>
      <c r="DD775" s="59">
        <f>($AM775-$AM776)*100</f>
        <v/>
      </c>
      <c r="DE775" s="59">
        <f>($AN775-$AN776)*100</f>
        <v/>
      </c>
      <c r="DF775" s="59">
        <f>($AO775-$AO776)*100</f>
        <v/>
      </c>
      <c r="DG775" s="59">
        <f>($AP775-$AP776)*100</f>
        <v/>
      </c>
      <c r="DH775" s="59">
        <f>($AQ775-$AQ776)*100</f>
        <v/>
      </c>
      <c r="DI775" s="59">
        <f>($AR775-$AR776)*100</f>
        <v/>
      </c>
      <c r="DJ775" s="59">
        <f>($AS775-$AS776)*100</f>
        <v/>
      </c>
      <c r="DK775" s="59">
        <f>($AT775-$AT776)*100</f>
        <v/>
      </c>
      <c r="DL775" s="59">
        <f>($AU775-$AU776)*100</f>
        <v/>
      </c>
      <c r="DM775" s="59">
        <f>($AV775-$AV776)*100</f>
        <v/>
      </c>
      <c r="DN775" s="59">
        <f>($AW775-$AW776)*100</f>
        <v/>
      </c>
      <c r="DO775" s="59">
        <f>($AX775-$AX776)*100</f>
        <v/>
      </c>
      <c r="DP775" s="59">
        <f>($AY775-$AY776)*100</f>
        <v/>
      </c>
      <c r="DQ775" s="59">
        <f>($AZ775-$AZ776)*100</f>
        <v/>
      </c>
      <c r="DR775" s="59">
        <f>($BA775-$BA776)*100</f>
        <v/>
      </c>
      <c r="DS775" s="58">
        <f>IFERROR($N776/$N775-1,"")</f>
        <v/>
      </c>
      <c r="DT775" s="58">
        <f>IFERROR($O776/$O775-1,"")</f>
        <v/>
      </c>
      <c r="DU775" s="58">
        <f>IFERROR($P776/$P775-1,"")</f>
        <v/>
      </c>
      <c r="DV775" s="58">
        <f>IFERROR($Q776/$Q775-1,"")</f>
        <v/>
      </c>
      <c r="DW775" s="58">
        <f>IFERROR($R776/$R775-1,"")</f>
        <v/>
      </c>
      <c r="DX775" s="58">
        <f>IFERROR($S776/$S775-1,"")</f>
        <v/>
      </c>
      <c r="DY775" s="58">
        <f>IFERROR($T776/$T775-1,"")</f>
        <v/>
      </c>
      <c r="DZ775" s="58">
        <f>IFERROR($U776/$U775-1,"")</f>
        <v/>
      </c>
      <c r="EA775" s="58">
        <f>IFERROR($V776/$V775-1,"")</f>
        <v/>
      </c>
      <c r="EB775" s="58">
        <f>IFERROR($W776/$W775-1,"")</f>
        <v/>
      </c>
      <c r="EC775" s="58">
        <f>IFERROR($X776/$X775-1,"")</f>
        <v/>
      </c>
      <c r="ED775" s="58">
        <f>IFERROR($Y776/$Y775-1,"")</f>
        <v/>
      </c>
      <c r="EE775" s="58">
        <f>IFERROR($Z776/$Z775-1,"")</f>
        <v/>
      </c>
      <c r="EF775" s="58">
        <f>IFERROR($AA776/$AA775-1,"")</f>
        <v/>
      </c>
      <c r="EG775" s="58">
        <f>IFERROR($AB776/$AB775-1,"")</f>
        <v/>
      </c>
      <c r="EH775" s="58">
        <f>IFERROR($AC776/$AC775-1,"")</f>
        <v/>
      </c>
      <c r="EI775" s="58">
        <f>IFERROR($AD776/$AD775-1,"")</f>
        <v/>
      </c>
      <c r="EJ775" s="58">
        <f>IFERROR($AE776/$AE775-1,"")</f>
        <v/>
      </c>
      <c r="EK775" s="58">
        <f>IFERROR($AF776/$AF775-1,"")</f>
        <v/>
      </c>
      <c r="EL775" s="58">
        <f>IFERROR($AG776/$AG775-1,"")</f>
        <v/>
      </c>
      <c r="EM775" s="58">
        <f>IFERROR($BB775/$BB776-1,"")</f>
        <v/>
      </c>
      <c r="EN775" s="58">
        <f>IFERROR($BC775/$BC776-1,"")</f>
        <v/>
      </c>
      <c r="EO775" s="58">
        <f>IFERROR($BD775/$BD776-1,"")</f>
        <v/>
      </c>
      <c r="EP775" s="58">
        <f>IFERROR($BE775/$BE776-1,"")</f>
        <v/>
      </c>
      <c r="EQ775" s="58">
        <f>IFERROR($BF775/$BF776-1,"")</f>
        <v/>
      </c>
      <c r="ER775" s="58">
        <f>IFERROR($BG775/$BG776-1,"")</f>
        <v/>
      </c>
      <c r="ES775" s="58">
        <f>IFERROR($BH775/$BH776-1,"")</f>
        <v/>
      </c>
      <c r="ET775" s="58">
        <f>IFERROR($BI775/$BI776-1,"")</f>
        <v/>
      </c>
      <c r="EU775" s="58">
        <f>IFERROR($BJ775/$BJ776-1,"")</f>
        <v/>
      </c>
      <c r="EV775" s="58">
        <f>IFERROR($BK775/$BK776-1,"")</f>
        <v/>
      </c>
      <c r="EW775" s="58">
        <f>IFERROR($BL775/$BL776-1,"")</f>
        <v/>
      </c>
      <c r="EX775" s="58">
        <f>IFERROR($BM775/$BM776-1,"")</f>
        <v/>
      </c>
      <c r="EY775" s="58">
        <f>IFERROR($BN775/$BN776-1,"")</f>
        <v/>
      </c>
      <c r="EZ775" s="58">
        <f>IFERROR($BO775/$BO776-1,"")</f>
        <v/>
      </c>
      <c r="FA775" s="58">
        <f>IFERROR($BP775/$BP776-1,"")</f>
        <v/>
      </c>
      <c r="FB775" s="58">
        <f>IFERROR($BQ775/$BQ776-1,"")</f>
        <v/>
      </c>
      <c r="FC775" s="58">
        <f>IFERROR($BR775/$BR776-1,"")</f>
        <v/>
      </c>
      <c r="FD775" s="58">
        <f>IFERROR($BS775/$BS776-1,"")</f>
        <v/>
      </c>
      <c r="FE775" s="58">
        <f>IFERROR($BT775/$BT776-1,"")</f>
        <v/>
      </c>
      <c r="FF775" s="58">
        <f>IFERROR($BU775/$BU776-1,"")</f>
        <v/>
      </c>
      <c r="FG775" s="58">
        <f>IFERROR($BV775/$BV776-1,"")</f>
        <v/>
      </c>
      <c r="FH775" s="58">
        <f>IFERROR($BW775/$BW776-1,"")</f>
        <v/>
      </c>
      <c r="FI775" s="58">
        <f>IFERROR($BX775/$BX776-1,"")</f>
        <v/>
      </c>
      <c r="FJ775" s="59">
        <f>$BY775-$BY776</f>
        <v/>
      </c>
      <c r="FK775" s="59">
        <f>$BZ775-$BZ776</f>
        <v/>
      </c>
      <c r="FL775" s="59">
        <f>$CA775-$CA776</f>
        <v/>
      </c>
      <c r="FM775" s="59">
        <f>$CB775-$CB776</f>
        <v/>
      </c>
      <c r="FN775" s="59">
        <f>$CC775-$CC776</f>
        <v/>
      </c>
      <c r="FO775" s="59">
        <f>$CD775-$CD776</f>
        <v/>
      </c>
      <c r="FP775" s="59">
        <f>$CE775-$CE776</f>
        <v/>
      </c>
      <c r="FQ775" s="59">
        <f>$CF775-$CF776</f>
        <v/>
      </c>
      <c r="FR775" s="59">
        <f>$CG775-$CG776</f>
        <v/>
      </c>
      <c r="FS775" s="59">
        <f>$CH775-$CH776</f>
        <v/>
      </c>
      <c r="FT775" s="59">
        <f>$CI775-$CI776</f>
        <v/>
      </c>
      <c r="FU775" s="59">
        <f>$CJ775-$CJ776</f>
        <v/>
      </c>
      <c r="FV775" s="59">
        <f>$CK775-$CK776</f>
        <v/>
      </c>
      <c r="FW775" s="59">
        <f>$CL775-$CL776</f>
        <v/>
      </c>
      <c r="FX775" s="59">
        <f>$CM775-$CM776</f>
        <v/>
      </c>
      <c r="FY775" s="59">
        <f>$CN775-$CN776</f>
        <v/>
      </c>
      <c r="FZ775" s="59">
        <f>$CO775-$CO776</f>
        <v/>
      </c>
      <c r="GA775" s="59">
        <f>$CP775-$CP776</f>
        <v/>
      </c>
      <c r="GB775" s="59">
        <f>$CQ775-$CQ776</f>
        <v/>
      </c>
      <c r="GC775" s="59">
        <f>$CR775-$CR776</f>
        <v/>
      </c>
      <c r="GD775" s="59">
        <f>$CS775-$CS776</f>
        <v/>
      </c>
      <c r="GE775" s="59">
        <f>$CT775-$CT776</f>
        <v/>
      </c>
    </row>
    <row r="776">
      <c r="CU776" s="58">
        <f>IFERROR($B776/$B777-1,"")</f>
        <v/>
      </c>
      <c r="CV776" s="59">
        <f>($F776-$F777)*100</f>
        <v/>
      </c>
      <c r="CW776" s="59">
        <f>($E776-$E777)*100</f>
        <v/>
      </c>
      <c r="CX776" s="58">
        <f>IFERROR($K776/$K777-1,"")</f>
        <v/>
      </c>
      <c r="CY776" s="59">
        <f>($AH776-$AH777)*100</f>
        <v/>
      </c>
      <c r="CZ776" s="59">
        <f>($AI776-$AI777)*100</f>
        <v/>
      </c>
      <c r="DA776" s="59">
        <f>($AJ776-$AJ777)*100</f>
        <v/>
      </c>
      <c r="DB776" s="59">
        <f>($AK776-$AK777)*100</f>
        <v/>
      </c>
      <c r="DC776" s="59">
        <f>($AL776-$AL777)*100</f>
        <v/>
      </c>
      <c r="DD776" s="59">
        <f>($AM776-$AM777)*100</f>
        <v/>
      </c>
      <c r="DE776" s="59">
        <f>($AN776-$AN777)*100</f>
        <v/>
      </c>
      <c r="DF776" s="59">
        <f>($AO776-$AO777)*100</f>
        <v/>
      </c>
      <c r="DG776" s="59">
        <f>($AP776-$AP777)*100</f>
        <v/>
      </c>
      <c r="DH776" s="59">
        <f>($AQ776-$AQ777)*100</f>
        <v/>
      </c>
      <c r="DI776" s="59">
        <f>($AR776-$AR777)*100</f>
        <v/>
      </c>
      <c r="DJ776" s="59">
        <f>($AS776-$AS777)*100</f>
        <v/>
      </c>
      <c r="DK776" s="59">
        <f>($AT776-$AT777)*100</f>
        <v/>
      </c>
      <c r="DL776" s="59">
        <f>($AU776-$AU777)*100</f>
        <v/>
      </c>
      <c r="DM776" s="59">
        <f>($AV776-$AV777)*100</f>
        <v/>
      </c>
      <c r="DN776" s="59">
        <f>($AW776-$AW777)*100</f>
        <v/>
      </c>
      <c r="DO776" s="59">
        <f>($AX776-$AX777)*100</f>
        <v/>
      </c>
      <c r="DP776" s="59">
        <f>($AY776-$AY777)*100</f>
        <v/>
      </c>
      <c r="DQ776" s="59">
        <f>($AZ776-$AZ777)*100</f>
        <v/>
      </c>
      <c r="DR776" s="59">
        <f>($BA776-$BA777)*100</f>
        <v/>
      </c>
      <c r="DS776" s="58">
        <f>IFERROR($N777/$N776-1,"")</f>
        <v/>
      </c>
      <c r="DT776" s="58">
        <f>IFERROR($O777/$O776-1,"")</f>
        <v/>
      </c>
      <c r="DU776" s="58">
        <f>IFERROR($P777/$P776-1,"")</f>
        <v/>
      </c>
      <c r="DV776" s="58">
        <f>IFERROR($Q777/$Q776-1,"")</f>
        <v/>
      </c>
      <c r="DW776" s="58">
        <f>IFERROR($R777/$R776-1,"")</f>
        <v/>
      </c>
      <c r="DX776" s="58">
        <f>IFERROR($S777/$S776-1,"")</f>
        <v/>
      </c>
      <c r="DY776" s="58">
        <f>IFERROR($T777/$T776-1,"")</f>
        <v/>
      </c>
      <c r="DZ776" s="58">
        <f>IFERROR($U777/$U776-1,"")</f>
        <v/>
      </c>
      <c r="EA776" s="58">
        <f>IFERROR($V777/$V776-1,"")</f>
        <v/>
      </c>
      <c r="EB776" s="58">
        <f>IFERROR($W777/$W776-1,"")</f>
        <v/>
      </c>
      <c r="EC776" s="58">
        <f>IFERROR($X777/$X776-1,"")</f>
        <v/>
      </c>
      <c r="ED776" s="58">
        <f>IFERROR($Y777/$Y776-1,"")</f>
        <v/>
      </c>
      <c r="EE776" s="58">
        <f>IFERROR($Z777/$Z776-1,"")</f>
        <v/>
      </c>
      <c r="EF776" s="58">
        <f>IFERROR($AA777/$AA776-1,"")</f>
        <v/>
      </c>
      <c r="EG776" s="58">
        <f>IFERROR($AB777/$AB776-1,"")</f>
        <v/>
      </c>
      <c r="EH776" s="58">
        <f>IFERROR($AC777/$AC776-1,"")</f>
        <v/>
      </c>
      <c r="EI776" s="58">
        <f>IFERROR($AD777/$AD776-1,"")</f>
        <v/>
      </c>
      <c r="EJ776" s="58">
        <f>IFERROR($AE777/$AE776-1,"")</f>
        <v/>
      </c>
      <c r="EK776" s="58">
        <f>IFERROR($AF777/$AF776-1,"")</f>
        <v/>
      </c>
      <c r="EL776" s="58">
        <f>IFERROR($AG777/$AG776-1,"")</f>
        <v/>
      </c>
      <c r="EM776" s="58">
        <f>IFERROR($BB776/$BB777-1,"")</f>
        <v/>
      </c>
      <c r="EN776" s="58">
        <f>IFERROR($BC776/$BC777-1,"")</f>
        <v/>
      </c>
      <c r="EO776" s="58">
        <f>IFERROR($BD776/$BD777-1,"")</f>
        <v/>
      </c>
      <c r="EP776" s="58">
        <f>IFERROR($BE776/$BE777-1,"")</f>
        <v/>
      </c>
      <c r="EQ776" s="58">
        <f>IFERROR($BF776/$BF777-1,"")</f>
        <v/>
      </c>
      <c r="ER776" s="58">
        <f>IFERROR($BG776/$BG777-1,"")</f>
        <v/>
      </c>
      <c r="ES776" s="58">
        <f>IFERROR($BH776/$BH777-1,"")</f>
        <v/>
      </c>
      <c r="ET776" s="58">
        <f>IFERROR($BI776/$BI777-1,"")</f>
        <v/>
      </c>
      <c r="EU776" s="58">
        <f>IFERROR($BJ776/$BJ777-1,"")</f>
        <v/>
      </c>
      <c r="EV776" s="58">
        <f>IFERROR($BK776/$BK777-1,"")</f>
        <v/>
      </c>
      <c r="EW776" s="58">
        <f>IFERROR($BL776/$BL777-1,"")</f>
        <v/>
      </c>
      <c r="EX776" s="58">
        <f>IFERROR($BM776/$BM777-1,"")</f>
        <v/>
      </c>
      <c r="EY776" s="58">
        <f>IFERROR($BN776/$BN777-1,"")</f>
        <v/>
      </c>
      <c r="EZ776" s="58">
        <f>IFERROR($BO776/$BO777-1,"")</f>
        <v/>
      </c>
      <c r="FA776" s="58">
        <f>IFERROR($BP776/$BP777-1,"")</f>
        <v/>
      </c>
      <c r="FB776" s="58">
        <f>IFERROR($BQ776/$BQ777-1,"")</f>
        <v/>
      </c>
      <c r="FC776" s="58">
        <f>IFERROR($BR776/$BR777-1,"")</f>
        <v/>
      </c>
      <c r="FD776" s="58">
        <f>IFERROR($BS776/$BS777-1,"")</f>
        <v/>
      </c>
      <c r="FE776" s="58">
        <f>IFERROR($BT776/$BT777-1,"")</f>
        <v/>
      </c>
      <c r="FF776" s="58">
        <f>IFERROR($BU776/$BU777-1,"")</f>
        <v/>
      </c>
      <c r="FG776" s="58">
        <f>IFERROR($BV776/$BV777-1,"")</f>
        <v/>
      </c>
      <c r="FH776" s="58">
        <f>IFERROR($BW776/$BW777-1,"")</f>
        <v/>
      </c>
      <c r="FI776" s="58">
        <f>IFERROR($BX776/$BX777-1,"")</f>
        <v/>
      </c>
      <c r="FJ776" s="59">
        <f>$BY776-$BY777</f>
        <v/>
      </c>
      <c r="FK776" s="59">
        <f>$BZ776-$BZ777</f>
        <v/>
      </c>
      <c r="FL776" s="59">
        <f>$CA776-$CA777</f>
        <v/>
      </c>
      <c r="FM776" s="59">
        <f>$CB776-$CB777</f>
        <v/>
      </c>
      <c r="FN776" s="59">
        <f>$CC776-$CC777</f>
        <v/>
      </c>
      <c r="FO776" s="59">
        <f>$CD776-$CD777</f>
        <v/>
      </c>
      <c r="FP776" s="59">
        <f>$CE776-$CE777</f>
        <v/>
      </c>
      <c r="FQ776" s="59">
        <f>$CF776-$CF777</f>
        <v/>
      </c>
      <c r="FR776" s="59">
        <f>$CG776-$CG777</f>
        <v/>
      </c>
      <c r="FS776" s="59">
        <f>$CH776-$CH777</f>
        <v/>
      </c>
      <c r="FT776" s="59">
        <f>$CI776-$CI777</f>
        <v/>
      </c>
      <c r="FU776" s="59">
        <f>$CJ776-$CJ777</f>
        <v/>
      </c>
      <c r="FV776" s="59">
        <f>$CK776-$CK777</f>
        <v/>
      </c>
      <c r="FW776" s="59">
        <f>$CL776-$CL777</f>
        <v/>
      </c>
      <c r="FX776" s="59">
        <f>$CM776-$CM777</f>
        <v/>
      </c>
      <c r="FY776" s="59">
        <f>$CN776-$CN777</f>
        <v/>
      </c>
      <c r="FZ776" s="59">
        <f>$CO776-$CO777</f>
        <v/>
      </c>
      <c r="GA776" s="59">
        <f>$CP776-$CP777</f>
        <v/>
      </c>
      <c r="GB776" s="59">
        <f>$CQ776-$CQ777</f>
        <v/>
      </c>
      <c r="GC776" s="59">
        <f>$CR776-$CR777</f>
        <v/>
      </c>
      <c r="GD776" s="59">
        <f>$CS776-$CS777</f>
        <v/>
      </c>
      <c r="GE776" s="59">
        <f>$CT776-$CT777</f>
        <v/>
      </c>
    </row>
    <row r="777">
      <c r="CU777" s="58">
        <f>IFERROR($B777/$B778-1,"")</f>
        <v/>
      </c>
      <c r="CV777" s="59">
        <f>($F777-$F778)*100</f>
        <v/>
      </c>
      <c r="CW777" s="59">
        <f>($E777-$E778)*100</f>
        <v/>
      </c>
      <c r="CX777" s="58">
        <f>IFERROR($K777/$K778-1,"")</f>
        <v/>
      </c>
      <c r="CY777" s="59">
        <f>($AH777-$AH778)*100</f>
        <v/>
      </c>
      <c r="CZ777" s="59">
        <f>($AI777-$AI778)*100</f>
        <v/>
      </c>
      <c r="DA777" s="59">
        <f>($AJ777-$AJ778)*100</f>
        <v/>
      </c>
      <c r="DB777" s="59">
        <f>($AK777-$AK778)*100</f>
        <v/>
      </c>
      <c r="DC777" s="59">
        <f>($AL777-$AL778)*100</f>
        <v/>
      </c>
      <c r="DD777" s="59">
        <f>($AM777-$AM778)*100</f>
        <v/>
      </c>
      <c r="DE777" s="59">
        <f>($AN777-$AN778)*100</f>
        <v/>
      </c>
      <c r="DF777" s="59">
        <f>($AO777-$AO778)*100</f>
        <v/>
      </c>
      <c r="DG777" s="59">
        <f>($AP777-$AP778)*100</f>
        <v/>
      </c>
      <c r="DH777" s="59">
        <f>($AQ777-$AQ778)*100</f>
        <v/>
      </c>
      <c r="DI777" s="59">
        <f>($AR777-$AR778)*100</f>
        <v/>
      </c>
      <c r="DJ777" s="59">
        <f>($AS777-$AS778)*100</f>
        <v/>
      </c>
      <c r="DK777" s="59">
        <f>($AT777-$AT778)*100</f>
        <v/>
      </c>
      <c r="DL777" s="59">
        <f>($AU777-$AU778)*100</f>
        <v/>
      </c>
      <c r="DM777" s="59">
        <f>($AV777-$AV778)*100</f>
        <v/>
      </c>
      <c r="DN777" s="59">
        <f>($AW777-$AW778)*100</f>
        <v/>
      </c>
      <c r="DO777" s="59">
        <f>($AX777-$AX778)*100</f>
        <v/>
      </c>
      <c r="DP777" s="59">
        <f>($AY777-$AY778)*100</f>
        <v/>
      </c>
      <c r="DQ777" s="59">
        <f>($AZ777-$AZ778)*100</f>
        <v/>
      </c>
      <c r="DR777" s="59">
        <f>($BA777-$BA778)*100</f>
        <v/>
      </c>
      <c r="DS777" s="58">
        <f>IFERROR($N778/$N777-1,"")</f>
        <v/>
      </c>
      <c r="DT777" s="58">
        <f>IFERROR($O778/$O777-1,"")</f>
        <v/>
      </c>
      <c r="DU777" s="58">
        <f>IFERROR($P778/$P777-1,"")</f>
        <v/>
      </c>
      <c r="DV777" s="58">
        <f>IFERROR($Q778/$Q777-1,"")</f>
        <v/>
      </c>
      <c r="DW777" s="58">
        <f>IFERROR($R778/$R777-1,"")</f>
        <v/>
      </c>
      <c r="DX777" s="58">
        <f>IFERROR($S778/$S777-1,"")</f>
        <v/>
      </c>
      <c r="DY777" s="58">
        <f>IFERROR($T778/$T777-1,"")</f>
        <v/>
      </c>
      <c r="DZ777" s="58">
        <f>IFERROR($U778/$U777-1,"")</f>
        <v/>
      </c>
      <c r="EA777" s="58">
        <f>IFERROR($V778/$V777-1,"")</f>
        <v/>
      </c>
      <c r="EB777" s="58">
        <f>IFERROR($W778/$W777-1,"")</f>
        <v/>
      </c>
      <c r="EC777" s="58">
        <f>IFERROR($X778/$X777-1,"")</f>
        <v/>
      </c>
      <c r="ED777" s="58">
        <f>IFERROR($Y778/$Y777-1,"")</f>
        <v/>
      </c>
      <c r="EE777" s="58">
        <f>IFERROR($Z778/$Z777-1,"")</f>
        <v/>
      </c>
      <c r="EF777" s="58">
        <f>IFERROR($AA778/$AA777-1,"")</f>
        <v/>
      </c>
      <c r="EG777" s="58">
        <f>IFERROR($AB778/$AB777-1,"")</f>
        <v/>
      </c>
      <c r="EH777" s="58">
        <f>IFERROR($AC778/$AC777-1,"")</f>
        <v/>
      </c>
      <c r="EI777" s="58">
        <f>IFERROR($AD778/$AD777-1,"")</f>
        <v/>
      </c>
      <c r="EJ777" s="58">
        <f>IFERROR($AE778/$AE777-1,"")</f>
        <v/>
      </c>
      <c r="EK777" s="58">
        <f>IFERROR($AF778/$AF777-1,"")</f>
        <v/>
      </c>
      <c r="EL777" s="58">
        <f>IFERROR($AG778/$AG777-1,"")</f>
        <v/>
      </c>
      <c r="EM777" s="58">
        <f>IFERROR($BB777/$BB778-1,"")</f>
        <v/>
      </c>
      <c r="EN777" s="58">
        <f>IFERROR($BC777/$BC778-1,"")</f>
        <v/>
      </c>
      <c r="EO777" s="58">
        <f>IFERROR($BD777/$BD778-1,"")</f>
        <v/>
      </c>
      <c r="EP777" s="58">
        <f>IFERROR($BE777/$BE778-1,"")</f>
        <v/>
      </c>
      <c r="EQ777" s="58">
        <f>IFERROR($BF777/$BF778-1,"")</f>
        <v/>
      </c>
      <c r="ER777" s="58">
        <f>IFERROR($BG777/$BG778-1,"")</f>
        <v/>
      </c>
      <c r="ES777" s="58">
        <f>IFERROR($BH777/$BH778-1,"")</f>
        <v/>
      </c>
      <c r="ET777" s="58">
        <f>IFERROR($BI777/$BI778-1,"")</f>
        <v/>
      </c>
      <c r="EU777" s="58">
        <f>IFERROR($BJ777/$BJ778-1,"")</f>
        <v/>
      </c>
      <c r="EV777" s="58">
        <f>IFERROR($BK777/$BK778-1,"")</f>
        <v/>
      </c>
      <c r="EW777" s="58">
        <f>IFERROR($BL777/$BL778-1,"")</f>
        <v/>
      </c>
      <c r="EX777" s="58">
        <f>IFERROR($BM777/$BM778-1,"")</f>
        <v/>
      </c>
      <c r="EY777" s="58">
        <f>IFERROR($BN777/$BN778-1,"")</f>
        <v/>
      </c>
      <c r="EZ777" s="58">
        <f>IFERROR($BO777/$BO778-1,"")</f>
        <v/>
      </c>
      <c r="FA777" s="58">
        <f>IFERROR($BP777/$BP778-1,"")</f>
        <v/>
      </c>
      <c r="FB777" s="58">
        <f>IFERROR($BQ777/$BQ778-1,"")</f>
        <v/>
      </c>
      <c r="FC777" s="58">
        <f>IFERROR($BR777/$BR778-1,"")</f>
        <v/>
      </c>
      <c r="FD777" s="58">
        <f>IFERROR($BS777/$BS778-1,"")</f>
        <v/>
      </c>
      <c r="FE777" s="58">
        <f>IFERROR($BT777/$BT778-1,"")</f>
        <v/>
      </c>
      <c r="FF777" s="58">
        <f>IFERROR($BU777/$BU778-1,"")</f>
        <v/>
      </c>
      <c r="FG777" s="58">
        <f>IFERROR($BV777/$BV778-1,"")</f>
        <v/>
      </c>
      <c r="FH777" s="58">
        <f>IFERROR($BW777/$BW778-1,"")</f>
        <v/>
      </c>
      <c r="FI777" s="58">
        <f>IFERROR($BX777/$BX778-1,"")</f>
        <v/>
      </c>
      <c r="FJ777" s="59">
        <f>$BY777-$BY778</f>
        <v/>
      </c>
      <c r="FK777" s="59">
        <f>$BZ777-$BZ778</f>
        <v/>
      </c>
      <c r="FL777" s="59">
        <f>$CA777-$CA778</f>
        <v/>
      </c>
      <c r="FM777" s="59">
        <f>$CB777-$CB778</f>
        <v/>
      </c>
      <c r="FN777" s="59">
        <f>$CC777-$CC778</f>
        <v/>
      </c>
      <c r="FO777" s="59">
        <f>$CD777-$CD778</f>
        <v/>
      </c>
      <c r="FP777" s="59">
        <f>$CE777-$CE778</f>
        <v/>
      </c>
      <c r="FQ777" s="59">
        <f>$CF777-$CF778</f>
        <v/>
      </c>
      <c r="FR777" s="59">
        <f>$CG777-$CG778</f>
        <v/>
      </c>
      <c r="FS777" s="59">
        <f>$CH777-$CH778</f>
        <v/>
      </c>
      <c r="FT777" s="59">
        <f>$CI777-$CI778</f>
        <v/>
      </c>
      <c r="FU777" s="59">
        <f>$CJ777-$CJ778</f>
        <v/>
      </c>
      <c r="FV777" s="59">
        <f>$CK777-$CK778</f>
        <v/>
      </c>
      <c r="FW777" s="59">
        <f>$CL777-$CL778</f>
        <v/>
      </c>
      <c r="FX777" s="59">
        <f>$CM777-$CM778</f>
        <v/>
      </c>
      <c r="FY777" s="59">
        <f>$CN777-$CN778</f>
        <v/>
      </c>
      <c r="FZ777" s="59">
        <f>$CO777-$CO778</f>
        <v/>
      </c>
      <c r="GA777" s="59">
        <f>$CP777-$CP778</f>
        <v/>
      </c>
      <c r="GB777" s="59">
        <f>$CQ777-$CQ778</f>
        <v/>
      </c>
      <c r="GC777" s="59">
        <f>$CR777-$CR778</f>
        <v/>
      </c>
      <c r="GD777" s="59">
        <f>$CS777-$CS778</f>
        <v/>
      </c>
      <c r="GE777" s="59">
        <f>$CT777-$CT778</f>
        <v/>
      </c>
    </row>
    <row r="778">
      <c r="CU778" s="58">
        <f>IFERROR($B778/$B779-1,"")</f>
        <v/>
      </c>
      <c r="CV778" s="59">
        <f>($F778-$F779)*100</f>
        <v/>
      </c>
      <c r="CW778" s="59">
        <f>($E778-$E779)*100</f>
        <v/>
      </c>
      <c r="CX778" s="58">
        <f>IFERROR($K778/$K779-1,"")</f>
        <v/>
      </c>
      <c r="CY778" s="59">
        <f>($AH778-$AH779)*100</f>
        <v/>
      </c>
      <c r="CZ778" s="59">
        <f>($AI778-$AI779)*100</f>
        <v/>
      </c>
      <c r="DA778" s="59">
        <f>($AJ778-$AJ779)*100</f>
        <v/>
      </c>
      <c r="DB778" s="59">
        <f>($AK778-$AK779)*100</f>
        <v/>
      </c>
      <c r="DC778" s="59">
        <f>($AL778-$AL779)*100</f>
        <v/>
      </c>
      <c r="DD778" s="59">
        <f>($AM778-$AM779)*100</f>
        <v/>
      </c>
      <c r="DE778" s="59">
        <f>($AN778-$AN779)*100</f>
        <v/>
      </c>
      <c r="DF778" s="59">
        <f>($AO778-$AO779)*100</f>
        <v/>
      </c>
      <c r="DG778" s="59">
        <f>($AP778-$AP779)*100</f>
        <v/>
      </c>
      <c r="DH778" s="59">
        <f>($AQ778-$AQ779)*100</f>
        <v/>
      </c>
      <c r="DI778" s="59">
        <f>($AR778-$AR779)*100</f>
        <v/>
      </c>
      <c r="DJ778" s="59">
        <f>($AS778-$AS779)*100</f>
        <v/>
      </c>
      <c r="DK778" s="59">
        <f>($AT778-$AT779)*100</f>
        <v/>
      </c>
      <c r="DL778" s="59">
        <f>($AU778-$AU779)*100</f>
        <v/>
      </c>
      <c r="DM778" s="59">
        <f>($AV778-$AV779)*100</f>
        <v/>
      </c>
      <c r="DN778" s="59">
        <f>($AW778-$AW779)*100</f>
        <v/>
      </c>
      <c r="DO778" s="59">
        <f>($AX778-$AX779)*100</f>
        <v/>
      </c>
      <c r="DP778" s="59">
        <f>($AY778-$AY779)*100</f>
        <v/>
      </c>
      <c r="DQ778" s="59">
        <f>($AZ778-$AZ779)*100</f>
        <v/>
      </c>
      <c r="DR778" s="59">
        <f>($BA778-$BA779)*100</f>
        <v/>
      </c>
      <c r="DS778" s="58">
        <f>IFERROR($N779/$N778-1,"")</f>
        <v/>
      </c>
      <c r="DT778" s="58">
        <f>IFERROR($O779/$O778-1,"")</f>
        <v/>
      </c>
      <c r="DU778" s="58">
        <f>IFERROR($P779/$P778-1,"")</f>
        <v/>
      </c>
      <c r="DV778" s="58">
        <f>IFERROR($Q779/$Q778-1,"")</f>
        <v/>
      </c>
      <c r="DW778" s="58">
        <f>IFERROR($R779/$R778-1,"")</f>
        <v/>
      </c>
      <c r="DX778" s="58">
        <f>IFERROR($S779/$S778-1,"")</f>
        <v/>
      </c>
      <c r="DY778" s="58">
        <f>IFERROR($T779/$T778-1,"")</f>
        <v/>
      </c>
      <c r="DZ778" s="58">
        <f>IFERROR($U779/$U778-1,"")</f>
        <v/>
      </c>
      <c r="EA778" s="58">
        <f>IFERROR($V779/$V778-1,"")</f>
        <v/>
      </c>
      <c r="EB778" s="58">
        <f>IFERROR($W779/$W778-1,"")</f>
        <v/>
      </c>
      <c r="EC778" s="58">
        <f>IFERROR($X779/$X778-1,"")</f>
        <v/>
      </c>
      <c r="ED778" s="58">
        <f>IFERROR($Y779/$Y778-1,"")</f>
        <v/>
      </c>
      <c r="EE778" s="58">
        <f>IFERROR($Z779/$Z778-1,"")</f>
        <v/>
      </c>
      <c r="EF778" s="58">
        <f>IFERROR($AA779/$AA778-1,"")</f>
        <v/>
      </c>
      <c r="EG778" s="58">
        <f>IFERROR($AB779/$AB778-1,"")</f>
        <v/>
      </c>
      <c r="EH778" s="58">
        <f>IFERROR($AC779/$AC778-1,"")</f>
        <v/>
      </c>
      <c r="EI778" s="58">
        <f>IFERROR($AD779/$AD778-1,"")</f>
        <v/>
      </c>
      <c r="EJ778" s="58">
        <f>IFERROR($AE779/$AE778-1,"")</f>
        <v/>
      </c>
      <c r="EK778" s="58">
        <f>IFERROR($AF779/$AF778-1,"")</f>
        <v/>
      </c>
      <c r="EL778" s="58">
        <f>IFERROR($AG779/$AG778-1,"")</f>
        <v/>
      </c>
      <c r="EM778" s="58">
        <f>IFERROR($BB778/$BB779-1,"")</f>
        <v/>
      </c>
      <c r="EN778" s="58">
        <f>IFERROR($BC778/$BC779-1,"")</f>
        <v/>
      </c>
      <c r="EO778" s="58">
        <f>IFERROR($BD778/$BD779-1,"")</f>
        <v/>
      </c>
      <c r="EP778" s="58">
        <f>IFERROR($BE778/$BE779-1,"")</f>
        <v/>
      </c>
      <c r="EQ778" s="58">
        <f>IFERROR($BF778/$BF779-1,"")</f>
        <v/>
      </c>
      <c r="ER778" s="58">
        <f>IFERROR($BG778/$BG779-1,"")</f>
        <v/>
      </c>
      <c r="ES778" s="58">
        <f>IFERROR($BH778/$BH779-1,"")</f>
        <v/>
      </c>
      <c r="ET778" s="58">
        <f>IFERROR($BI778/$BI779-1,"")</f>
        <v/>
      </c>
      <c r="EU778" s="58">
        <f>IFERROR($BJ778/$BJ779-1,"")</f>
        <v/>
      </c>
      <c r="EV778" s="58">
        <f>IFERROR($BK778/$BK779-1,"")</f>
        <v/>
      </c>
      <c r="EW778" s="58">
        <f>IFERROR($BL778/$BL779-1,"")</f>
        <v/>
      </c>
      <c r="EX778" s="58">
        <f>IFERROR($BM778/$BM779-1,"")</f>
        <v/>
      </c>
      <c r="EY778" s="58">
        <f>IFERROR($BN778/$BN779-1,"")</f>
        <v/>
      </c>
      <c r="EZ778" s="58">
        <f>IFERROR($BO778/$BO779-1,"")</f>
        <v/>
      </c>
      <c r="FA778" s="58">
        <f>IFERROR($BP778/$BP779-1,"")</f>
        <v/>
      </c>
      <c r="FB778" s="58">
        <f>IFERROR($BQ778/$BQ779-1,"")</f>
        <v/>
      </c>
      <c r="FC778" s="58">
        <f>IFERROR($BR778/$BR779-1,"")</f>
        <v/>
      </c>
      <c r="FD778" s="58">
        <f>IFERROR($BS778/$BS779-1,"")</f>
        <v/>
      </c>
      <c r="FE778" s="58">
        <f>IFERROR($BT778/$BT779-1,"")</f>
        <v/>
      </c>
      <c r="FF778" s="58">
        <f>IFERROR($BU778/$BU779-1,"")</f>
        <v/>
      </c>
      <c r="FG778" s="58">
        <f>IFERROR($BV778/$BV779-1,"")</f>
        <v/>
      </c>
      <c r="FH778" s="58">
        <f>IFERROR($BW778/$BW779-1,"")</f>
        <v/>
      </c>
      <c r="FI778" s="58">
        <f>IFERROR($BX778/$BX779-1,"")</f>
        <v/>
      </c>
      <c r="FJ778" s="59">
        <f>$BY778-$BY779</f>
        <v/>
      </c>
      <c r="FK778" s="59">
        <f>$BZ778-$BZ779</f>
        <v/>
      </c>
      <c r="FL778" s="59">
        <f>$CA778-$CA779</f>
        <v/>
      </c>
      <c r="FM778" s="59">
        <f>$CB778-$CB779</f>
        <v/>
      </c>
      <c r="FN778" s="59">
        <f>$CC778-$CC779</f>
        <v/>
      </c>
      <c r="FO778" s="59">
        <f>$CD778-$CD779</f>
        <v/>
      </c>
      <c r="FP778" s="59">
        <f>$CE778-$CE779</f>
        <v/>
      </c>
      <c r="FQ778" s="59">
        <f>$CF778-$CF779</f>
        <v/>
      </c>
      <c r="FR778" s="59">
        <f>$CG778-$CG779</f>
        <v/>
      </c>
      <c r="FS778" s="59">
        <f>$CH778-$CH779</f>
        <v/>
      </c>
      <c r="FT778" s="59">
        <f>$CI778-$CI779</f>
        <v/>
      </c>
      <c r="FU778" s="59">
        <f>$CJ778-$CJ779</f>
        <v/>
      </c>
      <c r="FV778" s="59">
        <f>$CK778-$CK779</f>
        <v/>
      </c>
      <c r="FW778" s="59">
        <f>$CL778-$CL779</f>
        <v/>
      </c>
      <c r="FX778" s="59">
        <f>$CM778-$CM779</f>
        <v/>
      </c>
      <c r="FY778" s="59">
        <f>$CN778-$CN779</f>
        <v/>
      </c>
      <c r="FZ778" s="59">
        <f>$CO778-$CO779</f>
        <v/>
      </c>
      <c r="GA778" s="59">
        <f>$CP778-$CP779</f>
        <v/>
      </c>
      <c r="GB778" s="59">
        <f>$CQ778-$CQ779</f>
        <v/>
      </c>
      <c r="GC778" s="59">
        <f>$CR778-$CR779</f>
        <v/>
      </c>
      <c r="GD778" s="59">
        <f>$CS778-$CS779</f>
        <v/>
      </c>
      <c r="GE778" s="59">
        <f>$CT778-$CT779</f>
        <v/>
      </c>
    </row>
    <row r="779">
      <c r="CU779" s="58">
        <f>IFERROR($B779/$B780-1,"")</f>
        <v/>
      </c>
      <c r="CV779" s="59">
        <f>($F779-$F780)*100</f>
        <v/>
      </c>
      <c r="CW779" s="59">
        <f>($E779-$E780)*100</f>
        <v/>
      </c>
      <c r="CX779" s="58">
        <f>IFERROR($K779/$K780-1,"")</f>
        <v/>
      </c>
      <c r="CY779" s="59">
        <f>($AH779-$AH780)*100</f>
        <v/>
      </c>
      <c r="CZ779" s="59">
        <f>($AI779-$AI780)*100</f>
        <v/>
      </c>
      <c r="DA779" s="59">
        <f>($AJ779-$AJ780)*100</f>
        <v/>
      </c>
      <c r="DB779" s="59">
        <f>($AK779-$AK780)*100</f>
        <v/>
      </c>
      <c r="DC779" s="59">
        <f>($AL779-$AL780)*100</f>
        <v/>
      </c>
      <c r="DD779" s="59">
        <f>($AM779-$AM780)*100</f>
        <v/>
      </c>
      <c r="DE779" s="59">
        <f>($AN779-$AN780)*100</f>
        <v/>
      </c>
      <c r="DF779" s="59">
        <f>($AO779-$AO780)*100</f>
        <v/>
      </c>
      <c r="DG779" s="59">
        <f>($AP779-$AP780)*100</f>
        <v/>
      </c>
      <c r="DH779" s="59">
        <f>($AQ779-$AQ780)*100</f>
        <v/>
      </c>
      <c r="DI779" s="59">
        <f>($AR779-$AR780)*100</f>
        <v/>
      </c>
      <c r="DJ779" s="59">
        <f>($AS779-$AS780)*100</f>
        <v/>
      </c>
      <c r="DK779" s="59">
        <f>($AT779-$AT780)*100</f>
        <v/>
      </c>
      <c r="DL779" s="59">
        <f>($AU779-$AU780)*100</f>
        <v/>
      </c>
      <c r="DM779" s="59">
        <f>($AV779-$AV780)*100</f>
        <v/>
      </c>
      <c r="DN779" s="59">
        <f>($AW779-$AW780)*100</f>
        <v/>
      </c>
      <c r="DO779" s="59">
        <f>($AX779-$AX780)*100</f>
        <v/>
      </c>
      <c r="DP779" s="59">
        <f>($AY779-$AY780)*100</f>
        <v/>
      </c>
      <c r="DQ779" s="59">
        <f>($AZ779-$AZ780)*100</f>
        <v/>
      </c>
      <c r="DR779" s="59">
        <f>($BA779-$BA780)*100</f>
        <v/>
      </c>
      <c r="DS779" s="58">
        <f>IFERROR($N780/$N779-1,"")</f>
        <v/>
      </c>
      <c r="DT779" s="58">
        <f>IFERROR($O780/$O779-1,"")</f>
        <v/>
      </c>
      <c r="DU779" s="58">
        <f>IFERROR($P780/$P779-1,"")</f>
        <v/>
      </c>
      <c r="DV779" s="58">
        <f>IFERROR($Q780/$Q779-1,"")</f>
        <v/>
      </c>
      <c r="DW779" s="58">
        <f>IFERROR($R780/$R779-1,"")</f>
        <v/>
      </c>
      <c r="DX779" s="58">
        <f>IFERROR($S780/$S779-1,"")</f>
        <v/>
      </c>
      <c r="DY779" s="58">
        <f>IFERROR($T780/$T779-1,"")</f>
        <v/>
      </c>
      <c r="DZ779" s="58">
        <f>IFERROR($U780/$U779-1,"")</f>
        <v/>
      </c>
      <c r="EA779" s="58">
        <f>IFERROR($V780/$V779-1,"")</f>
        <v/>
      </c>
      <c r="EB779" s="58">
        <f>IFERROR($W780/$W779-1,"")</f>
        <v/>
      </c>
      <c r="EC779" s="58">
        <f>IFERROR($X780/$X779-1,"")</f>
        <v/>
      </c>
      <c r="ED779" s="58">
        <f>IFERROR($Y780/$Y779-1,"")</f>
        <v/>
      </c>
      <c r="EE779" s="58">
        <f>IFERROR($Z780/$Z779-1,"")</f>
        <v/>
      </c>
      <c r="EF779" s="58">
        <f>IFERROR($AA780/$AA779-1,"")</f>
        <v/>
      </c>
      <c r="EG779" s="58">
        <f>IFERROR($AB780/$AB779-1,"")</f>
        <v/>
      </c>
      <c r="EH779" s="58">
        <f>IFERROR($AC780/$AC779-1,"")</f>
        <v/>
      </c>
      <c r="EI779" s="58">
        <f>IFERROR($AD780/$AD779-1,"")</f>
        <v/>
      </c>
      <c r="EJ779" s="58">
        <f>IFERROR($AE780/$AE779-1,"")</f>
        <v/>
      </c>
      <c r="EK779" s="58">
        <f>IFERROR($AF780/$AF779-1,"")</f>
        <v/>
      </c>
      <c r="EL779" s="58">
        <f>IFERROR($AG780/$AG779-1,"")</f>
        <v/>
      </c>
      <c r="EM779" s="58">
        <f>IFERROR($BB779/$BB780-1,"")</f>
        <v/>
      </c>
      <c r="EN779" s="58">
        <f>IFERROR($BC779/$BC780-1,"")</f>
        <v/>
      </c>
      <c r="EO779" s="58">
        <f>IFERROR($BD779/$BD780-1,"")</f>
        <v/>
      </c>
      <c r="EP779" s="58">
        <f>IFERROR($BE779/$BE780-1,"")</f>
        <v/>
      </c>
      <c r="EQ779" s="58">
        <f>IFERROR($BF779/$BF780-1,"")</f>
        <v/>
      </c>
      <c r="ER779" s="58">
        <f>IFERROR($BG779/$BG780-1,"")</f>
        <v/>
      </c>
      <c r="ES779" s="58">
        <f>IFERROR($BH779/$BH780-1,"")</f>
        <v/>
      </c>
      <c r="ET779" s="58">
        <f>IFERROR($BI779/$BI780-1,"")</f>
        <v/>
      </c>
      <c r="EU779" s="58">
        <f>IFERROR($BJ779/$BJ780-1,"")</f>
        <v/>
      </c>
      <c r="EV779" s="58">
        <f>IFERROR($BK779/$BK780-1,"")</f>
        <v/>
      </c>
      <c r="EW779" s="58">
        <f>IFERROR($BL779/$BL780-1,"")</f>
        <v/>
      </c>
      <c r="EX779" s="58">
        <f>IFERROR($BM779/$BM780-1,"")</f>
        <v/>
      </c>
      <c r="EY779" s="58">
        <f>IFERROR($BN779/$BN780-1,"")</f>
        <v/>
      </c>
      <c r="EZ779" s="58">
        <f>IFERROR($BO779/$BO780-1,"")</f>
        <v/>
      </c>
      <c r="FA779" s="58">
        <f>IFERROR($BP779/$BP780-1,"")</f>
        <v/>
      </c>
      <c r="FB779" s="58">
        <f>IFERROR($BQ779/$BQ780-1,"")</f>
        <v/>
      </c>
      <c r="FC779" s="58">
        <f>IFERROR($BR779/$BR780-1,"")</f>
        <v/>
      </c>
      <c r="FD779" s="58">
        <f>IFERROR($BS779/$BS780-1,"")</f>
        <v/>
      </c>
      <c r="FE779" s="58">
        <f>IFERROR($BT779/$BT780-1,"")</f>
        <v/>
      </c>
      <c r="FF779" s="58">
        <f>IFERROR($BU779/$BU780-1,"")</f>
        <v/>
      </c>
      <c r="FG779" s="58">
        <f>IFERROR($BV779/$BV780-1,"")</f>
        <v/>
      </c>
      <c r="FH779" s="58">
        <f>IFERROR($BW779/$BW780-1,"")</f>
        <v/>
      </c>
      <c r="FI779" s="58">
        <f>IFERROR($BX779/$BX780-1,"")</f>
        <v/>
      </c>
      <c r="FJ779" s="59">
        <f>$BY779-$BY780</f>
        <v/>
      </c>
      <c r="FK779" s="59">
        <f>$BZ779-$BZ780</f>
        <v/>
      </c>
      <c r="FL779" s="59">
        <f>$CA779-$CA780</f>
        <v/>
      </c>
      <c r="FM779" s="59">
        <f>$CB779-$CB780</f>
        <v/>
      </c>
      <c r="FN779" s="59">
        <f>$CC779-$CC780</f>
        <v/>
      </c>
      <c r="FO779" s="59">
        <f>$CD779-$CD780</f>
        <v/>
      </c>
      <c r="FP779" s="59">
        <f>$CE779-$CE780</f>
        <v/>
      </c>
      <c r="FQ779" s="59">
        <f>$CF779-$CF780</f>
        <v/>
      </c>
      <c r="FR779" s="59">
        <f>$CG779-$CG780</f>
        <v/>
      </c>
      <c r="FS779" s="59">
        <f>$CH779-$CH780</f>
        <v/>
      </c>
      <c r="FT779" s="59">
        <f>$CI779-$CI780</f>
        <v/>
      </c>
      <c r="FU779" s="59">
        <f>$CJ779-$CJ780</f>
        <v/>
      </c>
      <c r="FV779" s="59">
        <f>$CK779-$CK780</f>
        <v/>
      </c>
      <c r="FW779" s="59">
        <f>$CL779-$CL780</f>
        <v/>
      </c>
      <c r="FX779" s="59">
        <f>$CM779-$CM780</f>
        <v/>
      </c>
      <c r="FY779" s="59">
        <f>$CN779-$CN780</f>
        <v/>
      </c>
      <c r="FZ779" s="59">
        <f>$CO779-$CO780</f>
        <v/>
      </c>
      <c r="GA779" s="59">
        <f>$CP779-$CP780</f>
        <v/>
      </c>
      <c r="GB779" s="59">
        <f>$CQ779-$CQ780</f>
        <v/>
      </c>
      <c r="GC779" s="59">
        <f>$CR779-$CR780</f>
        <v/>
      </c>
      <c r="GD779" s="59">
        <f>$CS779-$CS780</f>
        <v/>
      </c>
      <c r="GE779" s="59">
        <f>$CT779-$CT780</f>
        <v/>
      </c>
    </row>
    <row r="780">
      <c r="CU780" s="58">
        <f>IFERROR($B780/$B781-1,"")</f>
        <v/>
      </c>
      <c r="CV780" s="59">
        <f>($F780-$F781)*100</f>
        <v/>
      </c>
      <c r="CW780" s="59">
        <f>($E780-$E781)*100</f>
        <v/>
      </c>
      <c r="CX780" s="58">
        <f>IFERROR($K780/$K781-1,"")</f>
        <v/>
      </c>
      <c r="CY780" s="59">
        <f>($AH780-$AH781)*100</f>
        <v/>
      </c>
      <c r="CZ780" s="59">
        <f>($AI780-$AI781)*100</f>
        <v/>
      </c>
      <c r="DA780" s="59">
        <f>($AJ780-$AJ781)*100</f>
        <v/>
      </c>
      <c r="DB780" s="59">
        <f>($AK780-$AK781)*100</f>
        <v/>
      </c>
      <c r="DC780" s="59">
        <f>($AL780-$AL781)*100</f>
        <v/>
      </c>
      <c r="DD780" s="59">
        <f>($AM780-$AM781)*100</f>
        <v/>
      </c>
      <c r="DE780" s="59">
        <f>($AN780-$AN781)*100</f>
        <v/>
      </c>
      <c r="DF780" s="59">
        <f>($AO780-$AO781)*100</f>
        <v/>
      </c>
      <c r="DG780" s="59">
        <f>($AP780-$AP781)*100</f>
        <v/>
      </c>
      <c r="DH780" s="59">
        <f>($AQ780-$AQ781)*100</f>
        <v/>
      </c>
      <c r="DI780" s="59">
        <f>($AR780-$AR781)*100</f>
        <v/>
      </c>
      <c r="DJ780" s="59">
        <f>($AS780-$AS781)*100</f>
        <v/>
      </c>
      <c r="DK780" s="59">
        <f>($AT780-$AT781)*100</f>
        <v/>
      </c>
      <c r="DL780" s="59">
        <f>($AU780-$AU781)*100</f>
        <v/>
      </c>
      <c r="DM780" s="59">
        <f>($AV780-$AV781)*100</f>
        <v/>
      </c>
      <c r="DN780" s="59">
        <f>($AW780-$AW781)*100</f>
        <v/>
      </c>
      <c r="DO780" s="59">
        <f>($AX780-$AX781)*100</f>
        <v/>
      </c>
      <c r="DP780" s="59">
        <f>($AY780-$AY781)*100</f>
        <v/>
      </c>
      <c r="DQ780" s="59">
        <f>($AZ780-$AZ781)*100</f>
        <v/>
      </c>
      <c r="DR780" s="59">
        <f>($BA780-$BA781)*100</f>
        <v/>
      </c>
      <c r="DS780" s="58">
        <f>IFERROR($N781/$N780-1,"")</f>
        <v/>
      </c>
      <c r="DT780" s="58">
        <f>IFERROR($O781/$O780-1,"")</f>
        <v/>
      </c>
      <c r="DU780" s="58">
        <f>IFERROR($P781/$P780-1,"")</f>
        <v/>
      </c>
      <c r="DV780" s="58">
        <f>IFERROR($Q781/$Q780-1,"")</f>
        <v/>
      </c>
      <c r="DW780" s="58">
        <f>IFERROR($R781/$R780-1,"")</f>
        <v/>
      </c>
      <c r="DX780" s="58">
        <f>IFERROR($S781/$S780-1,"")</f>
        <v/>
      </c>
      <c r="DY780" s="58">
        <f>IFERROR($T781/$T780-1,"")</f>
        <v/>
      </c>
      <c r="DZ780" s="58">
        <f>IFERROR($U781/$U780-1,"")</f>
        <v/>
      </c>
      <c r="EA780" s="58">
        <f>IFERROR($V781/$V780-1,"")</f>
        <v/>
      </c>
      <c r="EB780" s="58">
        <f>IFERROR($W781/$W780-1,"")</f>
        <v/>
      </c>
      <c r="EC780" s="58">
        <f>IFERROR($X781/$X780-1,"")</f>
        <v/>
      </c>
      <c r="ED780" s="58">
        <f>IFERROR($Y781/$Y780-1,"")</f>
        <v/>
      </c>
      <c r="EE780" s="58">
        <f>IFERROR($Z781/$Z780-1,"")</f>
        <v/>
      </c>
      <c r="EF780" s="58">
        <f>IFERROR($AA781/$AA780-1,"")</f>
        <v/>
      </c>
      <c r="EG780" s="58">
        <f>IFERROR($AB781/$AB780-1,"")</f>
        <v/>
      </c>
      <c r="EH780" s="58">
        <f>IFERROR($AC781/$AC780-1,"")</f>
        <v/>
      </c>
      <c r="EI780" s="58">
        <f>IFERROR($AD781/$AD780-1,"")</f>
        <v/>
      </c>
      <c r="EJ780" s="58">
        <f>IFERROR($AE781/$AE780-1,"")</f>
        <v/>
      </c>
      <c r="EK780" s="58">
        <f>IFERROR($AF781/$AF780-1,"")</f>
        <v/>
      </c>
      <c r="EL780" s="58">
        <f>IFERROR($AG781/$AG780-1,"")</f>
        <v/>
      </c>
      <c r="EM780" s="58">
        <f>IFERROR($BB780/$BB781-1,"")</f>
        <v/>
      </c>
      <c r="EN780" s="58">
        <f>IFERROR($BC780/$BC781-1,"")</f>
        <v/>
      </c>
      <c r="EO780" s="58">
        <f>IFERROR($BD780/$BD781-1,"")</f>
        <v/>
      </c>
      <c r="EP780" s="58">
        <f>IFERROR($BE780/$BE781-1,"")</f>
        <v/>
      </c>
      <c r="EQ780" s="58">
        <f>IFERROR($BF780/$BF781-1,"")</f>
        <v/>
      </c>
      <c r="ER780" s="58">
        <f>IFERROR($BG780/$BG781-1,"")</f>
        <v/>
      </c>
      <c r="ES780" s="58">
        <f>IFERROR($BH780/$BH781-1,"")</f>
        <v/>
      </c>
      <c r="ET780" s="58">
        <f>IFERROR($BI780/$BI781-1,"")</f>
        <v/>
      </c>
      <c r="EU780" s="58">
        <f>IFERROR($BJ780/$BJ781-1,"")</f>
        <v/>
      </c>
      <c r="EV780" s="58">
        <f>IFERROR($BK780/$BK781-1,"")</f>
        <v/>
      </c>
      <c r="EW780" s="58">
        <f>IFERROR($BL780/$BL781-1,"")</f>
        <v/>
      </c>
      <c r="EX780" s="58">
        <f>IFERROR($BM780/$BM781-1,"")</f>
        <v/>
      </c>
      <c r="EY780" s="58">
        <f>IFERROR($BN780/$BN781-1,"")</f>
        <v/>
      </c>
      <c r="EZ780" s="58">
        <f>IFERROR($BO780/$BO781-1,"")</f>
        <v/>
      </c>
      <c r="FA780" s="58">
        <f>IFERROR($BP780/$BP781-1,"")</f>
        <v/>
      </c>
      <c r="FB780" s="58">
        <f>IFERROR($BQ780/$BQ781-1,"")</f>
        <v/>
      </c>
      <c r="FC780" s="58">
        <f>IFERROR($BR780/$BR781-1,"")</f>
        <v/>
      </c>
      <c r="FD780" s="58">
        <f>IFERROR($BS780/$BS781-1,"")</f>
        <v/>
      </c>
      <c r="FE780" s="58">
        <f>IFERROR($BT780/$BT781-1,"")</f>
        <v/>
      </c>
      <c r="FF780" s="58">
        <f>IFERROR($BU780/$BU781-1,"")</f>
        <v/>
      </c>
      <c r="FG780" s="58">
        <f>IFERROR($BV780/$BV781-1,"")</f>
        <v/>
      </c>
      <c r="FH780" s="58">
        <f>IFERROR($BW780/$BW781-1,"")</f>
        <v/>
      </c>
      <c r="FI780" s="58">
        <f>IFERROR($BX780/$BX781-1,"")</f>
        <v/>
      </c>
      <c r="FJ780" s="59">
        <f>$BY780-$BY781</f>
        <v/>
      </c>
      <c r="FK780" s="59">
        <f>$BZ780-$BZ781</f>
        <v/>
      </c>
      <c r="FL780" s="59">
        <f>$CA780-$CA781</f>
        <v/>
      </c>
      <c r="FM780" s="59">
        <f>$CB780-$CB781</f>
        <v/>
      </c>
      <c r="FN780" s="59">
        <f>$CC780-$CC781</f>
        <v/>
      </c>
      <c r="FO780" s="59">
        <f>$CD780-$CD781</f>
        <v/>
      </c>
      <c r="FP780" s="59">
        <f>$CE780-$CE781</f>
        <v/>
      </c>
      <c r="FQ780" s="59">
        <f>$CF780-$CF781</f>
        <v/>
      </c>
      <c r="FR780" s="59">
        <f>$CG780-$CG781</f>
        <v/>
      </c>
      <c r="FS780" s="59">
        <f>$CH780-$CH781</f>
        <v/>
      </c>
      <c r="FT780" s="59">
        <f>$CI780-$CI781</f>
        <v/>
      </c>
      <c r="FU780" s="59">
        <f>$CJ780-$CJ781</f>
        <v/>
      </c>
      <c r="FV780" s="59">
        <f>$CK780-$CK781</f>
        <v/>
      </c>
      <c r="FW780" s="59">
        <f>$CL780-$CL781</f>
        <v/>
      </c>
      <c r="FX780" s="59">
        <f>$CM780-$CM781</f>
        <v/>
      </c>
      <c r="FY780" s="59">
        <f>$CN780-$CN781</f>
        <v/>
      </c>
      <c r="FZ780" s="59">
        <f>$CO780-$CO781</f>
        <v/>
      </c>
      <c r="GA780" s="59">
        <f>$CP780-$CP781</f>
        <v/>
      </c>
      <c r="GB780" s="59">
        <f>$CQ780-$CQ781</f>
        <v/>
      </c>
      <c r="GC780" s="59">
        <f>$CR780-$CR781</f>
        <v/>
      </c>
      <c r="GD780" s="59">
        <f>$CS780-$CS781</f>
        <v/>
      </c>
      <c r="GE780" s="59">
        <f>$CT780-$CT781</f>
        <v/>
      </c>
    </row>
    <row r="781">
      <c r="CU781" s="58">
        <f>IFERROR($B781/$B782-1,"")</f>
        <v/>
      </c>
      <c r="CV781" s="59">
        <f>($F781-$F782)*100</f>
        <v/>
      </c>
      <c r="CW781" s="59">
        <f>($E781-$E782)*100</f>
        <v/>
      </c>
      <c r="CX781" s="58">
        <f>IFERROR($K781/$K782-1,"")</f>
        <v/>
      </c>
      <c r="CY781" s="59">
        <f>($AH781-$AH782)*100</f>
        <v/>
      </c>
      <c r="CZ781" s="59">
        <f>($AI781-$AI782)*100</f>
        <v/>
      </c>
      <c r="DA781" s="59">
        <f>($AJ781-$AJ782)*100</f>
        <v/>
      </c>
      <c r="DB781" s="59">
        <f>($AK781-$AK782)*100</f>
        <v/>
      </c>
      <c r="DC781" s="59">
        <f>($AL781-$AL782)*100</f>
        <v/>
      </c>
      <c r="DD781" s="59">
        <f>($AM781-$AM782)*100</f>
        <v/>
      </c>
      <c r="DE781" s="59">
        <f>($AN781-$AN782)*100</f>
        <v/>
      </c>
      <c r="DF781" s="59">
        <f>($AO781-$AO782)*100</f>
        <v/>
      </c>
      <c r="DG781" s="59">
        <f>($AP781-$AP782)*100</f>
        <v/>
      </c>
      <c r="DH781" s="59">
        <f>($AQ781-$AQ782)*100</f>
        <v/>
      </c>
      <c r="DI781" s="59">
        <f>($AR781-$AR782)*100</f>
        <v/>
      </c>
      <c r="DJ781" s="59">
        <f>($AS781-$AS782)*100</f>
        <v/>
      </c>
      <c r="DK781" s="59">
        <f>($AT781-$AT782)*100</f>
        <v/>
      </c>
      <c r="DL781" s="59">
        <f>($AU781-$AU782)*100</f>
        <v/>
      </c>
      <c r="DM781" s="59">
        <f>($AV781-$AV782)*100</f>
        <v/>
      </c>
      <c r="DN781" s="59">
        <f>($AW781-$AW782)*100</f>
        <v/>
      </c>
      <c r="DO781" s="59">
        <f>($AX781-$AX782)*100</f>
        <v/>
      </c>
      <c r="DP781" s="59">
        <f>($AY781-$AY782)*100</f>
        <v/>
      </c>
      <c r="DQ781" s="59">
        <f>($AZ781-$AZ782)*100</f>
        <v/>
      </c>
      <c r="DR781" s="59">
        <f>($BA781-$BA782)*100</f>
        <v/>
      </c>
      <c r="DS781" s="58">
        <f>IFERROR($N782/$N781-1,"")</f>
        <v/>
      </c>
      <c r="DT781" s="58">
        <f>IFERROR($O782/$O781-1,"")</f>
        <v/>
      </c>
      <c r="DU781" s="58">
        <f>IFERROR($P782/$P781-1,"")</f>
        <v/>
      </c>
      <c r="DV781" s="58">
        <f>IFERROR($Q782/$Q781-1,"")</f>
        <v/>
      </c>
      <c r="DW781" s="58">
        <f>IFERROR($R782/$R781-1,"")</f>
        <v/>
      </c>
      <c r="DX781" s="58">
        <f>IFERROR($S782/$S781-1,"")</f>
        <v/>
      </c>
      <c r="DY781" s="58">
        <f>IFERROR($T782/$T781-1,"")</f>
        <v/>
      </c>
      <c r="DZ781" s="58">
        <f>IFERROR($U782/$U781-1,"")</f>
        <v/>
      </c>
      <c r="EA781" s="58">
        <f>IFERROR($V782/$V781-1,"")</f>
        <v/>
      </c>
      <c r="EB781" s="58">
        <f>IFERROR($W782/$W781-1,"")</f>
        <v/>
      </c>
      <c r="EC781" s="58">
        <f>IFERROR($X782/$X781-1,"")</f>
        <v/>
      </c>
      <c r="ED781" s="58">
        <f>IFERROR($Y782/$Y781-1,"")</f>
        <v/>
      </c>
      <c r="EE781" s="58">
        <f>IFERROR($Z782/$Z781-1,"")</f>
        <v/>
      </c>
      <c r="EF781" s="58">
        <f>IFERROR($AA782/$AA781-1,"")</f>
        <v/>
      </c>
      <c r="EG781" s="58">
        <f>IFERROR($AB782/$AB781-1,"")</f>
        <v/>
      </c>
      <c r="EH781" s="58">
        <f>IFERROR($AC782/$AC781-1,"")</f>
        <v/>
      </c>
      <c r="EI781" s="58">
        <f>IFERROR($AD782/$AD781-1,"")</f>
        <v/>
      </c>
      <c r="EJ781" s="58">
        <f>IFERROR($AE782/$AE781-1,"")</f>
        <v/>
      </c>
      <c r="EK781" s="58">
        <f>IFERROR($AF782/$AF781-1,"")</f>
        <v/>
      </c>
      <c r="EL781" s="58">
        <f>IFERROR($AG782/$AG781-1,"")</f>
        <v/>
      </c>
      <c r="EM781" s="58">
        <f>IFERROR($BB781/$BB782-1,"")</f>
        <v/>
      </c>
      <c r="EN781" s="58">
        <f>IFERROR($BC781/$BC782-1,"")</f>
        <v/>
      </c>
      <c r="EO781" s="58">
        <f>IFERROR($BD781/$BD782-1,"")</f>
        <v/>
      </c>
      <c r="EP781" s="58">
        <f>IFERROR($BE781/$BE782-1,"")</f>
        <v/>
      </c>
      <c r="EQ781" s="58">
        <f>IFERROR($BF781/$BF782-1,"")</f>
        <v/>
      </c>
      <c r="ER781" s="58">
        <f>IFERROR($BG781/$BG782-1,"")</f>
        <v/>
      </c>
      <c r="ES781" s="58">
        <f>IFERROR($BH781/$BH782-1,"")</f>
        <v/>
      </c>
      <c r="ET781" s="58">
        <f>IFERROR($BI781/$BI782-1,"")</f>
        <v/>
      </c>
      <c r="EU781" s="58">
        <f>IFERROR($BJ781/$BJ782-1,"")</f>
        <v/>
      </c>
      <c r="EV781" s="58">
        <f>IFERROR($BK781/$BK782-1,"")</f>
        <v/>
      </c>
      <c r="EW781" s="58">
        <f>IFERROR($BL781/$BL782-1,"")</f>
        <v/>
      </c>
      <c r="EX781" s="58">
        <f>IFERROR($BM781/$BM782-1,"")</f>
        <v/>
      </c>
      <c r="EY781" s="58">
        <f>IFERROR($BN781/$BN782-1,"")</f>
        <v/>
      </c>
      <c r="EZ781" s="58">
        <f>IFERROR($BO781/$BO782-1,"")</f>
        <v/>
      </c>
      <c r="FA781" s="58">
        <f>IFERROR($BP781/$BP782-1,"")</f>
        <v/>
      </c>
      <c r="FB781" s="58">
        <f>IFERROR($BQ781/$BQ782-1,"")</f>
        <v/>
      </c>
      <c r="FC781" s="58">
        <f>IFERROR($BR781/$BR782-1,"")</f>
        <v/>
      </c>
      <c r="FD781" s="58">
        <f>IFERROR($BS781/$BS782-1,"")</f>
        <v/>
      </c>
      <c r="FE781" s="58">
        <f>IFERROR($BT781/$BT782-1,"")</f>
        <v/>
      </c>
      <c r="FF781" s="58">
        <f>IFERROR($BU781/$BU782-1,"")</f>
        <v/>
      </c>
      <c r="FG781" s="58">
        <f>IFERROR($BV781/$BV782-1,"")</f>
        <v/>
      </c>
      <c r="FH781" s="58">
        <f>IFERROR($BW781/$BW782-1,"")</f>
        <v/>
      </c>
      <c r="FI781" s="58">
        <f>IFERROR($BX781/$BX782-1,"")</f>
        <v/>
      </c>
      <c r="FJ781" s="59">
        <f>$BY781-$BY782</f>
        <v/>
      </c>
      <c r="FK781" s="59">
        <f>$BZ781-$BZ782</f>
        <v/>
      </c>
      <c r="FL781" s="59">
        <f>$CA781-$CA782</f>
        <v/>
      </c>
      <c r="FM781" s="59">
        <f>$CB781-$CB782</f>
        <v/>
      </c>
      <c r="FN781" s="59">
        <f>$CC781-$CC782</f>
        <v/>
      </c>
      <c r="FO781" s="59">
        <f>$CD781-$CD782</f>
        <v/>
      </c>
      <c r="FP781" s="59">
        <f>$CE781-$CE782</f>
        <v/>
      </c>
      <c r="FQ781" s="59">
        <f>$CF781-$CF782</f>
        <v/>
      </c>
      <c r="FR781" s="59">
        <f>$CG781-$CG782</f>
        <v/>
      </c>
      <c r="FS781" s="59">
        <f>$CH781-$CH782</f>
        <v/>
      </c>
      <c r="FT781" s="59">
        <f>$CI781-$CI782</f>
        <v/>
      </c>
      <c r="FU781" s="59">
        <f>$CJ781-$CJ782</f>
        <v/>
      </c>
      <c r="FV781" s="59">
        <f>$CK781-$CK782</f>
        <v/>
      </c>
      <c r="FW781" s="59">
        <f>$CL781-$CL782</f>
        <v/>
      </c>
      <c r="FX781" s="59">
        <f>$CM781-$CM782</f>
        <v/>
      </c>
      <c r="FY781" s="59">
        <f>$CN781-$CN782</f>
        <v/>
      </c>
      <c r="FZ781" s="59">
        <f>$CO781-$CO782</f>
        <v/>
      </c>
      <c r="GA781" s="59">
        <f>$CP781-$CP782</f>
        <v/>
      </c>
      <c r="GB781" s="59">
        <f>$CQ781-$CQ782</f>
        <v/>
      </c>
      <c r="GC781" s="59">
        <f>$CR781-$CR782</f>
        <v/>
      </c>
      <c r="GD781" s="59">
        <f>$CS781-$CS782</f>
        <v/>
      </c>
      <c r="GE781" s="59">
        <f>$CT781-$CT782</f>
        <v/>
      </c>
    </row>
    <row r="782">
      <c r="CU782" s="58">
        <f>IFERROR($B782/$B783-1,"")</f>
        <v/>
      </c>
      <c r="CV782" s="59">
        <f>($F782-$F783)*100</f>
        <v/>
      </c>
      <c r="CW782" s="59">
        <f>($E782-$E783)*100</f>
        <v/>
      </c>
      <c r="CX782" s="58">
        <f>IFERROR($K782/$K783-1,"")</f>
        <v/>
      </c>
      <c r="CY782" s="59">
        <f>($AH782-$AH783)*100</f>
        <v/>
      </c>
      <c r="CZ782" s="59">
        <f>($AI782-$AI783)*100</f>
        <v/>
      </c>
      <c r="DA782" s="59">
        <f>($AJ782-$AJ783)*100</f>
        <v/>
      </c>
      <c r="DB782" s="59">
        <f>($AK782-$AK783)*100</f>
        <v/>
      </c>
      <c r="DC782" s="59">
        <f>($AL782-$AL783)*100</f>
        <v/>
      </c>
      <c r="DD782" s="59">
        <f>($AM782-$AM783)*100</f>
        <v/>
      </c>
      <c r="DE782" s="59">
        <f>($AN782-$AN783)*100</f>
        <v/>
      </c>
      <c r="DF782" s="59">
        <f>($AO782-$AO783)*100</f>
        <v/>
      </c>
      <c r="DG782" s="59">
        <f>($AP782-$AP783)*100</f>
        <v/>
      </c>
      <c r="DH782" s="59">
        <f>($AQ782-$AQ783)*100</f>
        <v/>
      </c>
      <c r="DI782" s="59">
        <f>($AR782-$AR783)*100</f>
        <v/>
      </c>
      <c r="DJ782" s="59">
        <f>($AS782-$AS783)*100</f>
        <v/>
      </c>
      <c r="DK782" s="59">
        <f>($AT782-$AT783)*100</f>
        <v/>
      </c>
      <c r="DL782" s="59">
        <f>($AU782-$AU783)*100</f>
        <v/>
      </c>
      <c r="DM782" s="59">
        <f>($AV782-$AV783)*100</f>
        <v/>
      </c>
      <c r="DN782" s="59">
        <f>($AW782-$AW783)*100</f>
        <v/>
      </c>
      <c r="DO782" s="59">
        <f>($AX782-$AX783)*100</f>
        <v/>
      </c>
      <c r="DP782" s="59">
        <f>($AY782-$AY783)*100</f>
        <v/>
      </c>
      <c r="DQ782" s="59">
        <f>($AZ782-$AZ783)*100</f>
        <v/>
      </c>
      <c r="DR782" s="59">
        <f>($BA782-$BA783)*100</f>
        <v/>
      </c>
      <c r="DS782" s="58">
        <f>IFERROR($N783/$N782-1,"")</f>
        <v/>
      </c>
      <c r="DT782" s="58">
        <f>IFERROR($O783/$O782-1,"")</f>
        <v/>
      </c>
      <c r="DU782" s="58">
        <f>IFERROR($P783/$P782-1,"")</f>
        <v/>
      </c>
      <c r="DV782" s="58">
        <f>IFERROR($Q783/$Q782-1,"")</f>
        <v/>
      </c>
      <c r="DW782" s="58">
        <f>IFERROR($R783/$R782-1,"")</f>
        <v/>
      </c>
      <c r="DX782" s="58">
        <f>IFERROR($S783/$S782-1,"")</f>
        <v/>
      </c>
      <c r="DY782" s="58">
        <f>IFERROR($T783/$T782-1,"")</f>
        <v/>
      </c>
      <c r="DZ782" s="58">
        <f>IFERROR($U783/$U782-1,"")</f>
        <v/>
      </c>
      <c r="EA782" s="58">
        <f>IFERROR($V783/$V782-1,"")</f>
        <v/>
      </c>
      <c r="EB782" s="58">
        <f>IFERROR($W783/$W782-1,"")</f>
        <v/>
      </c>
      <c r="EC782" s="58">
        <f>IFERROR($X783/$X782-1,"")</f>
        <v/>
      </c>
      <c r="ED782" s="58">
        <f>IFERROR($Y783/$Y782-1,"")</f>
        <v/>
      </c>
      <c r="EE782" s="58">
        <f>IFERROR($Z783/$Z782-1,"")</f>
        <v/>
      </c>
      <c r="EF782" s="58">
        <f>IFERROR($AA783/$AA782-1,"")</f>
        <v/>
      </c>
      <c r="EG782" s="58">
        <f>IFERROR($AB783/$AB782-1,"")</f>
        <v/>
      </c>
      <c r="EH782" s="58">
        <f>IFERROR($AC783/$AC782-1,"")</f>
        <v/>
      </c>
      <c r="EI782" s="58">
        <f>IFERROR($AD783/$AD782-1,"")</f>
        <v/>
      </c>
      <c r="EJ782" s="58">
        <f>IFERROR($AE783/$AE782-1,"")</f>
        <v/>
      </c>
      <c r="EK782" s="58">
        <f>IFERROR($AF783/$AF782-1,"")</f>
        <v/>
      </c>
      <c r="EL782" s="58">
        <f>IFERROR($AG783/$AG782-1,"")</f>
        <v/>
      </c>
      <c r="EM782" s="58">
        <f>IFERROR($BB782/$BB783-1,"")</f>
        <v/>
      </c>
      <c r="EN782" s="58">
        <f>IFERROR($BC782/$BC783-1,"")</f>
        <v/>
      </c>
      <c r="EO782" s="58">
        <f>IFERROR($BD782/$BD783-1,"")</f>
        <v/>
      </c>
      <c r="EP782" s="58">
        <f>IFERROR($BE782/$BE783-1,"")</f>
        <v/>
      </c>
      <c r="EQ782" s="58">
        <f>IFERROR($BF782/$BF783-1,"")</f>
        <v/>
      </c>
      <c r="ER782" s="58">
        <f>IFERROR($BG782/$BG783-1,"")</f>
        <v/>
      </c>
      <c r="ES782" s="58">
        <f>IFERROR($BH782/$BH783-1,"")</f>
        <v/>
      </c>
      <c r="ET782" s="58">
        <f>IFERROR($BI782/$BI783-1,"")</f>
        <v/>
      </c>
      <c r="EU782" s="58">
        <f>IFERROR($BJ782/$BJ783-1,"")</f>
        <v/>
      </c>
      <c r="EV782" s="58">
        <f>IFERROR($BK782/$BK783-1,"")</f>
        <v/>
      </c>
      <c r="EW782" s="58">
        <f>IFERROR($BL782/$BL783-1,"")</f>
        <v/>
      </c>
      <c r="EX782" s="58">
        <f>IFERROR($BM782/$BM783-1,"")</f>
        <v/>
      </c>
      <c r="EY782" s="58">
        <f>IFERROR($BN782/$BN783-1,"")</f>
        <v/>
      </c>
      <c r="EZ782" s="58">
        <f>IFERROR($BO782/$BO783-1,"")</f>
        <v/>
      </c>
      <c r="FA782" s="58">
        <f>IFERROR($BP782/$BP783-1,"")</f>
        <v/>
      </c>
      <c r="FB782" s="58">
        <f>IFERROR($BQ782/$BQ783-1,"")</f>
        <v/>
      </c>
      <c r="FC782" s="58">
        <f>IFERROR($BR782/$BR783-1,"")</f>
        <v/>
      </c>
      <c r="FD782" s="58">
        <f>IFERROR($BS782/$BS783-1,"")</f>
        <v/>
      </c>
      <c r="FE782" s="58">
        <f>IFERROR($BT782/$BT783-1,"")</f>
        <v/>
      </c>
      <c r="FF782" s="58">
        <f>IFERROR($BU782/$BU783-1,"")</f>
        <v/>
      </c>
      <c r="FG782" s="58">
        <f>IFERROR($BV782/$BV783-1,"")</f>
        <v/>
      </c>
      <c r="FH782" s="58">
        <f>IFERROR($BW782/$BW783-1,"")</f>
        <v/>
      </c>
      <c r="FI782" s="58">
        <f>IFERROR($BX782/$BX783-1,"")</f>
        <v/>
      </c>
      <c r="FJ782" s="59">
        <f>$BY782-$BY783</f>
        <v/>
      </c>
      <c r="FK782" s="59">
        <f>$BZ782-$BZ783</f>
        <v/>
      </c>
      <c r="FL782" s="59">
        <f>$CA782-$CA783</f>
        <v/>
      </c>
      <c r="FM782" s="59">
        <f>$CB782-$CB783</f>
        <v/>
      </c>
      <c r="FN782" s="59">
        <f>$CC782-$CC783</f>
        <v/>
      </c>
      <c r="FO782" s="59">
        <f>$CD782-$CD783</f>
        <v/>
      </c>
      <c r="FP782" s="59">
        <f>$CE782-$CE783</f>
        <v/>
      </c>
      <c r="FQ782" s="59">
        <f>$CF782-$CF783</f>
        <v/>
      </c>
      <c r="FR782" s="59">
        <f>$CG782-$CG783</f>
        <v/>
      </c>
      <c r="FS782" s="59">
        <f>$CH782-$CH783</f>
        <v/>
      </c>
      <c r="FT782" s="59">
        <f>$CI782-$CI783</f>
        <v/>
      </c>
      <c r="FU782" s="59">
        <f>$CJ782-$CJ783</f>
        <v/>
      </c>
      <c r="FV782" s="59">
        <f>$CK782-$CK783</f>
        <v/>
      </c>
      <c r="FW782" s="59">
        <f>$CL782-$CL783</f>
        <v/>
      </c>
      <c r="FX782" s="59">
        <f>$CM782-$CM783</f>
        <v/>
      </c>
      <c r="FY782" s="59">
        <f>$CN782-$CN783</f>
        <v/>
      </c>
      <c r="FZ782" s="59">
        <f>$CO782-$CO783</f>
        <v/>
      </c>
      <c r="GA782" s="59">
        <f>$CP782-$CP783</f>
        <v/>
      </c>
      <c r="GB782" s="59">
        <f>$CQ782-$CQ783</f>
        <v/>
      </c>
      <c r="GC782" s="59">
        <f>$CR782-$CR783</f>
        <v/>
      </c>
      <c r="GD782" s="59">
        <f>$CS782-$CS783</f>
        <v/>
      </c>
      <c r="GE782" s="59">
        <f>$CT782-$CT783</f>
        <v/>
      </c>
    </row>
    <row r="783">
      <c r="CU783" s="58">
        <f>IFERROR($B783/$B784-1,"")</f>
        <v/>
      </c>
      <c r="CV783" s="59">
        <f>($F783-$F784)*100</f>
        <v/>
      </c>
      <c r="CW783" s="59">
        <f>($E783-$E784)*100</f>
        <v/>
      </c>
      <c r="CX783" s="58">
        <f>IFERROR($K783/$K784-1,"")</f>
        <v/>
      </c>
      <c r="CY783" s="59">
        <f>($AH783-$AH784)*100</f>
        <v/>
      </c>
      <c r="CZ783" s="59">
        <f>($AI783-$AI784)*100</f>
        <v/>
      </c>
      <c r="DA783" s="59">
        <f>($AJ783-$AJ784)*100</f>
        <v/>
      </c>
      <c r="DB783" s="59">
        <f>($AK783-$AK784)*100</f>
        <v/>
      </c>
      <c r="DC783" s="59">
        <f>($AL783-$AL784)*100</f>
        <v/>
      </c>
      <c r="DD783" s="59">
        <f>($AM783-$AM784)*100</f>
        <v/>
      </c>
      <c r="DE783" s="59">
        <f>($AN783-$AN784)*100</f>
        <v/>
      </c>
      <c r="DF783" s="59">
        <f>($AO783-$AO784)*100</f>
        <v/>
      </c>
      <c r="DG783" s="59">
        <f>($AP783-$AP784)*100</f>
        <v/>
      </c>
      <c r="DH783" s="59">
        <f>($AQ783-$AQ784)*100</f>
        <v/>
      </c>
      <c r="DI783" s="59">
        <f>($AR783-$AR784)*100</f>
        <v/>
      </c>
      <c r="DJ783" s="59">
        <f>($AS783-$AS784)*100</f>
        <v/>
      </c>
      <c r="DK783" s="59">
        <f>($AT783-$AT784)*100</f>
        <v/>
      </c>
      <c r="DL783" s="59">
        <f>($AU783-$AU784)*100</f>
        <v/>
      </c>
      <c r="DM783" s="59">
        <f>($AV783-$AV784)*100</f>
        <v/>
      </c>
      <c r="DN783" s="59">
        <f>($AW783-$AW784)*100</f>
        <v/>
      </c>
      <c r="DO783" s="59">
        <f>($AX783-$AX784)*100</f>
        <v/>
      </c>
      <c r="DP783" s="59">
        <f>($AY783-$AY784)*100</f>
        <v/>
      </c>
      <c r="DQ783" s="59">
        <f>($AZ783-$AZ784)*100</f>
        <v/>
      </c>
      <c r="DR783" s="59">
        <f>($BA783-$BA784)*100</f>
        <v/>
      </c>
      <c r="DS783" s="58">
        <f>IFERROR($N784/$N783-1,"")</f>
        <v/>
      </c>
      <c r="DT783" s="58">
        <f>IFERROR($O784/$O783-1,"")</f>
        <v/>
      </c>
      <c r="DU783" s="58">
        <f>IFERROR($P784/$P783-1,"")</f>
        <v/>
      </c>
      <c r="DV783" s="58">
        <f>IFERROR($Q784/$Q783-1,"")</f>
        <v/>
      </c>
      <c r="DW783" s="58">
        <f>IFERROR($R784/$R783-1,"")</f>
        <v/>
      </c>
      <c r="DX783" s="58">
        <f>IFERROR($S784/$S783-1,"")</f>
        <v/>
      </c>
      <c r="DY783" s="58">
        <f>IFERROR($T784/$T783-1,"")</f>
        <v/>
      </c>
      <c r="DZ783" s="58">
        <f>IFERROR($U784/$U783-1,"")</f>
        <v/>
      </c>
      <c r="EA783" s="58">
        <f>IFERROR($V784/$V783-1,"")</f>
        <v/>
      </c>
      <c r="EB783" s="58">
        <f>IFERROR($W784/$W783-1,"")</f>
        <v/>
      </c>
      <c r="EC783" s="58">
        <f>IFERROR($X784/$X783-1,"")</f>
        <v/>
      </c>
      <c r="ED783" s="58">
        <f>IFERROR($Y784/$Y783-1,"")</f>
        <v/>
      </c>
      <c r="EE783" s="58">
        <f>IFERROR($Z784/$Z783-1,"")</f>
        <v/>
      </c>
      <c r="EF783" s="58">
        <f>IFERROR($AA784/$AA783-1,"")</f>
        <v/>
      </c>
      <c r="EG783" s="58">
        <f>IFERROR($AB784/$AB783-1,"")</f>
        <v/>
      </c>
      <c r="EH783" s="58">
        <f>IFERROR($AC784/$AC783-1,"")</f>
        <v/>
      </c>
      <c r="EI783" s="58">
        <f>IFERROR($AD784/$AD783-1,"")</f>
        <v/>
      </c>
      <c r="EJ783" s="58">
        <f>IFERROR($AE784/$AE783-1,"")</f>
        <v/>
      </c>
      <c r="EK783" s="58">
        <f>IFERROR($AF784/$AF783-1,"")</f>
        <v/>
      </c>
      <c r="EL783" s="58">
        <f>IFERROR($AG784/$AG783-1,"")</f>
        <v/>
      </c>
      <c r="EM783" s="58">
        <f>IFERROR($BB783/$BB784-1,"")</f>
        <v/>
      </c>
      <c r="EN783" s="58">
        <f>IFERROR($BC783/$BC784-1,"")</f>
        <v/>
      </c>
      <c r="EO783" s="58">
        <f>IFERROR($BD783/$BD784-1,"")</f>
        <v/>
      </c>
      <c r="EP783" s="58">
        <f>IFERROR($BE783/$BE784-1,"")</f>
        <v/>
      </c>
      <c r="EQ783" s="58">
        <f>IFERROR($BF783/$BF784-1,"")</f>
        <v/>
      </c>
      <c r="ER783" s="58">
        <f>IFERROR($BG783/$BG784-1,"")</f>
        <v/>
      </c>
      <c r="ES783" s="58">
        <f>IFERROR($BH783/$BH784-1,"")</f>
        <v/>
      </c>
      <c r="ET783" s="58">
        <f>IFERROR($BI783/$BI784-1,"")</f>
        <v/>
      </c>
      <c r="EU783" s="58">
        <f>IFERROR($BJ783/$BJ784-1,"")</f>
        <v/>
      </c>
      <c r="EV783" s="58">
        <f>IFERROR($BK783/$BK784-1,"")</f>
        <v/>
      </c>
      <c r="EW783" s="58">
        <f>IFERROR($BL783/$BL784-1,"")</f>
        <v/>
      </c>
      <c r="EX783" s="58">
        <f>IFERROR($BM783/$BM784-1,"")</f>
        <v/>
      </c>
      <c r="EY783" s="58">
        <f>IFERROR($BN783/$BN784-1,"")</f>
        <v/>
      </c>
      <c r="EZ783" s="58">
        <f>IFERROR($BO783/$BO784-1,"")</f>
        <v/>
      </c>
      <c r="FA783" s="58">
        <f>IFERROR($BP783/$BP784-1,"")</f>
        <v/>
      </c>
      <c r="FB783" s="58">
        <f>IFERROR($BQ783/$BQ784-1,"")</f>
        <v/>
      </c>
      <c r="FC783" s="58">
        <f>IFERROR($BR783/$BR784-1,"")</f>
        <v/>
      </c>
      <c r="FD783" s="58">
        <f>IFERROR($BS783/$BS784-1,"")</f>
        <v/>
      </c>
      <c r="FE783" s="58">
        <f>IFERROR($BT783/$BT784-1,"")</f>
        <v/>
      </c>
      <c r="FF783" s="58">
        <f>IFERROR($BU783/$BU784-1,"")</f>
        <v/>
      </c>
      <c r="FG783" s="58">
        <f>IFERROR($BV783/$BV784-1,"")</f>
        <v/>
      </c>
      <c r="FH783" s="58">
        <f>IFERROR($BW783/$BW784-1,"")</f>
        <v/>
      </c>
      <c r="FI783" s="58">
        <f>IFERROR($BX783/$BX784-1,"")</f>
        <v/>
      </c>
      <c r="FJ783" s="59">
        <f>$BY783-$BY784</f>
        <v/>
      </c>
      <c r="FK783" s="59">
        <f>$BZ783-$BZ784</f>
        <v/>
      </c>
      <c r="FL783" s="59">
        <f>$CA783-$CA784</f>
        <v/>
      </c>
      <c r="FM783" s="59">
        <f>$CB783-$CB784</f>
        <v/>
      </c>
      <c r="FN783" s="59">
        <f>$CC783-$CC784</f>
        <v/>
      </c>
      <c r="FO783" s="59">
        <f>$CD783-$CD784</f>
        <v/>
      </c>
      <c r="FP783" s="59">
        <f>$CE783-$CE784</f>
        <v/>
      </c>
      <c r="FQ783" s="59">
        <f>$CF783-$CF784</f>
        <v/>
      </c>
      <c r="FR783" s="59">
        <f>$CG783-$CG784</f>
        <v/>
      </c>
      <c r="FS783" s="59">
        <f>$CH783-$CH784</f>
        <v/>
      </c>
      <c r="FT783" s="59">
        <f>$CI783-$CI784</f>
        <v/>
      </c>
      <c r="FU783" s="59">
        <f>$CJ783-$CJ784</f>
        <v/>
      </c>
      <c r="FV783" s="59">
        <f>$CK783-$CK784</f>
        <v/>
      </c>
      <c r="FW783" s="59">
        <f>$CL783-$CL784</f>
        <v/>
      </c>
      <c r="FX783" s="59">
        <f>$CM783-$CM784</f>
        <v/>
      </c>
      <c r="FY783" s="59">
        <f>$CN783-$CN784</f>
        <v/>
      </c>
      <c r="FZ783" s="59">
        <f>$CO783-$CO784</f>
        <v/>
      </c>
      <c r="GA783" s="59">
        <f>$CP783-$CP784</f>
        <v/>
      </c>
      <c r="GB783" s="59">
        <f>$CQ783-$CQ784</f>
        <v/>
      </c>
      <c r="GC783" s="59">
        <f>$CR783-$CR784</f>
        <v/>
      </c>
      <c r="GD783" s="59">
        <f>$CS783-$CS784</f>
        <v/>
      </c>
      <c r="GE783" s="59">
        <f>$CT783-$CT784</f>
        <v/>
      </c>
    </row>
    <row r="784">
      <c r="CU784" s="58">
        <f>IFERROR($B784/$B785-1,"")</f>
        <v/>
      </c>
      <c r="CV784" s="59">
        <f>($F784-$F785)*100</f>
        <v/>
      </c>
      <c r="CW784" s="59">
        <f>($E784-$E785)*100</f>
        <v/>
      </c>
      <c r="CX784" s="58">
        <f>IFERROR($K784/$K785-1,"")</f>
        <v/>
      </c>
      <c r="CY784" s="59">
        <f>($AH784-$AH785)*100</f>
        <v/>
      </c>
      <c r="CZ784" s="59">
        <f>($AI784-$AI785)*100</f>
        <v/>
      </c>
      <c r="DA784" s="59">
        <f>($AJ784-$AJ785)*100</f>
        <v/>
      </c>
      <c r="DB784" s="59">
        <f>($AK784-$AK785)*100</f>
        <v/>
      </c>
      <c r="DC784" s="59">
        <f>($AL784-$AL785)*100</f>
        <v/>
      </c>
      <c r="DD784" s="59">
        <f>($AM784-$AM785)*100</f>
        <v/>
      </c>
      <c r="DE784" s="59">
        <f>($AN784-$AN785)*100</f>
        <v/>
      </c>
      <c r="DF784" s="59">
        <f>($AO784-$AO785)*100</f>
        <v/>
      </c>
      <c r="DG784" s="59">
        <f>($AP784-$AP785)*100</f>
        <v/>
      </c>
      <c r="DH784" s="59">
        <f>($AQ784-$AQ785)*100</f>
        <v/>
      </c>
      <c r="DI784" s="59">
        <f>($AR784-$AR785)*100</f>
        <v/>
      </c>
      <c r="DJ784" s="59">
        <f>($AS784-$AS785)*100</f>
        <v/>
      </c>
      <c r="DK784" s="59">
        <f>($AT784-$AT785)*100</f>
        <v/>
      </c>
      <c r="DL784" s="59">
        <f>($AU784-$AU785)*100</f>
        <v/>
      </c>
      <c r="DM784" s="59">
        <f>($AV784-$AV785)*100</f>
        <v/>
      </c>
      <c r="DN784" s="59">
        <f>($AW784-$AW785)*100</f>
        <v/>
      </c>
      <c r="DO784" s="59">
        <f>($AX784-$AX785)*100</f>
        <v/>
      </c>
      <c r="DP784" s="59">
        <f>($AY784-$AY785)*100</f>
        <v/>
      </c>
      <c r="DQ784" s="59">
        <f>($AZ784-$AZ785)*100</f>
        <v/>
      </c>
      <c r="DR784" s="59">
        <f>($BA784-$BA785)*100</f>
        <v/>
      </c>
      <c r="DS784" s="58">
        <f>IFERROR($N785/$N784-1,"")</f>
        <v/>
      </c>
      <c r="DT784" s="58">
        <f>IFERROR($O785/$O784-1,"")</f>
        <v/>
      </c>
      <c r="DU784" s="58">
        <f>IFERROR($P785/$P784-1,"")</f>
        <v/>
      </c>
      <c r="DV784" s="58">
        <f>IFERROR($Q785/$Q784-1,"")</f>
        <v/>
      </c>
      <c r="DW784" s="58">
        <f>IFERROR($R785/$R784-1,"")</f>
        <v/>
      </c>
      <c r="DX784" s="58">
        <f>IFERROR($S785/$S784-1,"")</f>
        <v/>
      </c>
      <c r="DY784" s="58">
        <f>IFERROR($T785/$T784-1,"")</f>
        <v/>
      </c>
      <c r="DZ784" s="58">
        <f>IFERROR($U785/$U784-1,"")</f>
        <v/>
      </c>
      <c r="EA784" s="58">
        <f>IFERROR($V785/$V784-1,"")</f>
        <v/>
      </c>
      <c r="EB784" s="58">
        <f>IFERROR($W785/$W784-1,"")</f>
        <v/>
      </c>
      <c r="EC784" s="58">
        <f>IFERROR($X785/$X784-1,"")</f>
        <v/>
      </c>
      <c r="ED784" s="58">
        <f>IFERROR($Y785/$Y784-1,"")</f>
        <v/>
      </c>
      <c r="EE784" s="58">
        <f>IFERROR($Z785/$Z784-1,"")</f>
        <v/>
      </c>
      <c r="EF784" s="58">
        <f>IFERROR($AA785/$AA784-1,"")</f>
        <v/>
      </c>
      <c r="EG784" s="58">
        <f>IFERROR($AB785/$AB784-1,"")</f>
        <v/>
      </c>
      <c r="EH784" s="58">
        <f>IFERROR($AC785/$AC784-1,"")</f>
        <v/>
      </c>
      <c r="EI784" s="58">
        <f>IFERROR($AD785/$AD784-1,"")</f>
        <v/>
      </c>
      <c r="EJ784" s="58">
        <f>IFERROR($AE785/$AE784-1,"")</f>
        <v/>
      </c>
      <c r="EK784" s="58">
        <f>IFERROR($AF785/$AF784-1,"")</f>
        <v/>
      </c>
      <c r="EL784" s="58">
        <f>IFERROR($AG785/$AG784-1,"")</f>
        <v/>
      </c>
      <c r="EM784" s="58">
        <f>IFERROR($BB784/$BB785-1,"")</f>
        <v/>
      </c>
      <c r="EN784" s="58">
        <f>IFERROR($BC784/$BC785-1,"")</f>
        <v/>
      </c>
      <c r="EO784" s="58">
        <f>IFERROR($BD784/$BD785-1,"")</f>
        <v/>
      </c>
      <c r="EP784" s="58">
        <f>IFERROR($BE784/$BE785-1,"")</f>
        <v/>
      </c>
      <c r="EQ784" s="58">
        <f>IFERROR($BF784/$BF785-1,"")</f>
        <v/>
      </c>
      <c r="ER784" s="58">
        <f>IFERROR($BG784/$BG785-1,"")</f>
        <v/>
      </c>
      <c r="ES784" s="58">
        <f>IFERROR($BH784/$BH785-1,"")</f>
        <v/>
      </c>
      <c r="ET784" s="58">
        <f>IFERROR($BI784/$BI785-1,"")</f>
        <v/>
      </c>
      <c r="EU784" s="58">
        <f>IFERROR($BJ784/$BJ785-1,"")</f>
        <v/>
      </c>
      <c r="EV784" s="58">
        <f>IFERROR($BK784/$BK785-1,"")</f>
        <v/>
      </c>
      <c r="EW784" s="58">
        <f>IFERROR($BL784/$BL785-1,"")</f>
        <v/>
      </c>
      <c r="EX784" s="58">
        <f>IFERROR($BM784/$BM785-1,"")</f>
        <v/>
      </c>
      <c r="EY784" s="58">
        <f>IFERROR($BN784/$BN785-1,"")</f>
        <v/>
      </c>
      <c r="EZ784" s="58">
        <f>IFERROR($BO784/$BO785-1,"")</f>
        <v/>
      </c>
      <c r="FA784" s="58">
        <f>IFERROR($BP784/$BP785-1,"")</f>
        <v/>
      </c>
      <c r="FB784" s="58">
        <f>IFERROR($BQ784/$BQ785-1,"")</f>
        <v/>
      </c>
      <c r="FC784" s="58">
        <f>IFERROR($BR784/$BR785-1,"")</f>
        <v/>
      </c>
      <c r="FD784" s="58">
        <f>IFERROR($BS784/$BS785-1,"")</f>
        <v/>
      </c>
      <c r="FE784" s="58">
        <f>IFERROR($BT784/$BT785-1,"")</f>
        <v/>
      </c>
      <c r="FF784" s="58">
        <f>IFERROR($BU784/$BU785-1,"")</f>
        <v/>
      </c>
      <c r="FG784" s="58">
        <f>IFERROR($BV784/$BV785-1,"")</f>
        <v/>
      </c>
      <c r="FH784" s="58">
        <f>IFERROR($BW784/$BW785-1,"")</f>
        <v/>
      </c>
      <c r="FI784" s="58">
        <f>IFERROR($BX784/$BX785-1,"")</f>
        <v/>
      </c>
      <c r="FJ784" s="59">
        <f>$BY784-$BY785</f>
        <v/>
      </c>
      <c r="FK784" s="59">
        <f>$BZ784-$BZ785</f>
        <v/>
      </c>
      <c r="FL784" s="59">
        <f>$CA784-$CA785</f>
        <v/>
      </c>
      <c r="FM784" s="59">
        <f>$CB784-$CB785</f>
        <v/>
      </c>
      <c r="FN784" s="59">
        <f>$CC784-$CC785</f>
        <v/>
      </c>
      <c r="FO784" s="59">
        <f>$CD784-$CD785</f>
        <v/>
      </c>
      <c r="FP784" s="59">
        <f>$CE784-$CE785</f>
        <v/>
      </c>
      <c r="FQ784" s="59">
        <f>$CF784-$CF785</f>
        <v/>
      </c>
      <c r="FR784" s="59">
        <f>$CG784-$CG785</f>
        <v/>
      </c>
      <c r="FS784" s="59">
        <f>$CH784-$CH785</f>
        <v/>
      </c>
      <c r="FT784" s="59">
        <f>$CI784-$CI785</f>
        <v/>
      </c>
      <c r="FU784" s="59">
        <f>$CJ784-$CJ785</f>
        <v/>
      </c>
      <c r="FV784" s="59">
        <f>$CK784-$CK785</f>
        <v/>
      </c>
      <c r="FW784" s="59">
        <f>$CL784-$CL785</f>
        <v/>
      </c>
      <c r="FX784" s="59">
        <f>$CM784-$CM785</f>
        <v/>
      </c>
      <c r="FY784" s="59">
        <f>$CN784-$CN785</f>
        <v/>
      </c>
      <c r="FZ784" s="59">
        <f>$CO784-$CO785</f>
        <v/>
      </c>
      <c r="GA784" s="59">
        <f>$CP784-$CP785</f>
        <v/>
      </c>
      <c r="GB784" s="59">
        <f>$CQ784-$CQ785</f>
        <v/>
      </c>
      <c r="GC784" s="59">
        <f>$CR784-$CR785</f>
        <v/>
      </c>
      <c r="GD784" s="59">
        <f>$CS784-$CS785</f>
        <v/>
      </c>
      <c r="GE784" s="59">
        <f>$CT784-$CT785</f>
        <v/>
      </c>
    </row>
    <row r="785">
      <c r="CU785" s="58">
        <f>IFERROR($B785/$B786-1,"")</f>
        <v/>
      </c>
      <c r="CV785" s="59">
        <f>($F785-$F786)*100</f>
        <v/>
      </c>
      <c r="CW785" s="59">
        <f>($E785-$E786)*100</f>
        <v/>
      </c>
      <c r="CX785" s="58">
        <f>IFERROR($K785/$K786-1,"")</f>
        <v/>
      </c>
      <c r="CY785" s="59">
        <f>($AH785-$AH786)*100</f>
        <v/>
      </c>
      <c r="CZ785" s="59">
        <f>($AI785-$AI786)*100</f>
        <v/>
      </c>
      <c r="DA785" s="59">
        <f>($AJ785-$AJ786)*100</f>
        <v/>
      </c>
      <c r="DB785" s="59">
        <f>($AK785-$AK786)*100</f>
        <v/>
      </c>
      <c r="DC785" s="59">
        <f>($AL785-$AL786)*100</f>
        <v/>
      </c>
      <c r="DD785" s="59">
        <f>($AM785-$AM786)*100</f>
        <v/>
      </c>
      <c r="DE785" s="59">
        <f>($AN785-$AN786)*100</f>
        <v/>
      </c>
      <c r="DF785" s="59">
        <f>($AO785-$AO786)*100</f>
        <v/>
      </c>
      <c r="DG785" s="59">
        <f>($AP785-$AP786)*100</f>
        <v/>
      </c>
      <c r="DH785" s="59">
        <f>($AQ785-$AQ786)*100</f>
        <v/>
      </c>
      <c r="DI785" s="59">
        <f>($AR785-$AR786)*100</f>
        <v/>
      </c>
      <c r="DJ785" s="59">
        <f>($AS785-$AS786)*100</f>
        <v/>
      </c>
      <c r="DK785" s="59">
        <f>($AT785-$AT786)*100</f>
        <v/>
      </c>
      <c r="DL785" s="59">
        <f>($AU785-$AU786)*100</f>
        <v/>
      </c>
      <c r="DM785" s="59">
        <f>($AV785-$AV786)*100</f>
        <v/>
      </c>
      <c r="DN785" s="59">
        <f>($AW785-$AW786)*100</f>
        <v/>
      </c>
      <c r="DO785" s="59">
        <f>($AX785-$AX786)*100</f>
        <v/>
      </c>
      <c r="DP785" s="59">
        <f>($AY785-$AY786)*100</f>
        <v/>
      </c>
      <c r="DQ785" s="59">
        <f>($AZ785-$AZ786)*100</f>
        <v/>
      </c>
      <c r="DR785" s="59">
        <f>($BA785-$BA786)*100</f>
        <v/>
      </c>
      <c r="DS785" s="58">
        <f>IFERROR($N786/$N785-1,"")</f>
        <v/>
      </c>
      <c r="DT785" s="58">
        <f>IFERROR($O786/$O785-1,"")</f>
        <v/>
      </c>
      <c r="DU785" s="58">
        <f>IFERROR($P786/$P785-1,"")</f>
        <v/>
      </c>
      <c r="DV785" s="58">
        <f>IFERROR($Q786/$Q785-1,"")</f>
        <v/>
      </c>
      <c r="DW785" s="58">
        <f>IFERROR($R786/$R785-1,"")</f>
        <v/>
      </c>
      <c r="DX785" s="58">
        <f>IFERROR($S786/$S785-1,"")</f>
        <v/>
      </c>
      <c r="DY785" s="58">
        <f>IFERROR($T786/$T785-1,"")</f>
        <v/>
      </c>
      <c r="DZ785" s="58">
        <f>IFERROR($U786/$U785-1,"")</f>
        <v/>
      </c>
      <c r="EA785" s="58">
        <f>IFERROR($V786/$V785-1,"")</f>
        <v/>
      </c>
      <c r="EB785" s="58">
        <f>IFERROR($W786/$W785-1,"")</f>
        <v/>
      </c>
      <c r="EC785" s="58">
        <f>IFERROR($X786/$X785-1,"")</f>
        <v/>
      </c>
      <c r="ED785" s="58">
        <f>IFERROR($Y786/$Y785-1,"")</f>
        <v/>
      </c>
      <c r="EE785" s="58">
        <f>IFERROR($Z786/$Z785-1,"")</f>
        <v/>
      </c>
      <c r="EF785" s="58">
        <f>IFERROR($AA786/$AA785-1,"")</f>
        <v/>
      </c>
      <c r="EG785" s="58">
        <f>IFERROR($AB786/$AB785-1,"")</f>
        <v/>
      </c>
      <c r="EH785" s="58">
        <f>IFERROR($AC786/$AC785-1,"")</f>
        <v/>
      </c>
      <c r="EI785" s="58">
        <f>IFERROR($AD786/$AD785-1,"")</f>
        <v/>
      </c>
      <c r="EJ785" s="58">
        <f>IFERROR($AE786/$AE785-1,"")</f>
        <v/>
      </c>
      <c r="EK785" s="58">
        <f>IFERROR($AF786/$AF785-1,"")</f>
        <v/>
      </c>
      <c r="EL785" s="58">
        <f>IFERROR($AG786/$AG785-1,"")</f>
        <v/>
      </c>
      <c r="EM785" s="58">
        <f>IFERROR($BB785/$BB786-1,"")</f>
        <v/>
      </c>
      <c r="EN785" s="58">
        <f>IFERROR($BC785/$BC786-1,"")</f>
        <v/>
      </c>
      <c r="EO785" s="58">
        <f>IFERROR($BD785/$BD786-1,"")</f>
        <v/>
      </c>
      <c r="EP785" s="58">
        <f>IFERROR($BE785/$BE786-1,"")</f>
        <v/>
      </c>
      <c r="EQ785" s="58">
        <f>IFERROR($BF785/$BF786-1,"")</f>
        <v/>
      </c>
      <c r="ER785" s="58">
        <f>IFERROR($BG785/$BG786-1,"")</f>
        <v/>
      </c>
      <c r="ES785" s="58">
        <f>IFERROR($BH785/$BH786-1,"")</f>
        <v/>
      </c>
      <c r="ET785" s="58">
        <f>IFERROR($BI785/$BI786-1,"")</f>
        <v/>
      </c>
      <c r="EU785" s="58">
        <f>IFERROR($BJ785/$BJ786-1,"")</f>
        <v/>
      </c>
      <c r="EV785" s="58">
        <f>IFERROR($BK785/$BK786-1,"")</f>
        <v/>
      </c>
      <c r="EW785" s="58">
        <f>IFERROR($BL785/$BL786-1,"")</f>
        <v/>
      </c>
      <c r="EX785" s="58">
        <f>IFERROR($BM785/$BM786-1,"")</f>
        <v/>
      </c>
      <c r="EY785" s="58">
        <f>IFERROR($BN785/$BN786-1,"")</f>
        <v/>
      </c>
      <c r="EZ785" s="58">
        <f>IFERROR($BO785/$BO786-1,"")</f>
        <v/>
      </c>
      <c r="FA785" s="58">
        <f>IFERROR($BP785/$BP786-1,"")</f>
        <v/>
      </c>
      <c r="FB785" s="58">
        <f>IFERROR($BQ785/$BQ786-1,"")</f>
        <v/>
      </c>
      <c r="FC785" s="58">
        <f>IFERROR($BR785/$BR786-1,"")</f>
        <v/>
      </c>
      <c r="FD785" s="58">
        <f>IFERROR($BS785/$BS786-1,"")</f>
        <v/>
      </c>
      <c r="FE785" s="58">
        <f>IFERROR($BT785/$BT786-1,"")</f>
        <v/>
      </c>
      <c r="FF785" s="58">
        <f>IFERROR($BU785/$BU786-1,"")</f>
        <v/>
      </c>
      <c r="FG785" s="58">
        <f>IFERROR($BV785/$BV786-1,"")</f>
        <v/>
      </c>
      <c r="FH785" s="58">
        <f>IFERROR($BW785/$BW786-1,"")</f>
        <v/>
      </c>
      <c r="FI785" s="58">
        <f>IFERROR($BX785/$BX786-1,"")</f>
        <v/>
      </c>
      <c r="FJ785" s="59">
        <f>$BY785-$BY786</f>
        <v/>
      </c>
      <c r="FK785" s="59">
        <f>$BZ785-$BZ786</f>
        <v/>
      </c>
      <c r="FL785" s="59">
        <f>$CA785-$CA786</f>
        <v/>
      </c>
      <c r="FM785" s="59">
        <f>$CB785-$CB786</f>
        <v/>
      </c>
      <c r="FN785" s="59">
        <f>$CC785-$CC786</f>
        <v/>
      </c>
      <c r="FO785" s="59">
        <f>$CD785-$CD786</f>
        <v/>
      </c>
      <c r="FP785" s="59">
        <f>$CE785-$CE786</f>
        <v/>
      </c>
      <c r="FQ785" s="59">
        <f>$CF785-$CF786</f>
        <v/>
      </c>
      <c r="FR785" s="59">
        <f>$CG785-$CG786</f>
        <v/>
      </c>
      <c r="FS785" s="59">
        <f>$CH785-$CH786</f>
        <v/>
      </c>
      <c r="FT785" s="59">
        <f>$CI785-$CI786</f>
        <v/>
      </c>
      <c r="FU785" s="59">
        <f>$CJ785-$CJ786</f>
        <v/>
      </c>
      <c r="FV785" s="59">
        <f>$CK785-$CK786</f>
        <v/>
      </c>
      <c r="FW785" s="59">
        <f>$CL785-$CL786</f>
        <v/>
      </c>
      <c r="FX785" s="59">
        <f>$CM785-$CM786</f>
        <v/>
      </c>
      <c r="FY785" s="59">
        <f>$CN785-$CN786</f>
        <v/>
      </c>
      <c r="FZ785" s="59">
        <f>$CO785-$CO786</f>
        <v/>
      </c>
      <c r="GA785" s="59">
        <f>$CP785-$CP786</f>
        <v/>
      </c>
      <c r="GB785" s="59">
        <f>$CQ785-$CQ786</f>
        <v/>
      </c>
      <c r="GC785" s="59">
        <f>$CR785-$CR786</f>
        <v/>
      </c>
      <c r="GD785" s="59">
        <f>$CS785-$CS786</f>
        <v/>
      </c>
      <c r="GE785" s="59">
        <f>$CT785-$CT786</f>
        <v/>
      </c>
    </row>
    <row r="786">
      <c r="CU786" s="58">
        <f>IFERROR($B786/$B787-1,"")</f>
        <v/>
      </c>
      <c r="CV786" s="59">
        <f>($F786-$F787)*100</f>
        <v/>
      </c>
      <c r="CW786" s="59">
        <f>($E786-$E787)*100</f>
        <v/>
      </c>
      <c r="CX786" s="58">
        <f>IFERROR($K786/$K787-1,"")</f>
        <v/>
      </c>
      <c r="CY786" s="59">
        <f>($AH786-$AH787)*100</f>
        <v/>
      </c>
      <c r="CZ786" s="59">
        <f>($AI786-$AI787)*100</f>
        <v/>
      </c>
      <c r="DA786" s="59">
        <f>($AJ786-$AJ787)*100</f>
        <v/>
      </c>
      <c r="DB786" s="59">
        <f>($AK786-$AK787)*100</f>
        <v/>
      </c>
      <c r="DC786" s="59">
        <f>($AL786-$AL787)*100</f>
        <v/>
      </c>
      <c r="DD786" s="59">
        <f>($AM786-$AM787)*100</f>
        <v/>
      </c>
      <c r="DE786" s="59">
        <f>($AN786-$AN787)*100</f>
        <v/>
      </c>
      <c r="DF786" s="59">
        <f>($AO786-$AO787)*100</f>
        <v/>
      </c>
      <c r="DG786" s="59">
        <f>($AP786-$AP787)*100</f>
        <v/>
      </c>
      <c r="DH786" s="59">
        <f>($AQ786-$AQ787)*100</f>
        <v/>
      </c>
      <c r="DI786" s="59">
        <f>($AR786-$AR787)*100</f>
        <v/>
      </c>
      <c r="DJ786" s="59">
        <f>($AS786-$AS787)*100</f>
        <v/>
      </c>
      <c r="DK786" s="59">
        <f>($AT786-$AT787)*100</f>
        <v/>
      </c>
      <c r="DL786" s="59">
        <f>($AU786-$AU787)*100</f>
        <v/>
      </c>
      <c r="DM786" s="59">
        <f>($AV786-$AV787)*100</f>
        <v/>
      </c>
      <c r="DN786" s="59">
        <f>($AW786-$AW787)*100</f>
        <v/>
      </c>
      <c r="DO786" s="59">
        <f>($AX786-$AX787)*100</f>
        <v/>
      </c>
      <c r="DP786" s="59">
        <f>($AY786-$AY787)*100</f>
        <v/>
      </c>
      <c r="DQ786" s="59">
        <f>($AZ786-$AZ787)*100</f>
        <v/>
      </c>
      <c r="DR786" s="59">
        <f>($BA786-$BA787)*100</f>
        <v/>
      </c>
      <c r="DS786" s="58">
        <f>IFERROR($N787/$N786-1,"")</f>
        <v/>
      </c>
      <c r="DT786" s="58">
        <f>IFERROR($O787/$O786-1,"")</f>
        <v/>
      </c>
      <c r="DU786" s="58">
        <f>IFERROR($P787/$P786-1,"")</f>
        <v/>
      </c>
      <c r="DV786" s="58">
        <f>IFERROR($Q787/$Q786-1,"")</f>
        <v/>
      </c>
      <c r="DW786" s="58">
        <f>IFERROR($R787/$R786-1,"")</f>
        <v/>
      </c>
      <c r="DX786" s="58">
        <f>IFERROR($S787/$S786-1,"")</f>
        <v/>
      </c>
      <c r="DY786" s="58">
        <f>IFERROR($T787/$T786-1,"")</f>
        <v/>
      </c>
      <c r="DZ786" s="58">
        <f>IFERROR($U787/$U786-1,"")</f>
        <v/>
      </c>
      <c r="EA786" s="58">
        <f>IFERROR($V787/$V786-1,"")</f>
        <v/>
      </c>
      <c r="EB786" s="58">
        <f>IFERROR($W787/$W786-1,"")</f>
        <v/>
      </c>
      <c r="EC786" s="58">
        <f>IFERROR($X787/$X786-1,"")</f>
        <v/>
      </c>
      <c r="ED786" s="58">
        <f>IFERROR($Y787/$Y786-1,"")</f>
        <v/>
      </c>
      <c r="EE786" s="58">
        <f>IFERROR($Z787/$Z786-1,"")</f>
        <v/>
      </c>
      <c r="EF786" s="58">
        <f>IFERROR($AA787/$AA786-1,"")</f>
        <v/>
      </c>
      <c r="EG786" s="58">
        <f>IFERROR($AB787/$AB786-1,"")</f>
        <v/>
      </c>
      <c r="EH786" s="58">
        <f>IFERROR($AC787/$AC786-1,"")</f>
        <v/>
      </c>
      <c r="EI786" s="58">
        <f>IFERROR($AD787/$AD786-1,"")</f>
        <v/>
      </c>
      <c r="EJ786" s="58">
        <f>IFERROR($AE787/$AE786-1,"")</f>
        <v/>
      </c>
      <c r="EK786" s="58">
        <f>IFERROR($AF787/$AF786-1,"")</f>
        <v/>
      </c>
      <c r="EL786" s="58">
        <f>IFERROR($AG787/$AG786-1,"")</f>
        <v/>
      </c>
      <c r="EM786" s="58">
        <f>IFERROR($BB786/$BB787-1,"")</f>
        <v/>
      </c>
      <c r="EN786" s="58">
        <f>IFERROR($BC786/$BC787-1,"")</f>
        <v/>
      </c>
      <c r="EO786" s="58">
        <f>IFERROR($BD786/$BD787-1,"")</f>
        <v/>
      </c>
      <c r="EP786" s="58">
        <f>IFERROR($BE786/$BE787-1,"")</f>
        <v/>
      </c>
      <c r="EQ786" s="58">
        <f>IFERROR($BF786/$BF787-1,"")</f>
        <v/>
      </c>
      <c r="ER786" s="58">
        <f>IFERROR($BG786/$BG787-1,"")</f>
        <v/>
      </c>
      <c r="ES786" s="58">
        <f>IFERROR($BH786/$BH787-1,"")</f>
        <v/>
      </c>
      <c r="ET786" s="58">
        <f>IFERROR($BI786/$BI787-1,"")</f>
        <v/>
      </c>
      <c r="EU786" s="58">
        <f>IFERROR($BJ786/$BJ787-1,"")</f>
        <v/>
      </c>
      <c r="EV786" s="58">
        <f>IFERROR($BK786/$BK787-1,"")</f>
        <v/>
      </c>
      <c r="EW786" s="58">
        <f>IFERROR($BL786/$BL787-1,"")</f>
        <v/>
      </c>
      <c r="EX786" s="58">
        <f>IFERROR($BM786/$BM787-1,"")</f>
        <v/>
      </c>
      <c r="EY786" s="58">
        <f>IFERROR($BN786/$BN787-1,"")</f>
        <v/>
      </c>
      <c r="EZ786" s="58">
        <f>IFERROR($BO786/$BO787-1,"")</f>
        <v/>
      </c>
      <c r="FA786" s="58">
        <f>IFERROR($BP786/$BP787-1,"")</f>
        <v/>
      </c>
      <c r="FB786" s="58">
        <f>IFERROR($BQ786/$BQ787-1,"")</f>
        <v/>
      </c>
      <c r="FC786" s="58">
        <f>IFERROR($BR786/$BR787-1,"")</f>
        <v/>
      </c>
      <c r="FD786" s="58">
        <f>IFERROR($BS786/$BS787-1,"")</f>
        <v/>
      </c>
      <c r="FE786" s="58">
        <f>IFERROR($BT786/$BT787-1,"")</f>
        <v/>
      </c>
      <c r="FF786" s="58">
        <f>IFERROR($BU786/$BU787-1,"")</f>
        <v/>
      </c>
      <c r="FG786" s="58">
        <f>IFERROR($BV786/$BV787-1,"")</f>
        <v/>
      </c>
      <c r="FH786" s="58">
        <f>IFERROR($BW786/$BW787-1,"")</f>
        <v/>
      </c>
      <c r="FI786" s="58">
        <f>IFERROR($BX786/$BX787-1,"")</f>
        <v/>
      </c>
      <c r="FJ786" s="59">
        <f>$BY786-$BY787</f>
        <v/>
      </c>
      <c r="FK786" s="59">
        <f>$BZ786-$BZ787</f>
        <v/>
      </c>
      <c r="FL786" s="59">
        <f>$CA786-$CA787</f>
        <v/>
      </c>
      <c r="FM786" s="59">
        <f>$CB786-$CB787</f>
        <v/>
      </c>
      <c r="FN786" s="59">
        <f>$CC786-$CC787</f>
        <v/>
      </c>
      <c r="FO786" s="59">
        <f>$CD786-$CD787</f>
        <v/>
      </c>
      <c r="FP786" s="59">
        <f>$CE786-$CE787</f>
        <v/>
      </c>
      <c r="FQ786" s="59">
        <f>$CF786-$CF787</f>
        <v/>
      </c>
      <c r="FR786" s="59">
        <f>$CG786-$CG787</f>
        <v/>
      </c>
      <c r="FS786" s="59">
        <f>$CH786-$CH787</f>
        <v/>
      </c>
      <c r="FT786" s="59">
        <f>$CI786-$CI787</f>
        <v/>
      </c>
      <c r="FU786" s="59">
        <f>$CJ786-$CJ787</f>
        <v/>
      </c>
      <c r="FV786" s="59">
        <f>$CK786-$CK787</f>
        <v/>
      </c>
      <c r="FW786" s="59">
        <f>$CL786-$CL787</f>
        <v/>
      </c>
      <c r="FX786" s="59">
        <f>$CM786-$CM787</f>
        <v/>
      </c>
      <c r="FY786" s="59">
        <f>$CN786-$CN787</f>
        <v/>
      </c>
      <c r="FZ786" s="59">
        <f>$CO786-$CO787</f>
        <v/>
      </c>
      <c r="GA786" s="59">
        <f>$CP786-$CP787</f>
        <v/>
      </c>
      <c r="GB786" s="59">
        <f>$CQ786-$CQ787</f>
        <v/>
      </c>
      <c r="GC786" s="59">
        <f>$CR786-$CR787</f>
        <v/>
      </c>
      <c r="GD786" s="59">
        <f>$CS786-$CS787</f>
        <v/>
      </c>
      <c r="GE786" s="59">
        <f>$CT786-$CT787</f>
        <v/>
      </c>
    </row>
    <row r="787">
      <c r="CU787" s="58">
        <f>IFERROR($B787/$B788-1,"")</f>
        <v/>
      </c>
      <c r="CV787" s="59">
        <f>($F787-$F788)*100</f>
        <v/>
      </c>
      <c r="CW787" s="59">
        <f>($E787-$E788)*100</f>
        <v/>
      </c>
      <c r="CX787" s="58">
        <f>IFERROR($K787/$K788-1,"")</f>
        <v/>
      </c>
      <c r="CY787" s="59">
        <f>($AH787-$AH788)*100</f>
        <v/>
      </c>
      <c r="CZ787" s="59">
        <f>($AI787-$AI788)*100</f>
        <v/>
      </c>
      <c r="DA787" s="59">
        <f>($AJ787-$AJ788)*100</f>
        <v/>
      </c>
      <c r="DB787" s="59">
        <f>($AK787-$AK788)*100</f>
        <v/>
      </c>
      <c r="DC787" s="59">
        <f>($AL787-$AL788)*100</f>
        <v/>
      </c>
      <c r="DD787" s="59">
        <f>($AM787-$AM788)*100</f>
        <v/>
      </c>
      <c r="DE787" s="59">
        <f>($AN787-$AN788)*100</f>
        <v/>
      </c>
      <c r="DF787" s="59">
        <f>($AO787-$AO788)*100</f>
        <v/>
      </c>
      <c r="DG787" s="59">
        <f>($AP787-$AP788)*100</f>
        <v/>
      </c>
      <c r="DH787" s="59">
        <f>($AQ787-$AQ788)*100</f>
        <v/>
      </c>
      <c r="DI787" s="59">
        <f>($AR787-$AR788)*100</f>
        <v/>
      </c>
      <c r="DJ787" s="59">
        <f>($AS787-$AS788)*100</f>
        <v/>
      </c>
      <c r="DK787" s="59">
        <f>($AT787-$AT788)*100</f>
        <v/>
      </c>
      <c r="DL787" s="59">
        <f>($AU787-$AU788)*100</f>
        <v/>
      </c>
      <c r="DM787" s="59">
        <f>($AV787-$AV788)*100</f>
        <v/>
      </c>
      <c r="DN787" s="59">
        <f>($AW787-$AW788)*100</f>
        <v/>
      </c>
      <c r="DO787" s="59">
        <f>($AX787-$AX788)*100</f>
        <v/>
      </c>
      <c r="DP787" s="59">
        <f>($AY787-$AY788)*100</f>
        <v/>
      </c>
      <c r="DQ787" s="59">
        <f>($AZ787-$AZ788)*100</f>
        <v/>
      </c>
      <c r="DR787" s="59">
        <f>($BA787-$BA788)*100</f>
        <v/>
      </c>
      <c r="DS787" s="58">
        <f>IFERROR($N788/$N787-1,"")</f>
        <v/>
      </c>
      <c r="DT787" s="58">
        <f>IFERROR($O788/$O787-1,"")</f>
        <v/>
      </c>
      <c r="DU787" s="58">
        <f>IFERROR($P788/$P787-1,"")</f>
        <v/>
      </c>
      <c r="DV787" s="58">
        <f>IFERROR($Q788/$Q787-1,"")</f>
        <v/>
      </c>
      <c r="DW787" s="58">
        <f>IFERROR($R788/$R787-1,"")</f>
        <v/>
      </c>
      <c r="DX787" s="58">
        <f>IFERROR($S788/$S787-1,"")</f>
        <v/>
      </c>
      <c r="DY787" s="58">
        <f>IFERROR($T788/$T787-1,"")</f>
        <v/>
      </c>
      <c r="DZ787" s="58">
        <f>IFERROR($U788/$U787-1,"")</f>
        <v/>
      </c>
      <c r="EA787" s="58">
        <f>IFERROR($V788/$V787-1,"")</f>
        <v/>
      </c>
      <c r="EB787" s="58">
        <f>IFERROR($W788/$W787-1,"")</f>
        <v/>
      </c>
      <c r="EC787" s="58">
        <f>IFERROR($X788/$X787-1,"")</f>
        <v/>
      </c>
      <c r="ED787" s="58">
        <f>IFERROR($Y788/$Y787-1,"")</f>
        <v/>
      </c>
      <c r="EE787" s="58">
        <f>IFERROR($Z788/$Z787-1,"")</f>
        <v/>
      </c>
      <c r="EF787" s="58">
        <f>IFERROR($AA788/$AA787-1,"")</f>
        <v/>
      </c>
      <c r="EG787" s="58">
        <f>IFERROR($AB788/$AB787-1,"")</f>
        <v/>
      </c>
      <c r="EH787" s="58">
        <f>IFERROR($AC788/$AC787-1,"")</f>
        <v/>
      </c>
      <c r="EI787" s="58">
        <f>IFERROR($AD788/$AD787-1,"")</f>
        <v/>
      </c>
      <c r="EJ787" s="58">
        <f>IFERROR($AE788/$AE787-1,"")</f>
        <v/>
      </c>
      <c r="EK787" s="58">
        <f>IFERROR($AF788/$AF787-1,"")</f>
        <v/>
      </c>
      <c r="EL787" s="58">
        <f>IFERROR($AG788/$AG787-1,"")</f>
        <v/>
      </c>
      <c r="EM787" s="58">
        <f>IFERROR($BB787/$BB788-1,"")</f>
        <v/>
      </c>
      <c r="EN787" s="58">
        <f>IFERROR($BC787/$BC788-1,"")</f>
        <v/>
      </c>
      <c r="EO787" s="58">
        <f>IFERROR($BD787/$BD788-1,"")</f>
        <v/>
      </c>
      <c r="EP787" s="58">
        <f>IFERROR($BE787/$BE788-1,"")</f>
        <v/>
      </c>
      <c r="EQ787" s="58">
        <f>IFERROR($BF787/$BF788-1,"")</f>
        <v/>
      </c>
      <c r="ER787" s="58">
        <f>IFERROR($BG787/$BG788-1,"")</f>
        <v/>
      </c>
      <c r="ES787" s="58">
        <f>IFERROR($BH787/$BH788-1,"")</f>
        <v/>
      </c>
      <c r="ET787" s="58">
        <f>IFERROR($BI787/$BI788-1,"")</f>
        <v/>
      </c>
      <c r="EU787" s="58">
        <f>IFERROR($BJ787/$BJ788-1,"")</f>
        <v/>
      </c>
      <c r="EV787" s="58">
        <f>IFERROR($BK787/$BK788-1,"")</f>
        <v/>
      </c>
      <c r="EW787" s="58">
        <f>IFERROR($BL787/$BL788-1,"")</f>
        <v/>
      </c>
      <c r="EX787" s="58">
        <f>IFERROR($BM787/$BM788-1,"")</f>
        <v/>
      </c>
      <c r="EY787" s="58">
        <f>IFERROR($BN787/$BN788-1,"")</f>
        <v/>
      </c>
      <c r="EZ787" s="58">
        <f>IFERROR($BO787/$BO788-1,"")</f>
        <v/>
      </c>
      <c r="FA787" s="58">
        <f>IFERROR($BP787/$BP788-1,"")</f>
        <v/>
      </c>
      <c r="FB787" s="58">
        <f>IFERROR($BQ787/$BQ788-1,"")</f>
        <v/>
      </c>
      <c r="FC787" s="58">
        <f>IFERROR($BR787/$BR788-1,"")</f>
        <v/>
      </c>
      <c r="FD787" s="58">
        <f>IFERROR($BS787/$BS788-1,"")</f>
        <v/>
      </c>
      <c r="FE787" s="58">
        <f>IFERROR($BT787/$BT788-1,"")</f>
        <v/>
      </c>
      <c r="FF787" s="58">
        <f>IFERROR($BU787/$BU788-1,"")</f>
        <v/>
      </c>
      <c r="FG787" s="58">
        <f>IFERROR($BV787/$BV788-1,"")</f>
        <v/>
      </c>
      <c r="FH787" s="58">
        <f>IFERROR($BW787/$BW788-1,"")</f>
        <v/>
      </c>
      <c r="FI787" s="58">
        <f>IFERROR($BX787/$BX788-1,"")</f>
        <v/>
      </c>
      <c r="FJ787" s="59">
        <f>$BY787-$BY788</f>
        <v/>
      </c>
      <c r="FK787" s="59">
        <f>$BZ787-$BZ788</f>
        <v/>
      </c>
      <c r="FL787" s="59">
        <f>$CA787-$CA788</f>
        <v/>
      </c>
      <c r="FM787" s="59">
        <f>$CB787-$CB788</f>
        <v/>
      </c>
      <c r="FN787" s="59">
        <f>$CC787-$CC788</f>
        <v/>
      </c>
      <c r="FO787" s="59">
        <f>$CD787-$CD788</f>
        <v/>
      </c>
      <c r="FP787" s="59">
        <f>$CE787-$CE788</f>
        <v/>
      </c>
      <c r="FQ787" s="59">
        <f>$CF787-$CF788</f>
        <v/>
      </c>
      <c r="FR787" s="59">
        <f>$CG787-$CG788</f>
        <v/>
      </c>
      <c r="FS787" s="59">
        <f>$CH787-$CH788</f>
        <v/>
      </c>
      <c r="FT787" s="59">
        <f>$CI787-$CI788</f>
        <v/>
      </c>
      <c r="FU787" s="59">
        <f>$CJ787-$CJ788</f>
        <v/>
      </c>
      <c r="FV787" s="59">
        <f>$CK787-$CK788</f>
        <v/>
      </c>
      <c r="FW787" s="59">
        <f>$CL787-$CL788</f>
        <v/>
      </c>
      <c r="FX787" s="59">
        <f>$CM787-$CM788</f>
        <v/>
      </c>
      <c r="FY787" s="59">
        <f>$CN787-$CN788</f>
        <v/>
      </c>
      <c r="FZ787" s="59">
        <f>$CO787-$CO788</f>
        <v/>
      </c>
      <c r="GA787" s="59">
        <f>$CP787-$CP788</f>
        <v/>
      </c>
      <c r="GB787" s="59">
        <f>$CQ787-$CQ788</f>
        <v/>
      </c>
      <c r="GC787" s="59">
        <f>$CR787-$CR788</f>
        <v/>
      </c>
      <c r="GD787" s="59">
        <f>$CS787-$CS788</f>
        <v/>
      </c>
      <c r="GE787" s="59">
        <f>$CT787-$CT788</f>
        <v/>
      </c>
    </row>
    <row r="788">
      <c r="CU788" s="58">
        <f>IFERROR($B788/$B789-1,"")</f>
        <v/>
      </c>
      <c r="CV788" s="59">
        <f>($F788-$F789)*100</f>
        <v/>
      </c>
      <c r="CW788" s="59">
        <f>($E788-$E789)*100</f>
        <v/>
      </c>
      <c r="CX788" s="58">
        <f>IFERROR($K788/$K789-1,"")</f>
        <v/>
      </c>
      <c r="CY788" s="59">
        <f>($AH788-$AH789)*100</f>
        <v/>
      </c>
      <c r="CZ788" s="59">
        <f>($AI788-$AI789)*100</f>
        <v/>
      </c>
      <c r="DA788" s="59">
        <f>($AJ788-$AJ789)*100</f>
        <v/>
      </c>
      <c r="DB788" s="59">
        <f>($AK788-$AK789)*100</f>
        <v/>
      </c>
      <c r="DC788" s="59">
        <f>($AL788-$AL789)*100</f>
        <v/>
      </c>
      <c r="DD788" s="59">
        <f>($AM788-$AM789)*100</f>
        <v/>
      </c>
      <c r="DE788" s="59">
        <f>($AN788-$AN789)*100</f>
        <v/>
      </c>
      <c r="DF788" s="59">
        <f>($AO788-$AO789)*100</f>
        <v/>
      </c>
      <c r="DG788" s="59">
        <f>($AP788-$AP789)*100</f>
        <v/>
      </c>
      <c r="DH788" s="59">
        <f>($AQ788-$AQ789)*100</f>
        <v/>
      </c>
      <c r="DI788" s="59">
        <f>($AR788-$AR789)*100</f>
        <v/>
      </c>
      <c r="DJ788" s="59">
        <f>($AS788-$AS789)*100</f>
        <v/>
      </c>
      <c r="DK788" s="59">
        <f>($AT788-$AT789)*100</f>
        <v/>
      </c>
      <c r="DL788" s="59">
        <f>($AU788-$AU789)*100</f>
        <v/>
      </c>
      <c r="DM788" s="59">
        <f>($AV788-$AV789)*100</f>
        <v/>
      </c>
      <c r="DN788" s="59">
        <f>($AW788-$AW789)*100</f>
        <v/>
      </c>
      <c r="DO788" s="59">
        <f>($AX788-$AX789)*100</f>
        <v/>
      </c>
      <c r="DP788" s="59">
        <f>($AY788-$AY789)*100</f>
        <v/>
      </c>
      <c r="DQ788" s="59">
        <f>($AZ788-$AZ789)*100</f>
        <v/>
      </c>
      <c r="DR788" s="59">
        <f>($BA788-$BA789)*100</f>
        <v/>
      </c>
      <c r="DS788" s="58">
        <f>IFERROR($N789/$N788-1,"")</f>
        <v/>
      </c>
      <c r="DT788" s="58">
        <f>IFERROR($O789/$O788-1,"")</f>
        <v/>
      </c>
      <c r="DU788" s="58">
        <f>IFERROR($P789/$P788-1,"")</f>
        <v/>
      </c>
      <c r="DV788" s="58">
        <f>IFERROR($Q789/$Q788-1,"")</f>
        <v/>
      </c>
      <c r="DW788" s="58">
        <f>IFERROR($R789/$R788-1,"")</f>
        <v/>
      </c>
      <c r="DX788" s="58">
        <f>IFERROR($S789/$S788-1,"")</f>
        <v/>
      </c>
      <c r="DY788" s="58">
        <f>IFERROR($T789/$T788-1,"")</f>
        <v/>
      </c>
      <c r="DZ788" s="58">
        <f>IFERROR($U789/$U788-1,"")</f>
        <v/>
      </c>
      <c r="EA788" s="58">
        <f>IFERROR($V789/$V788-1,"")</f>
        <v/>
      </c>
      <c r="EB788" s="58">
        <f>IFERROR($W789/$W788-1,"")</f>
        <v/>
      </c>
      <c r="EC788" s="58">
        <f>IFERROR($X789/$X788-1,"")</f>
        <v/>
      </c>
      <c r="ED788" s="58">
        <f>IFERROR($Y789/$Y788-1,"")</f>
        <v/>
      </c>
      <c r="EE788" s="58">
        <f>IFERROR($Z789/$Z788-1,"")</f>
        <v/>
      </c>
      <c r="EF788" s="58">
        <f>IFERROR($AA789/$AA788-1,"")</f>
        <v/>
      </c>
      <c r="EG788" s="58">
        <f>IFERROR($AB789/$AB788-1,"")</f>
        <v/>
      </c>
      <c r="EH788" s="58">
        <f>IFERROR($AC789/$AC788-1,"")</f>
        <v/>
      </c>
      <c r="EI788" s="58">
        <f>IFERROR($AD789/$AD788-1,"")</f>
        <v/>
      </c>
      <c r="EJ788" s="58">
        <f>IFERROR($AE789/$AE788-1,"")</f>
        <v/>
      </c>
      <c r="EK788" s="58">
        <f>IFERROR($AF789/$AF788-1,"")</f>
        <v/>
      </c>
      <c r="EL788" s="58">
        <f>IFERROR($AG789/$AG788-1,"")</f>
        <v/>
      </c>
      <c r="EM788" s="58">
        <f>IFERROR($BB788/$BB789-1,"")</f>
        <v/>
      </c>
      <c r="EN788" s="58">
        <f>IFERROR($BC788/$BC789-1,"")</f>
        <v/>
      </c>
      <c r="EO788" s="58">
        <f>IFERROR($BD788/$BD789-1,"")</f>
        <v/>
      </c>
      <c r="EP788" s="58">
        <f>IFERROR($BE788/$BE789-1,"")</f>
        <v/>
      </c>
      <c r="EQ788" s="58">
        <f>IFERROR($BF788/$BF789-1,"")</f>
        <v/>
      </c>
      <c r="ER788" s="58">
        <f>IFERROR($BG788/$BG789-1,"")</f>
        <v/>
      </c>
      <c r="ES788" s="58">
        <f>IFERROR($BH788/$BH789-1,"")</f>
        <v/>
      </c>
      <c r="ET788" s="58">
        <f>IFERROR($BI788/$BI789-1,"")</f>
        <v/>
      </c>
      <c r="EU788" s="58">
        <f>IFERROR($BJ788/$BJ789-1,"")</f>
        <v/>
      </c>
      <c r="EV788" s="58">
        <f>IFERROR($BK788/$BK789-1,"")</f>
        <v/>
      </c>
      <c r="EW788" s="58">
        <f>IFERROR($BL788/$BL789-1,"")</f>
        <v/>
      </c>
      <c r="EX788" s="58">
        <f>IFERROR($BM788/$BM789-1,"")</f>
        <v/>
      </c>
      <c r="EY788" s="58">
        <f>IFERROR($BN788/$BN789-1,"")</f>
        <v/>
      </c>
      <c r="EZ788" s="58">
        <f>IFERROR($BO788/$BO789-1,"")</f>
        <v/>
      </c>
      <c r="FA788" s="58">
        <f>IFERROR($BP788/$BP789-1,"")</f>
        <v/>
      </c>
      <c r="FB788" s="58">
        <f>IFERROR($BQ788/$BQ789-1,"")</f>
        <v/>
      </c>
      <c r="FC788" s="58">
        <f>IFERROR($BR788/$BR789-1,"")</f>
        <v/>
      </c>
      <c r="FD788" s="58">
        <f>IFERROR($BS788/$BS789-1,"")</f>
        <v/>
      </c>
      <c r="FE788" s="58">
        <f>IFERROR($BT788/$BT789-1,"")</f>
        <v/>
      </c>
      <c r="FF788" s="58">
        <f>IFERROR($BU788/$BU789-1,"")</f>
        <v/>
      </c>
      <c r="FG788" s="58">
        <f>IFERROR($BV788/$BV789-1,"")</f>
        <v/>
      </c>
      <c r="FH788" s="58">
        <f>IFERROR($BW788/$BW789-1,"")</f>
        <v/>
      </c>
      <c r="FI788" s="58">
        <f>IFERROR($BX788/$BX789-1,"")</f>
        <v/>
      </c>
      <c r="FJ788" s="59">
        <f>$BY788-$BY789</f>
        <v/>
      </c>
      <c r="FK788" s="59">
        <f>$BZ788-$BZ789</f>
        <v/>
      </c>
      <c r="FL788" s="59">
        <f>$CA788-$CA789</f>
        <v/>
      </c>
      <c r="FM788" s="59">
        <f>$CB788-$CB789</f>
        <v/>
      </c>
      <c r="FN788" s="59">
        <f>$CC788-$CC789</f>
        <v/>
      </c>
      <c r="FO788" s="59">
        <f>$CD788-$CD789</f>
        <v/>
      </c>
      <c r="FP788" s="59">
        <f>$CE788-$CE789</f>
        <v/>
      </c>
      <c r="FQ788" s="59">
        <f>$CF788-$CF789</f>
        <v/>
      </c>
      <c r="FR788" s="59">
        <f>$CG788-$CG789</f>
        <v/>
      </c>
      <c r="FS788" s="59">
        <f>$CH788-$CH789</f>
        <v/>
      </c>
      <c r="FT788" s="59">
        <f>$CI788-$CI789</f>
        <v/>
      </c>
      <c r="FU788" s="59">
        <f>$CJ788-$CJ789</f>
        <v/>
      </c>
      <c r="FV788" s="59">
        <f>$CK788-$CK789</f>
        <v/>
      </c>
      <c r="FW788" s="59">
        <f>$CL788-$CL789</f>
        <v/>
      </c>
      <c r="FX788" s="59">
        <f>$CM788-$CM789</f>
        <v/>
      </c>
      <c r="FY788" s="59">
        <f>$CN788-$CN789</f>
        <v/>
      </c>
      <c r="FZ788" s="59">
        <f>$CO788-$CO789</f>
        <v/>
      </c>
      <c r="GA788" s="59">
        <f>$CP788-$CP789</f>
        <v/>
      </c>
      <c r="GB788" s="59">
        <f>$CQ788-$CQ789</f>
        <v/>
      </c>
      <c r="GC788" s="59">
        <f>$CR788-$CR789</f>
        <v/>
      </c>
      <c r="GD788" s="59">
        <f>$CS788-$CS789</f>
        <v/>
      </c>
      <c r="GE788" s="59">
        <f>$CT788-$CT789</f>
        <v/>
      </c>
    </row>
    <row r="789">
      <c r="CU789" s="58">
        <f>IFERROR($B789/$B790-1,"")</f>
        <v/>
      </c>
      <c r="CV789" s="59">
        <f>($F789-$F790)*100</f>
        <v/>
      </c>
      <c r="CW789" s="59">
        <f>($E789-$E790)*100</f>
        <v/>
      </c>
      <c r="CX789" s="58">
        <f>IFERROR($K789/$K790-1,"")</f>
        <v/>
      </c>
      <c r="CY789" s="59">
        <f>($AH789-$AH790)*100</f>
        <v/>
      </c>
      <c r="CZ789" s="59">
        <f>($AI789-$AI790)*100</f>
        <v/>
      </c>
      <c r="DA789" s="59">
        <f>($AJ789-$AJ790)*100</f>
        <v/>
      </c>
      <c r="DB789" s="59">
        <f>($AK789-$AK790)*100</f>
        <v/>
      </c>
      <c r="DC789" s="59">
        <f>($AL789-$AL790)*100</f>
        <v/>
      </c>
      <c r="DD789" s="59">
        <f>($AM789-$AM790)*100</f>
        <v/>
      </c>
      <c r="DE789" s="59">
        <f>($AN789-$AN790)*100</f>
        <v/>
      </c>
      <c r="DF789" s="59">
        <f>($AO789-$AO790)*100</f>
        <v/>
      </c>
      <c r="DG789" s="59">
        <f>($AP789-$AP790)*100</f>
        <v/>
      </c>
      <c r="DH789" s="59">
        <f>($AQ789-$AQ790)*100</f>
        <v/>
      </c>
      <c r="DI789" s="59">
        <f>($AR789-$AR790)*100</f>
        <v/>
      </c>
      <c r="DJ789" s="59">
        <f>($AS789-$AS790)*100</f>
        <v/>
      </c>
      <c r="DK789" s="59">
        <f>($AT789-$AT790)*100</f>
        <v/>
      </c>
      <c r="DL789" s="59">
        <f>($AU789-$AU790)*100</f>
        <v/>
      </c>
      <c r="DM789" s="59">
        <f>($AV789-$AV790)*100</f>
        <v/>
      </c>
      <c r="DN789" s="59">
        <f>($AW789-$AW790)*100</f>
        <v/>
      </c>
      <c r="DO789" s="59">
        <f>($AX789-$AX790)*100</f>
        <v/>
      </c>
      <c r="DP789" s="59">
        <f>($AY789-$AY790)*100</f>
        <v/>
      </c>
      <c r="DQ789" s="59">
        <f>($AZ789-$AZ790)*100</f>
        <v/>
      </c>
      <c r="DR789" s="59">
        <f>($BA789-$BA790)*100</f>
        <v/>
      </c>
      <c r="DS789" s="58">
        <f>IFERROR($N790/$N789-1,"")</f>
        <v/>
      </c>
      <c r="DT789" s="58">
        <f>IFERROR($O790/$O789-1,"")</f>
        <v/>
      </c>
      <c r="DU789" s="58">
        <f>IFERROR($P790/$P789-1,"")</f>
        <v/>
      </c>
      <c r="DV789" s="58">
        <f>IFERROR($Q790/$Q789-1,"")</f>
        <v/>
      </c>
      <c r="DW789" s="58">
        <f>IFERROR($R790/$R789-1,"")</f>
        <v/>
      </c>
      <c r="DX789" s="58">
        <f>IFERROR($S790/$S789-1,"")</f>
        <v/>
      </c>
      <c r="DY789" s="58">
        <f>IFERROR($T790/$T789-1,"")</f>
        <v/>
      </c>
      <c r="DZ789" s="58">
        <f>IFERROR($U790/$U789-1,"")</f>
        <v/>
      </c>
      <c r="EA789" s="58">
        <f>IFERROR($V790/$V789-1,"")</f>
        <v/>
      </c>
      <c r="EB789" s="58">
        <f>IFERROR($W790/$W789-1,"")</f>
        <v/>
      </c>
      <c r="EC789" s="58">
        <f>IFERROR($X790/$X789-1,"")</f>
        <v/>
      </c>
      <c r="ED789" s="58">
        <f>IFERROR($Y790/$Y789-1,"")</f>
        <v/>
      </c>
      <c r="EE789" s="58">
        <f>IFERROR($Z790/$Z789-1,"")</f>
        <v/>
      </c>
      <c r="EF789" s="58">
        <f>IFERROR($AA790/$AA789-1,"")</f>
        <v/>
      </c>
      <c r="EG789" s="58">
        <f>IFERROR($AB790/$AB789-1,"")</f>
        <v/>
      </c>
      <c r="EH789" s="58">
        <f>IFERROR($AC790/$AC789-1,"")</f>
        <v/>
      </c>
      <c r="EI789" s="58">
        <f>IFERROR($AD790/$AD789-1,"")</f>
        <v/>
      </c>
      <c r="EJ789" s="58">
        <f>IFERROR($AE790/$AE789-1,"")</f>
        <v/>
      </c>
      <c r="EK789" s="58">
        <f>IFERROR($AF790/$AF789-1,"")</f>
        <v/>
      </c>
      <c r="EL789" s="58">
        <f>IFERROR($AG790/$AG789-1,"")</f>
        <v/>
      </c>
      <c r="EM789" s="58">
        <f>IFERROR($BB789/$BB790-1,"")</f>
        <v/>
      </c>
      <c r="EN789" s="58">
        <f>IFERROR($BC789/$BC790-1,"")</f>
        <v/>
      </c>
      <c r="EO789" s="58">
        <f>IFERROR($BD789/$BD790-1,"")</f>
        <v/>
      </c>
      <c r="EP789" s="58">
        <f>IFERROR($BE789/$BE790-1,"")</f>
        <v/>
      </c>
      <c r="EQ789" s="58">
        <f>IFERROR($BF789/$BF790-1,"")</f>
        <v/>
      </c>
      <c r="ER789" s="58">
        <f>IFERROR($BG789/$BG790-1,"")</f>
        <v/>
      </c>
      <c r="ES789" s="58">
        <f>IFERROR($BH789/$BH790-1,"")</f>
        <v/>
      </c>
      <c r="ET789" s="58">
        <f>IFERROR($BI789/$BI790-1,"")</f>
        <v/>
      </c>
      <c r="EU789" s="58">
        <f>IFERROR($BJ789/$BJ790-1,"")</f>
        <v/>
      </c>
      <c r="EV789" s="58">
        <f>IFERROR($BK789/$BK790-1,"")</f>
        <v/>
      </c>
      <c r="EW789" s="58">
        <f>IFERROR($BL789/$BL790-1,"")</f>
        <v/>
      </c>
      <c r="EX789" s="58">
        <f>IFERROR($BM789/$BM790-1,"")</f>
        <v/>
      </c>
      <c r="EY789" s="58">
        <f>IFERROR($BN789/$BN790-1,"")</f>
        <v/>
      </c>
      <c r="EZ789" s="58">
        <f>IFERROR($BO789/$BO790-1,"")</f>
        <v/>
      </c>
      <c r="FA789" s="58">
        <f>IFERROR($BP789/$BP790-1,"")</f>
        <v/>
      </c>
      <c r="FB789" s="58">
        <f>IFERROR($BQ789/$BQ790-1,"")</f>
        <v/>
      </c>
      <c r="FC789" s="58">
        <f>IFERROR($BR789/$BR790-1,"")</f>
        <v/>
      </c>
      <c r="FD789" s="58">
        <f>IFERROR($BS789/$BS790-1,"")</f>
        <v/>
      </c>
      <c r="FE789" s="58">
        <f>IFERROR($BT789/$BT790-1,"")</f>
        <v/>
      </c>
      <c r="FF789" s="58">
        <f>IFERROR($BU789/$BU790-1,"")</f>
        <v/>
      </c>
      <c r="FG789" s="58">
        <f>IFERROR($BV789/$BV790-1,"")</f>
        <v/>
      </c>
      <c r="FH789" s="58">
        <f>IFERROR($BW789/$BW790-1,"")</f>
        <v/>
      </c>
      <c r="FI789" s="58">
        <f>IFERROR($BX789/$BX790-1,"")</f>
        <v/>
      </c>
      <c r="FJ789" s="59">
        <f>$BY789-$BY790</f>
        <v/>
      </c>
      <c r="FK789" s="59">
        <f>$BZ789-$BZ790</f>
        <v/>
      </c>
      <c r="FL789" s="59">
        <f>$CA789-$CA790</f>
        <v/>
      </c>
      <c r="FM789" s="59">
        <f>$CB789-$CB790</f>
        <v/>
      </c>
      <c r="FN789" s="59">
        <f>$CC789-$CC790</f>
        <v/>
      </c>
      <c r="FO789" s="59">
        <f>$CD789-$CD790</f>
        <v/>
      </c>
      <c r="FP789" s="59">
        <f>$CE789-$CE790</f>
        <v/>
      </c>
      <c r="FQ789" s="59">
        <f>$CF789-$CF790</f>
        <v/>
      </c>
      <c r="FR789" s="59">
        <f>$CG789-$CG790</f>
        <v/>
      </c>
      <c r="FS789" s="59">
        <f>$CH789-$CH790</f>
        <v/>
      </c>
      <c r="FT789" s="59">
        <f>$CI789-$CI790</f>
        <v/>
      </c>
      <c r="FU789" s="59">
        <f>$CJ789-$CJ790</f>
        <v/>
      </c>
      <c r="FV789" s="59">
        <f>$CK789-$CK790</f>
        <v/>
      </c>
      <c r="FW789" s="59">
        <f>$CL789-$CL790</f>
        <v/>
      </c>
      <c r="FX789" s="59">
        <f>$CM789-$CM790</f>
        <v/>
      </c>
      <c r="FY789" s="59">
        <f>$CN789-$CN790</f>
        <v/>
      </c>
      <c r="FZ789" s="59">
        <f>$CO789-$CO790</f>
        <v/>
      </c>
      <c r="GA789" s="59">
        <f>$CP789-$CP790</f>
        <v/>
      </c>
      <c r="GB789" s="59">
        <f>$CQ789-$CQ790</f>
        <v/>
      </c>
      <c r="GC789" s="59">
        <f>$CR789-$CR790</f>
        <v/>
      </c>
      <c r="GD789" s="59">
        <f>$CS789-$CS790</f>
        <v/>
      </c>
      <c r="GE789" s="59">
        <f>$CT789-$CT790</f>
        <v/>
      </c>
    </row>
    <row r="790">
      <c r="CU790" s="58">
        <f>IFERROR($B790/$B791-1,"")</f>
        <v/>
      </c>
      <c r="CV790" s="59">
        <f>($F790-$F791)*100</f>
        <v/>
      </c>
      <c r="CW790" s="59">
        <f>($E790-$E791)*100</f>
        <v/>
      </c>
      <c r="CX790" s="58">
        <f>IFERROR($K790/$K791-1,"")</f>
        <v/>
      </c>
      <c r="CY790" s="59">
        <f>($AH790-$AH791)*100</f>
        <v/>
      </c>
      <c r="CZ790" s="59">
        <f>($AI790-$AI791)*100</f>
        <v/>
      </c>
      <c r="DA790" s="59">
        <f>($AJ790-$AJ791)*100</f>
        <v/>
      </c>
      <c r="DB790" s="59">
        <f>($AK790-$AK791)*100</f>
        <v/>
      </c>
      <c r="DC790" s="59">
        <f>($AL790-$AL791)*100</f>
        <v/>
      </c>
      <c r="DD790" s="59">
        <f>($AM790-$AM791)*100</f>
        <v/>
      </c>
      <c r="DE790" s="59">
        <f>($AN790-$AN791)*100</f>
        <v/>
      </c>
      <c r="DF790" s="59">
        <f>($AO790-$AO791)*100</f>
        <v/>
      </c>
      <c r="DG790" s="59">
        <f>($AP790-$AP791)*100</f>
        <v/>
      </c>
      <c r="DH790" s="59">
        <f>($AQ790-$AQ791)*100</f>
        <v/>
      </c>
      <c r="DI790" s="59">
        <f>($AR790-$AR791)*100</f>
        <v/>
      </c>
      <c r="DJ790" s="59">
        <f>($AS790-$AS791)*100</f>
        <v/>
      </c>
      <c r="DK790" s="59">
        <f>($AT790-$AT791)*100</f>
        <v/>
      </c>
      <c r="DL790" s="59">
        <f>($AU790-$AU791)*100</f>
        <v/>
      </c>
      <c r="DM790" s="59">
        <f>($AV790-$AV791)*100</f>
        <v/>
      </c>
      <c r="DN790" s="59">
        <f>($AW790-$AW791)*100</f>
        <v/>
      </c>
      <c r="DO790" s="59">
        <f>($AX790-$AX791)*100</f>
        <v/>
      </c>
      <c r="DP790" s="59">
        <f>($AY790-$AY791)*100</f>
        <v/>
      </c>
      <c r="DQ790" s="59">
        <f>($AZ790-$AZ791)*100</f>
        <v/>
      </c>
      <c r="DR790" s="59">
        <f>($BA790-$BA791)*100</f>
        <v/>
      </c>
      <c r="DS790" s="58">
        <f>IFERROR($N791/$N790-1,"")</f>
        <v/>
      </c>
      <c r="DT790" s="58">
        <f>IFERROR($O791/$O790-1,"")</f>
        <v/>
      </c>
      <c r="DU790" s="58">
        <f>IFERROR($P791/$P790-1,"")</f>
        <v/>
      </c>
      <c r="DV790" s="58">
        <f>IFERROR($Q791/$Q790-1,"")</f>
        <v/>
      </c>
      <c r="DW790" s="58">
        <f>IFERROR($R791/$R790-1,"")</f>
        <v/>
      </c>
      <c r="DX790" s="58">
        <f>IFERROR($S791/$S790-1,"")</f>
        <v/>
      </c>
      <c r="DY790" s="58">
        <f>IFERROR($T791/$T790-1,"")</f>
        <v/>
      </c>
      <c r="DZ790" s="58">
        <f>IFERROR($U791/$U790-1,"")</f>
        <v/>
      </c>
      <c r="EA790" s="58">
        <f>IFERROR($V791/$V790-1,"")</f>
        <v/>
      </c>
      <c r="EB790" s="58">
        <f>IFERROR($W791/$W790-1,"")</f>
        <v/>
      </c>
      <c r="EC790" s="58">
        <f>IFERROR($X791/$X790-1,"")</f>
        <v/>
      </c>
      <c r="ED790" s="58">
        <f>IFERROR($Y791/$Y790-1,"")</f>
        <v/>
      </c>
      <c r="EE790" s="58">
        <f>IFERROR($Z791/$Z790-1,"")</f>
        <v/>
      </c>
      <c r="EF790" s="58">
        <f>IFERROR($AA791/$AA790-1,"")</f>
        <v/>
      </c>
      <c r="EG790" s="58">
        <f>IFERROR($AB791/$AB790-1,"")</f>
        <v/>
      </c>
      <c r="EH790" s="58">
        <f>IFERROR($AC791/$AC790-1,"")</f>
        <v/>
      </c>
      <c r="EI790" s="58">
        <f>IFERROR($AD791/$AD790-1,"")</f>
        <v/>
      </c>
      <c r="EJ790" s="58">
        <f>IFERROR($AE791/$AE790-1,"")</f>
        <v/>
      </c>
      <c r="EK790" s="58">
        <f>IFERROR($AF791/$AF790-1,"")</f>
        <v/>
      </c>
      <c r="EL790" s="58">
        <f>IFERROR($AG791/$AG790-1,"")</f>
        <v/>
      </c>
      <c r="EM790" s="58">
        <f>IFERROR($BB790/$BB791-1,"")</f>
        <v/>
      </c>
      <c r="EN790" s="58">
        <f>IFERROR($BC790/$BC791-1,"")</f>
        <v/>
      </c>
      <c r="EO790" s="58">
        <f>IFERROR($BD790/$BD791-1,"")</f>
        <v/>
      </c>
      <c r="EP790" s="58">
        <f>IFERROR($BE790/$BE791-1,"")</f>
        <v/>
      </c>
      <c r="EQ790" s="58">
        <f>IFERROR($BF790/$BF791-1,"")</f>
        <v/>
      </c>
      <c r="ER790" s="58">
        <f>IFERROR($BG790/$BG791-1,"")</f>
        <v/>
      </c>
      <c r="ES790" s="58">
        <f>IFERROR($BH790/$BH791-1,"")</f>
        <v/>
      </c>
      <c r="ET790" s="58">
        <f>IFERROR($BI790/$BI791-1,"")</f>
        <v/>
      </c>
      <c r="EU790" s="58">
        <f>IFERROR($BJ790/$BJ791-1,"")</f>
        <v/>
      </c>
      <c r="EV790" s="58">
        <f>IFERROR($BK790/$BK791-1,"")</f>
        <v/>
      </c>
      <c r="EW790" s="58">
        <f>IFERROR($BL790/$BL791-1,"")</f>
        <v/>
      </c>
      <c r="EX790" s="58">
        <f>IFERROR($BM790/$BM791-1,"")</f>
        <v/>
      </c>
      <c r="EY790" s="58">
        <f>IFERROR($BN790/$BN791-1,"")</f>
        <v/>
      </c>
      <c r="EZ790" s="58">
        <f>IFERROR($BO790/$BO791-1,"")</f>
        <v/>
      </c>
      <c r="FA790" s="58">
        <f>IFERROR($BP790/$BP791-1,"")</f>
        <v/>
      </c>
      <c r="FB790" s="58">
        <f>IFERROR($BQ790/$BQ791-1,"")</f>
        <v/>
      </c>
      <c r="FC790" s="58">
        <f>IFERROR($BR790/$BR791-1,"")</f>
        <v/>
      </c>
      <c r="FD790" s="58">
        <f>IFERROR($BS790/$BS791-1,"")</f>
        <v/>
      </c>
      <c r="FE790" s="58">
        <f>IFERROR($BT790/$BT791-1,"")</f>
        <v/>
      </c>
      <c r="FF790" s="58">
        <f>IFERROR($BU790/$BU791-1,"")</f>
        <v/>
      </c>
      <c r="FG790" s="58">
        <f>IFERROR($BV790/$BV791-1,"")</f>
        <v/>
      </c>
      <c r="FH790" s="58">
        <f>IFERROR($BW790/$BW791-1,"")</f>
        <v/>
      </c>
      <c r="FI790" s="58">
        <f>IFERROR($BX790/$BX791-1,"")</f>
        <v/>
      </c>
      <c r="FJ790" s="59">
        <f>$BY790-$BY791</f>
        <v/>
      </c>
      <c r="FK790" s="59">
        <f>$BZ790-$BZ791</f>
        <v/>
      </c>
      <c r="FL790" s="59">
        <f>$CA790-$CA791</f>
        <v/>
      </c>
      <c r="FM790" s="59">
        <f>$CB790-$CB791</f>
        <v/>
      </c>
      <c r="FN790" s="59">
        <f>$CC790-$CC791</f>
        <v/>
      </c>
      <c r="FO790" s="59">
        <f>$CD790-$CD791</f>
        <v/>
      </c>
      <c r="FP790" s="59">
        <f>$CE790-$CE791</f>
        <v/>
      </c>
      <c r="FQ790" s="59">
        <f>$CF790-$CF791</f>
        <v/>
      </c>
      <c r="FR790" s="59">
        <f>$CG790-$CG791</f>
        <v/>
      </c>
      <c r="FS790" s="59">
        <f>$CH790-$CH791</f>
        <v/>
      </c>
      <c r="FT790" s="59">
        <f>$CI790-$CI791</f>
        <v/>
      </c>
      <c r="FU790" s="59">
        <f>$CJ790-$CJ791</f>
        <v/>
      </c>
      <c r="FV790" s="59">
        <f>$CK790-$CK791</f>
        <v/>
      </c>
      <c r="FW790" s="59">
        <f>$CL790-$CL791</f>
        <v/>
      </c>
      <c r="FX790" s="59">
        <f>$CM790-$CM791</f>
        <v/>
      </c>
      <c r="FY790" s="59">
        <f>$CN790-$CN791</f>
        <v/>
      </c>
      <c r="FZ790" s="59">
        <f>$CO790-$CO791</f>
        <v/>
      </c>
      <c r="GA790" s="59">
        <f>$CP790-$CP791</f>
        <v/>
      </c>
      <c r="GB790" s="59">
        <f>$CQ790-$CQ791</f>
        <v/>
      </c>
      <c r="GC790" s="59">
        <f>$CR790-$CR791</f>
        <v/>
      </c>
      <c r="GD790" s="59">
        <f>$CS790-$CS791</f>
        <v/>
      </c>
      <c r="GE790" s="59">
        <f>$CT790-$CT791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2026-09-15T15:11:45Z</dcterms:created>
  <dcterms:modified xmlns:dcterms="http://purl.org/dc/terms/" xmlns:xsi="http://www.w3.org/2001/XMLSchema-instance" xsi:type="dcterms:W3CDTF">2026-09-15T15:11:51Z</dcterms:modified>
</cp:coreProperties>
</file>