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%;[Red](0.00%);-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</font>
    <font>
      <name val="Arial"/>
      <color rgb="000000FF"/>
    </font>
    <font>
      <name val="Arial"/>
      <i val="1"/>
      <color rgb="00555555"/>
    </font>
    <font>
      <name val="Arial"/>
      <b val="1"/>
      <color rgb="00C00000"/>
    </font>
    <font>
      <name val="Arial"/>
      <b val="1"/>
    </font>
    <font>
      <name val="Arial"/>
      <b val="1"/>
      <i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6" fillId="4" borderId="0" pivotButton="0" quotePrefix="0" xfId="0"/>
    <xf numFmtId="164" fontId="0" fillId="0" borderId="0" pivotButton="0" quotePrefix="0" xfId="0"/>
    <xf numFmtId="0" fontId="6" fillId="3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7" fillId="5" borderId="0" pivotButton="0" quotePrefix="0" xfId="0"/>
    <xf numFmtId="0" fontId="3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Global Equities — Total Return and Price Performance</t>
        </is>
      </c>
    </row>
    <row r="3">
      <c r="A3" s="2" t="inlineStr">
        <is>
          <t>Refresh</t>
        </is>
      </c>
      <c r="B3" s="3">
        <f>Settings!B4</f>
        <v/>
      </c>
      <c r="D3" s="4" t="inlineStr">
        <is>
          <t>Custom date</t>
        </is>
      </c>
      <c r="E3" s="3">
        <f>Settings!B8</f>
        <v/>
      </c>
    </row>
    <row r="5" ht="30" customHeight="1">
      <c r="A5" s="5" t="inlineStr">
        <is>
          <t>Bloomberg Ticker</t>
        </is>
      </c>
      <c r="B5" s="5" t="inlineStr">
        <is>
          <t>Name</t>
        </is>
      </c>
      <c r="C5" s="5" t="inlineStr">
        <is>
          <t>Type</t>
        </is>
      </c>
      <c r="D5" s="5" t="inlineStr">
        <is>
          <t>Price</t>
        </is>
      </c>
      <c r="E5" s="5" t="inlineStr">
        <is>
          <t>TR YTD</t>
        </is>
      </c>
      <c r="F5" s="5" t="inlineStr">
        <is>
          <t>TR 1M</t>
        </is>
      </c>
      <c r="G5" s="5" t="inlineStr">
        <is>
          <t>TR 3M</t>
        </is>
      </c>
      <c r="H5" s="5" t="inlineStr">
        <is>
          <t>TR vs Custom</t>
        </is>
      </c>
      <c r="I5" s="5" t="inlineStr">
        <is>
          <t>Px YTD</t>
        </is>
      </c>
      <c r="J5" s="5" t="inlineStr">
        <is>
          <t>Px 1M</t>
        </is>
      </c>
      <c r="K5" s="5" t="inlineStr">
        <is>
          <t>Px 3M</t>
        </is>
      </c>
      <c r="L5" s="5" t="inlineStr">
        <is>
          <t>Px vs Custom</t>
        </is>
      </c>
    </row>
    <row r="6">
      <c r="A6" s="6" t="inlineStr">
        <is>
          <t>US Broad</t>
        </is>
      </c>
    </row>
    <row r="7">
      <c r="A7" s="7" t="inlineStr">
        <is>
          <t>SPX Index</t>
        </is>
      </c>
      <c r="B7" t="inlineStr">
        <is>
          <t>S&amp;P 500</t>
        </is>
      </c>
      <c r="C7" t="inlineStr">
        <is>
          <t>US Broad</t>
        </is>
      </c>
      <c r="D7" s="8">
        <f>IFERROR(BDP(A7,"PX_LAST"),"")</f>
        <v/>
      </c>
      <c r="E7" s="9">
        <f>IFERROR(BDP(A7,"CUST_TRR_RETURN_HOLDING_PER","CUST_TRR_START_DT",Settings!$C$5,"CUST_TRR_END_DT",Settings!$C$4)/100,"")</f>
        <v/>
      </c>
      <c r="F7" s="9">
        <f>IFERROR(BDP(A7,"CUST_TRR_RETURN_HOLDING_PER","CUST_TRR_START_DT",Settings!$C$6,"CUST_TRR_END_DT",Settings!$C$4)/100,"")</f>
        <v/>
      </c>
      <c r="G7" s="9">
        <f>IFERROR(BDP(A7,"CUST_TRR_RETURN_HOLDING_PER","CUST_TRR_START_DT",Settings!$C$7,"CUST_TRR_END_DT",Settings!$C$4)/100,"")</f>
        <v/>
      </c>
      <c r="H7" s="9">
        <f>IFERROR(BDP(A7,"CUST_TRR_RETURN_HOLDING_PER","CUST_TRR_START_DT",Settings!$C$8,"CUST_TRR_END_DT",Settings!$C$4)/100,"")</f>
        <v/>
      </c>
      <c r="I7" s="9">
        <f>IFERROR(BDP(A7,"PX_LAST")/BDH(A7,"PX_LAST",Settings!$C$5,Settings!$C$5)-1,"")</f>
        <v/>
      </c>
      <c r="J7" s="9">
        <f>IFERROR(BDP(A7,"PX_LAST")/BDH(A7,"PX_LAST",Settings!$C$6,Settings!$C$6)-1,"")</f>
        <v/>
      </c>
      <c r="K7" s="9">
        <f>IFERROR(BDP(A7,"PX_LAST")/BDH(A7,"PX_LAST",Settings!$C$7,Settings!$C$7)-1,"")</f>
        <v/>
      </c>
      <c r="L7" s="9">
        <f>IFERROR(BDP(A7,"PX_LAST")/BDH(A7,"PX_LAST",Settings!$C$8,Settings!$C$8)-1,"")</f>
        <v/>
      </c>
    </row>
    <row r="8">
      <c r="A8" s="7" t="inlineStr">
        <is>
          <t>SPW Index</t>
        </is>
      </c>
      <c r="B8" t="inlineStr">
        <is>
          <t>S&amp;P 500 Equal Weight</t>
        </is>
      </c>
      <c r="C8" t="inlineStr">
        <is>
          <t>US Broad</t>
        </is>
      </c>
      <c r="D8" s="8">
        <f>IFERROR(BDP(A8,"PX_LAST"),"")</f>
        <v/>
      </c>
      <c r="E8" s="9">
        <f>IFERROR(BDP(A8,"CUST_TRR_RETURN_HOLDING_PER","CUST_TRR_START_DT",Settings!$C$5,"CUST_TRR_END_DT",Settings!$C$4)/100,"")</f>
        <v/>
      </c>
      <c r="F8" s="9">
        <f>IFERROR(BDP(A8,"CUST_TRR_RETURN_HOLDING_PER","CUST_TRR_START_DT",Settings!$C$6,"CUST_TRR_END_DT",Settings!$C$4)/100,"")</f>
        <v/>
      </c>
      <c r="G8" s="9">
        <f>IFERROR(BDP(A8,"CUST_TRR_RETURN_HOLDING_PER","CUST_TRR_START_DT",Settings!$C$7,"CUST_TRR_END_DT",Settings!$C$4)/100,"")</f>
        <v/>
      </c>
      <c r="H8" s="9">
        <f>IFERROR(BDP(A8,"CUST_TRR_RETURN_HOLDING_PER","CUST_TRR_START_DT",Settings!$C$8,"CUST_TRR_END_DT",Settings!$C$4)/100,"")</f>
        <v/>
      </c>
      <c r="I8" s="9">
        <f>IFERROR(BDP(A8,"PX_LAST")/BDH(A8,"PX_LAST",Settings!$C$5,Settings!$C$5)-1,"")</f>
        <v/>
      </c>
      <c r="J8" s="9">
        <f>IFERROR(BDP(A8,"PX_LAST")/BDH(A8,"PX_LAST",Settings!$C$6,Settings!$C$6)-1,"")</f>
        <v/>
      </c>
      <c r="K8" s="9">
        <f>IFERROR(BDP(A8,"PX_LAST")/BDH(A8,"PX_LAST",Settings!$C$7,Settings!$C$7)-1,"")</f>
        <v/>
      </c>
      <c r="L8" s="9">
        <f>IFERROR(BDP(A8,"PX_LAST")/BDH(A8,"PX_LAST",Settings!$C$8,Settings!$C$8)-1,"")</f>
        <v/>
      </c>
    </row>
    <row r="9">
      <c r="A9" s="7" t="inlineStr">
        <is>
          <t>NDX Index</t>
        </is>
      </c>
      <c r="B9" t="inlineStr">
        <is>
          <t>Nasdaq 100</t>
        </is>
      </c>
      <c r="C9" t="inlineStr">
        <is>
          <t>US Broad</t>
        </is>
      </c>
      <c r="D9" s="8">
        <f>IFERROR(BDP(A9,"PX_LAST"),"")</f>
        <v/>
      </c>
      <c r="E9" s="9">
        <f>IFERROR(BDP(A9,"CUST_TRR_RETURN_HOLDING_PER","CUST_TRR_START_DT",Settings!$C$5,"CUST_TRR_END_DT",Settings!$C$4)/100,"")</f>
        <v/>
      </c>
      <c r="F9" s="9">
        <f>IFERROR(BDP(A9,"CUST_TRR_RETURN_HOLDING_PER","CUST_TRR_START_DT",Settings!$C$6,"CUST_TRR_END_DT",Settings!$C$4)/100,"")</f>
        <v/>
      </c>
      <c r="G9" s="9">
        <f>IFERROR(BDP(A9,"CUST_TRR_RETURN_HOLDING_PER","CUST_TRR_START_DT",Settings!$C$7,"CUST_TRR_END_DT",Settings!$C$4)/100,"")</f>
        <v/>
      </c>
      <c r="H9" s="9">
        <f>IFERROR(BDP(A9,"CUST_TRR_RETURN_HOLDING_PER","CUST_TRR_START_DT",Settings!$C$8,"CUST_TRR_END_DT",Settings!$C$4)/100,"")</f>
        <v/>
      </c>
      <c r="I9" s="9">
        <f>IFERROR(BDP(A9,"PX_LAST")/BDH(A9,"PX_LAST",Settings!$C$5,Settings!$C$5)-1,"")</f>
        <v/>
      </c>
      <c r="J9" s="9">
        <f>IFERROR(BDP(A9,"PX_LAST")/BDH(A9,"PX_LAST",Settings!$C$6,Settings!$C$6)-1,"")</f>
        <v/>
      </c>
      <c r="K9" s="9">
        <f>IFERROR(BDP(A9,"PX_LAST")/BDH(A9,"PX_LAST",Settings!$C$7,Settings!$C$7)-1,"")</f>
        <v/>
      </c>
      <c r="L9" s="9">
        <f>IFERROR(BDP(A9,"PX_LAST")/BDH(A9,"PX_LAST",Settings!$C$8,Settings!$C$8)-1,"")</f>
        <v/>
      </c>
    </row>
    <row r="10">
      <c r="A10" s="7" t="inlineStr">
        <is>
          <t>INDU Index</t>
        </is>
      </c>
      <c r="B10" t="inlineStr">
        <is>
          <t>Dow Jones Industrial Avg</t>
        </is>
      </c>
      <c r="C10" t="inlineStr">
        <is>
          <t>US Broad</t>
        </is>
      </c>
      <c r="D10" s="8">
        <f>IFERROR(BDP(A10,"PX_LAST"),"")</f>
        <v/>
      </c>
      <c r="E10" s="9">
        <f>IFERROR(BDP(A10,"CUST_TRR_RETURN_HOLDING_PER","CUST_TRR_START_DT",Settings!$C$5,"CUST_TRR_END_DT",Settings!$C$4)/100,"")</f>
        <v/>
      </c>
      <c r="F10" s="9">
        <f>IFERROR(BDP(A10,"CUST_TRR_RETURN_HOLDING_PER","CUST_TRR_START_DT",Settings!$C$6,"CUST_TRR_END_DT",Settings!$C$4)/100,"")</f>
        <v/>
      </c>
      <c r="G10" s="9">
        <f>IFERROR(BDP(A10,"CUST_TRR_RETURN_HOLDING_PER","CUST_TRR_START_DT",Settings!$C$7,"CUST_TRR_END_DT",Settings!$C$4)/100,"")</f>
        <v/>
      </c>
      <c r="H10" s="9">
        <f>IFERROR(BDP(A10,"CUST_TRR_RETURN_HOLDING_PER","CUST_TRR_START_DT",Settings!$C$8,"CUST_TRR_END_DT",Settings!$C$4)/100,"")</f>
        <v/>
      </c>
      <c r="I10" s="9">
        <f>IFERROR(BDP(A10,"PX_LAST")/BDH(A10,"PX_LAST",Settings!$C$5,Settings!$C$5)-1,"")</f>
        <v/>
      </c>
      <c r="J10" s="9">
        <f>IFERROR(BDP(A10,"PX_LAST")/BDH(A10,"PX_LAST",Settings!$C$6,Settings!$C$6)-1,"")</f>
        <v/>
      </c>
      <c r="K10" s="9">
        <f>IFERROR(BDP(A10,"PX_LAST")/BDH(A10,"PX_LAST",Settings!$C$7,Settings!$C$7)-1,"")</f>
        <v/>
      </c>
      <c r="L10" s="9">
        <f>IFERROR(BDP(A10,"PX_LAST")/BDH(A10,"PX_LAST",Settings!$C$8,Settings!$C$8)-1,"")</f>
        <v/>
      </c>
    </row>
    <row r="11">
      <c r="A11" s="7" t="inlineStr">
        <is>
          <t>RTY Index</t>
        </is>
      </c>
      <c r="B11" t="inlineStr">
        <is>
          <t>Russell 2000</t>
        </is>
      </c>
      <c r="C11" t="inlineStr">
        <is>
          <t>US Broad</t>
        </is>
      </c>
      <c r="D11" s="8">
        <f>IFERROR(BDP(A11,"PX_LAST"),"")</f>
        <v/>
      </c>
      <c r="E11" s="9">
        <f>IFERROR(BDP(A11,"CUST_TRR_RETURN_HOLDING_PER","CUST_TRR_START_DT",Settings!$C$5,"CUST_TRR_END_DT",Settings!$C$4)/100,"")</f>
        <v/>
      </c>
      <c r="F11" s="9">
        <f>IFERROR(BDP(A11,"CUST_TRR_RETURN_HOLDING_PER","CUST_TRR_START_DT",Settings!$C$6,"CUST_TRR_END_DT",Settings!$C$4)/100,"")</f>
        <v/>
      </c>
      <c r="G11" s="9">
        <f>IFERROR(BDP(A11,"CUST_TRR_RETURN_HOLDING_PER","CUST_TRR_START_DT",Settings!$C$7,"CUST_TRR_END_DT",Settings!$C$4)/100,"")</f>
        <v/>
      </c>
      <c r="H11" s="9">
        <f>IFERROR(BDP(A11,"CUST_TRR_RETURN_HOLDING_PER","CUST_TRR_START_DT",Settings!$C$8,"CUST_TRR_END_DT",Settings!$C$4)/100,"")</f>
        <v/>
      </c>
      <c r="I11" s="9">
        <f>IFERROR(BDP(A11,"PX_LAST")/BDH(A11,"PX_LAST",Settings!$C$5,Settings!$C$5)-1,"")</f>
        <v/>
      </c>
      <c r="J11" s="9">
        <f>IFERROR(BDP(A11,"PX_LAST")/BDH(A11,"PX_LAST",Settings!$C$6,Settings!$C$6)-1,"")</f>
        <v/>
      </c>
      <c r="K11" s="9">
        <f>IFERROR(BDP(A11,"PX_LAST")/BDH(A11,"PX_LAST",Settings!$C$7,Settings!$C$7)-1,"")</f>
        <v/>
      </c>
      <c r="L11" s="9">
        <f>IFERROR(BDP(A11,"PX_LAST")/BDH(A11,"PX_LAST",Settings!$C$8,Settings!$C$8)-1,"")</f>
        <v/>
      </c>
    </row>
    <row r="12">
      <c r="A12" s="7" t="inlineStr">
        <is>
          <t>RAY Index</t>
        </is>
      </c>
      <c r="B12" t="inlineStr">
        <is>
          <t>Russell 3000</t>
        </is>
      </c>
      <c r="C12" t="inlineStr">
        <is>
          <t>US Broad</t>
        </is>
      </c>
      <c r="D12" s="8">
        <f>IFERROR(BDP(A12,"PX_LAST"),"")</f>
        <v/>
      </c>
      <c r="E12" s="9">
        <f>IFERROR(BDP(A12,"CUST_TRR_RETURN_HOLDING_PER","CUST_TRR_START_DT",Settings!$C$5,"CUST_TRR_END_DT",Settings!$C$4)/100,"")</f>
        <v/>
      </c>
      <c r="F12" s="9">
        <f>IFERROR(BDP(A12,"CUST_TRR_RETURN_HOLDING_PER","CUST_TRR_START_DT",Settings!$C$6,"CUST_TRR_END_DT",Settings!$C$4)/100,"")</f>
        <v/>
      </c>
      <c r="G12" s="9">
        <f>IFERROR(BDP(A12,"CUST_TRR_RETURN_HOLDING_PER","CUST_TRR_START_DT",Settings!$C$7,"CUST_TRR_END_DT",Settings!$C$4)/100,"")</f>
        <v/>
      </c>
      <c r="H12" s="9">
        <f>IFERROR(BDP(A12,"CUST_TRR_RETURN_HOLDING_PER","CUST_TRR_START_DT",Settings!$C$8,"CUST_TRR_END_DT",Settings!$C$4)/100,"")</f>
        <v/>
      </c>
      <c r="I12" s="9">
        <f>IFERROR(BDP(A12,"PX_LAST")/BDH(A12,"PX_LAST",Settings!$C$5,Settings!$C$5)-1,"")</f>
        <v/>
      </c>
      <c r="J12" s="9">
        <f>IFERROR(BDP(A12,"PX_LAST")/BDH(A12,"PX_LAST",Settings!$C$6,Settings!$C$6)-1,"")</f>
        <v/>
      </c>
      <c r="K12" s="9">
        <f>IFERROR(BDP(A12,"PX_LAST")/BDH(A12,"PX_LAST",Settings!$C$7,Settings!$C$7)-1,"")</f>
        <v/>
      </c>
      <c r="L12" s="9">
        <f>IFERROR(BDP(A12,"PX_LAST")/BDH(A12,"PX_LAST",Settings!$C$8,Settings!$C$8)-1,"")</f>
        <v/>
      </c>
    </row>
    <row r="13">
      <c r="A13" s="7" t="inlineStr">
        <is>
          <t>MID Index</t>
        </is>
      </c>
      <c r="B13" t="inlineStr">
        <is>
          <t>S&amp;P MidCap 400</t>
        </is>
      </c>
      <c r="C13" t="inlineStr">
        <is>
          <t>US Broad</t>
        </is>
      </c>
      <c r="D13" s="8">
        <f>IFERROR(BDP(A13,"PX_LAST"),"")</f>
        <v/>
      </c>
      <c r="E13" s="9">
        <f>IFERROR(BDP(A13,"CUST_TRR_RETURN_HOLDING_PER","CUST_TRR_START_DT",Settings!$C$5,"CUST_TRR_END_DT",Settings!$C$4)/100,"")</f>
        <v/>
      </c>
      <c r="F13" s="9">
        <f>IFERROR(BDP(A13,"CUST_TRR_RETURN_HOLDING_PER","CUST_TRR_START_DT",Settings!$C$6,"CUST_TRR_END_DT",Settings!$C$4)/100,"")</f>
        <v/>
      </c>
      <c r="G13" s="9">
        <f>IFERROR(BDP(A13,"CUST_TRR_RETURN_HOLDING_PER","CUST_TRR_START_DT",Settings!$C$7,"CUST_TRR_END_DT",Settings!$C$4)/100,"")</f>
        <v/>
      </c>
      <c r="H13" s="9">
        <f>IFERROR(BDP(A13,"CUST_TRR_RETURN_HOLDING_PER","CUST_TRR_START_DT",Settings!$C$8,"CUST_TRR_END_DT",Settings!$C$4)/100,"")</f>
        <v/>
      </c>
      <c r="I13" s="9">
        <f>IFERROR(BDP(A13,"PX_LAST")/BDH(A13,"PX_LAST",Settings!$C$5,Settings!$C$5)-1,"")</f>
        <v/>
      </c>
      <c r="J13" s="9">
        <f>IFERROR(BDP(A13,"PX_LAST")/BDH(A13,"PX_LAST",Settings!$C$6,Settings!$C$6)-1,"")</f>
        <v/>
      </c>
      <c r="K13" s="9">
        <f>IFERROR(BDP(A13,"PX_LAST")/BDH(A13,"PX_LAST",Settings!$C$7,Settings!$C$7)-1,"")</f>
        <v/>
      </c>
      <c r="L13" s="9">
        <f>IFERROR(BDP(A13,"PX_LAST")/BDH(A13,"PX_LAST",Settings!$C$8,Settings!$C$8)-1,"")</f>
        <v/>
      </c>
    </row>
    <row r="14">
      <c r="A14" s="7" t="inlineStr">
        <is>
          <t>SML Index</t>
        </is>
      </c>
      <c r="B14" t="inlineStr">
        <is>
          <t>S&amp;P SmallCap 600</t>
        </is>
      </c>
      <c r="C14" t="inlineStr">
        <is>
          <t>US Broad</t>
        </is>
      </c>
      <c r="D14" s="8">
        <f>IFERROR(BDP(A14,"PX_LAST"),"")</f>
        <v/>
      </c>
      <c r="E14" s="9">
        <f>IFERROR(BDP(A14,"CUST_TRR_RETURN_HOLDING_PER","CUST_TRR_START_DT",Settings!$C$5,"CUST_TRR_END_DT",Settings!$C$4)/100,"")</f>
        <v/>
      </c>
      <c r="F14" s="9">
        <f>IFERROR(BDP(A14,"CUST_TRR_RETURN_HOLDING_PER","CUST_TRR_START_DT",Settings!$C$6,"CUST_TRR_END_DT",Settings!$C$4)/100,"")</f>
        <v/>
      </c>
      <c r="G14" s="9">
        <f>IFERROR(BDP(A14,"CUST_TRR_RETURN_HOLDING_PER","CUST_TRR_START_DT",Settings!$C$7,"CUST_TRR_END_DT",Settings!$C$4)/100,"")</f>
        <v/>
      </c>
      <c r="H14" s="9">
        <f>IFERROR(BDP(A14,"CUST_TRR_RETURN_HOLDING_PER","CUST_TRR_START_DT",Settings!$C$8,"CUST_TRR_END_DT",Settings!$C$4)/100,"")</f>
        <v/>
      </c>
      <c r="I14" s="9">
        <f>IFERROR(BDP(A14,"PX_LAST")/BDH(A14,"PX_LAST",Settings!$C$5,Settings!$C$5)-1,"")</f>
        <v/>
      </c>
      <c r="J14" s="9">
        <f>IFERROR(BDP(A14,"PX_LAST")/BDH(A14,"PX_LAST",Settings!$C$6,Settings!$C$6)-1,"")</f>
        <v/>
      </c>
      <c r="K14" s="9">
        <f>IFERROR(BDP(A14,"PX_LAST")/BDH(A14,"PX_LAST",Settings!$C$7,Settings!$C$7)-1,"")</f>
        <v/>
      </c>
      <c r="L14" s="9">
        <f>IFERROR(BDP(A14,"PX_LAST")/BDH(A14,"PX_LAST",Settings!$C$8,Settings!$C$8)-1,"")</f>
        <v/>
      </c>
    </row>
    <row r="15">
      <c r="A15" s="6" t="inlineStr">
        <is>
          <t>S&amp;P 500 Sector</t>
        </is>
      </c>
    </row>
    <row r="16">
      <c r="A16" s="7" t="inlineStr">
        <is>
          <t>S5INFT Index</t>
        </is>
      </c>
      <c r="B16" t="inlineStr">
        <is>
          <t>S&amp;P 500 Information Technology</t>
        </is>
      </c>
      <c r="C16" t="inlineStr">
        <is>
          <t>S&amp;P 500 Sector</t>
        </is>
      </c>
      <c r="D16" s="8">
        <f>IFERROR(BDP(A16,"PX_LAST"),"")</f>
        <v/>
      </c>
      <c r="E16" s="9">
        <f>IFERROR(BDP(A16,"CUST_TRR_RETURN_HOLDING_PER","CUST_TRR_START_DT",Settings!$C$5,"CUST_TRR_END_DT",Settings!$C$4)/100,"")</f>
        <v/>
      </c>
      <c r="F16" s="9">
        <f>IFERROR(BDP(A16,"CUST_TRR_RETURN_HOLDING_PER","CUST_TRR_START_DT",Settings!$C$6,"CUST_TRR_END_DT",Settings!$C$4)/100,"")</f>
        <v/>
      </c>
      <c r="G16" s="9">
        <f>IFERROR(BDP(A16,"CUST_TRR_RETURN_HOLDING_PER","CUST_TRR_START_DT",Settings!$C$7,"CUST_TRR_END_DT",Settings!$C$4)/100,"")</f>
        <v/>
      </c>
      <c r="H16" s="9">
        <f>IFERROR(BDP(A16,"CUST_TRR_RETURN_HOLDING_PER","CUST_TRR_START_DT",Settings!$C$8,"CUST_TRR_END_DT",Settings!$C$4)/100,"")</f>
        <v/>
      </c>
      <c r="I16" s="9">
        <f>IFERROR(BDP(A16,"PX_LAST")/BDH(A16,"PX_LAST",Settings!$C$5,Settings!$C$5)-1,"")</f>
        <v/>
      </c>
      <c r="J16" s="9">
        <f>IFERROR(BDP(A16,"PX_LAST")/BDH(A16,"PX_LAST",Settings!$C$6,Settings!$C$6)-1,"")</f>
        <v/>
      </c>
      <c r="K16" s="9">
        <f>IFERROR(BDP(A16,"PX_LAST")/BDH(A16,"PX_LAST",Settings!$C$7,Settings!$C$7)-1,"")</f>
        <v/>
      </c>
      <c r="L16" s="9">
        <f>IFERROR(BDP(A16,"PX_LAST")/BDH(A16,"PX_LAST",Settings!$C$8,Settings!$C$8)-1,"")</f>
        <v/>
      </c>
    </row>
    <row r="17">
      <c r="A17" s="7" t="inlineStr">
        <is>
          <t>S5TELS Index</t>
        </is>
      </c>
      <c r="B17" t="inlineStr">
        <is>
          <t>S&amp;P 500 Communication Services</t>
        </is>
      </c>
      <c r="C17" t="inlineStr">
        <is>
          <t>S&amp;P 500 Sector</t>
        </is>
      </c>
      <c r="D17" s="8">
        <f>IFERROR(BDP(A17,"PX_LAST"),"")</f>
        <v/>
      </c>
      <c r="E17" s="9">
        <f>IFERROR(BDP(A17,"CUST_TRR_RETURN_HOLDING_PER","CUST_TRR_START_DT",Settings!$C$5,"CUST_TRR_END_DT",Settings!$C$4)/100,"")</f>
        <v/>
      </c>
      <c r="F17" s="9">
        <f>IFERROR(BDP(A17,"CUST_TRR_RETURN_HOLDING_PER","CUST_TRR_START_DT",Settings!$C$6,"CUST_TRR_END_DT",Settings!$C$4)/100,"")</f>
        <v/>
      </c>
      <c r="G17" s="9">
        <f>IFERROR(BDP(A17,"CUST_TRR_RETURN_HOLDING_PER","CUST_TRR_START_DT",Settings!$C$7,"CUST_TRR_END_DT",Settings!$C$4)/100,"")</f>
        <v/>
      </c>
      <c r="H17" s="9">
        <f>IFERROR(BDP(A17,"CUST_TRR_RETURN_HOLDING_PER","CUST_TRR_START_DT",Settings!$C$8,"CUST_TRR_END_DT",Settings!$C$4)/100,"")</f>
        <v/>
      </c>
      <c r="I17" s="9">
        <f>IFERROR(BDP(A17,"PX_LAST")/BDH(A17,"PX_LAST",Settings!$C$5,Settings!$C$5)-1,"")</f>
        <v/>
      </c>
      <c r="J17" s="9">
        <f>IFERROR(BDP(A17,"PX_LAST")/BDH(A17,"PX_LAST",Settings!$C$6,Settings!$C$6)-1,"")</f>
        <v/>
      </c>
      <c r="K17" s="9">
        <f>IFERROR(BDP(A17,"PX_LAST")/BDH(A17,"PX_LAST",Settings!$C$7,Settings!$C$7)-1,"")</f>
        <v/>
      </c>
      <c r="L17" s="9">
        <f>IFERROR(BDP(A17,"PX_LAST")/BDH(A17,"PX_LAST",Settings!$C$8,Settings!$C$8)-1,"")</f>
        <v/>
      </c>
    </row>
    <row r="18">
      <c r="A18" s="7" t="inlineStr">
        <is>
          <t>S5COND Index</t>
        </is>
      </c>
      <c r="B18" t="inlineStr">
        <is>
          <t>S&amp;P 500 Consumer Discretionary</t>
        </is>
      </c>
      <c r="C18" t="inlineStr">
        <is>
          <t>S&amp;P 500 Sector</t>
        </is>
      </c>
      <c r="D18" s="8">
        <f>IFERROR(BDP(A18,"PX_LAST"),"")</f>
        <v/>
      </c>
      <c r="E18" s="9">
        <f>IFERROR(BDP(A18,"CUST_TRR_RETURN_HOLDING_PER","CUST_TRR_START_DT",Settings!$C$5,"CUST_TRR_END_DT",Settings!$C$4)/100,"")</f>
        <v/>
      </c>
      <c r="F18" s="9">
        <f>IFERROR(BDP(A18,"CUST_TRR_RETURN_HOLDING_PER","CUST_TRR_START_DT",Settings!$C$6,"CUST_TRR_END_DT",Settings!$C$4)/100,"")</f>
        <v/>
      </c>
      <c r="G18" s="9">
        <f>IFERROR(BDP(A18,"CUST_TRR_RETURN_HOLDING_PER","CUST_TRR_START_DT",Settings!$C$7,"CUST_TRR_END_DT",Settings!$C$4)/100,"")</f>
        <v/>
      </c>
      <c r="H18" s="9">
        <f>IFERROR(BDP(A18,"CUST_TRR_RETURN_HOLDING_PER","CUST_TRR_START_DT",Settings!$C$8,"CUST_TRR_END_DT",Settings!$C$4)/100,"")</f>
        <v/>
      </c>
      <c r="I18" s="9">
        <f>IFERROR(BDP(A18,"PX_LAST")/BDH(A18,"PX_LAST",Settings!$C$5,Settings!$C$5)-1,"")</f>
        <v/>
      </c>
      <c r="J18" s="9">
        <f>IFERROR(BDP(A18,"PX_LAST")/BDH(A18,"PX_LAST",Settings!$C$6,Settings!$C$6)-1,"")</f>
        <v/>
      </c>
      <c r="K18" s="9">
        <f>IFERROR(BDP(A18,"PX_LAST")/BDH(A18,"PX_LAST",Settings!$C$7,Settings!$C$7)-1,"")</f>
        <v/>
      </c>
      <c r="L18" s="9">
        <f>IFERROR(BDP(A18,"PX_LAST")/BDH(A18,"PX_LAST",Settings!$C$8,Settings!$C$8)-1,"")</f>
        <v/>
      </c>
    </row>
    <row r="19">
      <c r="A19" s="7" t="inlineStr">
        <is>
          <t>S5CONS Index</t>
        </is>
      </c>
      <c r="B19" t="inlineStr">
        <is>
          <t>S&amp;P 500 Consumer Staples</t>
        </is>
      </c>
      <c r="C19" t="inlineStr">
        <is>
          <t>S&amp;P 500 Sector</t>
        </is>
      </c>
      <c r="D19" s="8">
        <f>IFERROR(BDP(A19,"PX_LAST"),"")</f>
        <v/>
      </c>
      <c r="E19" s="9">
        <f>IFERROR(BDP(A19,"CUST_TRR_RETURN_HOLDING_PER","CUST_TRR_START_DT",Settings!$C$5,"CUST_TRR_END_DT",Settings!$C$4)/100,"")</f>
        <v/>
      </c>
      <c r="F19" s="9">
        <f>IFERROR(BDP(A19,"CUST_TRR_RETURN_HOLDING_PER","CUST_TRR_START_DT",Settings!$C$6,"CUST_TRR_END_DT",Settings!$C$4)/100,"")</f>
        <v/>
      </c>
      <c r="G19" s="9">
        <f>IFERROR(BDP(A19,"CUST_TRR_RETURN_HOLDING_PER","CUST_TRR_START_DT",Settings!$C$7,"CUST_TRR_END_DT",Settings!$C$4)/100,"")</f>
        <v/>
      </c>
      <c r="H19" s="9">
        <f>IFERROR(BDP(A19,"CUST_TRR_RETURN_HOLDING_PER","CUST_TRR_START_DT",Settings!$C$8,"CUST_TRR_END_DT",Settings!$C$4)/100,"")</f>
        <v/>
      </c>
      <c r="I19" s="9">
        <f>IFERROR(BDP(A19,"PX_LAST")/BDH(A19,"PX_LAST",Settings!$C$5,Settings!$C$5)-1,"")</f>
        <v/>
      </c>
      <c r="J19" s="9">
        <f>IFERROR(BDP(A19,"PX_LAST")/BDH(A19,"PX_LAST",Settings!$C$6,Settings!$C$6)-1,"")</f>
        <v/>
      </c>
      <c r="K19" s="9">
        <f>IFERROR(BDP(A19,"PX_LAST")/BDH(A19,"PX_LAST",Settings!$C$7,Settings!$C$7)-1,"")</f>
        <v/>
      </c>
      <c r="L19" s="9">
        <f>IFERROR(BDP(A19,"PX_LAST")/BDH(A19,"PX_LAST",Settings!$C$8,Settings!$C$8)-1,"")</f>
        <v/>
      </c>
    </row>
    <row r="20">
      <c r="A20" s="7" t="inlineStr">
        <is>
          <t>S5ENRS Index</t>
        </is>
      </c>
      <c r="B20" t="inlineStr">
        <is>
          <t>S&amp;P 500 Energy</t>
        </is>
      </c>
      <c r="C20" t="inlineStr">
        <is>
          <t>S&amp;P 500 Sector</t>
        </is>
      </c>
      <c r="D20" s="8">
        <f>IFERROR(BDP(A20,"PX_LAST"),"")</f>
        <v/>
      </c>
      <c r="E20" s="9">
        <f>IFERROR(BDP(A20,"CUST_TRR_RETURN_HOLDING_PER","CUST_TRR_START_DT",Settings!$C$5,"CUST_TRR_END_DT",Settings!$C$4)/100,"")</f>
        <v/>
      </c>
      <c r="F20" s="9">
        <f>IFERROR(BDP(A20,"CUST_TRR_RETURN_HOLDING_PER","CUST_TRR_START_DT",Settings!$C$6,"CUST_TRR_END_DT",Settings!$C$4)/100,"")</f>
        <v/>
      </c>
      <c r="G20" s="9">
        <f>IFERROR(BDP(A20,"CUST_TRR_RETURN_HOLDING_PER","CUST_TRR_START_DT",Settings!$C$7,"CUST_TRR_END_DT",Settings!$C$4)/100,"")</f>
        <v/>
      </c>
      <c r="H20" s="9">
        <f>IFERROR(BDP(A20,"CUST_TRR_RETURN_HOLDING_PER","CUST_TRR_START_DT",Settings!$C$8,"CUST_TRR_END_DT",Settings!$C$4)/100,"")</f>
        <v/>
      </c>
      <c r="I20" s="9">
        <f>IFERROR(BDP(A20,"PX_LAST")/BDH(A20,"PX_LAST",Settings!$C$5,Settings!$C$5)-1,"")</f>
        <v/>
      </c>
      <c r="J20" s="9">
        <f>IFERROR(BDP(A20,"PX_LAST")/BDH(A20,"PX_LAST",Settings!$C$6,Settings!$C$6)-1,"")</f>
        <v/>
      </c>
      <c r="K20" s="9">
        <f>IFERROR(BDP(A20,"PX_LAST")/BDH(A20,"PX_LAST",Settings!$C$7,Settings!$C$7)-1,"")</f>
        <v/>
      </c>
      <c r="L20" s="9">
        <f>IFERROR(BDP(A20,"PX_LAST")/BDH(A20,"PX_LAST",Settings!$C$8,Settings!$C$8)-1,"")</f>
        <v/>
      </c>
    </row>
    <row r="21">
      <c r="A21" s="7" t="inlineStr">
        <is>
          <t>S5FINL Index</t>
        </is>
      </c>
      <c r="B21" t="inlineStr">
        <is>
          <t>S&amp;P 500 Financials</t>
        </is>
      </c>
      <c r="C21" t="inlineStr">
        <is>
          <t>S&amp;P 500 Sector</t>
        </is>
      </c>
      <c r="D21" s="8">
        <f>IFERROR(BDP(A21,"PX_LAST"),"")</f>
        <v/>
      </c>
      <c r="E21" s="9">
        <f>IFERROR(BDP(A21,"CUST_TRR_RETURN_HOLDING_PER","CUST_TRR_START_DT",Settings!$C$5,"CUST_TRR_END_DT",Settings!$C$4)/100,"")</f>
        <v/>
      </c>
      <c r="F21" s="9">
        <f>IFERROR(BDP(A21,"CUST_TRR_RETURN_HOLDING_PER","CUST_TRR_START_DT",Settings!$C$6,"CUST_TRR_END_DT",Settings!$C$4)/100,"")</f>
        <v/>
      </c>
      <c r="G21" s="9">
        <f>IFERROR(BDP(A21,"CUST_TRR_RETURN_HOLDING_PER","CUST_TRR_START_DT",Settings!$C$7,"CUST_TRR_END_DT",Settings!$C$4)/100,"")</f>
        <v/>
      </c>
      <c r="H21" s="9">
        <f>IFERROR(BDP(A21,"CUST_TRR_RETURN_HOLDING_PER","CUST_TRR_START_DT",Settings!$C$8,"CUST_TRR_END_DT",Settings!$C$4)/100,"")</f>
        <v/>
      </c>
      <c r="I21" s="9">
        <f>IFERROR(BDP(A21,"PX_LAST")/BDH(A21,"PX_LAST",Settings!$C$5,Settings!$C$5)-1,"")</f>
        <v/>
      </c>
      <c r="J21" s="9">
        <f>IFERROR(BDP(A21,"PX_LAST")/BDH(A21,"PX_LAST",Settings!$C$6,Settings!$C$6)-1,"")</f>
        <v/>
      </c>
      <c r="K21" s="9">
        <f>IFERROR(BDP(A21,"PX_LAST")/BDH(A21,"PX_LAST",Settings!$C$7,Settings!$C$7)-1,"")</f>
        <v/>
      </c>
      <c r="L21" s="9">
        <f>IFERROR(BDP(A21,"PX_LAST")/BDH(A21,"PX_LAST",Settings!$C$8,Settings!$C$8)-1,"")</f>
        <v/>
      </c>
    </row>
    <row r="22">
      <c r="A22" s="7" t="inlineStr">
        <is>
          <t>S5HLTH Index</t>
        </is>
      </c>
      <c r="B22" t="inlineStr">
        <is>
          <t>S&amp;P 500 Health Care</t>
        </is>
      </c>
      <c r="C22" t="inlineStr">
        <is>
          <t>S&amp;P 500 Sector</t>
        </is>
      </c>
      <c r="D22" s="8">
        <f>IFERROR(BDP(A22,"PX_LAST"),"")</f>
        <v/>
      </c>
      <c r="E22" s="9">
        <f>IFERROR(BDP(A22,"CUST_TRR_RETURN_HOLDING_PER","CUST_TRR_START_DT",Settings!$C$5,"CUST_TRR_END_DT",Settings!$C$4)/100,"")</f>
        <v/>
      </c>
      <c r="F22" s="9">
        <f>IFERROR(BDP(A22,"CUST_TRR_RETURN_HOLDING_PER","CUST_TRR_START_DT",Settings!$C$6,"CUST_TRR_END_DT",Settings!$C$4)/100,"")</f>
        <v/>
      </c>
      <c r="G22" s="9">
        <f>IFERROR(BDP(A22,"CUST_TRR_RETURN_HOLDING_PER","CUST_TRR_START_DT",Settings!$C$7,"CUST_TRR_END_DT",Settings!$C$4)/100,"")</f>
        <v/>
      </c>
      <c r="H22" s="9">
        <f>IFERROR(BDP(A22,"CUST_TRR_RETURN_HOLDING_PER","CUST_TRR_START_DT",Settings!$C$8,"CUST_TRR_END_DT",Settings!$C$4)/100,"")</f>
        <v/>
      </c>
      <c r="I22" s="9">
        <f>IFERROR(BDP(A22,"PX_LAST")/BDH(A22,"PX_LAST",Settings!$C$5,Settings!$C$5)-1,"")</f>
        <v/>
      </c>
      <c r="J22" s="9">
        <f>IFERROR(BDP(A22,"PX_LAST")/BDH(A22,"PX_LAST",Settings!$C$6,Settings!$C$6)-1,"")</f>
        <v/>
      </c>
      <c r="K22" s="9">
        <f>IFERROR(BDP(A22,"PX_LAST")/BDH(A22,"PX_LAST",Settings!$C$7,Settings!$C$7)-1,"")</f>
        <v/>
      </c>
      <c r="L22" s="9">
        <f>IFERROR(BDP(A22,"PX_LAST")/BDH(A22,"PX_LAST",Settings!$C$8,Settings!$C$8)-1,"")</f>
        <v/>
      </c>
    </row>
    <row r="23">
      <c r="A23" s="7" t="inlineStr">
        <is>
          <t>S5INDU Index</t>
        </is>
      </c>
      <c r="B23" t="inlineStr">
        <is>
          <t>S&amp;P 500 Industrials</t>
        </is>
      </c>
      <c r="C23" t="inlineStr">
        <is>
          <t>S&amp;P 500 Sector</t>
        </is>
      </c>
      <c r="D23" s="8">
        <f>IFERROR(BDP(A23,"PX_LAST"),"")</f>
        <v/>
      </c>
      <c r="E23" s="9">
        <f>IFERROR(BDP(A23,"CUST_TRR_RETURN_HOLDING_PER","CUST_TRR_START_DT",Settings!$C$5,"CUST_TRR_END_DT",Settings!$C$4)/100,"")</f>
        <v/>
      </c>
      <c r="F23" s="9">
        <f>IFERROR(BDP(A23,"CUST_TRR_RETURN_HOLDING_PER","CUST_TRR_START_DT",Settings!$C$6,"CUST_TRR_END_DT",Settings!$C$4)/100,"")</f>
        <v/>
      </c>
      <c r="G23" s="9">
        <f>IFERROR(BDP(A23,"CUST_TRR_RETURN_HOLDING_PER","CUST_TRR_START_DT",Settings!$C$7,"CUST_TRR_END_DT",Settings!$C$4)/100,"")</f>
        <v/>
      </c>
      <c r="H23" s="9">
        <f>IFERROR(BDP(A23,"CUST_TRR_RETURN_HOLDING_PER","CUST_TRR_START_DT",Settings!$C$8,"CUST_TRR_END_DT",Settings!$C$4)/100,"")</f>
        <v/>
      </c>
      <c r="I23" s="9">
        <f>IFERROR(BDP(A23,"PX_LAST")/BDH(A23,"PX_LAST",Settings!$C$5,Settings!$C$5)-1,"")</f>
        <v/>
      </c>
      <c r="J23" s="9">
        <f>IFERROR(BDP(A23,"PX_LAST")/BDH(A23,"PX_LAST",Settings!$C$6,Settings!$C$6)-1,"")</f>
        <v/>
      </c>
      <c r="K23" s="9">
        <f>IFERROR(BDP(A23,"PX_LAST")/BDH(A23,"PX_LAST",Settings!$C$7,Settings!$C$7)-1,"")</f>
        <v/>
      </c>
      <c r="L23" s="9">
        <f>IFERROR(BDP(A23,"PX_LAST")/BDH(A23,"PX_LAST",Settings!$C$8,Settings!$C$8)-1,"")</f>
        <v/>
      </c>
    </row>
    <row r="24">
      <c r="A24" s="7" t="inlineStr">
        <is>
          <t>S5MATR Index</t>
        </is>
      </c>
      <c r="B24" t="inlineStr">
        <is>
          <t>S&amp;P 500 Materials</t>
        </is>
      </c>
      <c r="C24" t="inlineStr">
        <is>
          <t>S&amp;P 500 Sector</t>
        </is>
      </c>
      <c r="D24" s="8">
        <f>IFERROR(BDP(A24,"PX_LAST"),"")</f>
        <v/>
      </c>
      <c r="E24" s="9">
        <f>IFERROR(BDP(A24,"CUST_TRR_RETURN_HOLDING_PER","CUST_TRR_START_DT",Settings!$C$5,"CUST_TRR_END_DT",Settings!$C$4)/100,"")</f>
        <v/>
      </c>
      <c r="F24" s="9">
        <f>IFERROR(BDP(A24,"CUST_TRR_RETURN_HOLDING_PER","CUST_TRR_START_DT",Settings!$C$6,"CUST_TRR_END_DT",Settings!$C$4)/100,"")</f>
        <v/>
      </c>
      <c r="G24" s="9">
        <f>IFERROR(BDP(A24,"CUST_TRR_RETURN_HOLDING_PER","CUST_TRR_START_DT",Settings!$C$7,"CUST_TRR_END_DT",Settings!$C$4)/100,"")</f>
        <v/>
      </c>
      <c r="H24" s="9">
        <f>IFERROR(BDP(A24,"CUST_TRR_RETURN_HOLDING_PER","CUST_TRR_START_DT",Settings!$C$8,"CUST_TRR_END_DT",Settings!$C$4)/100,"")</f>
        <v/>
      </c>
      <c r="I24" s="9">
        <f>IFERROR(BDP(A24,"PX_LAST")/BDH(A24,"PX_LAST",Settings!$C$5,Settings!$C$5)-1,"")</f>
        <v/>
      </c>
      <c r="J24" s="9">
        <f>IFERROR(BDP(A24,"PX_LAST")/BDH(A24,"PX_LAST",Settings!$C$6,Settings!$C$6)-1,"")</f>
        <v/>
      </c>
      <c r="K24" s="9">
        <f>IFERROR(BDP(A24,"PX_LAST")/BDH(A24,"PX_LAST",Settings!$C$7,Settings!$C$7)-1,"")</f>
        <v/>
      </c>
      <c r="L24" s="9">
        <f>IFERROR(BDP(A24,"PX_LAST")/BDH(A24,"PX_LAST",Settings!$C$8,Settings!$C$8)-1,"")</f>
        <v/>
      </c>
    </row>
    <row r="25">
      <c r="A25" s="7" t="inlineStr">
        <is>
          <t>S5RLST Index</t>
        </is>
      </c>
      <c r="B25" t="inlineStr">
        <is>
          <t>S&amp;P 500 Real Estate</t>
        </is>
      </c>
      <c r="C25" t="inlineStr">
        <is>
          <t>S&amp;P 500 Sector</t>
        </is>
      </c>
      <c r="D25" s="8">
        <f>IFERROR(BDP(A25,"PX_LAST"),"")</f>
        <v/>
      </c>
      <c r="E25" s="9">
        <f>IFERROR(BDP(A25,"CUST_TRR_RETURN_HOLDING_PER","CUST_TRR_START_DT",Settings!$C$5,"CUST_TRR_END_DT",Settings!$C$4)/100,"")</f>
        <v/>
      </c>
      <c r="F25" s="9">
        <f>IFERROR(BDP(A25,"CUST_TRR_RETURN_HOLDING_PER","CUST_TRR_START_DT",Settings!$C$6,"CUST_TRR_END_DT",Settings!$C$4)/100,"")</f>
        <v/>
      </c>
      <c r="G25" s="9">
        <f>IFERROR(BDP(A25,"CUST_TRR_RETURN_HOLDING_PER","CUST_TRR_START_DT",Settings!$C$7,"CUST_TRR_END_DT",Settings!$C$4)/100,"")</f>
        <v/>
      </c>
      <c r="H25" s="9">
        <f>IFERROR(BDP(A25,"CUST_TRR_RETURN_HOLDING_PER","CUST_TRR_START_DT",Settings!$C$8,"CUST_TRR_END_DT",Settings!$C$4)/100,"")</f>
        <v/>
      </c>
      <c r="I25" s="9">
        <f>IFERROR(BDP(A25,"PX_LAST")/BDH(A25,"PX_LAST",Settings!$C$5,Settings!$C$5)-1,"")</f>
        <v/>
      </c>
      <c r="J25" s="9">
        <f>IFERROR(BDP(A25,"PX_LAST")/BDH(A25,"PX_LAST",Settings!$C$6,Settings!$C$6)-1,"")</f>
        <v/>
      </c>
      <c r="K25" s="9">
        <f>IFERROR(BDP(A25,"PX_LAST")/BDH(A25,"PX_LAST",Settings!$C$7,Settings!$C$7)-1,"")</f>
        <v/>
      </c>
      <c r="L25" s="9">
        <f>IFERROR(BDP(A25,"PX_LAST")/BDH(A25,"PX_LAST",Settings!$C$8,Settings!$C$8)-1,"")</f>
        <v/>
      </c>
    </row>
    <row r="26">
      <c r="A26" s="7" t="inlineStr">
        <is>
          <t>S5UTIL Index</t>
        </is>
      </c>
      <c r="B26" t="inlineStr">
        <is>
          <t>S&amp;P 500 Utilities</t>
        </is>
      </c>
      <c r="C26" t="inlineStr">
        <is>
          <t>S&amp;P 500 Sector</t>
        </is>
      </c>
      <c r="D26" s="8">
        <f>IFERROR(BDP(A26,"PX_LAST"),"")</f>
        <v/>
      </c>
      <c r="E26" s="9">
        <f>IFERROR(BDP(A26,"CUST_TRR_RETURN_HOLDING_PER","CUST_TRR_START_DT",Settings!$C$5,"CUST_TRR_END_DT",Settings!$C$4)/100,"")</f>
        <v/>
      </c>
      <c r="F26" s="9">
        <f>IFERROR(BDP(A26,"CUST_TRR_RETURN_HOLDING_PER","CUST_TRR_START_DT",Settings!$C$6,"CUST_TRR_END_DT",Settings!$C$4)/100,"")</f>
        <v/>
      </c>
      <c r="G26" s="9">
        <f>IFERROR(BDP(A26,"CUST_TRR_RETURN_HOLDING_PER","CUST_TRR_START_DT",Settings!$C$7,"CUST_TRR_END_DT",Settings!$C$4)/100,"")</f>
        <v/>
      </c>
      <c r="H26" s="9">
        <f>IFERROR(BDP(A26,"CUST_TRR_RETURN_HOLDING_PER","CUST_TRR_START_DT",Settings!$C$8,"CUST_TRR_END_DT",Settings!$C$4)/100,"")</f>
        <v/>
      </c>
      <c r="I26" s="9">
        <f>IFERROR(BDP(A26,"PX_LAST")/BDH(A26,"PX_LAST",Settings!$C$5,Settings!$C$5)-1,"")</f>
        <v/>
      </c>
      <c r="J26" s="9">
        <f>IFERROR(BDP(A26,"PX_LAST")/BDH(A26,"PX_LAST",Settings!$C$6,Settings!$C$6)-1,"")</f>
        <v/>
      </c>
      <c r="K26" s="9">
        <f>IFERROR(BDP(A26,"PX_LAST")/BDH(A26,"PX_LAST",Settings!$C$7,Settings!$C$7)-1,"")</f>
        <v/>
      </c>
      <c r="L26" s="9">
        <f>IFERROR(BDP(A26,"PX_LAST")/BDH(A26,"PX_LAST",Settings!$C$8,Settings!$C$8)-1,"")</f>
        <v/>
      </c>
    </row>
    <row r="27">
      <c r="A27" s="6" t="inlineStr">
        <is>
          <t>MSCI Aggregate</t>
        </is>
      </c>
    </row>
    <row r="28">
      <c r="A28" s="7" t="inlineStr">
        <is>
          <t>MXWD Index</t>
        </is>
      </c>
      <c r="B28" t="inlineStr">
        <is>
          <t>MSCI ACWI</t>
        </is>
      </c>
      <c r="C28" t="inlineStr">
        <is>
          <t>MSCI Aggregate</t>
        </is>
      </c>
      <c r="D28" s="8">
        <f>IFERROR(BDP(A28,"PX_LAST"),"")</f>
        <v/>
      </c>
      <c r="E28" s="9">
        <f>IFERROR(BDP(A28,"CUST_TRR_RETURN_HOLDING_PER","CUST_TRR_START_DT",Settings!$C$5,"CUST_TRR_END_DT",Settings!$C$4)/100,"")</f>
        <v/>
      </c>
      <c r="F28" s="9">
        <f>IFERROR(BDP(A28,"CUST_TRR_RETURN_HOLDING_PER","CUST_TRR_START_DT",Settings!$C$6,"CUST_TRR_END_DT",Settings!$C$4)/100,"")</f>
        <v/>
      </c>
      <c r="G28" s="9">
        <f>IFERROR(BDP(A28,"CUST_TRR_RETURN_HOLDING_PER","CUST_TRR_START_DT",Settings!$C$7,"CUST_TRR_END_DT",Settings!$C$4)/100,"")</f>
        <v/>
      </c>
      <c r="H28" s="9">
        <f>IFERROR(BDP(A28,"CUST_TRR_RETURN_HOLDING_PER","CUST_TRR_START_DT",Settings!$C$8,"CUST_TRR_END_DT",Settings!$C$4)/100,"")</f>
        <v/>
      </c>
      <c r="I28" s="9">
        <f>IFERROR(BDP(A28,"PX_LAST")/BDH(A28,"PX_LAST",Settings!$C$5,Settings!$C$5)-1,"")</f>
        <v/>
      </c>
      <c r="J28" s="9">
        <f>IFERROR(BDP(A28,"PX_LAST")/BDH(A28,"PX_LAST",Settings!$C$6,Settings!$C$6)-1,"")</f>
        <v/>
      </c>
      <c r="K28" s="9">
        <f>IFERROR(BDP(A28,"PX_LAST")/BDH(A28,"PX_LAST",Settings!$C$7,Settings!$C$7)-1,"")</f>
        <v/>
      </c>
      <c r="L28" s="9">
        <f>IFERROR(BDP(A28,"PX_LAST")/BDH(A28,"PX_LAST",Settings!$C$8,Settings!$C$8)-1,"")</f>
        <v/>
      </c>
    </row>
    <row r="29">
      <c r="A29" s="7" t="inlineStr">
        <is>
          <t>MXWO Index</t>
        </is>
      </c>
      <c r="B29" t="inlineStr">
        <is>
          <t>MSCI World (DM)</t>
        </is>
      </c>
      <c r="C29" t="inlineStr">
        <is>
          <t>MSCI Aggregate</t>
        </is>
      </c>
      <c r="D29" s="8">
        <f>IFERROR(BDP(A29,"PX_LAST"),"")</f>
        <v/>
      </c>
      <c r="E29" s="9">
        <f>IFERROR(BDP(A29,"CUST_TRR_RETURN_HOLDING_PER","CUST_TRR_START_DT",Settings!$C$5,"CUST_TRR_END_DT",Settings!$C$4)/100,"")</f>
        <v/>
      </c>
      <c r="F29" s="9">
        <f>IFERROR(BDP(A29,"CUST_TRR_RETURN_HOLDING_PER","CUST_TRR_START_DT",Settings!$C$6,"CUST_TRR_END_DT",Settings!$C$4)/100,"")</f>
        <v/>
      </c>
      <c r="G29" s="9">
        <f>IFERROR(BDP(A29,"CUST_TRR_RETURN_HOLDING_PER","CUST_TRR_START_DT",Settings!$C$7,"CUST_TRR_END_DT",Settings!$C$4)/100,"")</f>
        <v/>
      </c>
      <c r="H29" s="9">
        <f>IFERROR(BDP(A29,"CUST_TRR_RETURN_HOLDING_PER","CUST_TRR_START_DT",Settings!$C$8,"CUST_TRR_END_DT",Settings!$C$4)/100,"")</f>
        <v/>
      </c>
      <c r="I29" s="9">
        <f>IFERROR(BDP(A29,"PX_LAST")/BDH(A29,"PX_LAST",Settings!$C$5,Settings!$C$5)-1,"")</f>
        <v/>
      </c>
      <c r="J29" s="9">
        <f>IFERROR(BDP(A29,"PX_LAST")/BDH(A29,"PX_LAST",Settings!$C$6,Settings!$C$6)-1,"")</f>
        <v/>
      </c>
      <c r="K29" s="9">
        <f>IFERROR(BDP(A29,"PX_LAST")/BDH(A29,"PX_LAST",Settings!$C$7,Settings!$C$7)-1,"")</f>
        <v/>
      </c>
      <c r="L29" s="9">
        <f>IFERROR(BDP(A29,"PX_LAST")/BDH(A29,"PX_LAST",Settings!$C$8,Settings!$C$8)-1,"")</f>
        <v/>
      </c>
    </row>
    <row r="30">
      <c r="A30" s="7" t="inlineStr">
        <is>
          <t>MXEA Index</t>
        </is>
      </c>
      <c r="B30" t="inlineStr">
        <is>
          <t>MSCI EAFE</t>
        </is>
      </c>
      <c r="C30" t="inlineStr">
        <is>
          <t>MSCI Aggregate</t>
        </is>
      </c>
      <c r="D30" s="8">
        <f>IFERROR(BDP(A30,"PX_LAST"),"")</f>
        <v/>
      </c>
      <c r="E30" s="9">
        <f>IFERROR(BDP(A30,"CUST_TRR_RETURN_HOLDING_PER","CUST_TRR_START_DT",Settings!$C$5,"CUST_TRR_END_DT",Settings!$C$4)/100,"")</f>
        <v/>
      </c>
      <c r="F30" s="9">
        <f>IFERROR(BDP(A30,"CUST_TRR_RETURN_HOLDING_PER","CUST_TRR_START_DT",Settings!$C$6,"CUST_TRR_END_DT",Settings!$C$4)/100,"")</f>
        <v/>
      </c>
      <c r="G30" s="9">
        <f>IFERROR(BDP(A30,"CUST_TRR_RETURN_HOLDING_PER","CUST_TRR_START_DT",Settings!$C$7,"CUST_TRR_END_DT",Settings!$C$4)/100,"")</f>
        <v/>
      </c>
      <c r="H30" s="9">
        <f>IFERROR(BDP(A30,"CUST_TRR_RETURN_HOLDING_PER","CUST_TRR_START_DT",Settings!$C$8,"CUST_TRR_END_DT",Settings!$C$4)/100,"")</f>
        <v/>
      </c>
      <c r="I30" s="9">
        <f>IFERROR(BDP(A30,"PX_LAST")/BDH(A30,"PX_LAST",Settings!$C$5,Settings!$C$5)-1,"")</f>
        <v/>
      </c>
      <c r="J30" s="9">
        <f>IFERROR(BDP(A30,"PX_LAST")/BDH(A30,"PX_LAST",Settings!$C$6,Settings!$C$6)-1,"")</f>
        <v/>
      </c>
      <c r="K30" s="9">
        <f>IFERROR(BDP(A30,"PX_LAST")/BDH(A30,"PX_LAST",Settings!$C$7,Settings!$C$7)-1,"")</f>
        <v/>
      </c>
      <c r="L30" s="9">
        <f>IFERROR(BDP(A30,"PX_LAST")/BDH(A30,"PX_LAST",Settings!$C$8,Settings!$C$8)-1,"")</f>
        <v/>
      </c>
    </row>
    <row r="31">
      <c r="A31" s="7" t="inlineStr">
        <is>
          <t>MXEF Index</t>
        </is>
      </c>
      <c r="B31" t="inlineStr">
        <is>
          <t>MSCI Emerging Markets</t>
        </is>
      </c>
      <c r="C31" t="inlineStr">
        <is>
          <t>MSCI Aggregate</t>
        </is>
      </c>
      <c r="D31" s="8">
        <f>IFERROR(BDP(A31,"PX_LAST"),"")</f>
        <v/>
      </c>
      <c r="E31" s="9">
        <f>IFERROR(BDP(A31,"CUST_TRR_RETURN_HOLDING_PER","CUST_TRR_START_DT",Settings!$C$5,"CUST_TRR_END_DT",Settings!$C$4)/100,"")</f>
        <v/>
      </c>
      <c r="F31" s="9">
        <f>IFERROR(BDP(A31,"CUST_TRR_RETURN_HOLDING_PER","CUST_TRR_START_DT",Settings!$C$6,"CUST_TRR_END_DT",Settings!$C$4)/100,"")</f>
        <v/>
      </c>
      <c r="G31" s="9">
        <f>IFERROR(BDP(A31,"CUST_TRR_RETURN_HOLDING_PER","CUST_TRR_START_DT",Settings!$C$7,"CUST_TRR_END_DT",Settings!$C$4)/100,"")</f>
        <v/>
      </c>
      <c r="H31" s="9">
        <f>IFERROR(BDP(A31,"CUST_TRR_RETURN_HOLDING_PER","CUST_TRR_START_DT",Settings!$C$8,"CUST_TRR_END_DT",Settings!$C$4)/100,"")</f>
        <v/>
      </c>
      <c r="I31" s="9">
        <f>IFERROR(BDP(A31,"PX_LAST")/BDH(A31,"PX_LAST",Settings!$C$5,Settings!$C$5)-1,"")</f>
        <v/>
      </c>
      <c r="J31" s="9">
        <f>IFERROR(BDP(A31,"PX_LAST")/BDH(A31,"PX_LAST",Settings!$C$6,Settings!$C$6)-1,"")</f>
        <v/>
      </c>
      <c r="K31" s="9">
        <f>IFERROR(BDP(A31,"PX_LAST")/BDH(A31,"PX_LAST",Settings!$C$7,Settings!$C$7)-1,"")</f>
        <v/>
      </c>
      <c r="L31" s="9">
        <f>IFERROR(BDP(A31,"PX_LAST")/BDH(A31,"PX_LAST",Settings!$C$8,Settings!$C$8)-1,"")</f>
        <v/>
      </c>
    </row>
    <row r="32">
      <c r="A32" s="7" t="inlineStr">
        <is>
          <t>MXFM Index</t>
        </is>
      </c>
      <c r="B32" t="inlineStr">
        <is>
          <t>MSCI Frontier Markets</t>
        </is>
      </c>
      <c r="C32" t="inlineStr">
        <is>
          <t>MSCI Aggregate</t>
        </is>
      </c>
      <c r="D32" s="8">
        <f>IFERROR(BDP(A32,"PX_LAST"),"")</f>
        <v/>
      </c>
      <c r="E32" s="9">
        <f>IFERROR(BDP(A32,"CUST_TRR_RETURN_HOLDING_PER","CUST_TRR_START_DT",Settings!$C$5,"CUST_TRR_END_DT",Settings!$C$4)/100,"")</f>
        <v/>
      </c>
      <c r="F32" s="9">
        <f>IFERROR(BDP(A32,"CUST_TRR_RETURN_HOLDING_PER","CUST_TRR_START_DT",Settings!$C$6,"CUST_TRR_END_DT",Settings!$C$4)/100,"")</f>
        <v/>
      </c>
      <c r="G32" s="9">
        <f>IFERROR(BDP(A32,"CUST_TRR_RETURN_HOLDING_PER","CUST_TRR_START_DT",Settings!$C$7,"CUST_TRR_END_DT",Settings!$C$4)/100,"")</f>
        <v/>
      </c>
      <c r="H32" s="9">
        <f>IFERROR(BDP(A32,"CUST_TRR_RETURN_HOLDING_PER","CUST_TRR_START_DT",Settings!$C$8,"CUST_TRR_END_DT",Settings!$C$4)/100,"")</f>
        <v/>
      </c>
      <c r="I32" s="9">
        <f>IFERROR(BDP(A32,"PX_LAST")/BDH(A32,"PX_LAST",Settings!$C$5,Settings!$C$5)-1,"")</f>
        <v/>
      </c>
      <c r="J32" s="9">
        <f>IFERROR(BDP(A32,"PX_LAST")/BDH(A32,"PX_LAST",Settings!$C$6,Settings!$C$6)-1,"")</f>
        <v/>
      </c>
      <c r="K32" s="9">
        <f>IFERROR(BDP(A32,"PX_LAST")/BDH(A32,"PX_LAST",Settings!$C$7,Settings!$C$7)-1,"")</f>
        <v/>
      </c>
      <c r="L32" s="9">
        <f>IFERROR(BDP(A32,"PX_LAST")/BDH(A32,"PX_LAST",Settings!$C$8,Settings!$C$8)-1,"")</f>
        <v/>
      </c>
    </row>
    <row r="33">
      <c r="A33" s="6" t="inlineStr">
        <is>
          <t>DM Country</t>
        </is>
      </c>
    </row>
    <row r="34">
      <c r="A34" s="7" t="inlineStr">
        <is>
          <t>SPTSX Index</t>
        </is>
      </c>
      <c r="B34" t="inlineStr">
        <is>
          <t>S&amp;P/TSX Composite (Canada)</t>
        </is>
      </c>
      <c r="C34" t="inlineStr">
        <is>
          <t>DM Country</t>
        </is>
      </c>
      <c r="D34" s="8">
        <f>IFERROR(BDP(A34,"PX_LAST"),"")</f>
        <v/>
      </c>
      <c r="E34" s="9">
        <f>IFERROR(BDP(A34,"CUST_TRR_RETURN_HOLDING_PER","CUST_TRR_START_DT",Settings!$C$5,"CUST_TRR_END_DT",Settings!$C$4)/100,"")</f>
        <v/>
      </c>
      <c r="F34" s="9">
        <f>IFERROR(BDP(A34,"CUST_TRR_RETURN_HOLDING_PER","CUST_TRR_START_DT",Settings!$C$6,"CUST_TRR_END_DT",Settings!$C$4)/100,"")</f>
        <v/>
      </c>
      <c r="G34" s="9">
        <f>IFERROR(BDP(A34,"CUST_TRR_RETURN_HOLDING_PER","CUST_TRR_START_DT",Settings!$C$7,"CUST_TRR_END_DT",Settings!$C$4)/100,"")</f>
        <v/>
      </c>
      <c r="H34" s="9">
        <f>IFERROR(BDP(A34,"CUST_TRR_RETURN_HOLDING_PER","CUST_TRR_START_DT",Settings!$C$8,"CUST_TRR_END_DT",Settings!$C$4)/100,"")</f>
        <v/>
      </c>
      <c r="I34" s="9">
        <f>IFERROR(BDP(A34,"PX_LAST")/BDH(A34,"PX_LAST",Settings!$C$5,Settings!$C$5)-1,"")</f>
        <v/>
      </c>
      <c r="J34" s="9">
        <f>IFERROR(BDP(A34,"PX_LAST")/BDH(A34,"PX_LAST",Settings!$C$6,Settings!$C$6)-1,"")</f>
        <v/>
      </c>
      <c r="K34" s="9">
        <f>IFERROR(BDP(A34,"PX_LAST")/BDH(A34,"PX_LAST",Settings!$C$7,Settings!$C$7)-1,"")</f>
        <v/>
      </c>
      <c r="L34" s="9">
        <f>IFERROR(BDP(A34,"PX_LAST")/BDH(A34,"PX_LAST",Settings!$C$8,Settings!$C$8)-1,"")</f>
        <v/>
      </c>
    </row>
    <row r="35">
      <c r="A35" s="6" t="inlineStr">
        <is>
          <t>DM Region</t>
        </is>
      </c>
    </row>
    <row r="36">
      <c r="A36" s="7" t="inlineStr">
        <is>
          <t>SX5E Index</t>
        </is>
      </c>
      <c r="B36" t="inlineStr">
        <is>
          <t>Euro Stoxx 50</t>
        </is>
      </c>
      <c r="C36" t="inlineStr">
        <is>
          <t>DM Region</t>
        </is>
      </c>
      <c r="D36" s="8">
        <f>IFERROR(BDP(A36,"PX_LAST"),"")</f>
        <v/>
      </c>
      <c r="E36" s="9">
        <f>IFERROR(BDP(A36,"CUST_TRR_RETURN_HOLDING_PER","CUST_TRR_START_DT",Settings!$C$5,"CUST_TRR_END_DT",Settings!$C$4)/100,"")</f>
        <v/>
      </c>
      <c r="F36" s="9">
        <f>IFERROR(BDP(A36,"CUST_TRR_RETURN_HOLDING_PER","CUST_TRR_START_DT",Settings!$C$6,"CUST_TRR_END_DT",Settings!$C$4)/100,"")</f>
        <v/>
      </c>
      <c r="G36" s="9">
        <f>IFERROR(BDP(A36,"CUST_TRR_RETURN_HOLDING_PER","CUST_TRR_START_DT",Settings!$C$7,"CUST_TRR_END_DT",Settings!$C$4)/100,"")</f>
        <v/>
      </c>
      <c r="H36" s="9">
        <f>IFERROR(BDP(A36,"CUST_TRR_RETURN_HOLDING_PER","CUST_TRR_START_DT",Settings!$C$8,"CUST_TRR_END_DT",Settings!$C$4)/100,"")</f>
        <v/>
      </c>
      <c r="I36" s="9">
        <f>IFERROR(BDP(A36,"PX_LAST")/BDH(A36,"PX_LAST",Settings!$C$5,Settings!$C$5)-1,"")</f>
        <v/>
      </c>
      <c r="J36" s="9">
        <f>IFERROR(BDP(A36,"PX_LAST")/BDH(A36,"PX_LAST",Settings!$C$6,Settings!$C$6)-1,"")</f>
        <v/>
      </c>
      <c r="K36" s="9">
        <f>IFERROR(BDP(A36,"PX_LAST")/BDH(A36,"PX_LAST",Settings!$C$7,Settings!$C$7)-1,"")</f>
        <v/>
      </c>
      <c r="L36" s="9">
        <f>IFERROR(BDP(A36,"PX_LAST")/BDH(A36,"PX_LAST",Settings!$C$8,Settings!$C$8)-1,"")</f>
        <v/>
      </c>
    </row>
    <row r="37">
      <c r="A37" s="7" t="inlineStr">
        <is>
          <t>SXXP Index</t>
        </is>
      </c>
      <c r="B37" t="inlineStr">
        <is>
          <t>Stoxx Europe 600</t>
        </is>
      </c>
      <c r="C37" t="inlineStr">
        <is>
          <t>DM Region</t>
        </is>
      </c>
      <c r="D37" s="8">
        <f>IFERROR(BDP(A37,"PX_LAST"),"")</f>
        <v/>
      </c>
      <c r="E37" s="9">
        <f>IFERROR(BDP(A37,"CUST_TRR_RETURN_HOLDING_PER","CUST_TRR_START_DT",Settings!$C$5,"CUST_TRR_END_DT",Settings!$C$4)/100,"")</f>
        <v/>
      </c>
      <c r="F37" s="9">
        <f>IFERROR(BDP(A37,"CUST_TRR_RETURN_HOLDING_PER","CUST_TRR_START_DT",Settings!$C$6,"CUST_TRR_END_DT",Settings!$C$4)/100,"")</f>
        <v/>
      </c>
      <c r="G37" s="9">
        <f>IFERROR(BDP(A37,"CUST_TRR_RETURN_HOLDING_PER","CUST_TRR_START_DT",Settings!$C$7,"CUST_TRR_END_DT",Settings!$C$4)/100,"")</f>
        <v/>
      </c>
      <c r="H37" s="9">
        <f>IFERROR(BDP(A37,"CUST_TRR_RETURN_HOLDING_PER","CUST_TRR_START_DT",Settings!$C$8,"CUST_TRR_END_DT",Settings!$C$4)/100,"")</f>
        <v/>
      </c>
      <c r="I37" s="9">
        <f>IFERROR(BDP(A37,"PX_LAST")/BDH(A37,"PX_LAST",Settings!$C$5,Settings!$C$5)-1,"")</f>
        <v/>
      </c>
      <c r="J37" s="9">
        <f>IFERROR(BDP(A37,"PX_LAST")/BDH(A37,"PX_LAST",Settings!$C$6,Settings!$C$6)-1,"")</f>
        <v/>
      </c>
      <c r="K37" s="9">
        <f>IFERROR(BDP(A37,"PX_LAST")/BDH(A37,"PX_LAST",Settings!$C$7,Settings!$C$7)-1,"")</f>
        <v/>
      </c>
      <c r="L37" s="9">
        <f>IFERROR(BDP(A37,"PX_LAST")/BDH(A37,"PX_LAST",Settings!$C$8,Settings!$C$8)-1,"")</f>
        <v/>
      </c>
    </row>
    <row r="38">
      <c r="A38" s="6" t="inlineStr">
        <is>
          <t>DM Country</t>
        </is>
      </c>
    </row>
    <row r="39">
      <c r="A39" s="7" t="inlineStr">
        <is>
          <t>DAX Index</t>
        </is>
      </c>
      <c r="B39" t="inlineStr">
        <is>
          <t>DAX (Germany)</t>
        </is>
      </c>
      <c r="C39" t="inlineStr">
        <is>
          <t>DM Country</t>
        </is>
      </c>
      <c r="D39" s="8">
        <f>IFERROR(BDP(A39,"PX_LAST"),"")</f>
        <v/>
      </c>
      <c r="E39" s="9">
        <f>IFERROR(BDP(A39,"CUST_TRR_RETURN_HOLDING_PER","CUST_TRR_START_DT",Settings!$C$5,"CUST_TRR_END_DT",Settings!$C$4)/100,"")</f>
        <v/>
      </c>
      <c r="F39" s="9">
        <f>IFERROR(BDP(A39,"CUST_TRR_RETURN_HOLDING_PER","CUST_TRR_START_DT",Settings!$C$6,"CUST_TRR_END_DT",Settings!$C$4)/100,"")</f>
        <v/>
      </c>
      <c r="G39" s="9">
        <f>IFERROR(BDP(A39,"CUST_TRR_RETURN_HOLDING_PER","CUST_TRR_START_DT",Settings!$C$7,"CUST_TRR_END_DT",Settings!$C$4)/100,"")</f>
        <v/>
      </c>
      <c r="H39" s="9">
        <f>IFERROR(BDP(A39,"CUST_TRR_RETURN_HOLDING_PER","CUST_TRR_START_DT",Settings!$C$8,"CUST_TRR_END_DT",Settings!$C$4)/100,"")</f>
        <v/>
      </c>
      <c r="I39" s="9">
        <f>IFERROR(BDP(A39,"PX_LAST")/BDH(A39,"PX_LAST",Settings!$C$5,Settings!$C$5)-1,"")</f>
        <v/>
      </c>
      <c r="J39" s="9">
        <f>IFERROR(BDP(A39,"PX_LAST")/BDH(A39,"PX_LAST",Settings!$C$6,Settings!$C$6)-1,"")</f>
        <v/>
      </c>
      <c r="K39" s="9">
        <f>IFERROR(BDP(A39,"PX_LAST")/BDH(A39,"PX_LAST",Settings!$C$7,Settings!$C$7)-1,"")</f>
        <v/>
      </c>
      <c r="L39" s="9">
        <f>IFERROR(BDP(A39,"PX_LAST")/BDH(A39,"PX_LAST",Settings!$C$8,Settings!$C$8)-1,"")</f>
        <v/>
      </c>
    </row>
    <row r="40">
      <c r="A40" s="7" t="inlineStr">
        <is>
          <t>CAC Index</t>
        </is>
      </c>
      <c r="B40" t="inlineStr">
        <is>
          <t>CAC 40 (France)</t>
        </is>
      </c>
      <c r="C40" t="inlineStr">
        <is>
          <t>DM Country</t>
        </is>
      </c>
      <c r="D40" s="8">
        <f>IFERROR(BDP(A40,"PX_LAST"),"")</f>
        <v/>
      </c>
      <c r="E40" s="9">
        <f>IFERROR(BDP(A40,"CUST_TRR_RETURN_HOLDING_PER","CUST_TRR_START_DT",Settings!$C$5,"CUST_TRR_END_DT",Settings!$C$4)/100,"")</f>
        <v/>
      </c>
      <c r="F40" s="9">
        <f>IFERROR(BDP(A40,"CUST_TRR_RETURN_HOLDING_PER","CUST_TRR_START_DT",Settings!$C$6,"CUST_TRR_END_DT",Settings!$C$4)/100,"")</f>
        <v/>
      </c>
      <c r="G40" s="9">
        <f>IFERROR(BDP(A40,"CUST_TRR_RETURN_HOLDING_PER","CUST_TRR_START_DT",Settings!$C$7,"CUST_TRR_END_DT",Settings!$C$4)/100,"")</f>
        <v/>
      </c>
      <c r="H40" s="9">
        <f>IFERROR(BDP(A40,"CUST_TRR_RETURN_HOLDING_PER","CUST_TRR_START_DT",Settings!$C$8,"CUST_TRR_END_DT",Settings!$C$4)/100,"")</f>
        <v/>
      </c>
      <c r="I40" s="9">
        <f>IFERROR(BDP(A40,"PX_LAST")/BDH(A40,"PX_LAST",Settings!$C$5,Settings!$C$5)-1,"")</f>
        <v/>
      </c>
      <c r="J40" s="9">
        <f>IFERROR(BDP(A40,"PX_LAST")/BDH(A40,"PX_LAST",Settings!$C$6,Settings!$C$6)-1,"")</f>
        <v/>
      </c>
      <c r="K40" s="9">
        <f>IFERROR(BDP(A40,"PX_LAST")/BDH(A40,"PX_LAST",Settings!$C$7,Settings!$C$7)-1,"")</f>
        <v/>
      </c>
      <c r="L40" s="9">
        <f>IFERROR(BDP(A40,"PX_LAST")/BDH(A40,"PX_LAST",Settings!$C$8,Settings!$C$8)-1,"")</f>
        <v/>
      </c>
    </row>
    <row r="41">
      <c r="A41" s="7" t="inlineStr">
        <is>
          <t>UKX Index</t>
        </is>
      </c>
      <c r="B41" t="inlineStr">
        <is>
          <t>FTSE 100 (UK)</t>
        </is>
      </c>
      <c r="C41" t="inlineStr">
        <is>
          <t>DM Country</t>
        </is>
      </c>
      <c r="D41" s="8">
        <f>IFERROR(BDP(A41,"PX_LAST"),"")</f>
        <v/>
      </c>
      <c r="E41" s="9">
        <f>IFERROR(BDP(A41,"CUST_TRR_RETURN_HOLDING_PER","CUST_TRR_START_DT",Settings!$C$5,"CUST_TRR_END_DT",Settings!$C$4)/100,"")</f>
        <v/>
      </c>
      <c r="F41" s="9">
        <f>IFERROR(BDP(A41,"CUST_TRR_RETURN_HOLDING_PER","CUST_TRR_START_DT",Settings!$C$6,"CUST_TRR_END_DT",Settings!$C$4)/100,"")</f>
        <v/>
      </c>
      <c r="G41" s="9">
        <f>IFERROR(BDP(A41,"CUST_TRR_RETURN_HOLDING_PER","CUST_TRR_START_DT",Settings!$C$7,"CUST_TRR_END_DT",Settings!$C$4)/100,"")</f>
        <v/>
      </c>
      <c r="H41" s="9">
        <f>IFERROR(BDP(A41,"CUST_TRR_RETURN_HOLDING_PER","CUST_TRR_START_DT",Settings!$C$8,"CUST_TRR_END_DT",Settings!$C$4)/100,"")</f>
        <v/>
      </c>
      <c r="I41" s="9">
        <f>IFERROR(BDP(A41,"PX_LAST")/BDH(A41,"PX_LAST",Settings!$C$5,Settings!$C$5)-1,"")</f>
        <v/>
      </c>
      <c r="J41" s="9">
        <f>IFERROR(BDP(A41,"PX_LAST")/BDH(A41,"PX_LAST",Settings!$C$6,Settings!$C$6)-1,"")</f>
        <v/>
      </c>
      <c r="K41" s="9">
        <f>IFERROR(BDP(A41,"PX_LAST")/BDH(A41,"PX_LAST",Settings!$C$7,Settings!$C$7)-1,"")</f>
        <v/>
      </c>
      <c r="L41" s="9">
        <f>IFERROR(BDP(A41,"PX_LAST")/BDH(A41,"PX_LAST",Settings!$C$8,Settings!$C$8)-1,"")</f>
        <v/>
      </c>
    </row>
    <row r="42">
      <c r="A42" s="7" t="inlineStr">
        <is>
          <t>IBEX Index</t>
        </is>
      </c>
      <c r="B42" t="inlineStr">
        <is>
          <t>IBEX 35 (Spain)</t>
        </is>
      </c>
      <c r="C42" t="inlineStr">
        <is>
          <t>DM Country</t>
        </is>
      </c>
      <c r="D42" s="8">
        <f>IFERROR(BDP(A42,"PX_LAST"),"")</f>
        <v/>
      </c>
      <c r="E42" s="9">
        <f>IFERROR(BDP(A42,"CUST_TRR_RETURN_HOLDING_PER","CUST_TRR_START_DT",Settings!$C$5,"CUST_TRR_END_DT",Settings!$C$4)/100,"")</f>
        <v/>
      </c>
      <c r="F42" s="9">
        <f>IFERROR(BDP(A42,"CUST_TRR_RETURN_HOLDING_PER","CUST_TRR_START_DT",Settings!$C$6,"CUST_TRR_END_DT",Settings!$C$4)/100,"")</f>
        <v/>
      </c>
      <c r="G42" s="9">
        <f>IFERROR(BDP(A42,"CUST_TRR_RETURN_HOLDING_PER","CUST_TRR_START_DT",Settings!$C$7,"CUST_TRR_END_DT",Settings!$C$4)/100,"")</f>
        <v/>
      </c>
      <c r="H42" s="9">
        <f>IFERROR(BDP(A42,"CUST_TRR_RETURN_HOLDING_PER","CUST_TRR_START_DT",Settings!$C$8,"CUST_TRR_END_DT",Settings!$C$4)/100,"")</f>
        <v/>
      </c>
      <c r="I42" s="9">
        <f>IFERROR(BDP(A42,"PX_LAST")/BDH(A42,"PX_LAST",Settings!$C$5,Settings!$C$5)-1,"")</f>
        <v/>
      </c>
      <c r="J42" s="9">
        <f>IFERROR(BDP(A42,"PX_LAST")/BDH(A42,"PX_LAST",Settings!$C$6,Settings!$C$6)-1,"")</f>
        <v/>
      </c>
      <c r="K42" s="9">
        <f>IFERROR(BDP(A42,"PX_LAST")/BDH(A42,"PX_LAST",Settings!$C$7,Settings!$C$7)-1,"")</f>
        <v/>
      </c>
      <c r="L42" s="9">
        <f>IFERROR(BDP(A42,"PX_LAST")/BDH(A42,"PX_LAST",Settings!$C$8,Settings!$C$8)-1,"")</f>
        <v/>
      </c>
    </row>
    <row r="43">
      <c r="A43" s="7" t="inlineStr">
        <is>
          <t>FTSEMIB Index</t>
        </is>
      </c>
      <c r="B43" t="inlineStr">
        <is>
          <t>FTSE MIB (Italy)</t>
        </is>
      </c>
      <c r="C43" t="inlineStr">
        <is>
          <t>DM Country</t>
        </is>
      </c>
      <c r="D43" s="8">
        <f>IFERROR(BDP(A43,"PX_LAST"),"")</f>
        <v/>
      </c>
      <c r="E43" s="9">
        <f>IFERROR(BDP(A43,"CUST_TRR_RETURN_HOLDING_PER","CUST_TRR_START_DT",Settings!$C$5,"CUST_TRR_END_DT",Settings!$C$4)/100,"")</f>
        <v/>
      </c>
      <c r="F43" s="9">
        <f>IFERROR(BDP(A43,"CUST_TRR_RETURN_HOLDING_PER","CUST_TRR_START_DT",Settings!$C$6,"CUST_TRR_END_DT",Settings!$C$4)/100,"")</f>
        <v/>
      </c>
      <c r="G43" s="9">
        <f>IFERROR(BDP(A43,"CUST_TRR_RETURN_HOLDING_PER","CUST_TRR_START_DT",Settings!$C$7,"CUST_TRR_END_DT",Settings!$C$4)/100,"")</f>
        <v/>
      </c>
      <c r="H43" s="9">
        <f>IFERROR(BDP(A43,"CUST_TRR_RETURN_HOLDING_PER","CUST_TRR_START_DT",Settings!$C$8,"CUST_TRR_END_DT",Settings!$C$4)/100,"")</f>
        <v/>
      </c>
      <c r="I43" s="9">
        <f>IFERROR(BDP(A43,"PX_LAST")/BDH(A43,"PX_LAST",Settings!$C$5,Settings!$C$5)-1,"")</f>
        <v/>
      </c>
      <c r="J43" s="9">
        <f>IFERROR(BDP(A43,"PX_LAST")/BDH(A43,"PX_LAST",Settings!$C$6,Settings!$C$6)-1,"")</f>
        <v/>
      </c>
      <c r="K43" s="9">
        <f>IFERROR(BDP(A43,"PX_LAST")/BDH(A43,"PX_LAST",Settings!$C$7,Settings!$C$7)-1,"")</f>
        <v/>
      </c>
      <c r="L43" s="9">
        <f>IFERROR(BDP(A43,"PX_LAST")/BDH(A43,"PX_LAST",Settings!$C$8,Settings!$C$8)-1,"")</f>
        <v/>
      </c>
    </row>
    <row r="44">
      <c r="A44" s="7" t="inlineStr">
        <is>
          <t>AEX Index</t>
        </is>
      </c>
      <c r="B44" t="inlineStr">
        <is>
          <t>AEX (Netherlands)</t>
        </is>
      </c>
      <c r="C44" t="inlineStr">
        <is>
          <t>DM Country</t>
        </is>
      </c>
      <c r="D44" s="8">
        <f>IFERROR(BDP(A44,"PX_LAST"),"")</f>
        <v/>
      </c>
      <c r="E44" s="9">
        <f>IFERROR(BDP(A44,"CUST_TRR_RETURN_HOLDING_PER","CUST_TRR_START_DT",Settings!$C$5,"CUST_TRR_END_DT",Settings!$C$4)/100,"")</f>
        <v/>
      </c>
      <c r="F44" s="9">
        <f>IFERROR(BDP(A44,"CUST_TRR_RETURN_HOLDING_PER","CUST_TRR_START_DT",Settings!$C$6,"CUST_TRR_END_DT",Settings!$C$4)/100,"")</f>
        <v/>
      </c>
      <c r="G44" s="9">
        <f>IFERROR(BDP(A44,"CUST_TRR_RETURN_HOLDING_PER","CUST_TRR_START_DT",Settings!$C$7,"CUST_TRR_END_DT",Settings!$C$4)/100,"")</f>
        <v/>
      </c>
      <c r="H44" s="9">
        <f>IFERROR(BDP(A44,"CUST_TRR_RETURN_HOLDING_PER","CUST_TRR_START_DT",Settings!$C$8,"CUST_TRR_END_DT",Settings!$C$4)/100,"")</f>
        <v/>
      </c>
      <c r="I44" s="9">
        <f>IFERROR(BDP(A44,"PX_LAST")/BDH(A44,"PX_LAST",Settings!$C$5,Settings!$C$5)-1,"")</f>
        <v/>
      </c>
      <c r="J44" s="9">
        <f>IFERROR(BDP(A44,"PX_LAST")/BDH(A44,"PX_LAST",Settings!$C$6,Settings!$C$6)-1,"")</f>
        <v/>
      </c>
      <c r="K44" s="9">
        <f>IFERROR(BDP(A44,"PX_LAST")/BDH(A44,"PX_LAST",Settings!$C$7,Settings!$C$7)-1,"")</f>
        <v/>
      </c>
      <c r="L44" s="9">
        <f>IFERROR(BDP(A44,"PX_LAST")/BDH(A44,"PX_LAST",Settings!$C$8,Settings!$C$8)-1,"")</f>
        <v/>
      </c>
    </row>
    <row r="45">
      <c r="A45" s="7" t="inlineStr">
        <is>
          <t>OMX Index</t>
        </is>
      </c>
      <c r="B45" t="inlineStr">
        <is>
          <t>OMX Stockholm 30</t>
        </is>
      </c>
      <c r="C45" t="inlineStr">
        <is>
          <t>DM Country</t>
        </is>
      </c>
      <c r="D45" s="8">
        <f>IFERROR(BDP(A45,"PX_LAST"),"")</f>
        <v/>
      </c>
      <c r="E45" s="9">
        <f>IFERROR(BDP(A45,"CUST_TRR_RETURN_HOLDING_PER","CUST_TRR_START_DT",Settings!$C$5,"CUST_TRR_END_DT",Settings!$C$4)/100,"")</f>
        <v/>
      </c>
      <c r="F45" s="9">
        <f>IFERROR(BDP(A45,"CUST_TRR_RETURN_HOLDING_PER","CUST_TRR_START_DT",Settings!$C$6,"CUST_TRR_END_DT",Settings!$C$4)/100,"")</f>
        <v/>
      </c>
      <c r="G45" s="9">
        <f>IFERROR(BDP(A45,"CUST_TRR_RETURN_HOLDING_PER","CUST_TRR_START_DT",Settings!$C$7,"CUST_TRR_END_DT",Settings!$C$4)/100,"")</f>
        <v/>
      </c>
      <c r="H45" s="9">
        <f>IFERROR(BDP(A45,"CUST_TRR_RETURN_HOLDING_PER","CUST_TRR_START_DT",Settings!$C$8,"CUST_TRR_END_DT",Settings!$C$4)/100,"")</f>
        <v/>
      </c>
      <c r="I45" s="9">
        <f>IFERROR(BDP(A45,"PX_LAST")/BDH(A45,"PX_LAST",Settings!$C$5,Settings!$C$5)-1,"")</f>
        <v/>
      </c>
      <c r="J45" s="9">
        <f>IFERROR(BDP(A45,"PX_LAST")/BDH(A45,"PX_LAST",Settings!$C$6,Settings!$C$6)-1,"")</f>
        <v/>
      </c>
      <c r="K45" s="9">
        <f>IFERROR(BDP(A45,"PX_LAST")/BDH(A45,"PX_LAST",Settings!$C$7,Settings!$C$7)-1,"")</f>
        <v/>
      </c>
      <c r="L45" s="9">
        <f>IFERROR(BDP(A45,"PX_LAST")/BDH(A45,"PX_LAST",Settings!$C$8,Settings!$C$8)-1,"")</f>
        <v/>
      </c>
    </row>
    <row r="46">
      <c r="A46" s="7" t="inlineStr">
        <is>
          <t>SMI Index</t>
        </is>
      </c>
      <c r="B46" t="inlineStr">
        <is>
          <t>Swiss Market Index</t>
        </is>
      </c>
      <c r="C46" t="inlineStr">
        <is>
          <t>DM Country</t>
        </is>
      </c>
      <c r="D46" s="8">
        <f>IFERROR(BDP(A46,"PX_LAST"),"")</f>
        <v/>
      </c>
      <c r="E46" s="9">
        <f>IFERROR(BDP(A46,"CUST_TRR_RETURN_HOLDING_PER","CUST_TRR_START_DT",Settings!$C$5,"CUST_TRR_END_DT",Settings!$C$4)/100,"")</f>
        <v/>
      </c>
      <c r="F46" s="9">
        <f>IFERROR(BDP(A46,"CUST_TRR_RETURN_HOLDING_PER","CUST_TRR_START_DT",Settings!$C$6,"CUST_TRR_END_DT",Settings!$C$4)/100,"")</f>
        <v/>
      </c>
      <c r="G46" s="9">
        <f>IFERROR(BDP(A46,"CUST_TRR_RETURN_HOLDING_PER","CUST_TRR_START_DT",Settings!$C$7,"CUST_TRR_END_DT",Settings!$C$4)/100,"")</f>
        <v/>
      </c>
      <c r="H46" s="9">
        <f>IFERROR(BDP(A46,"CUST_TRR_RETURN_HOLDING_PER","CUST_TRR_START_DT",Settings!$C$8,"CUST_TRR_END_DT",Settings!$C$4)/100,"")</f>
        <v/>
      </c>
      <c r="I46" s="9">
        <f>IFERROR(BDP(A46,"PX_LAST")/BDH(A46,"PX_LAST",Settings!$C$5,Settings!$C$5)-1,"")</f>
        <v/>
      </c>
      <c r="J46" s="9">
        <f>IFERROR(BDP(A46,"PX_LAST")/BDH(A46,"PX_LAST",Settings!$C$6,Settings!$C$6)-1,"")</f>
        <v/>
      </c>
      <c r="K46" s="9">
        <f>IFERROR(BDP(A46,"PX_LAST")/BDH(A46,"PX_LAST",Settings!$C$7,Settings!$C$7)-1,"")</f>
        <v/>
      </c>
      <c r="L46" s="9">
        <f>IFERROR(BDP(A46,"PX_LAST")/BDH(A46,"PX_LAST",Settings!$C$8,Settings!$C$8)-1,"")</f>
        <v/>
      </c>
    </row>
    <row r="47">
      <c r="A47" s="7" t="inlineStr">
        <is>
          <t>BEL20 Index</t>
        </is>
      </c>
      <c r="B47" t="inlineStr">
        <is>
          <t>BEL 20 (Belgium)</t>
        </is>
      </c>
      <c r="C47" t="inlineStr">
        <is>
          <t>DM Country</t>
        </is>
      </c>
      <c r="D47" s="8">
        <f>IFERROR(BDP(A47,"PX_LAST"),"")</f>
        <v/>
      </c>
      <c r="E47" s="9">
        <f>IFERROR(BDP(A47,"CUST_TRR_RETURN_HOLDING_PER","CUST_TRR_START_DT",Settings!$C$5,"CUST_TRR_END_DT",Settings!$C$4)/100,"")</f>
        <v/>
      </c>
      <c r="F47" s="9">
        <f>IFERROR(BDP(A47,"CUST_TRR_RETURN_HOLDING_PER","CUST_TRR_START_DT",Settings!$C$6,"CUST_TRR_END_DT",Settings!$C$4)/100,"")</f>
        <v/>
      </c>
      <c r="G47" s="9">
        <f>IFERROR(BDP(A47,"CUST_TRR_RETURN_HOLDING_PER","CUST_TRR_START_DT",Settings!$C$7,"CUST_TRR_END_DT",Settings!$C$4)/100,"")</f>
        <v/>
      </c>
      <c r="H47" s="9">
        <f>IFERROR(BDP(A47,"CUST_TRR_RETURN_HOLDING_PER","CUST_TRR_START_DT",Settings!$C$8,"CUST_TRR_END_DT",Settings!$C$4)/100,"")</f>
        <v/>
      </c>
      <c r="I47" s="9">
        <f>IFERROR(BDP(A47,"PX_LAST")/BDH(A47,"PX_LAST",Settings!$C$5,Settings!$C$5)-1,"")</f>
        <v/>
      </c>
      <c r="J47" s="9">
        <f>IFERROR(BDP(A47,"PX_LAST")/BDH(A47,"PX_LAST",Settings!$C$6,Settings!$C$6)-1,"")</f>
        <v/>
      </c>
      <c r="K47" s="9">
        <f>IFERROR(BDP(A47,"PX_LAST")/BDH(A47,"PX_LAST",Settings!$C$7,Settings!$C$7)-1,"")</f>
        <v/>
      </c>
      <c r="L47" s="9">
        <f>IFERROR(BDP(A47,"PX_LAST")/BDH(A47,"PX_LAST",Settings!$C$8,Settings!$C$8)-1,"")</f>
        <v/>
      </c>
    </row>
    <row r="48">
      <c r="A48" s="7" t="inlineStr">
        <is>
          <t>ATX Index</t>
        </is>
      </c>
      <c r="B48" t="inlineStr">
        <is>
          <t>ATX (Austria)</t>
        </is>
      </c>
      <c r="C48" t="inlineStr">
        <is>
          <t>DM Country</t>
        </is>
      </c>
      <c r="D48" s="8">
        <f>IFERROR(BDP(A48,"PX_LAST"),"")</f>
        <v/>
      </c>
      <c r="E48" s="9">
        <f>IFERROR(BDP(A48,"CUST_TRR_RETURN_HOLDING_PER","CUST_TRR_START_DT",Settings!$C$5,"CUST_TRR_END_DT",Settings!$C$4)/100,"")</f>
        <v/>
      </c>
      <c r="F48" s="9">
        <f>IFERROR(BDP(A48,"CUST_TRR_RETURN_HOLDING_PER","CUST_TRR_START_DT",Settings!$C$6,"CUST_TRR_END_DT",Settings!$C$4)/100,"")</f>
        <v/>
      </c>
      <c r="G48" s="9">
        <f>IFERROR(BDP(A48,"CUST_TRR_RETURN_HOLDING_PER","CUST_TRR_START_DT",Settings!$C$7,"CUST_TRR_END_DT",Settings!$C$4)/100,"")</f>
        <v/>
      </c>
      <c r="H48" s="9">
        <f>IFERROR(BDP(A48,"CUST_TRR_RETURN_HOLDING_PER","CUST_TRR_START_DT",Settings!$C$8,"CUST_TRR_END_DT",Settings!$C$4)/100,"")</f>
        <v/>
      </c>
      <c r="I48" s="9">
        <f>IFERROR(BDP(A48,"PX_LAST")/BDH(A48,"PX_LAST",Settings!$C$5,Settings!$C$5)-1,"")</f>
        <v/>
      </c>
      <c r="J48" s="9">
        <f>IFERROR(BDP(A48,"PX_LAST")/BDH(A48,"PX_LAST",Settings!$C$6,Settings!$C$6)-1,"")</f>
        <v/>
      </c>
      <c r="K48" s="9">
        <f>IFERROR(BDP(A48,"PX_LAST")/BDH(A48,"PX_LAST",Settings!$C$7,Settings!$C$7)-1,"")</f>
        <v/>
      </c>
      <c r="L48" s="9">
        <f>IFERROR(BDP(A48,"PX_LAST")/BDH(A48,"PX_LAST",Settings!$C$8,Settings!$C$8)-1,"")</f>
        <v/>
      </c>
    </row>
    <row r="49">
      <c r="A49" s="7" t="inlineStr">
        <is>
          <t>NKY Index</t>
        </is>
      </c>
      <c r="B49" t="inlineStr">
        <is>
          <t>Nikkei 225 (Japan)</t>
        </is>
      </c>
      <c r="C49" t="inlineStr">
        <is>
          <t>DM Country</t>
        </is>
      </c>
      <c r="D49" s="8">
        <f>IFERROR(BDP(A49,"PX_LAST"),"")</f>
        <v/>
      </c>
      <c r="E49" s="9">
        <f>IFERROR(BDP(A49,"CUST_TRR_RETURN_HOLDING_PER","CUST_TRR_START_DT",Settings!$C$5,"CUST_TRR_END_DT",Settings!$C$4)/100,"")</f>
        <v/>
      </c>
      <c r="F49" s="9">
        <f>IFERROR(BDP(A49,"CUST_TRR_RETURN_HOLDING_PER","CUST_TRR_START_DT",Settings!$C$6,"CUST_TRR_END_DT",Settings!$C$4)/100,"")</f>
        <v/>
      </c>
      <c r="G49" s="9">
        <f>IFERROR(BDP(A49,"CUST_TRR_RETURN_HOLDING_PER","CUST_TRR_START_DT",Settings!$C$7,"CUST_TRR_END_DT",Settings!$C$4)/100,"")</f>
        <v/>
      </c>
      <c r="H49" s="9">
        <f>IFERROR(BDP(A49,"CUST_TRR_RETURN_HOLDING_PER","CUST_TRR_START_DT",Settings!$C$8,"CUST_TRR_END_DT",Settings!$C$4)/100,"")</f>
        <v/>
      </c>
      <c r="I49" s="9">
        <f>IFERROR(BDP(A49,"PX_LAST")/BDH(A49,"PX_LAST",Settings!$C$5,Settings!$C$5)-1,"")</f>
        <v/>
      </c>
      <c r="J49" s="9">
        <f>IFERROR(BDP(A49,"PX_LAST")/BDH(A49,"PX_LAST",Settings!$C$6,Settings!$C$6)-1,"")</f>
        <v/>
      </c>
      <c r="K49" s="9">
        <f>IFERROR(BDP(A49,"PX_LAST")/BDH(A49,"PX_LAST",Settings!$C$7,Settings!$C$7)-1,"")</f>
        <v/>
      </c>
      <c r="L49" s="9">
        <f>IFERROR(BDP(A49,"PX_LAST")/BDH(A49,"PX_LAST",Settings!$C$8,Settings!$C$8)-1,"")</f>
        <v/>
      </c>
    </row>
    <row r="50">
      <c r="A50" s="7" t="inlineStr">
        <is>
          <t>TPX Index</t>
        </is>
      </c>
      <c r="B50" t="inlineStr">
        <is>
          <t>TOPIX (Japan)</t>
        </is>
      </c>
      <c r="C50" t="inlineStr">
        <is>
          <t>DM Country</t>
        </is>
      </c>
      <c r="D50" s="8">
        <f>IFERROR(BDP(A50,"PX_LAST"),"")</f>
        <v/>
      </c>
      <c r="E50" s="9">
        <f>IFERROR(BDP(A50,"CUST_TRR_RETURN_HOLDING_PER","CUST_TRR_START_DT",Settings!$C$5,"CUST_TRR_END_DT",Settings!$C$4)/100,"")</f>
        <v/>
      </c>
      <c r="F50" s="9">
        <f>IFERROR(BDP(A50,"CUST_TRR_RETURN_HOLDING_PER","CUST_TRR_START_DT",Settings!$C$6,"CUST_TRR_END_DT",Settings!$C$4)/100,"")</f>
        <v/>
      </c>
      <c r="G50" s="9">
        <f>IFERROR(BDP(A50,"CUST_TRR_RETURN_HOLDING_PER","CUST_TRR_START_DT",Settings!$C$7,"CUST_TRR_END_DT",Settings!$C$4)/100,"")</f>
        <v/>
      </c>
      <c r="H50" s="9">
        <f>IFERROR(BDP(A50,"CUST_TRR_RETURN_HOLDING_PER","CUST_TRR_START_DT",Settings!$C$8,"CUST_TRR_END_DT",Settings!$C$4)/100,"")</f>
        <v/>
      </c>
      <c r="I50" s="9">
        <f>IFERROR(BDP(A50,"PX_LAST")/BDH(A50,"PX_LAST",Settings!$C$5,Settings!$C$5)-1,"")</f>
        <v/>
      </c>
      <c r="J50" s="9">
        <f>IFERROR(BDP(A50,"PX_LAST")/BDH(A50,"PX_LAST",Settings!$C$6,Settings!$C$6)-1,"")</f>
        <v/>
      </c>
      <c r="K50" s="9">
        <f>IFERROR(BDP(A50,"PX_LAST")/BDH(A50,"PX_LAST",Settings!$C$7,Settings!$C$7)-1,"")</f>
        <v/>
      </c>
      <c r="L50" s="9">
        <f>IFERROR(BDP(A50,"PX_LAST")/BDH(A50,"PX_LAST",Settings!$C$8,Settings!$C$8)-1,"")</f>
        <v/>
      </c>
    </row>
    <row r="51">
      <c r="A51" s="7" t="inlineStr">
        <is>
          <t>HSI Index</t>
        </is>
      </c>
      <c r="B51" t="inlineStr">
        <is>
          <t>Hang Seng (HK)</t>
        </is>
      </c>
      <c r="C51" t="inlineStr">
        <is>
          <t>DM Country</t>
        </is>
      </c>
      <c r="D51" s="8">
        <f>IFERROR(BDP(A51,"PX_LAST"),"")</f>
        <v/>
      </c>
      <c r="E51" s="9">
        <f>IFERROR(BDP(A51,"CUST_TRR_RETURN_HOLDING_PER","CUST_TRR_START_DT",Settings!$C$5,"CUST_TRR_END_DT",Settings!$C$4)/100,"")</f>
        <v/>
      </c>
      <c r="F51" s="9">
        <f>IFERROR(BDP(A51,"CUST_TRR_RETURN_HOLDING_PER","CUST_TRR_START_DT",Settings!$C$6,"CUST_TRR_END_DT",Settings!$C$4)/100,"")</f>
        <v/>
      </c>
      <c r="G51" s="9">
        <f>IFERROR(BDP(A51,"CUST_TRR_RETURN_HOLDING_PER","CUST_TRR_START_DT",Settings!$C$7,"CUST_TRR_END_DT",Settings!$C$4)/100,"")</f>
        <v/>
      </c>
      <c r="H51" s="9">
        <f>IFERROR(BDP(A51,"CUST_TRR_RETURN_HOLDING_PER","CUST_TRR_START_DT",Settings!$C$8,"CUST_TRR_END_DT",Settings!$C$4)/100,"")</f>
        <v/>
      </c>
      <c r="I51" s="9">
        <f>IFERROR(BDP(A51,"PX_LAST")/BDH(A51,"PX_LAST",Settings!$C$5,Settings!$C$5)-1,"")</f>
        <v/>
      </c>
      <c r="J51" s="9">
        <f>IFERROR(BDP(A51,"PX_LAST")/BDH(A51,"PX_LAST",Settings!$C$6,Settings!$C$6)-1,"")</f>
        <v/>
      </c>
      <c r="K51" s="9">
        <f>IFERROR(BDP(A51,"PX_LAST")/BDH(A51,"PX_LAST",Settings!$C$7,Settings!$C$7)-1,"")</f>
        <v/>
      </c>
      <c r="L51" s="9">
        <f>IFERROR(BDP(A51,"PX_LAST")/BDH(A51,"PX_LAST",Settings!$C$8,Settings!$C$8)-1,"")</f>
        <v/>
      </c>
    </row>
    <row r="52">
      <c r="A52" s="7" t="inlineStr">
        <is>
          <t>AS51 Index</t>
        </is>
      </c>
      <c r="B52" t="inlineStr">
        <is>
          <t>S&amp;P/ASX 200 (Australia)</t>
        </is>
      </c>
      <c r="C52" t="inlineStr">
        <is>
          <t>DM Country</t>
        </is>
      </c>
      <c r="D52" s="8">
        <f>IFERROR(BDP(A52,"PX_LAST"),"")</f>
        <v/>
      </c>
      <c r="E52" s="9">
        <f>IFERROR(BDP(A52,"CUST_TRR_RETURN_HOLDING_PER","CUST_TRR_START_DT",Settings!$C$5,"CUST_TRR_END_DT",Settings!$C$4)/100,"")</f>
        <v/>
      </c>
      <c r="F52" s="9">
        <f>IFERROR(BDP(A52,"CUST_TRR_RETURN_HOLDING_PER","CUST_TRR_START_DT",Settings!$C$6,"CUST_TRR_END_DT",Settings!$C$4)/100,"")</f>
        <v/>
      </c>
      <c r="G52" s="9">
        <f>IFERROR(BDP(A52,"CUST_TRR_RETURN_HOLDING_PER","CUST_TRR_START_DT",Settings!$C$7,"CUST_TRR_END_DT",Settings!$C$4)/100,"")</f>
        <v/>
      </c>
      <c r="H52" s="9">
        <f>IFERROR(BDP(A52,"CUST_TRR_RETURN_HOLDING_PER","CUST_TRR_START_DT",Settings!$C$8,"CUST_TRR_END_DT",Settings!$C$4)/100,"")</f>
        <v/>
      </c>
      <c r="I52" s="9">
        <f>IFERROR(BDP(A52,"PX_LAST")/BDH(A52,"PX_LAST",Settings!$C$5,Settings!$C$5)-1,"")</f>
        <v/>
      </c>
      <c r="J52" s="9">
        <f>IFERROR(BDP(A52,"PX_LAST")/BDH(A52,"PX_LAST",Settings!$C$6,Settings!$C$6)-1,"")</f>
        <v/>
      </c>
      <c r="K52" s="9">
        <f>IFERROR(BDP(A52,"PX_LAST")/BDH(A52,"PX_LAST",Settings!$C$7,Settings!$C$7)-1,"")</f>
        <v/>
      </c>
      <c r="L52" s="9">
        <f>IFERROR(BDP(A52,"PX_LAST")/BDH(A52,"PX_LAST",Settings!$C$8,Settings!$C$8)-1,"")</f>
        <v/>
      </c>
    </row>
    <row r="53">
      <c r="A53" s="7" t="inlineStr">
        <is>
          <t>NZX 50 Index</t>
        </is>
      </c>
      <c r="B53" t="inlineStr">
        <is>
          <t>NZX 50 (New Zealand)</t>
        </is>
      </c>
      <c r="C53" t="inlineStr">
        <is>
          <t>DM Country</t>
        </is>
      </c>
      <c r="D53" s="8">
        <f>IFERROR(BDP(A53,"PX_LAST"),"")</f>
        <v/>
      </c>
      <c r="E53" s="9">
        <f>IFERROR(BDP(A53,"CUST_TRR_RETURN_HOLDING_PER","CUST_TRR_START_DT",Settings!$C$5,"CUST_TRR_END_DT",Settings!$C$4)/100,"")</f>
        <v/>
      </c>
      <c r="F53" s="9">
        <f>IFERROR(BDP(A53,"CUST_TRR_RETURN_HOLDING_PER","CUST_TRR_START_DT",Settings!$C$6,"CUST_TRR_END_DT",Settings!$C$4)/100,"")</f>
        <v/>
      </c>
      <c r="G53" s="9">
        <f>IFERROR(BDP(A53,"CUST_TRR_RETURN_HOLDING_PER","CUST_TRR_START_DT",Settings!$C$7,"CUST_TRR_END_DT",Settings!$C$4)/100,"")</f>
        <v/>
      </c>
      <c r="H53" s="9">
        <f>IFERROR(BDP(A53,"CUST_TRR_RETURN_HOLDING_PER","CUST_TRR_START_DT",Settings!$C$8,"CUST_TRR_END_DT",Settings!$C$4)/100,"")</f>
        <v/>
      </c>
      <c r="I53" s="9">
        <f>IFERROR(BDP(A53,"PX_LAST")/BDH(A53,"PX_LAST",Settings!$C$5,Settings!$C$5)-1,"")</f>
        <v/>
      </c>
      <c r="J53" s="9">
        <f>IFERROR(BDP(A53,"PX_LAST")/BDH(A53,"PX_LAST",Settings!$C$6,Settings!$C$6)-1,"")</f>
        <v/>
      </c>
      <c r="K53" s="9">
        <f>IFERROR(BDP(A53,"PX_LAST")/BDH(A53,"PX_LAST",Settings!$C$7,Settings!$C$7)-1,"")</f>
        <v/>
      </c>
      <c r="L53" s="9">
        <f>IFERROR(BDP(A53,"PX_LAST")/BDH(A53,"PX_LAST",Settings!$C$8,Settings!$C$8)-1,"")</f>
        <v/>
      </c>
    </row>
    <row r="54">
      <c r="A54" s="6" t="inlineStr">
        <is>
          <t>EM Country (MSCI)</t>
        </is>
      </c>
    </row>
    <row r="55">
      <c r="A55" s="7" t="inlineStr">
        <is>
          <t>MXBR Index</t>
        </is>
      </c>
      <c r="B55" t="inlineStr">
        <is>
          <t>MSCI Brazil (USD)</t>
        </is>
      </c>
      <c r="C55" t="inlineStr">
        <is>
          <t>EM Country (MSCI)</t>
        </is>
      </c>
      <c r="D55" s="8">
        <f>IFERROR(BDP(A55,"PX_LAST"),"")</f>
        <v/>
      </c>
      <c r="E55" s="9">
        <f>IFERROR(BDP(A55,"CUST_TRR_RETURN_HOLDING_PER","CUST_TRR_START_DT",Settings!$C$5,"CUST_TRR_END_DT",Settings!$C$4)/100,"")</f>
        <v/>
      </c>
      <c r="F55" s="9">
        <f>IFERROR(BDP(A55,"CUST_TRR_RETURN_HOLDING_PER","CUST_TRR_START_DT",Settings!$C$6,"CUST_TRR_END_DT",Settings!$C$4)/100,"")</f>
        <v/>
      </c>
      <c r="G55" s="9">
        <f>IFERROR(BDP(A55,"CUST_TRR_RETURN_HOLDING_PER","CUST_TRR_START_DT",Settings!$C$7,"CUST_TRR_END_DT",Settings!$C$4)/100,"")</f>
        <v/>
      </c>
      <c r="H55" s="9">
        <f>IFERROR(BDP(A55,"CUST_TRR_RETURN_HOLDING_PER","CUST_TRR_START_DT",Settings!$C$8,"CUST_TRR_END_DT",Settings!$C$4)/100,"")</f>
        <v/>
      </c>
      <c r="I55" s="9">
        <f>IFERROR(BDP(A55,"PX_LAST")/BDH(A55,"PX_LAST",Settings!$C$5,Settings!$C$5)-1,"")</f>
        <v/>
      </c>
      <c r="J55" s="9">
        <f>IFERROR(BDP(A55,"PX_LAST")/BDH(A55,"PX_LAST",Settings!$C$6,Settings!$C$6)-1,"")</f>
        <v/>
      </c>
      <c r="K55" s="9">
        <f>IFERROR(BDP(A55,"PX_LAST")/BDH(A55,"PX_LAST",Settings!$C$7,Settings!$C$7)-1,"")</f>
        <v/>
      </c>
      <c r="L55" s="9">
        <f>IFERROR(BDP(A55,"PX_LAST")/BDH(A55,"PX_LAST",Settings!$C$8,Settings!$C$8)-1,"")</f>
        <v/>
      </c>
    </row>
    <row r="56">
      <c r="A56" s="7" t="inlineStr">
        <is>
          <t>MXMX Index</t>
        </is>
      </c>
      <c r="B56" t="inlineStr">
        <is>
          <t>MSCI Mexico (USD)</t>
        </is>
      </c>
      <c r="C56" t="inlineStr">
        <is>
          <t>EM Country (MSCI)</t>
        </is>
      </c>
      <c r="D56" s="8">
        <f>IFERROR(BDP(A56,"PX_LAST"),"")</f>
        <v/>
      </c>
      <c r="E56" s="9">
        <f>IFERROR(BDP(A56,"CUST_TRR_RETURN_HOLDING_PER","CUST_TRR_START_DT",Settings!$C$5,"CUST_TRR_END_DT",Settings!$C$4)/100,"")</f>
        <v/>
      </c>
      <c r="F56" s="9">
        <f>IFERROR(BDP(A56,"CUST_TRR_RETURN_HOLDING_PER","CUST_TRR_START_DT",Settings!$C$6,"CUST_TRR_END_DT",Settings!$C$4)/100,"")</f>
        <v/>
      </c>
      <c r="G56" s="9">
        <f>IFERROR(BDP(A56,"CUST_TRR_RETURN_HOLDING_PER","CUST_TRR_START_DT",Settings!$C$7,"CUST_TRR_END_DT",Settings!$C$4)/100,"")</f>
        <v/>
      </c>
      <c r="H56" s="9">
        <f>IFERROR(BDP(A56,"CUST_TRR_RETURN_HOLDING_PER","CUST_TRR_START_DT",Settings!$C$8,"CUST_TRR_END_DT",Settings!$C$4)/100,"")</f>
        <v/>
      </c>
      <c r="I56" s="9">
        <f>IFERROR(BDP(A56,"PX_LAST")/BDH(A56,"PX_LAST",Settings!$C$5,Settings!$C$5)-1,"")</f>
        <v/>
      </c>
      <c r="J56" s="9">
        <f>IFERROR(BDP(A56,"PX_LAST")/BDH(A56,"PX_LAST",Settings!$C$6,Settings!$C$6)-1,"")</f>
        <v/>
      </c>
      <c r="K56" s="9">
        <f>IFERROR(BDP(A56,"PX_LAST")/BDH(A56,"PX_LAST",Settings!$C$7,Settings!$C$7)-1,"")</f>
        <v/>
      </c>
      <c r="L56" s="9">
        <f>IFERROR(BDP(A56,"PX_LAST")/BDH(A56,"PX_LAST",Settings!$C$8,Settings!$C$8)-1,"")</f>
        <v/>
      </c>
    </row>
    <row r="57">
      <c r="A57" s="7" t="inlineStr">
        <is>
          <t>MXCL Index</t>
        </is>
      </c>
      <c r="B57" t="inlineStr">
        <is>
          <t>MSCI Chile (USD)</t>
        </is>
      </c>
      <c r="C57" t="inlineStr">
        <is>
          <t>EM Country (MSCI)</t>
        </is>
      </c>
      <c r="D57" s="8">
        <f>IFERROR(BDP(A57,"PX_LAST"),"")</f>
        <v/>
      </c>
      <c r="E57" s="9">
        <f>IFERROR(BDP(A57,"CUST_TRR_RETURN_HOLDING_PER","CUST_TRR_START_DT",Settings!$C$5,"CUST_TRR_END_DT",Settings!$C$4)/100,"")</f>
        <v/>
      </c>
      <c r="F57" s="9">
        <f>IFERROR(BDP(A57,"CUST_TRR_RETURN_HOLDING_PER","CUST_TRR_START_DT",Settings!$C$6,"CUST_TRR_END_DT",Settings!$C$4)/100,"")</f>
        <v/>
      </c>
      <c r="G57" s="9">
        <f>IFERROR(BDP(A57,"CUST_TRR_RETURN_HOLDING_PER","CUST_TRR_START_DT",Settings!$C$7,"CUST_TRR_END_DT",Settings!$C$4)/100,"")</f>
        <v/>
      </c>
      <c r="H57" s="9">
        <f>IFERROR(BDP(A57,"CUST_TRR_RETURN_HOLDING_PER","CUST_TRR_START_DT",Settings!$C$8,"CUST_TRR_END_DT",Settings!$C$4)/100,"")</f>
        <v/>
      </c>
      <c r="I57" s="9">
        <f>IFERROR(BDP(A57,"PX_LAST")/BDH(A57,"PX_LAST",Settings!$C$5,Settings!$C$5)-1,"")</f>
        <v/>
      </c>
      <c r="J57" s="9">
        <f>IFERROR(BDP(A57,"PX_LAST")/BDH(A57,"PX_LAST",Settings!$C$6,Settings!$C$6)-1,"")</f>
        <v/>
      </c>
      <c r="K57" s="9">
        <f>IFERROR(BDP(A57,"PX_LAST")/BDH(A57,"PX_LAST",Settings!$C$7,Settings!$C$7)-1,"")</f>
        <v/>
      </c>
      <c r="L57" s="9">
        <f>IFERROR(BDP(A57,"PX_LAST")/BDH(A57,"PX_LAST",Settings!$C$8,Settings!$C$8)-1,"")</f>
        <v/>
      </c>
    </row>
    <row r="58">
      <c r="A58" s="7" t="inlineStr">
        <is>
          <t>MXCO Index</t>
        </is>
      </c>
      <c r="B58" t="inlineStr">
        <is>
          <t>MSCI Colombia (USD)</t>
        </is>
      </c>
      <c r="C58" t="inlineStr">
        <is>
          <t>EM Country (MSCI)</t>
        </is>
      </c>
      <c r="D58" s="8">
        <f>IFERROR(BDP(A58,"PX_LAST"),"")</f>
        <v/>
      </c>
      <c r="E58" s="9">
        <f>IFERROR(BDP(A58,"CUST_TRR_RETURN_HOLDING_PER","CUST_TRR_START_DT",Settings!$C$5,"CUST_TRR_END_DT",Settings!$C$4)/100,"")</f>
        <v/>
      </c>
      <c r="F58" s="9">
        <f>IFERROR(BDP(A58,"CUST_TRR_RETURN_HOLDING_PER","CUST_TRR_START_DT",Settings!$C$6,"CUST_TRR_END_DT",Settings!$C$4)/100,"")</f>
        <v/>
      </c>
      <c r="G58" s="9">
        <f>IFERROR(BDP(A58,"CUST_TRR_RETURN_HOLDING_PER","CUST_TRR_START_DT",Settings!$C$7,"CUST_TRR_END_DT",Settings!$C$4)/100,"")</f>
        <v/>
      </c>
      <c r="H58" s="9">
        <f>IFERROR(BDP(A58,"CUST_TRR_RETURN_HOLDING_PER","CUST_TRR_START_DT",Settings!$C$8,"CUST_TRR_END_DT",Settings!$C$4)/100,"")</f>
        <v/>
      </c>
      <c r="I58" s="9">
        <f>IFERROR(BDP(A58,"PX_LAST")/BDH(A58,"PX_LAST",Settings!$C$5,Settings!$C$5)-1,"")</f>
        <v/>
      </c>
      <c r="J58" s="9">
        <f>IFERROR(BDP(A58,"PX_LAST")/BDH(A58,"PX_LAST",Settings!$C$6,Settings!$C$6)-1,"")</f>
        <v/>
      </c>
      <c r="K58" s="9">
        <f>IFERROR(BDP(A58,"PX_LAST")/BDH(A58,"PX_LAST",Settings!$C$7,Settings!$C$7)-1,"")</f>
        <v/>
      </c>
      <c r="L58" s="9">
        <f>IFERROR(BDP(A58,"PX_LAST")/BDH(A58,"PX_LAST",Settings!$C$8,Settings!$C$8)-1,"")</f>
        <v/>
      </c>
    </row>
    <row r="59">
      <c r="A59" s="7" t="inlineStr">
        <is>
          <t>MXPE Index</t>
        </is>
      </c>
      <c r="B59" t="inlineStr">
        <is>
          <t>MSCI Peru (USD)</t>
        </is>
      </c>
      <c r="C59" t="inlineStr">
        <is>
          <t>EM Country (MSCI)</t>
        </is>
      </c>
      <c r="D59" s="8">
        <f>IFERROR(BDP(A59,"PX_LAST"),"")</f>
        <v/>
      </c>
      <c r="E59" s="9">
        <f>IFERROR(BDP(A59,"CUST_TRR_RETURN_HOLDING_PER","CUST_TRR_START_DT",Settings!$C$5,"CUST_TRR_END_DT",Settings!$C$4)/100,"")</f>
        <v/>
      </c>
      <c r="F59" s="9">
        <f>IFERROR(BDP(A59,"CUST_TRR_RETURN_HOLDING_PER","CUST_TRR_START_DT",Settings!$C$6,"CUST_TRR_END_DT",Settings!$C$4)/100,"")</f>
        <v/>
      </c>
      <c r="G59" s="9">
        <f>IFERROR(BDP(A59,"CUST_TRR_RETURN_HOLDING_PER","CUST_TRR_START_DT",Settings!$C$7,"CUST_TRR_END_DT",Settings!$C$4)/100,"")</f>
        <v/>
      </c>
      <c r="H59" s="9">
        <f>IFERROR(BDP(A59,"CUST_TRR_RETURN_HOLDING_PER","CUST_TRR_START_DT",Settings!$C$8,"CUST_TRR_END_DT",Settings!$C$4)/100,"")</f>
        <v/>
      </c>
      <c r="I59" s="9">
        <f>IFERROR(BDP(A59,"PX_LAST")/BDH(A59,"PX_LAST",Settings!$C$5,Settings!$C$5)-1,"")</f>
        <v/>
      </c>
      <c r="J59" s="9">
        <f>IFERROR(BDP(A59,"PX_LAST")/BDH(A59,"PX_LAST",Settings!$C$6,Settings!$C$6)-1,"")</f>
        <v/>
      </c>
      <c r="K59" s="9">
        <f>IFERROR(BDP(A59,"PX_LAST")/BDH(A59,"PX_LAST",Settings!$C$7,Settings!$C$7)-1,"")</f>
        <v/>
      </c>
      <c r="L59" s="9">
        <f>IFERROR(BDP(A59,"PX_LAST")/BDH(A59,"PX_LAST",Settings!$C$8,Settings!$C$8)-1,"")</f>
        <v/>
      </c>
    </row>
    <row r="60">
      <c r="A60" s="7" t="inlineStr">
        <is>
          <t>MXAR Index</t>
        </is>
      </c>
      <c r="B60" t="inlineStr">
        <is>
          <t>MSCI Argentina (USD)</t>
        </is>
      </c>
      <c r="C60" t="inlineStr">
        <is>
          <t>EM Country (MSCI)</t>
        </is>
      </c>
      <c r="D60" s="8">
        <f>IFERROR(BDP(A60,"PX_LAST"),"")</f>
        <v/>
      </c>
      <c r="E60" s="9">
        <f>IFERROR(BDP(A60,"CUST_TRR_RETURN_HOLDING_PER","CUST_TRR_START_DT",Settings!$C$5,"CUST_TRR_END_DT",Settings!$C$4)/100,"")</f>
        <v/>
      </c>
      <c r="F60" s="9">
        <f>IFERROR(BDP(A60,"CUST_TRR_RETURN_HOLDING_PER","CUST_TRR_START_DT",Settings!$C$6,"CUST_TRR_END_DT",Settings!$C$4)/100,"")</f>
        <v/>
      </c>
      <c r="G60" s="9">
        <f>IFERROR(BDP(A60,"CUST_TRR_RETURN_HOLDING_PER","CUST_TRR_START_DT",Settings!$C$7,"CUST_TRR_END_DT",Settings!$C$4)/100,"")</f>
        <v/>
      </c>
      <c r="H60" s="9">
        <f>IFERROR(BDP(A60,"CUST_TRR_RETURN_HOLDING_PER","CUST_TRR_START_DT",Settings!$C$8,"CUST_TRR_END_DT",Settings!$C$4)/100,"")</f>
        <v/>
      </c>
      <c r="I60" s="9">
        <f>IFERROR(BDP(A60,"PX_LAST")/BDH(A60,"PX_LAST",Settings!$C$5,Settings!$C$5)-1,"")</f>
        <v/>
      </c>
      <c r="J60" s="9">
        <f>IFERROR(BDP(A60,"PX_LAST")/BDH(A60,"PX_LAST",Settings!$C$6,Settings!$C$6)-1,"")</f>
        <v/>
      </c>
      <c r="K60" s="9">
        <f>IFERROR(BDP(A60,"PX_LAST")/BDH(A60,"PX_LAST",Settings!$C$7,Settings!$C$7)-1,"")</f>
        <v/>
      </c>
      <c r="L60" s="9">
        <f>IFERROR(BDP(A60,"PX_LAST")/BDH(A60,"PX_LAST",Settings!$C$8,Settings!$C$8)-1,"")</f>
        <v/>
      </c>
    </row>
    <row r="61">
      <c r="A61" s="7" t="inlineStr">
        <is>
          <t>MXCN Index</t>
        </is>
      </c>
      <c r="B61" t="inlineStr">
        <is>
          <t>MSCI China (USD)</t>
        </is>
      </c>
      <c r="C61" t="inlineStr">
        <is>
          <t>EM Country (MSCI)</t>
        </is>
      </c>
      <c r="D61" s="8">
        <f>IFERROR(BDP(A61,"PX_LAST"),"")</f>
        <v/>
      </c>
      <c r="E61" s="9">
        <f>IFERROR(BDP(A61,"CUST_TRR_RETURN_HOLDING_PER","CUST_TRR_START_DT",Settings!$C$5,"CUST_TRR_END_DT",Settings!$C$4)/100,"")</f>
        <v/>
      </c>
      <c r="F61" s="9">
        <f>IFERROR(BDP(A61,"CUST_TRR_RETURN_HOLDING_PER","CUST_TRR_START_DT",Settings!$C$6,"CUST_TRR_END_DT",Settings!$C$4)/100,"")</f>
        <v/>
      </c>
      <c r="G61" s="9">
        <f>IFERROR(BDP(A61,"CUST_TRR_RETURN_HOLDING_PER","CUST_TRR_START_DT",Settings!$C$7,"CUST_TRR_END_DT",Settings!$C$4)/100,"")</f>
        <v/>
      </c>
      <c r="H61" s="9">
        <f>IFERROR(BDP(A61,"CUST_TRR_RETURN_HOLDING_PER","CUST_TRR_START_DT",Settings!$C$8,"CUST_TRR_END_DT",Settings!$C$4)/100,"")</f>
        <v/>
      </c>
      <c r="I61" s="9">
        <f>IFERROR(BDP(A61,"PX_LAST")/BDH(A61,"PX_LAST",Settings!$C$5,Settings!$C$5)-1,"")</f>
        <v/>
      </c>
      <c r="J61" s="9">
        <f>IFERROR(BDP(A61,"PX_LAST")/BDH(A61,"PX_LAST",Settings!$C$6,Settings!$C$6)-1,"")</f>
        <v/>
      </c>
      <c r="K61" s="9">
        <f>IFERROR(BDP(A61,"PX_LAST")/BDH(A61,"PX_LAST",Settings!$C$7,Settings!$C$7)-1,"")</f>
        <v/>
      </c>
      <c r="L61" s="9">
        <f>IFERROR(BDP(A61,"PX_LAST")/BDH(A61,"PX_LAST",Settings!$C$8,Settings!$C$8)-1,"")</f>
        <v/>
      </c>
    </row>
    <row r="62">
      <c r="A62" s="7" t="inlineStr">
        <is>
          <t>MXIN Index</t>
        </is>
      </c>
      <c r="B62" t="inlineStr">
        <is>
          <t>MSCI India (USD)</t>
        </is>
      </c>
      <c r="C62" t="inlineStr">
        <is>
          <t>EM Country (MSCI)</t>
        </is>
      </c>
      <c r="D62" s="8">
        <f>IFERROR(BDP(A62,"PX_LAST"),"")</f>
        <v/>
      </c>
      <c r="E62" s="9">
        <f>IFERROR(BDP(A62,"CUST_TRR_RETURN_HOLDING_PER","CUST_TRR_START_DT",Settings!$C$5,"CUST_TRR_END_DT",Settings!$C$4)/100,"")</f>
        <v/>
      </c>
      <c r="F62" s="9">
        <f>IFERROR(BDP(A62,"CUST_TRR_RETURN_HOLDING_PER","CUST_TRR_START_DT",Settings!$C$6,"CUST_TRR_END_DT",Settings!$C$4)/100,"")</f>
        <v/>
      </c>
      <c r="G62" s="9">
        <f>IFERROR(BDP(A62,"CUST_TRR_RETURN_HOLDING_PER","CUST_TRR_START_DT",Settings!$C$7,"CUST_TRR_END_DT",Settings!$C$4)/100,"")</f>
        <v/>
      </c>
      <c r="H62" s="9">
        <f>IFERROR(BDP(A62,"CUST_TRR_RETURN_HOLDING_PER","CUST_TRR_START_DT",Settings!$C$8,"CUST_TRR_END_DT",Settings!$C$4)/100,"")</f>
        <v/>
      </c>
      <c r="I62" s="9">
        <f>IFERROR(BDP(A62,"PX_LAST")/BDH(A62,"PX_LAST",Settings!$C$5,Settings!$C$5)-1,"")</f>
        <v/>
      </c>
      <c r="J62" s="9">
        <f>IFERROR(BDP(A62,"PX_LAST")/BDH(A62,"PX_LAST",Settings!$C$6,Settings!$C$6)-1,"")</f>
        <v/>
      </c>
      <c r="K62" s="9">
        <f>IFERROR(BDP(A62,"PX_LAST")/BDH(A62,"PX_LAST",Settings!$C$7,Settings!$C$7)-1,"")</f>
        <v/>
      </c>
      <c r="L62" s="9">
        <f>IFERROR(BDP(A62,"PX_LAST")/BDH(A62,"PX_LAST",Settings!$C$8,Settings!$C$8)-1,"")</f>
        <v/>
      </c>
    </row>
    <row r="63">
      <c r="A63" s="7" t="inlineStr">
        <is>
          <t>MXKR Index</t>
        </is>
      </c>
      <c r="B63" t="inlineStr">
        <is>
          <t>MSCI Korea (USD)</t>
        </is>
      </c>
      <c r="C63" t="inlineStr">
        <is>
          <t>EM Country (MSCI)</t>
        </is>
      </c>
      <c r="D63" s="8">
        <f>IFERROR(BDP(A63,"PX_LAST"),"")</f>
        <v/>
      </c>
      <c r="E63" s="9">
        <f>IFERROR(BDP(A63,"CUST_TRR_RETURN_HOLDING_PER","CUST_TRR_START_DT",Settings!$C$5,"CUST_TRR_END_DT",Settings!$C$4)/100,"")</f>
        <v/>
      </c>
      <c r="F63" s="9">
        <f>IFERROR(BDP(A63,"CUST_TRR_RETURN_HOLDING_PER","CUST_TRR_START_DT",Settings!$C$6,"CUST_TRR_END_DT",Settings!$C$4)/100,"")</f>
        <v/>
      </c>
      <c r="G63" s="9">
        <f>IFERROR(BDP(A63,"CUST_TRR_RETURN_HOLDING_PER","CUST_TRR_START_DT",Settings!$C$7,"CUST_TRR_END_DT",Settings!$C$4)/100,"")</f>
        <v/>
      </c>
      <c r="H63" s="9">
        <f>IFERROR(BDP(A63,"CUST_TRR_RETURN_HOLDING_PER","CUST_TRR_START_DT",Settings!$C$8,"CUST_TRR_END_DT",Settings!$C$4)/100,"")</f>
        <v/>
      </c>
      <c r="I63" s="9">
        <f>IFERROR(BDP(A63,"PX_LAST")/BDH(A63,"PX_LAST",Settings!$C$5,Settings!$C$5)-1,"")</f>
        <v/>
      </c>
      <c r="J63" s="9">
        <f>IFERROR(BDP(A63,"PX_LAST")/BDH(A63,"PX_LAST",Settings!$C$6,Settings!$C$6)-1,"")</f>
        <v/>
      </c>
      <c r="K63" s="9">
        <f>IFERROR(BDP(A63,"PX_LAST")/BDH(A63,"PX_LAST",Settings!$C$7,Settings!$C$7)-1,"")</f>
        <v/>
      </c>
      <c r="L63" s="9">
        <f>IFERROR(BDP(A63,"PX_LAST")/BDH(A63,"PX_LAST",Settings!$C$8,Settings!$C$8)-1,"")</f>
        <v/>
      </c>
    </row>
    <row r="64">
      <c r="A64" s="7" t="inlineStr">
        <is>
          <t>MXTW Index</t>
        </is>
      </c>
      <c r="B64" t="inlineStr">
        <is>
          <t>MSCI Taiwan (USD)</t>
        </is>
      </c>
      <c r="C64" t="inlineStr">
        <is>
          <t>EM Country (MSCI)</t>
        </is>
      </c>
      <c r="D64" s="8">
        <f>IFERROR(BDP(A64,"PX_LAST"),"")</f>
        <v/>
      </c>
      <c r="E64" s="9">
        <f>IFERROR(BDP(A64,"CUST_TRR_RETURN_HOLDING_PER","CUST_TRR_START_DT",Settings!$C$5,"CUST_TRR_END_DT",Settings!$C$4)/100,"")</f>
        <v/>
      </c>
      <c r="F64" s="9">
        <f>IFERROR(BDP(A64,"CUST_TRR_RETURN_HOLDING_PER","CUST_TRR_START_DT",Settings!$C$6,"CUST_TRR_END_DT",Settings!$C$4)/100,"")</f>
        <v/>
      </c>
      <c r="G64" s="9">
        <f>IFERROR(BDP(A64,"CUST_TRR_RETURN_HOLDING_PER","CUST_TRR_START_DT",Settings!$C$7,"CUST_TRR_END_DT",Settings!$C$4)/100,"")</f>
        <v/>
      </c>
      <c r="H64" s="9">
        <f>IFERROR(BDP(A64,"CUST_TRR_RETURN_HOLDING_PER","CUST_TRR_START_DT",Settings!$C$8,"CUST_TRR_END_DT",Settings!$C$4)/100,"")</f>
        <v/>
      </c>
      <c r="I64" s="9">
        <f>IFERROR(BDP(A64,"PX_LAST")/BDH(A64,"PX_LAST",Settings!$C$5,Settings!$C$5)-1,"")</f>
        <v/>
      </c>
      <c r="J64" s="9">
        <f>IFERROR(BDP(A64,"PX_LAST")/BDH(A64,"PX_LAST",Settings!$C$6,Settings!$C$6)-1,"")</f>
        <v/>
      </c>
      <c r="K64" s="9">
        <f>IFERROR(BDP(A64,"PX_LAST")/BDH(A64,"PX_LAST",Settings!$C$7,Settings!$C$7)-1,"")</f>
        <v/>
      </c>
      <c r="L64" s="9">
        <f>IFERROR(BDP(A64,"PX_LAST")/BDH(A64,"PX_LAST",Settings!$C$8,Settings!$C$8)-1,"")</f>
        <v/>
      </c>
    </row>
    <row r="65">
      <c r="A65" s="7" t="inlineStr">
        <is>
          <t>MXTH Index</t>
        </is>
      </c>
      <c r="B65" t="inlineStr">
        <is>
          <t>MSCI Thailand (USD)</t>
        </is>
      </c>
      <c r="C65" t="inlineStr">
        <is>
          <t>EM Country (MSCI)</t>
        </is>
      </c>
      <c r="D65" s="8">
        <f>IFERROR(BDP(A65,"PX_LAST"),"")</f>
        <v/>
      </c>
      <c r="E65" s="9">
        <f>IFERROR(BDP(A65,"CUST_TRR_RETURN_HOLDING_PER","CUST_TRR_START_DT",Settings!$C$5,"CUST_TRR_END_DT",Settings!$C$4)/100,"")</f>
        <v/>
      </c>
      <c r="F65" s="9">
        <f>IFERROR(BDP(A65,"CUST_TRR_RETURN_HOLDING_PER","CUST_TRR_START_DT",Settings!$C$6,"CUST_TRR_END_DT",Settings!$C$4)/100,"")</f>
        <v/>
      </c>
      <c r="G65" s="9">
        <f>IFERROR(BDP(A65,"CUST_TRR_RETURN_HOLDING_PER","CUST_TRR_START_DT",Settings!$C$7,"CUST_TRR_END_DT",Settings!$C$4)/100,"")</f>
        <v/>
      </c>
      <c r="H65" s="9">
        <f>IFERROR(BDP(A65,"CUST_TRR_RETURN_HOLDING_PER","CUST_TRR_START_DT",Settings!$C$8,"CUST_TRR_END_DT",Settings!$C$4)/100,"")</f>
        <v/>
      </c>
      <c r="I65" s="9">
        <f>IFERROR(BDP(A65,"PX_LAST")/BDH(A65,"PX_LAST",Settings!$C$5,Settings!$C$5)-1,"")</f>
        <v/>
      </c>
      <c r="J65" s="9">
        <f>IFERROR(BDP(A65,"PX_LAST")/BDH(A65,"PX_LAST",Settings!$C$6,Settings!$C$6)-1,"")</f>
        <v/>
      </c>
      <c r="K65" s="9">
        <f>IFERROR(BDP(A65,"PX_LAST")/BDH(A65,"PX_LAST",Settings!$C$7,Settings!$C$7)-1,"")</f>
        <v/>
      </c>
      <c r="L65" s="9">
        <f>IFERROR(BDP(A65,"PX_LAST")/BDH(A65,"PX_LAST",Settings!$C$8,Settings!$C$8)-1,"")</f>
        <v/>
      </c>
    </row>
    <row r="66">
      <c r="A66" s="7" t="inlineStr">
        <is>
          <t>MXID Index</t>
        </is>
      </c>
      <c r="B66" t="inlineStr">
        <is>
          <t>MSCI Indonesia (USD)</t>
        </is>
      </c>
      <c r="C66" t="inlineStr">
        <is>
          <t>EM Country (MSCI)</t>
        </is>
      </c>
      <c r="D66" s="8">
        <f>IFERROR(BDP(A66,"PX_LAST"),"")</f>
        <v/>
      </c>
      <c r="E66" s="9">
        <f>IFERROR(BDP(A66,"CUST_TRR_RETURN_HOLDING_PER","CUST_TRR_START_DT",Settings!$C$5,"CUST_TRR_END_DT",Settings!$C$4)/100,"")</f>
        <v/>
      </c>
      <c r="F66" s="9">
        <f>IFERROR(BDP(A66,"CUST_TRR_RETURN_HOLDING_PER","CUST_TRR_START_DT",Settings!$C$6,"CUST_TRR_END_DT",Settings!$C$4)/100,"")</f>
        <v/>
      </c>
      <c r="G66" s="9">
        <f>IFERROR(BDP(A66,"CUST_TRR_RETURN_HOLDING_PER","CUST_TRR_START_DT",Settings!$C$7,"CUST_TRR_END_DT",Settings!$C$4)/100,"")</f>
        <v/>
      </c>
      <c r="H66" s="9">
        <f>IFERROR(BDP(A66,"CUST_TRR_RETURN_HOLDING_PER","CUST_TRR_START_DT",Settings!$C$8,"CUST_TRR_END_DT",Settings!$C$4)/100,"")</f>
        <v/>
      </c>
      <c r="I66" s="9">
        <f>IFERROR(BDP(A66,"PX_LAST")/BDH(A66,"PX_LAST",Settings!$C$5,Settings!$C$5)-1,"")</f>
        <v/>
      </c>
      <c r="J66" s="9">
        <f>IFERROR(BDP(A66,"PX_LAST")/BDH(A66,"PX_LAST",Settings!$C$6,Settings!$C$6)-1,"")</f>
        <v/>
      </c>
      <c r="K66" s="9">
        <f>IFERROR(BDP(A66,"PX_LAST")/BDH(A66,"PX_LAST",Settings!$C$7,Settings!$C$7)-1,"")</f>
        <v/>
      </c>
      <c r="L66" s="9">
        <f>IFERROR(BDP(A66,"PX_LAST")/BDH(A66,"PX_LAST",Settings!$C$8,Settings!$C$8)-1,"")</f>
        <v/>
      </c>
    </row>
    <row r="67">
      <c r="A67" s="7" t="inlineStr">
        <is>
          <t>MXMY Index</t>
        </is>
      </c>
      <c r="B67" t="inlineStr">
        <is>
          <t>MSCI Malaysia (USD)</t>
        </is>
      </c>
      <c r="C67" t="inlineStr">
        <is>
          <t>EM Country (MSCI)</t>
        </is>
      </c>
      <c r="D67" s="8">
        <f>IFERROR(BDP(A67,"PX_LAST"),"")</f>
        <v/>
      </c>
      <c r="E67" s="9">
        <f>IFERROR(BDP(A67,"CUST_TRR_RETURN_HOLDING_PER","CUST_TRR_START_DT",Settings!$C$5,"CUST_TRR_END_DT",Settings!$C$4)/100,"")</f>
        <v/>
      </c>
      <c r="F67" s="9">
        <f>IFERROR(BDP(A67,"CUST_TRR_RETURN_HOLDING_PER","CUST_TRR_START_DT",Settings!$C$6,"CUST_TRR_END_DT",Settings!$C$4)/100,"")</f>
        <v/>
      </c>
      <c r="G67" s="9">
        <f>IFERROR(BDP(A67,"CUST_TRR_RETURN_HOLDING_PER","CUST_TRR_START_DT",Settings!$C$7,"CUST_TRR_END_DT",Settings!$C$4)/100,"")</f>
        <v/>
      </c>
      <c r="H67" s="9">
        <f>IFERROR(BDP(A67,"CUST_TRR_RETURN_HOLDING_PER","CUST_TRR_START_DT",Settings!$C$8,"CUST_TRR_END_DT",Settings!$C$4)/100,"")</f>
        <v/>
      </c>
      <c r="I67" s="9">
        <f>IFERROR(BDP(A67,"PX_LAST")/BDH(A67,"PX_LAST",Settings!$C$5,Settings!$C$5)-1,"")</f>
        <v/>
      </c>
      <c r="J67" s="9">
        <f>IFERROR(BDP(A67,"PX_LAST")/BDH(A67,"PX_LAST",Settings!$C$6,Settings!$C$6)-1,"")</f>
        <v/>
      </c>
      <c r="K67" s="9">
        <f>IFERROR(BDP(A67,"PX_LAST")/BDH(A67,"PX_LAST",Settings!$C$7,Settings!$C$7)-1,"")</f>
        <v/>
      </c>
      <c r="L67" s="9">
        <f>IFERROR(BDP(A67,"PX_LAST")/BDH(A67,"PX_LAST",Settings!$C$8,Settings!$C$8)-1,"")</f>
        <v/>
      </c>
    </row>
    <row r="68">
      <c r="A68" s="7" t="inlineStr">
        <is>
          <t>MXPH Index</t>
        </is>
      </c>
      <c r="B68" t="inlineStr">
        <is>
          <t>MSCI Philippines (USD)</t>
        </is>
      </c>
      <c r="C68" t="inlineStr">
        <is>
          <t>EM Country (MSCI)</t>
        </is>
      </c>
      <c r="D68" s="8">
        <f>IFERROR(BDP(A68,"PX_LAST"),"")</f>
        <v/>
      </c>
      <c r="E68" s="9">
        <f>IFERROR(BDP(A68,"CUST_TRR_RETURN_HOLDING_PER","CUST_TRR_START_DT",Settings!$C$5,"CUST_TRR_END_DT",Settings!$C$4)/100,"")</f>
        <v/>
      </c>
      <c r="F68" s="9">
        <f>IFERROR(BDP(A68,"CUST_TRR_RETURN_HOLDING_PER","CUST_TRR_START_DT",Settings!$C$6,"CUST_TRR_END_DT",Settings!$C$4)/100,"")</f>
        <v/>
      </c>
      <c r="G68" s="9">
        <f>IFERROR(BDP(A68,"CUST_TRR_RETURN_HOLDING_PER","CUST_TRR_START_DT",Settings!$C$7,"CUST_TRR_END_DT",Settings!$C$4)/100,"")</f>
        <v/>
      </c>
      <c r="H68" s="9">
        <f>IFERROR(BDP(A68,"CUST_TRR_RETURN_HOLDING_PER","CUST_TRR_START_DT",Settings!$C$8,"CUST_TRR_END_DT",Settings!$C$4)/100,"")</f>
        <v/>
      </c>
      <c r="I68" s="9">
        <f>IFERROR(BDP(A68,"PX_LAST")/BDH(A68,"PX_LAST",Settings!$C$5,Settings!$C$5)-1,"")</f>
        <v/>
      </c>
      <c r="J68" s="9">
        <f>IFERROR(BDP(A68,"PX_LAST")/BDH(A68,"PX_LAST",Settings!$C$6,Settings!$C$6)-1,"")</f>
        <v/>
      </c>
      <c r="K68" s="9">
        <f>IFERROR(BDP(A68,"PX_LAST")/BDH(A68,"PX_LAST",Settings!$C$7,Settings!$C$7)-1,"")</f>
        <v/>
      </c>
      <c r="L68" s="9">
        <f>IFERROR(BDP(A68,"PX_LAST")/BDH(A68,"PX_LAST",Settings!$C$8,Settings!$C$8)-1,"")</f>
        <v/>
      </c>
    </row>
    <row r="69">
      <c r="A69" s="7" t="inlineStr">
        <is>
          <t>MXPK Index</t>
        </is>
      </c>
      <c r="B69" t="inlineStr">
        <is>
          <t>MSCI Pakistan (USD)</t>
        </is>
      </c>
      <c r="C69" t="inlineStr">
        <is>
          <t>EM Country (MSCI)</t>
        </is>
      </c>
      <c r="D69" s="8">
        <f>IFERROR(BDP(A69,"PX_LAST"),"")</f>
        <v/>
      </c>
      <c r="E69" s="9">
        <f>IFERROR(BDP(A69,"CUST_TRR_RETURN_HOLDING_PER","CUST_TRR_START_DT",Settings!$C$5,"CUST_TRR_END_DT",Settings!$C$4)/100,"")</f>
        <v/>
      </c>
      <c r="F69" s="9">
        <f>IFERROR(BDP(A69,"CUST_TRR_RETURN_HOLDING_PER","CUST_TRR_START_DT",Settings!$C$6,"CUST_TRR_END_DT",Settings!$C$4)/100,"")</f>
        <v/>
      </c>
      <c r="G69" s="9">
        <f>IFERROR(BDP(A69,"CUST_TRR_RETURN_HOLDING_PER","CUST_TRR_START_DT",Settings!$C$7,"CUST_TRR_END_DT",Settings!$C$4)/100,"")</f>
        <v/>
      </c>
      <c r="H69" s="9">
        <f>IFERROR(BDP(A69,"CUST_TRR_RETURN_HOLDING_PER","CUST_TRR_START_DT",Settings!$C$8,"CUST_TRR_END_DT",Settings!$C$4)/100,"")</f>
        <v/>
      </c>
      <c r="I69" s="9">
        <f>IFERROR(BDP(A69,"PX_LAST")/BDH(A69,"PX_LAST",Settings!$C$5,Settings!$C$5)-1,"")</f>
        <v/>
      </c>
      <c r="J69" s="9">
        <f>IFERROR(BDP(A69,"PX_LAST")/BDH(A69,"PX_LAST",Settings!$C$6,Settings!$C$6)-1,"")</f>
        <v/>
      </c>
      <c r="K69" s="9">
        <f>IFERROR(BDP(A69,"PX_LAST")/BDH(A69,"PX_LAST",Settings!$C$7,Settings!$C$7)-1,"")</f>
        <v/>
      </c>
      <c r="L69" s="9">
        <f>IFERROR(BDP(A69,"PX_LAST")/BDH(A69,"PX_LAST",Settings!$C$8,Settings!$C$8)-1,"")</f>
        <v/>
      </c>
    </row>
    <row r="70">
      <c r="A70" s="7" t="inlineStr">
        <is>
          <t>MXZA Index</t>
        </is>
      </c>
      <c r="B70" t="inlineStr">
        <is>
          <t>MSCI South Africa (USD)</t>
        </is>
      </c>
      <c r="C70" t="inlineStr">
        <is>
          <t>EM Country (MSCI)</t>
        </is>
      </c>
      <c r="D70" s="8">
        <f>IFERROR(BDP(A70,"PX_LAST"),"")</f>
        <v/>
      </c>
      <c r="E70" s="9">
        <f>IFERROR(BDP(A70,"CUST_TRR_RETURN_HOLDING_PER","CUST_TRR_START_DT",Settings!$C$5,"CUST_TRR_END_DT",Settings!$C$4)/100,"")</f>
        <v/>
      </c>
      <c r="F70" s="9">
        <f>IFERROR(BDP(A70,"CUST_TRR_RETURN_HOLDING_PER","CUST_TRR_START_DT",Settings!$C$6,"CUST_TRR_END_DT",Settings!$C$4)/100,"")</f>
        <v/>
      </c>
      <c r="G70" s="9">
        <f>IFERROR(BDP(A70,"CUST_TRR_RETURN_HOLDING_PER","CUST_TRR_START_DT",Settings!$C$7,"CUST_TRR_END_DT",Settings!$C$4)/100,"")</f>
        <v/>
      </c>
      <c r="H70" s="9">
        <f>IFERROR(BDP(A70,"CUST_TRR_RETURN_HOLDING_PER","CUST_TRR_START_DT",Settings!$C$8,"CUST_TRR_END_DT",Settings!$C$4)/100,"")</f>
        <v/>
      </c>
      <c r="I70" s="9">
        <f>IFERROR(BDP(A70,"PX_LAST")/BDH(A70,"PX_LAST",Settings!$C$5,Settings!$C$5)-1,"")</f>
        <v/>
      </c>
      <c r="J70" s="9">
        <f>IFERROR(BDP(A70,"PX_LAST")/BDH(A70,"PX_LAST",Settings!$C$6,Settings!$C$6)-1,"")</f>
        <v/>
      </c>
      <c r="K70" s="9">
        <f>IFERROR(BDP(A70,"PX_LAST")/BDH(A70,"PX_LAST",Settings!$C$7,Settings!$C$7)-1,"")</f>
        <v/>
      </c>
      <c r="L70" s="9">
        <f>IFERROR(BDP(A70,"PX_LAST")/BDH(A70,"PX_LAST",Settings!$C$8,Settings!$C$8)-1,"")</f>
        <v/>
      </c>
    </row>
    <row r="71">
      <c r="A71" s="7" t="inlineStr">
        <is>
          <t>MXEG Index</t>
        </is>
      </c>
      <c r="B71" t="inlineStr">
        <is>
          <t>MSCI Egypt (USD)</t>
        </is>
      </c>
      <c r="C71" t="inlineStr">
        <is>
          <t>EM Country (MSCI)</t>
        </is>
      </c>
      <c r="D71" s="8">
        <f>IFERROR(BDP(A71,"PX_LAST"),"")</f>
        <v/>
      </c>
      <c r="E71" s="9">
        <f>IFERROR(BDP(A71,"CUST_TRR_RETURN_HOLDING_PER","CUST_TRR_START_DT",Settings!$C$5,"CUST_TRR_END_DT",Settings!$C$4)/100,"")</f>
        <v/>
      </c>
      <c r="F71" s="9">
        <f>IFERROR(BDP(A71,"CUST_TRR_RETURN_HOLDING_PER","CUST_TRR_START_DT",Settings!$C$6,"CUST_TRR_END_DT",Settings!$C$4)/100,"")</f>
        <v/>
      </c>
      <c r="G71" s="9">
        <f>IFERROR(BDP(A71,"CUST_TRR_RETURN_HOLDING_PER","CUST_TRR_START_DT",Settings!$C$7,"CUST_TRR_END_DT",Settings!$C$4)/100,"")</f>
        <v/>
      </c>
      <c r="H71" s="9">
        <f>IFERROR(BDP(A71,"CUST_TRR_RETURN_HOLDING_PER","CUST_TRR_START_DT",Settings!$C$8,"CUST_TRR_END_DT",Settings!$C$4)/100,"")</f>
        <v/>
      </c>
      <c r="I71" s="9">
        <f>IFERROR(BDP(A71,"PX_LAST")/BDH(A71,"PX_LAST",Settings!$C$5,Settings!$C$5)-1,"")</f>
        <v/>
      </c>
      <c r="J71" s="9">
        <f>IFERROR(BDP(A71,"PX_LAST")/BDH(A71,"PX_LAST",Settings!$C$6,Settings!$C$6)-1,"")</f>
        <v/>
      </c>
      <c r="K71" s="9">
        <f>IFERROR(BDP(A71,"PX_LAST")/BDH(A71,"PX_LAST",Settings!$C$7,Settings!$C$7)-1,"")</f>
        <v/>
      </c>
      <c r="L71" s="9">
        <f>IFERROR(BDP(A71,"PX_LAST")/BDH(A71,"PX_LAST",Settings!$C$8,Settings!$C$8)-1,"")</f>
        <v/>
      </c>
    </row>
    <row r="72">
      <c r="A72" s="7" t="inlineStr">
        <is>
          <t>MXSA Index</t>
        </is>
      </c>
      <c r="B72" t="inlineStr">
        <is>
          <t>MSCI Saudi Arabia (USD)</t>
        </is>
      </c>
      <c r="C72" t="inlineStr">
        <is>
          <t>EM Country (MSCI)</t>
        </is>
      </c>
      <c r="D72" s="8">
        <f>IFERROR(BDP(A72,"PX_LAST"),"")</f>
        <v/>
      </c>
      <c r="E72" s="9">
        <f>IFERROR(BDP(A72,"CUST_TRR_RETURN_HOLDING_PER","CUST_TRR_START_DT",Settings!$C$5,"CUST_TRR_END_DT",Settings!$C$4)/100,"")</f>
        <v/>
      </c>
      <c r="F72" s="9">
        <f>IFERROR(BDP(A72,"CUST_TRR_RETURN_HOLDING_PER","CUST_TRR_START_DT",Settings!$C$6,"CUST_TRR_END_DT",Settings!$C$4)/100,"")</f>
        <v/>
      </c>
      <c r="G72" s="9">
        <f>IFERROR(BDP(A72,"CUST_TRR_RETURN_HOLDING_PER","CUST_TRR_START_DT",Settings!$C$7,"CUST_TRR_END_DT",Settings!$C$4)/100,"")</f>
        <v/>
      </c>
      <c r="H72" s="9">
        <f>IFERROR(BDP(A72,"CUST_TRR_RETURN_HOLDING_PER","CUST_TRR_START_DT",Settings!$C$8,"CUST_TRR_END_DT",Settings!$C$4)/100,"")</f>
        <v/>
      </c>
      <c r="I72" s="9">
        <f>IFERROR(BDP(A72,"PX_LAST")/BDH(A72,"PX_LAST",Settings!$C$5,Settings!$C$5)-1,"")</f>
        <v/>
      </c>
      <c r="J72" s="9">
        <f>IFERROR(BDP(A72,"PX_LAST")/BDH(A72,"PX_LAST",Settings!$C$6,Settings!$C$6)-1,"")</f>
        <v/>
      </c>
      <c r="K72" s="9">
        <f>IFERROR(BDP(A72,"PX_LAST")/BDH(A72,"PX_LAST",Settings!$C$7,Settings!$C$7)-1,"")</f>
        <v/>
      </c>
      <c r="L72" s="9">
        <f>IFERROR(BDP(A72,"PX_LAST")/BDH(A72,"PX_LAST",Settings!$C$8,Settings!$C$8)-1,"")</f>
        <v/>
      </c>
    </row>
    <row r="73">
      <c r="A73" s="7" t="inlineStr">
        <is>
          <t>MXTR Index</t>
        </is>
      </c>
      <c r="B73" t="inlineStr">
        <is>
          <t>MSCI Turkey (USD)</t>
        </is>
      </c>
      <c r="C73" t="inlineStr">
        <is>
          <t>EM Country (MSCI)</t>
        </is>
      </c>
      <c r="D73" s="8">
        <f>IFERROR(BDP(A73,"PX_LAST"),"")</f>
        <v/>
      </c>
      <c r="E73" s="9">
        <f>IFERROR(BDP(A73,"CUST_TRR_RETURN_HOLDING_PER","CUST_TRR_START_DT",Settings!$C$5,"CUST_TRR_END_DT",Settings!$C$4)/100,"")</f>
        <v/>
      </c>
      <c r="F73" s="9">
        <f>IFERROR(BDP(A73,"CUST_TRR_RETURN_HOLDING_PER","CUST_TRR_START_DT",Settings!$C$6,"CUST_TRR_END_DT",Settings!$C$4)/100,"")</f>
        <v/>
      </c>
      <c r="G73" s="9">
        <f>IFERROR(BDP(A73,"CUST_TRR_RETURN_HOLDING_PER","CUST_TRR_START_DT",Settings!$C$7,"CUST_TRR_END_DT",Settings!$C$4)/100,"")</f>
        <v/>
      </c>
      <c r="H73" s="9">
        <f>IFERROR(BDP(A73,"CUST_TRR_RETURN_HOLDING_PER","CUST_TRR_START_DT",Settings!$C$8,"CUST_TRR_END_DT",Settings!$C$4)/100,"")</f>
        <v/>
      </c>
      <c r="I73" s="9">
        <f>IFERROR(BDP(A73,"PX_LAST")/BDH(A73,"PX_LAST",Settings!$C$5,Settings!$C$5)-1,"")</f>
        <v/>
      </c>
      <c r="J73" s="9">
        <f>IFERROR(BDP(A73,"PX_LAST")/BDH(A73,"PX_LAST",Settings!$C$6,Settings!$C$6)-1,"")</f>
        <v/>
      </c>
      <c r="K73" s="9">
        <f>IFERROR(BDP(A73,"PX_LAST")/BDH(A73,"PX_LAST",Settings!$C$7,Settings!$C$7)-1,"")</f>
        <v/>
      </c>
      <c r="L73" s="9">
        <f>IFERROR(BDP(A73,"PX_LAST")/BDH(A73,"PX_LAST",Settings!$C$8,Settings!$C$8)-1,"")</f>
        <v/>
      </c>
    </row>
    <row r="74">
      <c r="A74" s="7" t="inlineStr">
        <is>
          <t>MXPO Index</t>
        </is>
      </c>
      <c r="B74" t="inlineStr">
        <is>
          <t>MSCI Poland (USD)</t>
        </is>
      </c>
      <c r="C74" t="inlineStr">
        <is>
          <t>EM Country (MSCI)</t>
        </is>
      </c>
      <c r="D74" s="8">
        <f>IFERROR(BDP(A74,"PX_LAST"),"")</f>
        <v/>
      </c>
      <c r="E74" s="9">
        <f>IFERROR(BDP(A74,"CUST_TRR_RETURN_HOLDING_PER","CUST_TRR_START_DT",Settings!$C$5,"CUST_TRR_END_DT",Settings!$C$4)/100,"")</f>
        <v/>
      </c>
      <c r="F74" s="9">
        <f>IFERROR(BDP(A74,"CUST_TRR_RETURN_HOLDING_PER","CUST_TRR_START_DT",Settings!$C$6,"CUST_TRR_END_DT",Settings!$C$4)/100,"")</f>
        <v/>
      </c>
      <c r="G74" s="9">
        <f>IFERROR(BDP(A74,"CUST_TRR_RETURN_HOLDING_PER","CUST_TRR_START_DT",Settings!$C$7,"CUST_TRR_END_DT",Settings!$C$4)/100,"")</f>
        <v/>
      </c>
      <c r="H74" s="9">
        <f>IFERROR(BDP(A74,"CUST_TRR_RETURN_HOLDING_PER","CUST_TRR_START_DT",Settings!$C$8,"CUST_TRR_END_DT",Settings!$C$4)/100,"")</f>
        <v/>
      </c>
      <c r="I74" s="9">
        <f>IFERROR(BDP(A74,"PX_LAST")/BDH(A74,"PX_LAST",Settings!$C$5,Settings!$C$5)-1,"")</f>
        <v/>
      </c>
      <c r="J74" s="9">
        <f>IFERROR(BDP(A74,"PX_LAST")/BDH(A74,"PX_LAST",Settings!$C$6,Settings!$C$6)-1,"")</f>
        <v/>
      </c>
      <c r="K74" s="9">
        <f>IFERROR(BDP(A74,"PX_LAST")/BDH(A74,"PX_LAST",Settings!$C$7,Settings!$C$7)-1,"")</f>
        <v/>
      </c>
      <c r="L74" s="9">
        <f>IFERROR(BDP(A74,"PX_LAST")/BDH(A74,"PX_LAST",Settings!$C$8,Settings!$C$8)-1,"")</f>
        <v/>
      </c>
    </row>
    <row r="75">
      <c r="A75" s="7" t="inlineStr">
        <is>
          <t>MXHU Index</t>
        </is>
      </c>
      <c r="B75" t="inlineStr">
        <is>
          <t>MSCI Hungary (USD)</t>
        </is>
      </c>
      <c r="C75" t="inlineStr">
        <is>
          <t>EM Country (MSCI)</t>
        </is>
      </c>
      <c r="D75" s="8">
        <f>IFERROR(BDP(A75,"PX_LAST"),"")</f>
        <v/>
      </c>
      <c r="E75" s="9">
        <f>IFERROR(BDP(A75,"CUST_TRR_RETURN_HOLDING_PER","CUST_TRR_START_DT",Settings!$C$5,"CUST_TRR_END_DT",Settings!$C$4)/100,"")</f>
        <v/>
      </c>
      <c r="F75" s="9">
        <f>IFERROR(BDP(A75,"CUST_TRR_RETURN_HOLDING_PER","CUST_TRR_START_DT",Settings!$C$6,"CUST_TRR_END_DT",Settings!$C$4)/100,"")</f>
        <v/>
      </c>
      <c r="G75" s="9">
        <f>IFERROR(BDP(A75,"CUST_TRR_RETURN_HOLDING_PER","CUST_TRR_START_DT",Settings!$C$7,"CUST_TRR_END_DT",Settings!$C$4)/100,"")</f>
        <v/>
      </c>
      <c r="H75" s="9">
        <f>IFERROR(BDP(A75,"CUST_TRR_RETURN_HOLDING_PER","CUST_TRR_START_DT",Settings!$C$8,"CUST_TRR_END_DT",Settings!$C$4)/100,"")</f>
        <v/>
      </c>
      <c r="I75" s="9">
        <f>IFERROR(BDP(A75,"PX_LAST")/BDH(A75,"PX_LAST",Settings!$C$5,Settings!$C$5)-1,"")</f>
        <v/>
      </c>
      <c r="J75" s="9">
        <f>IFERROR(BDP(A75,"PX_LAST")/BDH(A75,"PX_LAST",Settings!$C$6,Settings!$C$6)-1,"")</f>
        <v/>
      </c>
      <c r="K75" s="9">
        <f>IFERROR(BDP(A75,"PX_LAST")/BDH(A75,"PX_LAST",Settings!$C$7,Settings!$C$7)-1,"")</f>
        <v/>
      </c>
      <c r="L75" s="9">
        <f>IFERROR(BDP(A75,"PX_LAST")/BDH(A75,"PX_LAST",Settings!$C$8,Settings!$C$8)-1,"")</f>
        <v/>
      </c>
    </row>
    <row r="76">
      <c r="A76" s="7" t="inlineStr">
        <is>
          <t>MXCZ Index</t>
        </is>
      </c>
      <c r="B76" t="inlineStr">
        <is>
          <t>MSCI Czech Rep (USD)</t>
        </is>
      </c>
      <c r="C76" t="inlineStr">
        <is>
          <t>EM Country (MSCI)</t>
        </is>
      </c>
      <c r="D76" s="8">
        <f>IFERROR(BDP(A76,"PX_LAST"),"")</f>
        <v/>
      </c>
      <c r="E76" s="9">
        <f>IFERROR(BDP(A76,"CUST_TRR_RETURN_HOLDING_PER","CUST_TRR_START_DT",Settings!$C$5,"CUST_TRR_END_DT",Settings!$C$4)/100,"")</f>
        <v/>
      </c>
      <c r="F76" s="9">
        <f>IFERROR(BDP(A76,"CUST_TRR_RETURN_HOLDING_PER","CUST_TRR_START_DT",Settings!$C$6,"CUST_TRR_END_DT",Settings!$C$4)/100,"")</f>
        <v/>
      </c>
      <c r="G76" s="9">
        <f>IFERROR(BDP(A76,"CUST_TRR_RETURN_HOLDING_PER","CUST_TRR_START_DT",Settings!$C$7,"CUST_TRR_END_DT",Settings!$C$4)/100,"")</f>
        <v/>
      </c>
      <c r="H76" s="9">
        <f>IFERROR(BDP(A76,"CUST_TRR_RETURN_HOLDING_PER","CUST_TRR_START_DT",Settings!$C$8,"CUST_TRR_END_DT",Settings!$C$4)/100,"")</f>
        <v/>
      </c>
      <c r="I76" s="9">
        <f>IFERROR(BDP(A76,"PX_LAST")/BDH(A76,"PX_LAST",Settings!$C$5,Settings!$C$5)-1,"")</f>
        <v/>
      </c>
      <c r="J76" s="9">
        <f>IFERROR(BDP(A76,"PX_LAST")/BDH(A76,"PX_LAST",Settings!$C$6,Settings!$C$6)-1,"")</f>
        <v/>
      </c>
      <c r="K76" s="9">
        <f>IFERROR(BDP(A76,"PX_LAST")/BDH(A76,"PX_LAST",Settings!$C$7,Settings!$C$7)-1,"")</f>
        <v/>
      </c>
      <c r="L76" s="9">
        <f>IFERROR(BDP(A76,"PX_LAST")/BDH(A76,"PX_LAST",Settings!$C$8,Settings!$C$8)-1,"")</f>
        <v/>
      </c>
    </row>
    <row r="77">
      <c r="A77" s="7" t="inlineStr">
        <is>
          <t>MXGR Index</t>
        </is>
      </c>
      <c r="B77" t="inlineStr">
        <is>
          <t>MSCI Greece (USD)</t>
        </is>
      </c>
      <c r="C77" t="inlineStr">
        <is>
          <t>EM Country (MSCI)</t>
        </is>
      </c>
      <c r="D77" s="8">
        <f>IFERROR(BDP(A77,"PX_LAST"),"")</f>
        <v/>
      </c>
      <c r="E77" s="9">
        <f>IFERROR(BDP(A77,"CUST_TRR_RETURN_HOLDING_PER","CUST_TRR_START_DT",Settings!$C$5,"CUST_TRR_END_DT",Settings!$C$4)/100,"")</f>
        <v/>
      </c>
      <c r="F77" s="9">
        <f>IFERROR(BDP(A77,"CUST_TRR_RETURN_HOLDING_PER","CUST_TRR_START_DT",Settings!$C$6,"CUST_TRR_END_DT",Settings!$C$4)/100,"")</f>
        <v/>
      </c>
      <c r="G77" s="9">
        <f>IFERROR(BDP(A77,"CUST_TRR_RETURN_HOLDING_PER","CUST_TRR_START_DT",Settings!$C$7,"CUST_TRR_END_DT",Settings!$C$4)/100,"")</f>
        <v/>
      </c>
      <c r="H77" s="9">
        <f>IFERROR(BDP(A77,"CUST_TRR_RETURN_HOLDING_PER","CUST_TRR_START_DT",Settings!$C$8,"CUST_TRR_END_DT",Settings!$C$4)/100,"")</f>
        <v/>
      </c>
      <c r="I77" s="9">
        <f>IFERROR(BDP(A77,"PX_LAST")/BDH(A77,"PX_LAST",Settings!$C$5,Settings!$C$5)-1,"")</f>
        <v/>
      </c>
      <c r="J77" s="9">
        <f>IFERROR(BDP(A77,"PX_LAST")/BDH(A77,"PX_LAST",Settings!$C$6,Settings!$C$6)-1,"")</f>
        <v/>
      </c>
      <c r="K77" s="9">
        <f>IFERROR(BDP(A77,"PX_LAST")/BDH(A77,"PX_LAST",Settings!$C$7,Settings!$C$7)-1,"")</f>
        <v/>
      </c>
      <c r="L77" s="9">
        <f>IFERROR(BDP(A77,"PX_LAST")/BDH(A77,"PX_LAST",Settings!$C$8,Settings!$C$8)-1,"")</f>
        <v/>
      </c>
    </row>
    <row r="78">
      <c r="A78" s="7" t="inlineStr">
        <is>
          <t>MXKW Index</t>
        </is>
      </c>
      <c r="B78" t="inlineStr">
        <is>
          <t>MSCI Kuwait (USD)</t>
        </is>
      </c>
      <c r="C78" t="inlineStr">
        <is>
          <t>EM Country (MSCI)</t>
        </is>
      </c>
      <c r="D78" s="8">
        <f>IFERROR(BDP(A78,"PX_LAST"),"")</f>
        <v/>
      </c>
      <c r="E78" s="9">
        <f>IFERROR(BDP(A78,"CUST_TRR_RETURN_HOLDING_PER","CUST_TRR_START_DT",Settings!$C$5,"CUST_TRR_END_DT",Settings!$C$4)/100,"")</f>
        <v/>
      </c>
      <c r="F78" s="9">
        <f>IFERROR(BDP(A78,"CUST_TRR_RETURN_HOLDING_PER","CUST_TRR_START_DT",Settings!$C$6,"CUST_TRR_END_DT",Settings!$C$4)/100,"")</f>
        <v/>
      </c>
      <c r="G78" s="9">
        <f>IFERROR(BDP(A78,"CUST_TRR_RETURN_HOLDING_PER","CUST_TRR_START_DT",Settings!$C$7,"CUST_TRR_END_DT",Settings!$C$4)/100,"")</f>
        <v/>
      </c>
      <c r="H78" s="9">
        <f>IFERROR(BDP(A78,"CUST_TRR_RETURN_HOLDING_PER","CUST_TRR_START_DT",Settings!$C$8,"CUST_TRR_END_DT",Settings!$C$4)/100,"")</f>
        <v/>
      </c>
      <c r="I78" s="9">
        <f>IFERROR(BDP(A78,"PX_LAST")/BDH(A78,"PX_LAST",Settings!$C$5,Settings!$C$5)-1,"")</f>
        <v/>
      </c>
      <c r="J78" s="9">
        <f>IFERROR(BDP(A78,"PX_LAST")/BDH(A78,"PX_LAST",Settings!$C$6,Settings!$C$6)-1,"")</f>
        <v/>
      </c>
      <c r="K78" s="9">
        <f>IFERROR(BDP(A78,"PX_LAST")/BDH(A78,"PX_LAST",Settings!$C$7,Settings!$C$7)-1,"")</f>
        <v/>
      </c>
      <c r="L78" s="9">
        <f>IFERROR(BDP(A78,"PX_LAST")/BDH(A78,"PX_LAST",Settings!$C$8,Settings!$C$8)-1,"")</f>
        <v/>
      </c>
    </row>
    <row r="79">
      <c r="A79" s="7" t="inlineStr">
        <is>
          <t>MXAE Index</t>
        </is>
      </c>
      <c r="B79" t="inlineStr">
        <is>
          <t>MSCI UAE (USD)</t>
        </is>
      </c>
      <c r="C79" t="inlineStr">
        <is>
          <t>EM Country (MSCI)</t>
        </is>
      </c>
      <c r="D79" s="8">
        <f>IFERROR(BDP(A79,"PX_LAST"),"")</f>
        <v/>
      </c>
      <c r="E79" s="9">
        <f>IFERROR(BDP(A79,"CUST_TRR_RETURN_HOLDING_PER","CUST_TRR_START_DT",Settings!$C$5,"CUST_TRR_END_DT",Settings!$C$4)/100,"")</f>
        <v/>
      </c>
      <c r="F79" s="9">
        <f>IFERROR(BDP(A79,"CUST_TRR_RETURN_HOLDING_PER","CUST_TRR_START_DT",Settings!$C$6,"CUST_TRR_END_DT",Settings!$C$4)/100,"")</f>
        <v/>
      </c>
      <c r="G79" s="9">
        <f>IFERROR(BDP(A79,"CUST_TRR_RETURN_HOLDING_PER","CUST_TRR_START_DT",Settings!$C$7,"CUST_TRR_END_DT",Settings!$C$4)/100,"")</f>
        <v/>
      </c>
      <c r="H79" s="9">
        <f>IFERROR(BDP(A79,"CUST_TRR_RETURN_HOLDING_PER","CUST_TRR_START_DT",Settings!$C$8,"CUST_TRR_END_DT",Settings!$C$4)/100,"")</f>
        <v/>
      </c>
      <c r="I79" s="9">
        <f>IFERROR(BDP(A79,"PX_LAST")/BDH(A79,"PX_LAST",Settings!$C$5,Settings!$C$5)-1,"")</f>
        <v/>
      </c>
      <c r="J79" s="9">
        <f>IFERROR(BDP(A79,"PX_LAST")/BDH(A79,"PX_LAST",Settings!$C$6,Settings!$C$6)-1,"")</f>
        <v/>
      </c>
      <c r="K79" s="9">
        <f>IFERROR(BDP(A79,"PX_LAST")/BDH(A79,"PX_LAST",Settings!$C$7,Settings!$C$7)-1,"")</f>
        <v/>
      </c>
      <c r="L79" s="9">
        <f>IFERROR(BDP(A79,"PX_LAST")/BDH(A79,"PX_LAST",Settings!$C$8,Settings!$C$8)-1,"")</f>
        <v/>
      </c>
    </row>
    <row r="80">
      <c r="A80" s="7" t="inlineStr">
        <is>
          <t>MXQA Index</t>
        </is>
      </c>
      <c r="B80" t="inlineStr">
        <is>
          <t>MSCI Qatar (USD)</t>
        </is>
      </c>
      <c r="C80" t="inlineStr">
        <is>
          <t>EM Country (MSCI)</t>
        </is>
      </c>
      <c r="D80" s="8">
        <f>IFERROR(BDP(A80,"PX_LAST"),"")</f>
        <v/>
      </c>
      <c r="E80" s="9">
        <f>IFERROR(BDP(A80,"CUST_TRR_RETURN_HOLDING_PER","CUST_TRR_START_DT",Settings!$C$5,"CUST_TRR_END_DT",Settings!$C$4)/100,"")</f>
        <v/>
      </c>
      <c r="F80" s="9">
        <f>IFERROR(BDP(A80,"CUST_TRR_RETURN_HOLDING_PER","CUST_TRR_START_DT",Settings!$C$6,"CUST_TRR_END_DT",Settings!$C$4)/100,"")</f>
        <v/>
      </c>
      <c r="G80" s="9">
        <f>IFERROR(BDP(A80,"CUST_TRR_RETURN_HOLDING_PER","CUST_TRR_START_DT",Settings!$C$7,"CUST_TRR_END_DT",Settings!$C$4)/100,"")</f>
        <v/>
      </c>
      <c r="H80" s="9">
        <f>IFERROR(BDP(A80,"CUST_TRR_RETURN_HOLDING_PER","CUST_TRR_START_DT",Settings!$C$8,"CUST_TRR_END_DT",Settings!$C$4)/100,"")</f>
        <v/>
      </c>
      <c r="I80" s="9">
        <f>IFERROR(BDP(A80,"PX_LAST")/BDH(A80,"PX_LAST",Settings!$C$5,Settings!$C$5)-1,"")</f>
        <v/>
      </c>
      <c r="J80" s="9">
        <f>IFERROR(BDP(A80,"PX_LAST")/BDH(A80,"PX_LAST",Settings!$C$6,Settings!$C$6)-1,"")</f>
        <v/>
      </c>
      <c r="K80" s="9">
        <f>IFERROR(BDP(A80,"PX_LAST")/BDH(A80,"PX_LAST",Settings!$C$7,Settings!$C$7)-1,"")</f>
        <v/>
      </c>
      <c r="L80" s="9">
        <f>IFERROR(BDP(A80,"PX_LAST")/BDH(A80,"PX_LAST",Settings!$C$8,Settings!$C$8)-1,"")</f>
        <v/>
      </c>
    </row>
    <row r="82">
      <c r="A82" s="10" t="inlineStr">
        <is>
          <t>Notes:</t>
        </is>
      </c>
    </row>
    <row r="83">
      <c r="A83" s="11" t="inlineStr">
        <is>
          <t>• Blue = Bloomberg ticker. Edit any that don't resolve and the row will refresh automatically.</t>
        </is>
      </c>
    </row>
    <row r="84">
      <c r="A84" s="11" t="inlineStr">
        <is>
          <t>• TR columns use BDP(CUST_TRR_RETURN_HOLDING_PER) with date overrides from the Settings sheet — includes dividends.</t>
        </is>
      </c>
    </row>
    <row r="85">
      <c r="A85" s="11" t="inlineStr">
        <is>
          <t>• Px columns use BDP(PX_LAST) today / BDH(PX_LAST) on the start date − 1 — price only, no dividends.</t>
        </is>
      </c>
    </row>
    <row r="86">
      <c r="A86" s="11" t="inlineStr">
        <is>
          <t>• TR formulas divide by 100. If your Bloomberg returns CUST_TRR as a decimal, remove the /100 in those formulas.</t>
        </is>
      </c>
    </row>
    <row r="87">
      <c r="A87" s="11" t="inlineStr">
        <is>
          <t>• 'TR vs Custom' / 'Px vs Custom' compare today vs Settings!B8. Edit B8 (in Settings, highlighted yellow) to pick any date.</t>
        </is>
      </c>
    </row>
  </sheetData>
  <mergeCells count="13">
    <mergeCell ref="A38:L38"/>
    <mergeCell ref="A54:L54"/>
    <mergeCell ref="A86:L86"/>
    <mergeCell ref="A15:L15"/>
    <mergeCell ref="A87:L87"/>
    <mergeCell ref="A33:L33"/>
    <mergeCell ref="A85:L85"/>
    <mergeCell ref="A1:L1"/>
    <mergeCell ref="A84:L84"/>
    <mergeCell ref="A6:L6"/>
    <mergeCell ref="A27:L27"/>
    <mergeCell ref="A83:L83"/>
    <mergeCell ref="A35:L35"/>
  </mergeCells>
  <conditionalFormatting sqref="E6:E8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F6:F80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G6:G80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H6:H80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I6:I80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J6:J80">
    <cfRule type="colorScale" priority="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K6:K80">
    <cfRule type="colorScale" priority="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L6:L80">
    <cfRule type="colorScale" priority="8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60" customWidth="1" min="4" max="4"/>
  </cols>
  <sheetData>
    <row r="1">
      <c r="A1" s="1" t="inlineStr">
        <is>
          <t>Performance — Date Settings</t>
        </is>
      </c>
    </row>
    <row r="3">
      <c r="A3" s="12" t="inlineStr">
        <is>
          <t>Label</t>
        </is>
      </c>
      <c r="B3" s="12" t="inlineStr">
        <is>
          <t>Date</t>
        </is>
      </c>
      <c r="C3" s="12" t="inlineStr">
        <is>
          <t>YYYYMMDD (Bloomberg)</t>
        </is>
      </c>
      <c r="D3" s="12" t="inlineStr">
        <is>
          <t>Used for</t>
        </is>
      </c>
    </row>
    <row r="4">
      <c r="A4" t="inlineStr">
        <is>
          <t>Today</t>
        </is>
      </c>
      <c r="B4" s="13">
        <f>TODAY()</f>
        <v/>
      </c>
      <c r="C4" s="14">
        <f>TEXT(B4,"yyyymmdd")</f>
        <v/>
      </c>
      <c r="D4" s="11" t="inlineStr">
        <is>
          <t>End date for all windows</t>
        </is>
      </c>
    </row>
    <row r="5">
      <c r="A5" t="inlineStr">
        <is>
          <t>YTD baseline</t>
        </is>
      </c>
      <c r="B5" s="13">
        <f>DATE(YEAR(TODAY())-1,12,31)</f>
        <v/>
      </c>
      <c r="C5" s="14">
        <f>TEXT(B5,"yyyymmdd")</f>
        <v/>
      </c>
      <c r="D5" s="11" t="inlineStr">
        <is>
          <t>Prior year-end close</t>
        </is>
      </c>
    </row>
    <row r="6">
      <c r="A6" t="inlineStr">
        <is>
          <t>1M ago</t>
        </is>
      </c>
      <c r="B6" s="13">
        <f>EDATE(TODAY(),-1)</f>
        <v/>
      </c>
      <c r="C6" s="14">
        <f>TEXT(B6,"yyyymmdd")</f>
        <v/>
      </c>
      <c r="D6" s="11" t="inlineStr">
        <is>
          <t>One month trailing</t>
        </is>
      </c>
    </row>
    <row r="7">
      <c r="A7" t="inlineStr">
        <is>
          <t>3M ago</t>
        </is>
      </c>
      <c r="B7" s="13">
        <f>EDATE(TODAY(),-3)</f>
        <v/>
      </c>
      <c r="C7" s="14">
        <f>TEXT(B7,"yyyymmdd")</f>
        <v/>
      </c>
      <c r="D7" s="11" t="inlineStr">
        <is>
          <t>Three months trailing</t>
        </is>
      </c>
    </row>
    <row r="8">
      <c r="A8" s="15" t="inlineStr">
        <is>
          <t>Custom date</t>
        </is>
      </c>
      <c r="B8" s="16">
        <f>EDATE(TODAY(),-6)</f>
        <v/>
      </c>
      <c r="C8" s="14">
        <f>TEXT(B8,"yyyymmdd")</f>
        <v/>
      </c>
      <c r="D8" s="11" t="inlineStr">
        <is>
          <t>EDIT ME — any date you want to compare today against</t>
        </is>
      </c>
    </row>
    <row r="10">
      <c r="A10" s="10" t="inlineStr">
        <is>
          <t>Notes</t>
        </is>
      </c>
    </row>
    <row r="11">
      <c r="A11" s="11" t="inlineStr">
        <is>
          <t>All performance numbers on the Data sheet anchor to these cells. Change B8 to compare today vs any date.</t>
        </is>
      </c>
    </row>
    <row r="12">
      <c r="A12" s="11" t="inlineStr">
        <is>
          <t>Total return uses Bloomberg's CUST_TRR_RETURN_HOLDING_PER with date overrides — captures dividends.</t>
        </is>
      </c>
    </row>
    <row r="13">
      <c r="A13" s="11" t="inlineStr">
        <is>
          <t>Price return uses PX_LAST today divided by PX_LAST on the start date — no dividends.</t>
        </is>
      </c>
    </row>
    <row r="14">
      <c r="A14" s="11" t="inlineStr">
        <is>
          <t>Bloomberg CUST_TRR_RETURN_HOLDING_PER typically returns a percentage value (e.g. 5.2 = 5.2%) — formulas /100 to give a decimal,</t>
        </is>
      </c>
    </row>
    <row r="15">
      <c r="A15" s="11" t="inlineStr">
        <is>
          <t>then the cell is formatted as %. If your Bloomberg returns it as decimal already, remove the /100.</t>
        </is>
      </c>
    </row>
  </sheetData>
  <mergeCells count="6">
    <mergeCell ref="A1:D1"/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2026-05-12T00:39:55Z</dcterms:created>
  <dcterms:modified xmlns:dcterms="http://purl.org/dc/terms/" xmlns:xsi="http://www.w3.org/2001/XMLSchema-instance" xsi:type="dcterms:W3CDTF">2026-05-12T00:39:55Z</dcterms:modified>
</cp:coreProperties>
</file>