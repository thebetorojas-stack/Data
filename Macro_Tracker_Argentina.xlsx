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2.xml" ContentType="application/vnd.openxmlformats-officedocument.spreadsheetml.table+xml"/>
  <Override PartName="/xl/tables/table24.xml" ContentType="application/vnd.openxmlformats-officedocument.spreadsheetml.table+xml"/>
  <Override PartName="/xl/tables/table22.xml" ContentType="application/vnd.openxmlformats-officedocument.spreadsheetml.table+xml"/>
  <Override PartName="/xl/tables/table27.xml" ContentType="application/vnd.openxmlformats-officedocument.spreadsheetml.table+xml"/>
  <Override PartName="/xl/tables/table23.xml" ContentType="application/vnd.openxmlformats-officedocument.spreadsheetml.table+xml"/>
  <Override PartName="/xl/tables/table15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21.xml" ContentType="application/vnd.openxmlformats-officedocument.spreadsheetml.table+xml"/>
  <Override PartName="/xl/tables/table8.xml" ContentType="application/vnd.openxmlformats-officedocument.spreadsheetml.table+xml"/>
  <Override PartName="/xl/tables/table28.xml" ContentType="application/vnd.openxmlformats-officedocument.spreadsheetml.table+xml"/>
  <Override PartName="/xl/tables/table2.xml" ContentType="application/vnd.openxmlformats-officedocument.spreadsheetml.table+xml"/>
  <Override PartName="/xl/tables/table10.xml" ContentType="application/vnd.openxmlformats-officedocument.spreadsheetml.table+xml"/>
  <Override PartName="/xl/tables/table14.xml" ContentType="application/vnd.openxmlformats-officedocument.spreadsheetml.table+xml"/>
  <Override PartName="/xl/tables/table13.xml" ContentType="application/vnd.openxmlformats-officedocument.spreadsheetml.table+xml"/>
  <Override PartName="/xl/tables/table26.xml" ContentType="application/vnd.openxmlformats-officedocument.spreadsheetml.table+xml"/>
  <Override PartName="/xl/tables/table16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25.xml" ContentType="application/vnd.openxmlformats-officedocument.spreadsheetml.table+xml"/>
  <Override PartName="/xl/tables/table7.xml" ContentType="application/vnd.openxmlformats-officedocument.spreadsheetml.table+xml"/>
  <Override PartName="/xl/tables/table20.xml" ContentType="application/vnd.openxmlformats-officedocument.spreadsheetml.table+xml"/>
  <Override PartName="/xl/tables/table19.xml" ContentType="application/vnd.openxmlformats-officedocument.spreadsheetml.table+xml"/>
  <Override PartName="/xl/tables/table11.xml" ContentType="application/vnd.openxmlformats-officedocument.spreadsheetml.table+xml"/>
  <Override PartName="/xl/tables/table17.xml" ContentType="application/vnd.openxmlformats-officedocument.spreadsheetml.table+xml"/>
  <Override PartName="/xl/tables/table1.xml" ContentType="application/vnd.openxmlformats-officedocument.spreadsheetml.table+xml"/>
  <Override PartName="/xl/tables/table18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style3.xml" ContentType="application/vnd.ms-office.chartstyle+xml"/>
  <Override PartName="/xl/charts/style2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style14.xml" ContentType="application/vnd.ms-office.chartstyle+xml"/>
  <Override PartName="/xl/charts/chart4.xml" ContentType="application/vnd.openxmlformats-officedocument.drawingml.chart+xml"/>
  <Override PartName="/xl/charts/colors7.xml" ContentType="application/vnd.ms-office.chartcolorstyle+xml"/>
  <Override PartName="/xl/charts/chart11.xml" ContentType="application/vnd.openxmlformats-officedocument.drawingml.chart+xml"/>
  <Override PartName="/xl/charts/colors10.xml" ContentType="application/vnd.ms-office.chartcolorstyle+xml"/>
  <Override PartName="/xl/charts/colors12.xml" ContentType="application/vnd.ms-office.chartcolorstyle+xml"/>
  <Override PartName="/xl/charts/style11.xml" ContentType="application/vnd.ms-office.chartstyle+xml"/>
  <Override PartName="/xl/charts/style13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colors13.xml" ContentType="application/vnd.ms-office.chartcolorstyle+xml"/>
  <Override PartName="/xl/charts/colors5.xml" ContentType="application/vnd.ms-office.chartcolorstyle+xml"/>
  <Override PartName="/xl/charts/style8.xml" ContentType="application/vnd.ms-office.chartstyle+xml"/>
  <Override PartName="/xl/charts/chart14.xml" ContentType="application/vnd.openxmlformats-officedocument.drawingml.chart+xml"/>
  <Override PartName="/xl/charts/colors1.xml" ContentType="application/vnd.ms-office.chartcolorstyle+xml"/>
  <Override PartName="/xl/charts/colors3.xml" ContentType="application/vnd.ms-office.chartcolor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4.xml" ContentType="application/vnd.ms-office.chartcolorstyle+xml"/>
  <Override PartName="/xl/charts/chart7.xml" ContentType="application/vnd.openxmlformats-officedocument.drawingml.chart+xml"/>
  <Override PartName="/xl/charts/style1.xml" ContentType="application/vnd.ms-office.chartstyle+xml"/>
  <Override PartName="/xl/charts/style9.xml" ContentType="application/vnd.ms-office.chartstyle+xml"/>
  <Override PartName="/xl/charts/chart3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style12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des" sheetId="2" state="visible" r:id="rId4"/>
    <sheet name="GDP" sheetId="3" state="visible" r:id="rId5"/>
    <sheet name="Inflation" sheetId="4" state="visible" r:id="rId6"/>
    <sheet name="Fiscal" sheetId="5" state="visible" r:id="rId7"/>
    <sheet name="BoP" sheetId="6" state="visible" r:id="rId8"/>
    <sheet name="Reserves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<sst xmlns="http://schemas.openxmlformats.org/spreadsheetml/2006/main" count="493" uniqueCount="154">
  <si>
    <t xml:space="preserve">Macro Tracker — Argentina</t>
  </si>
  <si>
    <t xml:space="preserve">Generated 2026-05-03 15:06.  Edit the Codes sheet, then run refresh.py.</t>
  </si>
  <si>
    <t xml:space="preserve">How this works</t>
  </si>
  <si>
    <t xml:space="preserve">1. Codes sheet</t>
  </si>
  <si>
    <t xml:space="preserve">One row per indicator. Section drives which tab the indicator lands on. Edit cells in yellow.</t>
  </si>
  <si>
    <t xml:space="preserve">2. Run refresh.py</t>
  </si>
  <si>
    <t xml:space="preserve">Pulls every series from Haver (or CSV / synthetic fallback) and rebuilds every tab and chart.</t>
  </si>
  <si>
    <t xml:space="preserve">3. Open this file</t>
  </si>
  <si>
    <t xml:space="preserve">Each category tab shows quarterly + annual blocks, a 2-year forecast, and a chart that auto-extends with the underlying Tables.</t>
  </si>
  <si>
    <t xml:space="preserve">Color convention</t>
  </si>
  <si>
    <t xml:space="preserve">Yellow fill</t>
  </si>
  <si>
    <t xml:space="preserve">Inputs you can change (codes on the Codes tab).</t>
  </si>
  <si>
    <t xml:space="preserve">Blue text</t>
  </si>
  <si>
    <t xml:space="preserve">Hardcoded values written by refresh.py (raw data, forecasts).</t>
  </si>
  <si>
    <t xml:space="preserve">Black text</t>
  </si>
  <si>
    <t xml:space="preserve">Excel formulas (growth rates, aggregations).</t>
  </si>
  <si>
    <t xml:space="preserve">Green text</t>
  </si>
  <si>
    <t xml:space="preserve">Cross-sheet links.</t>
  </si>
  <si>
    <t xml:space="preserve">Forecast methods</t>
  </si>
  <si>
    <t xml:space="preserve">Linear trend</t>
  </si>
  <si>
    <t xml:space="preserve">Log-linear regression on the full quarterly history, extended 8 quarters.</t>
  </si>
  <si>
    <t xml:space="preserve">Holt-Winters</t>
  </si>
  <si>
    <t xml:space="preserve">Additive damped-trend exponential smoothing with seasonal terms when history allows. 95% bands are residual-σ × √h.</t>
  </si>
  <si>
    <t xml:space="preserve">Aggregation rules</t>
  </si>
  <si>
    <t xml:space="preserve">GDP / Inflation</t>
  </si>
  <si>
    <t xml:space="preserve">Average across periods (works for SAAR levels and price indices).</t>
  </si>
  <si>
    <t xml:space="preserve">Fiscal / BoP flows</t>
  </si>
  <si>
    <t xml:space="preserve">Sum across periods.</t>
  </si>
  <si>
    <t xml:space="preserve">Stocks (Debt, Reserves)</t>
  </si>
  <si>
    <t xml:space="preserve">Last value of period.</t>
  </si>
  <si>
    <t xml:space="preserve">Codes — Single Source of Truth  (Argentina)</t>
  </si>
  <si>
    <t xml:space="preserve">Edit codes here, then run refresh.py. Frequency: D/W/M/Q/A. Annual Code is optional (auto-derived from quarterly if blank).</t>
  </si>
  <si>
    <t xml:space="preserve">Section</t>
  </si>
  <si>
    <t xml:space="preserve">Indicator</t>
  </si>
  <si>
    <t xml:space="preserve">Country</t>
  </si>
  <si>
    <t xml:space="preserve">Frequency</t>
  </si>
  <si>
    <t xml:space="preserve">Quarterly Code</t>
  </si>
  <si>
    <t xml:space="preserve">Annual Code</t>
  </si>
  <si>
    <t xml:space="preserve">Units</t>
  </si>
  <si>
    <t xml:space="preserve">Notes</t>
  </si>
  <si>
    <t xml:space="preserve">GDP</t>
  </si>
  <si>
    <t xml:space="preserve">Real GDP (SA)</t>
  </si>
  <si>
    <t xml:space="preserve">Argentina</t>
  </si>
  <si>
    <t xml:space="preserve">Q</t>
  </si>
  <si>
    <t xml:space="preserve">S213NGPC@LATAM</t>
  </si>
  <si>
    <t xml:space="preserve">S213NGPCA@LATAM</t>
  </si>
  <si>
    <t xml:space="preserve">Mn 2004 ARS</t>
  </si>
  <si>
    <t xml:space="preserve">[VERIFY] Argentina is country code 213 in IFS-style mnemonics. Replace with your subscription's exact code.</t>
  </si>
  <si>
    <t xml:space="preserve">Nominal GDP</t>
  </si>
  <si>
    <t xml:space="preserve">S213NGDP@LATAM</t>
  </si>
  <si>
    <t xml:space="preserve">S213NGDPA@LATAM</t>
  </si>
  <si>
    <t xml:space="preserve">Mn ARS</t>
  </si>
  <si>
    <t xml:space="preserve">[VERIFY]</t>
  </si>
  <si>
    <t xml:space="preserve">EMAE Monthly Activity Index</t>
  </si>
  <si>
    <t xml:space="preserve">M</t>
  </si>
  <si>
    <t xml:space="preserve">EMAE@ARGEN</t>
  </si>
  <si>
    <t xml:space="preserve">EMAEA@ARGEN</t>
  </si>
  <si>
    <t xml:space="preserve">Index 2004=100</t>
  </si>
  <si>
    <t xml:space="preserve">INDEC monthly activity proxy. [VERIFY] code; @ARGEN may differ on your subscription.</t>
  </si>
  <si>
    <t xml:space="preserve">Inflation</t>
  </si>
  <si>
    <t xml:space="preserve">CPI National (IPC nacional)</t>
  </si>
  <si>
    <t xml:space="preserve">IPCNAC@ARGEN</t>
  </si>
  <si>
    <t xml:space="preserve">IPCNACA@ARGEN</t>
  </si>
  <si>
    <t xml:space="preserve">Index Dec-2016=100</t>
  </si>
  <si>
    <t xml:space="preserve">INDEC IPC nacional. Note: pre-2017 series has structural breaks (INDEC reform, suspension 2007-15).</t>
  </si>
  <si>
    <t xml:space="preserve">Core CPI</t>
  </si>
  <si>
    <t xml:space="preserve">IPCCORE@ARGEN</t>
  </si>
  <si>
    <t xml:space="preserve">IPCCOREA@ARGEN</t>
  </si>
  <si>
    <t xml:space="preserve">Index</t>
  </si>
  <si>
    <t xml:space="preserve">Wholesale Price Index (IPIM)</t>
  </si>
  <si>
    <t xml:space="preserve">IPIM@ARGEN</t>
  </si>
  <si>
    <t xml:space="preserve">IPIMA@ARGEN</t>
  </si>
  <si>
    <t xml:space="preserve">Fiscal</t>
  </si>
  <si>
    <t xml:space="preserve">Primary Fiscal Balance</t>
  </si>
  <si>
    <t xml:space="preserve">SPNFBAL@ARGEN</t>
  </si>
  <si>
    <t xml:space="preserve">SPNFBALA@ARGEN</t>
  </si>
  <si>
    <t xml:space="preserve">Sector Publico Nacional No Financiero. [VERIFY]</t>
  </si>
  <si>
    <t xml:space="preserve">Federal Tax Revenue</t>
  </si>
  <si>
    <t xml:space="preserve">RECNAC@ARGEN</t>
  </si>
  <si>
    <t xml:space="preserve">RECNACA@ARGEN</t>
  </si>
  <si>
    <t xml:space="preserve">Public Debt (External + Domestic)</t>
  </si>
  <si>
    <t xml:space="preserve">DEUDPUB@ARGEN</t>
  </si>
  <si>
    <t xml:space="preserve">DEUDPUBA@ARGEN</t>
  </si>
  <si>
    <t xml:space="preserve">USD Mn</t>
  </si>
  <si>
    <t xml:space="preserve">BoP</t>
  </si>
  <si>
    <t xml:space="preserve">Current Account Balance</t>
  </si>
  <si>
    <t xml:space="preserve">S213NCABA@LATAM</t>
  </si>
  <si>
    <t xml:space="preserve">S213NCABAA@LATAM</t>
  </si>
  <si>
    <t xml:space="preserve">INDEC / BCRA. [VERIFY]</t>
  </si>
  <si>
    <t xml:space="preserve">Trade Balance</t>
  </si>
  <si>
    <t xml:space="preserve">EXPMP@ARGEN</t>
  </si>
  <si>
    <t xml:space="preserve">EXPMPA@ARGEN</t>
  </si>
  <si>
    <t xml:space="preserve">Exports minus imports. [VERIFY]</t>
  </si>
  <si>
    <t xml:space="preserve">Foreign Direct Investment</t>
  </si>
  <si>
    <t xml:space="preserve">FDIANN@ARGEN</t>
  </si>
  <si>
    <t xml:space="preserve">FDIANNA@ARGEN</t>
  </si>
  <si>
    <t xml:space="preserve">Reserves</t>
  </si>
  <si>
    <t xml:space="preserve">BCRA International Reserves</t>
  </si>
  <si>
    <t xml:space="preserve">RESINT@ARGEN</t>
  </si>
  <si>
    <t xml:space="preserve">RESINTA@ARGEN</t>
  </si>
  <si>
    <t xml:space="preserve">Banco Central de la República Argentina, total international reserves. [VERIFY]</t>
  </si>
  <si>
    <t xml:space="preserve">Net International Reserves</t>
  </si>
  <si>
    <t xml:space="preserve">RESNET@ARGEN</t>
  </si>
  <si>
    <t xml:space="preserve">RESNETA@ARGEN</t>
  </si>
  <si>
    <t xml:space="preserve">BCRA NIR (gross minus liabilities). [VERIFY]</t>
  </si>
  <si>
    <t xml:space="preserve">GDP — Argentina</t>
  </si>
  <si>
    <t xml:space="preserve">3 indicator(s) — pulled from Codes sheet.</t>
  </si>
  <si>
    <t xml:space="preserve">Real GDP (SA)    [S213NGPC@LATAM]    Mn 2004 ARS</t>
  </si>
  <si>
    <t xml:space="preserve">Source</t>
  </si>
  <si>
    <t xml:space="preserve">Synthetic demo</t>
  </si>
  <si>
    <t xml:space="preserve">Forecast (linear)</t>
  </si>
  <si>
    <t xml:space="preserve">Log-linear regression on full history. Implied annualised growth: 1.99%</t>
  </si>
  <si>
    <t xml:space="preserve">Forecast (HW)</t>
  </si>
  <si>
    <t xml:space="preserve">numpy Holt-Winters fallback (additive, damped, seasonal=add)</t>
  </si>
  <si>
    <t xml:space="preserve">Quarterly</t>
  </si>
  <si>
    <t xml:space="preserve">Annual</t>
  </si>
  <si>
    <t xml:space="preserve">Date</t>
  </si>
  <si>
    <t xml:space="preserve">Level</t>
  </si>
  <si>
    <t xml:space="preserve">QoQ %</t>
  </si>
  <si>
    <t xml:space="preserve">YoY %</t>
  </si>
  <si>
    <t xml:space="preserve">Linear Fcst</t>
  </si>
  <si>
    <t xml:space="preserve">HW Fcst</t>
  </si>
  <si>
    <t xml:space="preserve">HW Range</t>
  </si>
  <si>
    <t xml:space="preserve">Year</t>
  </si>
  <si>
    <t xml:space="preserve">Annual Fcst (HW)</t>
  </si>
  <si>
    <t xml:space="preserve">Nominal GDP    [S213NGDP@LATAM]    Mn ARS</t>
  </si>
  <si>
    <t xml:space="preserve">Log-linear regression on full history. Implied annualised growth: 2.25%</t>
  </si>
  <si>
    <t xml:space="preserve">EMAE Monthly Activity Index    [EMAE@ARGEN]    Index 2004=100</t>
  </si>
  <si>
    <t xml:space="preserve">Log-linear regression on full history. Implied annualised growth: 2.03%</t>
  </si>
  <si>
    <t xml:space="preserve">Inflation — Argentina</t>
  </si>
  <si>
    <t xml:space="preserve">CPI National (IPC nacional)    [IPCNAC@ARGEN]    Index Dec-2016=100</t>
  </si>
  <si>
    <t xml:space="preserve">Log-linear regression on full history. Implied annualised growth: 1.97%</t>
  </si>
  <si>
    <t xml:space="preserve">Core CPI    [IPCCORE@ARGEN]    Index</t>
  </si>
  <si>
    <t xml:space="preserve">Log-linear regression on full history. Implied annualised growth: 2.02%</t>
  </si>
  <si>
    <t xml:space="preserve">Wholesale Price Index (IPIM)    [IPIM@ARGEN]    Index</t>
  </si>
  <si>
    <t xml:space="preserve">Fiscal — Argentina</t>
  </si>
  <si>
    <t xml:space="preserve">Primary Fiscal Balance    [SPNFBAL@ARGEN]    Mn ARS</t>
  </si>
  <si>
    <t xml:space="preserve">Federal Tax Revenue    [RECNAC@ARGEN]    Mn ARS</t>
  </si>
  <si>
    <t xml:space="preserve">Log-linear regression on full history. Implied annualised growth: 1.98%</t>
  </si>
  <si>
    <t xml:space="preserve">Public Debt (External + Domestic)    [DEUDPUB@ARGEN]    USD Mn</t>
  </si>
  <si>
    <t xml:space="preserve">Log-linear regression on full history. Implied annualised growth: 2.00%</t>
  </si>
  <si>
    <t xml:space="preserve">BoP — Argentina</t>
  </si>
  <si>
    <t xml:space="preserve">Current Account Balance    [S213NCABA@LATAM]    USD Mn</t>
  </si>
  <si>
    <t xml:space="preserve">Trade Balance    [EXPMP@ARGEN]    USD Mn</t>
  </si>
  <si>
    <t xml:space="preserve">Foreign Direct Investment    [FDIANN@ARGEN]    USD Mn</t>
  </si>
  <si>
    <t xml:space="preserve">Reserves — Argentina</t>
  </si>
  <si>
    <t xml:space="preserve">2 indicator(s) — pulled from Codes sheet.</t>
  </si>
  <si>
    <t xml:space="preserve">BCRA International Reserves    [RESINT@ARGEN]    USD Mn</t>
  </si>
  <si>
    <t xml:space="preserve">Net International Reserves    [RESNET@ARGEN]    USD Mn</t>
  </si>
  <si>
    <t xml:space="preserve">Dashboard — Latest Reads &amp; 2y Forecast  (Argentina)</t>
  </si>
  <si>
    <t xml:space="preserve">Cross-sheet KPIs (links pull live from each category tab).</t>
  </si>
  <si>
    <t xml:space="preserve">Latest date</t>
  </si>
  <si>
    <t xml:space="preserve">Latest value</t>
  </si>
  <si>
    <t xml:space="preserve">2y forecast (HW)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</si>
</sst>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;\(#,##0.00\);\-"/>
    <numFmt numFmtId="167" formatCode="0"/>
    <numFmt numFmtId="168" formatCode="0.00\%;\(0.00&quot;%)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Real GDP (SA)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GDP!B7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GDP!$B$8:$B$99</c:f>
              <c:numCache>
                <c:formatCode>#,##0.00;\(#,##0.00\);\-</c:formatCode>
                <c:ptCount val="92"/>
                <c:pt idx="0">
                  <c:v>99.3231835155948</c:v>
                </c:pt>
                <c:pt idx="1">
                  <c:v>100.714904626678</c:v>
                </c:pt>
                <c:pt idx="2">
                  <c:v>101.511081151986</c:v>
                </c:pt>
                <c:pt idx="3">
                  <c:v>101.177485946929</c:v>
                </c:pt>
                <c:pt idx="4">
                  <c:v>102.324925009525</c:v>
                </c:pt>
                <c:pt idx="5">
                  <c:v>103.08770125484</c:v>
                </c:pt>
                <c:pt idx="6">
                  <c:v>103.54137328174</c:v>
                </c:pt>
                <c:pt idx="7">
                  <c:v>103.535625231024</c:v>
                </c:pt>
                <c:pt idx="8">
                  <c:v>104.22908650591</c:v>
                </c:pt>
                <c:pt idx="9">
                  <c:v>104.445409493528</c:v>
                </c:pt>
                <c:pt idx="10">
                  <c:v>105.698042138184</c:v>
                </c:pt>
                <c:pt idx="11">
                  <c:v>105.358053215342</c:v>
                </c:pt>
                <c:pt idx="12">
                  <c:v>106.540880195165</c:v>
                </c:pt>
                <c:pt idx="13">
                  <c:v>106.987122018101</c:v>
                </c:pt>
                <c:pt idx="14">
                  <c:v>106.95213661966</c:v>
                </c:pt>
                <c:pt idx="15">
                  <c:v>108.371533613893</c:v>
                </c:pt>
                <c:pt idx="16">
                  <c:v>107.850817381662</c:v>
                </c:pt>
                <c:pt idx="17">
                  <c:v>108.086887346193</c:v>
                </c:pt>
                <c:pt idx="18">
                  <c:v>109.45374925695</c:v>
                </c:pt>
                <c:pt idx="19">
                  <c:v>110.41759613459</c:v>
                </c:pt>
                <c:pt idx="20">
                  <c:v>110.61639734786</c:v>
                </c:pt>
                <c:pt idx="21">
                  <c:v>111.638949987599</c:v>
                </c:pt>
                <c:pt idx="22">
                  <c:v>111.39165202129</c:v>
                </c:pt>
                <c:pt idx="23">
                  <c:v>111.977754500828</c:v>
                </c:pt>
                <c:pt idx="24">
                  <c:v>112.610709780168</c:v>
                </c:pt>
                <c:pt idx="25">
                  <c:v>113.097648429796</c:v>
                </c:pt>
                <c:pt idx="26">
                  <c:v>114.285393957834</c:v>
                </c:pt>
                <c:pt idx="27">
                  <c:v>115.321273892337</c:v>
                </c:pt>
                <c:pt idx="28">
                  <c:v>115.074300853747</c:v>
                </c:pt>
                <c:pt idx="29">
                  <c:v>116.215482882697</c:v>
                </c:pt>
                <c:pt idx="30">
                  <c:v>116.647052484973</c:v>
                </c:pt>
                <c:pt idx="31">
                  <c:v>116.406067880885</c:v>
                </c:pt>
                <c:pt idx="32">
                  <c:v>117.635030962417</c:v>
                </c:pt>
                <c:pt idx="33">
                  <c:v>117.303290089069</c:v>
                </c:pt>
                <c:pt idx="34">
                  <c:v>119.422778973147</c:v>
                </c:pt>
                <c:pt idx="35">
                  <c:v>118.42060674395</c:v>
                </c:pt>
                <c:pt idx="36">
                  <c:v>119.879922885052</c:v>
                </c:pt>
                <c:pt idx="37">
                  <c:v>119.947296097313</c:v>
                </c:pt>
                <c:pt idx="38">
                  <c:v>120.794088071887</c:v>
                </c:pt>
                <c:pt idx="39">
                  <c:v>121.608033010088</c:v>
                </c:pt>
                <c:pt idx="40">
                  <c:v>122.265246752225</c:v>
                </c:pt>
                <c:pt idx="41">
                  <c:v>122.894491967669</c:v>
                </c:pt>
                <c:pt idx="42">
                  <c:v>123.927450978709</c:v>
                </c:pt>
                <c:pt idx="43">
                  <c:v>124.200951557401</c:v>
                </c:pt>
                <c:pt idx="44">
                  <c:v>124.749364165774</c:v>
                </c:pt>
                <c:pt idx="45">
                  <c:v>125.141378020503</c:v>
                </c:pt>
                <c:pt idx="46">
                  <c:v>126.582997884067</c:v>
                </c:pt>
                <c:pt idx="47">
                  <c:v>126.732842185686</c:v>
                </c:pt>
                <c:pt idx="48">
                  <c:v>127.31112334539</c:v>
                </c:pt>
                <c:pt idx="49">
                  <c:v>127.56120849123</c:v>
                </c:pt>
                <c:pt idx="50">
                  <c:v>128.811711520496</c:v>
                </c:pt>
                <c:pt idx="51">
                  <c:v>128.91978149761</c:v>
                </c:pt>
                <c:pt idx="52">
                  <c:v>129.325485539872</c:v>
                </c:pt>
                <c:pt idx="53">
                  <c:v>130.511573761969</c:v>
                </c:pt>
                <c:pt idx="54">
                  <c:v>131.34717702084</c:v>
                </c:pt>
                <c:pt idx="55">
                  <c:v>131.799699911478</c:v>
                </c:pt>
                <c:pt idx="56">
                  <c:v>132.304053936011</c:v>
                </c:pt>
                <c:pt idx="57">
                  <c:v>132.706373422975</c:v>
                </c:pt>
                <c:pt idx="58">
                  <c:v>132.960563001001</c:v>
                </c:pt>
                <c:pt idx="59">
                  <c:v>133.348823576433</c:v>
                </c:pt>
                <c:pt idx="60">
                  <c:v>134.372815524628</c:v>
                </c:pt>
                <c:pt idx="61">
                  <c:v>135.745689417324</c:v>
                </c:pt>
                <c:pt idx="62">
                  <c:v>135.075534923611</c:v>
                </c:pt>
                <c:pt idx="63">
                  <c:v>136.909577180052</c:v>
                </c:pt>
                <c:pt idx="64">
                  <c:v>136.865047845102</c:v>
                </c:pt>
                <c:pt idx="65">
                  <c:v>138.127395685973</c:v>
                </c:pt>
                <c:pt idx="66">
                  <c:v>139.534364383814</c:v>
                </c:pt>
                <c:pt idx="67">
                  <c:v>140.311286046277</c:v>
                </c:pt>
                <c:pt idx="68">
                  <c:v>140.094534649159</c:v>
                </c:pt>
                <c:pt idx="69">
                  <c:v>140.70581979379</c:v>
                </c:pt>
                <c:pt idx="70">
                  <c:v>141.383843913066</c:v>
                </c:pt>
                <c:pt idx="71">
                  <c:v>141.566405423491</c:v>
                </c:pt>
                <c:pt idx="72">
                  <c:v>142.736621313148</c:v>
                </c:pt>
                <c:pt idx="73">
                  <c:v>143.550328192297</c:v>
                </c:pt>
                <c:pt idx="74">
                  <c:v>144.320932407829</c:v>
                </c:pt>
                <c:pt idx="75">
                  <c:v>144.896679201879</c:v>
                </c:pt>
                <c:pt idx="76">
                  <c:v>146.325632158033</c:v>
                </c:pt>
                <c:pt idx="77">
                  <c:v>147.103045175879</c:v>
                </c:pt>
                <c:pt idx="78">
                  <c:v>147.063743541883</c:v>
                </c:pt>
                <c:pt idx="79">
                  <c:v>148.787732722449</c:v>
                </c:pt>
                <c:pt idx="80">
                  <c:v>149.111515090338</c:v>
                </c:pt>
                <c:pt idx="81">
                  <c:v>149.246702702982</c:v>
                </c:pt>
                <c:pt idx="82">
                  <c:v>150.552497009543</c:v>
                </c:pt>
                <c:pt idx="83">
                  <c:v>151.849249064158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GDP!E7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GDP!$E$8:$E$99</c:f>
              <c:numCache>
                <c:formatCode>#,##0.00;\(#,##0.00\);\-</c:formatCode>
                <c:ptCount val="92"/>
                <c:pt idx="84">
                  <c:v>151.768179057938</c:v>
                </c:pt>
                <c:pt idx="85">
                  <c:v>152.517898794797</c:v>
                </c:pt>
                <c:pt idx="86">
                  <c:v>153.271322072724</c:v>
                </c:pt>
                <c:pt idx="87">
                  <c:v>154.028467186844</c:v>
                </c:pt>
                <c:pt idx="88">
                  <c:v>154.789352522657</c:v>
                </c:pt>
                <c:pt idx="89">
                  <c:v>155.553996556487</c:v>
                </c:pt>
                <c:pt idx="90">
                  <c:v>156.32241785593</c:v>
                </c:pt>
                <c:pt idx="91">
                  <c:v>157.094635080303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GDP!F7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GDP!$F$8:$F$99</c:f>
              <c:numCache>
                <c:formatCode>#,##0.00;\(#,##0.00\);\-</c:formatCode>
                <c:ptCount val="92"/>
                <c:pt idx="84">
                  <c:v>151.278703987304</c:v>
                </c:pt>
                <c:pt idx="85">
                  <c:v>151.679057269639</c:v>
                </c:pt>
                <c:pt idx="86">
                  <c:v>152.440317121804</c:v>
                </c:pt>
                <c:pt idx="87">
                  <c:v>153.201276463607</c:v>
                </c:pt>
                <c:pt idx="88">
                  <c:v>152.978908880983</c:v>
                </c:pt>
                <c:pt idx="89">
                  <c:v>153.294251918634</c:v>
                </c:pt>
                <c:pt idx="90">
                  <c:v>153.974752038349</c:v>
                </c:pt>
                <c:pt idx="91">
                  <c:v>154.658989634325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882627"/>
        <c:axId val="65148279"/>
      </c:lineChart>
      <c:catAx>
        <c:axId val="988826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148279"/>
        <c:crosses val="autoZero"/>
        <c:auto val="1"/>
        <c:lblAlgn val="ctr"/>
        <c:lblOffset val="100"/>
        <c:noMultiLvlLbl val="0"/>
      </c:catAx>
      <c:valAx>
        <c:axId val="65148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Mn 2004 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8826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Nominal GDP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GDP!B105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GDP!$B$106:$B$197</c:f>
              <c:numCache>
                <c:formatCode>#,##0.00;\(#,##0.00\);\-</c:formatCode>
                <c:ptCount val="92"/>
                <c:pt idx="0">
                  <c:v>17769.9062918003</c:v>
                </c:pt>
                <c:pt idx="1">
                  <c:v>18043.3888968454</c:v>
                </c:pt>
                <c:pt idx="2">
                  <c:v>18140.4175274012</c:v>
                </c:pt>
                <c:pt idx="3">
                  <c:v>18298.5994212595</c:v>
                </c:pt>
                <c:pt idx="4">
                  <c:v>18301.551060311</c:v>
                </c:pt>
                <c:pt idx="5">
                  <c:v>18371.0523969741</c:v>
                </c:pt>
                <c:pt idx="6">
                  <c:v>18578.5432451514</c:v>
                </c:pt>
                <c:pt idx="7">
                  <c:v>18741.4861624896</c:v>
                </c:pt>
                <c:pt idx="8">
                  <c:v>18785.4086284391</c:v>
                </c:pt>
                <c:pt idx="9">
                  <c:v>18924.8814215155</c:v>
                </c:pt>
                <c:pt idx="10">
                  <c:v>19029.1652281355</c:v>
                </c:pt>
                <c:pt idx="11">
                  <c:v>19312.1104094326</c:v>
                </c:pt>
                <c:pt idx="12">
                  <c:v>18504.5542999297</c:v>
                </c:pt>
                <c:pt idx="13">
                  <c:v>18677.3913514995</c:v>
                </c:pt>
                <c:pt idx="14">
                  <c:v>18561.5827351248</c:v>
                </c:pt>
                <c:pt idx="15">
                  <c:v>18875.2074346937</c:v>
                </c:pt>
                <c:pt idx="16">
                  <c:v>19062.8517425521</c:v>
                </c:pt>
                <c:pt idx="17">
                  <c:v>18781.2494570798</c:v>
                </c:pt>
                <c:pt idx="18">
                  <c:v>19083.9618932921</c:v>
                </c:pt>
                <c:pt idx="19">
                  <c:v>19223.1091894189</c:v>
                </c:pt>
                <c:pt idx="20">
                  <c:v>20068.5898814073</c:v>
                </c:pt>
                <c:pt idx="21">
                  <c:v>20272.7779899704</c:v>
                </c:pt>
                <c:pt idx="22">
                  <c:v>20214.0760648246</c:v>
                </c:pt>
                <c:pt idx="23">
                  <c:v>20491.9251548108</c:v>
                </c:pt>
                <c:pt idx="24">
                  <c:v>20668.7590385023</c:v>
                </c:pt>
                <c:pt idx="25">
                  <c:v>20517.7350026096</c:v>
                </c:pt>
                <c:pt idx="26">
                  <c:v>20670.9938494385</c:v>
                </c:pt>
                <c:pt idx="27">
                  <c:v>20797.0950220401</c:v>
                </c:pt>
                <c:pt idx="28">
                  <c:v>21029.6056121851</c:v>
                </c:pt>
                <c:pt idx="29">
                  <c:v>21101.7648753569</c:v>
                </c:pt>
                <c:pt idx="30">
                  <c:v>21124.8855013324</c:v>
                </c:pt>
                <c:pt idx="31">
                  <c:v>21449.1917946227</c:v>
                </c:pt>
                <c:pt idx="32">
                  <c:v>21528.4896297505</c:v>
                </c:pt>
                <c:pt idx="33">
                  <c:v>21539.1379261603</c:v>
                </c:pt>
                <c:pt idx="34">
                  <c:v>21439.7801648986</c:v>
                </c:pt>
                <c:pt idx="35">
                  <c:v>21859.1500819339</c:v>
                </c:pt>
                <c:pt idx="36">
                  <c:v>21976.5621720371</c:v>
                </c:pt>
                <c:pt idx="37">
                  <c:v>22099.6468072357</c:v>
                </c:pt>
                <c:pt idx="38">
                  <c:v>22105.7242487384</c:v>
                </c:pt>
                <c:pt idx="39">
                  <c:v>22488.5374903269</c:v>
                </c:pt>
                <c:pt idx="40">
                  <c:v>22403.7933668324</c:v>
                </c:pt>
                <c:pt idx="41">
                  <c:v>22813.7704557564</c:v>
                </c:pt>
                <c:pt idx="42">
                  <c:v>22577.759486848</c:v>
                </c:pt>
                <c:pt idx="43">
                  <c:v>22853.0310044126</c:v>
                </c:pt>
                <c:pt idx="44">
                  <c:v>22759.5724999376</c:v>
                </c:pt>
                <c:pt idx="45">
                  <c:v>22962.0474191015</c:v>
                </c:pt>
                <c:pt idx="46">
                  <c:v>22940.3748642036</c:v>
                </c:pt>
                <c:pt idx="47">
                  <c:v>23313.8034633688</c:v>
                </c:pt>
                <c:pt idx="48">
                  <c:v>23326.6624773712</c:v>
                </c:pt>
                <c:pt idx="49">
                  <c:v>23567.6874241968</c:v>
                </c:pt>
                <c:pt idx="50">
                  <c:v>23621.0195498157</c:v>
                </c:pt>
                <c:pt idx="51">
                  <c:v>23764.9623487593</c:v>
                </c:pt>
                <c:pt idx="52">
                  <c:v>23996.978119175</c:v>
                </c:pt>
                <c:pt idx="53">
                  <c:v>24146.484007855</c:v>
                </c:pt>
                <c:pt idx="54">
                  <c:v>23962.0665233528</c:v>
                </c:pt>
                <c:pt idx="55">
                  <c:v>24282.0221709422</c:v>
                </c:pt>
                <c:pt idx="56">
                  <c:v>24418.1707941142</c:v>
                </c:pt>
                <c:pt idx="57">
                  <c:v>24485.207345206</c:v>
                </c:pt>
                <c:pt idx="58">
                  <c:v>24476.7661028225</c:v>
                </c:pt>
                <c:pt idx="59">
                  <c:v>24962.9180521949</c:v>
                </c:pt>
                <c:pt idx="60">
                  <c:v>24062.4132492605</c:v>
                </c:pt>
                <c:pt idx="61">
                  <c:v>24367.0285259293</c:v>
                </c:pt>
                <c:pt idx="62">
                  <c:v>24444.357406193</c:v>
                </c:pt>
                <c:pt idx="63">
                  <c:v>24235.7532491697</c:v>
                </c:pt>
                <c:pt idx="64">
                  <c:v>25364.3123021041</c:v>
                </c:pt>
                <c:pt idx="65">
                  <c:v>25876.3308383932</c:v>
                </c:pt>
                <c:pt idx="66">
                  <c:v>25788.1814854241</c:v>
                </c:pt>
                <c:pt idx="67">
                  <c:v>26071.3380843215</c:v>
                </c:pt>
                <c:pt idx="68">
                  <c:v>26110.2103750474</c:v>
                </c:pt>
                <c:pt idx="69">
                  <c:v>26247.9338979873</c:v>
                </c:pt>
                <c:pt idx="70">
                  <c:v>26272.8866540193</c:v>
                </c:pt>
                <c:pt idx="71">
                  <c:v>26417.4773189134</c:v>
                </c:pt>
                <c:pt idx="72">
                  <c:v>26759.4578094274</c:v>
                </c:pt>
                <c:pt idx="73">
                  <c:v>26827.9854205983</c:v>
                </c:pt>
                <c:pt idx="74">
                  <c:v>26803.0487349799</c:v>
                </c:pt>
                <c:pt idx="75">
                  <c:v>27045.29632336</c:v>
                </c:pt>
                <c:pt idx="76">
                  <c:v>27192.8010166543</c:v>
                </c:pt>
                <c:pt idx="77">
                  <c:v>27544.1796320979</c:v>
                </c:pt>
                <c:pt idx="78">
                  <c:v>27501.1307468399</c:v>
                </c:pt>
                <c:pt idx="79">
                  <c:v>27715.8207158941</c:v>
                </c:pt>
                <c:pt idx="80">
                  <c:v>27784.7883498973</c:v>
                </c:pt>
                <c:pt idx="81">
                  <c:v>28095.774869145</c:v>
                </c:pt>
                <c:pt idx="82">
                  <c:v>28258.7297117187</c:v>
                </c:pt>
                <c:pt idx="83">
                  <c:v>28264.3091971024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GDP!E105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GDP!$E$106:$E$197</c:f>
              <c:numCache>
                <c:formatCode>#,##0.00;\(#,##0.00\);\-</c:formatCode>
                <c:ptCount val="92"/>
                <c:pt idx="84">
                  <c:v>28415.0211004529</c:v>
                </c:pt>
                <c:pt idx="85">
                  <c:v>28573.8554708926</c:v>
                </c:pt>
                <c:pt idx="86">
                  <c:v>28733.5776941741</c:v>
                </c:pt>
                <c:pt idx="87">
                  <c:v>28894.1927332198</c:v>
                </c:pt>
                <c:pt idx="88">
                  <c:v>29055.705578694</c:v>
                </c:pt>
                <c:pt idx="89">
                  <c:v>29218.1212491578</c:v>
                </c:pt>
                <c:pt idx="90">
                  <c:v>29381.444791225</c:v>
                </c:pt>
                <c:pt idx="91">
                  <c:v>29545.681279719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GDP!F105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GDP!$F$106:$F$197</c:f>
              <c:numCache>
                <c:formatCode>#,##0.00;\(#,##0.00\);\-</c:formatCode>
                <c:ptCount val="92"/>
                <c:pt idx="84">
                  <c:v>28310.8396575347</c:v>
                </c:pt>
                <c:pt idx="85">
                  <c:v>28494.2405075678</c:v>
                </c:pt>
                <c:pt idx="86">
                  <c:v>28455.7936650517</c:v>
                </c:pt>
                <c:pt idx="87">
                  <c:v>28666.6120743126</c:v>
                </c:pt>
                <c:pt idx="88">
                  <c:v>28654.6468452993</c:v>
                </c:pt>
                <c:pt idx="89">
                  <c:v>28820.8573359442</c:v>
                </c:pt>
                <c:pt idx="90">
                  <c:v>28766.0796520092</c:v>
                </c:pt>
                <c:pt idx="91">
                  <c:v>28961.3837619222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600505"/>
        <c:axId val="38120250"/>
      </c:lineChart>
      <c:catAx>
        <c:axId val="776005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120250"/>
        <c:crosses val="autoZero"/>
        <c:auto val="1"/>
        <c:lblAlgn val="ctr"/>
        <c:lblOffset val="100"/>
        <c:noMultiLvlLbl val="0"/>
      </c:catAx>
      <c:valAx>
        <c:axId val="381202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Mn 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6005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EMAE Monthly Activity Index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GDP!B203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GDP!$B$204:$B$295</c:f>
              <c:numCache>
                <c:formatCode>#,##0.00;\(#,##0.00\);\-</c:formatCode>
                <c:ptCount val="92"/>
                <c:pt idx="0">
                  <c:v>99.0139190139404</c:v>
                </c:pt>
                <c:pt idx="1">
                  <c:v>100.302484062946</c:v>
                </c:pt>
                <c:pt idx="2">
                  <c:v>101.330754547138</c:v>
                </c:pt>
                <c:pt idx="3">
                  <c:v>101.23177568849</c:v>
                </c:pt>
                <c:pt idx="4">
                  <c:v>101.640567907222</c:v>
                </c:pt>
                <c:pt idx="5">
                  <c:v>102.932592903296</c:v>
                </c:pt>
                <c:pt idx="6">
                  <c:v>102.782252369466</c:v>
                </c:pt>
                <c:pt idx="7">
                  <c:v>103.565634272322</c:v>
                </c:pt>
                <c:pt idx="8">
                  <c:v>104.840110316837</c:v>
                </c:pt>
                <c:pt idx="9">
                  <c:v>104.250112463549</c:v>
                </c:pt>
                <c:pt idx="10">
                  <c:v>104.925812356913</c:v>
                </c:pt>
                <c:pt idx="11">
                  <c:v>105.819530780881</c:v>
                </c:pt>
                <c:pt idx="12">
                  <c:v>106.542203936133</c:v>
                </c:pt>
                <c:pt idx="13">
                  <c:v>107.002907865831</c:v>
                </c:pt>
                <c:pt idx="14">
                  <c:v>107.625655591464</c:v>
                </c:pt>
                <c:pt idx="15">
                  <c:v>107.776644938818</c:v>
                </c:pt>
                <c:pt idx="16">
                  <c:v>106.797765977208</c:v>
                </c:pt>
                <c:pt idx="17">
                  <c:v>109.112532424327</c:v>
                </c:pt>
                <c:pt idx="18">
                  <c:v>109.324252224943</c:v>
                </c:pt>
                <c:pt idx="19">
                  <c:v>108.992204664193</c:v>
                </c:pt>
                <c:pt idx="20">
                  <c:v>110.181789264167</c:v>
                </c:pt>
                <c:pt idx="21">
                  <c:v>110.748106608471</c:v>
                </c:pt>
                <c:pt idx="22">
                  <c:v>111.883306057588</c:v>
                </c:pt>
                <c:pt idx="23">
                  <c:v>111.810625951687</c:v>
                </c:pt>
                <c:pt idx="24">
                  <c:v>113.063638163177</c:v>
                </c:pt>
                <c:pt idx="25">
                  <c:v>112.894191134104</c:v>
                </c:pt>
                <c:pt idx="26">
                  <c:v>113.821529937104</c:v>
                </c:pt>
                <c:pt idx="27">
                  <c:v>114.486024540192</c:v>
                </c:pt>
                <c:pt idx="28">
                  <c:v>116.320498435677</c:v>
                </c:pt>
                <c:pt idx="29">
                  <c:v>114.620104406332</c:v>
                </c:pt>
                <c:pt idx="30">
                  <c:v>115.641450570922</c:v>
                </c:pt>
                <c:pt idx="31">
                  <c:v>116.764366167863</c:v>
                </c:pt>
                <c:pt idx="32">
                  <c:v>118.260970157304</c:v>
                </c:pt>
                <c:pt idx="33">
                  <c:v>116.858723171114</c:v>
                </c:pt>
                <c:pt idx="34">
                  <c:v>118.279464193781</c:v>
                </c:pt>
                <c:pt idx="35">
                  <c:v>119.502343155755</c:v>
                </c:pt>
                <c:pt idx="36">
                  <c:v>119.548250519356</c:v>
                </c:pt>
                <c:pt idx="37">
                  <c:v>120.110057353885</c:v>
                </c:pt>
                <c:pt idx="38">
                  <c:v>120.532313341745</c:v>
                </c:pt>
                <c:pt idx="39">
                  <c:v>122.12403417532</c:v>
                </c:pt>
                <c:pt idx="40">
                  <c:v>122.424082753659</c:v>
                </c:pt>
                <c:pt idx="41">
                  <c:v>122.760878556826</c:v>
                </c:pt>
                <c:pt idx="42">
                  <c:v>123.460425139376</c:v>
                </c:pt>
                <c:pt idx="43">
                  <c:v>123.529745039636</c:v>
                </c:pt>
                <c:pt idx="44">
                  <c:v>124.664318987177</c:v>
                </c:pt>
                <c:pt idx="45">
                  <c:v>125.272615604664</c:v>
                </c:pt>
                <c:pt idx="46">
                  <c:v>125.390181176423</c:v>
                </c:pt>
                <c:pt idx="47">
                  <c:v>126.258178694057</c:v>
                </c:pt>
                <c:pt idx="48">
                  <c:v>128.119097147023</c:v>
                </c:pt>
                <c:pt idx="49">
                  <c:v>128.024546810489</c:v>
                </c:pt>
                <c:pt idx="50">
                  <c:v>128.544352381586</c:v>
                </c:pt>
                <c:pt idx="51">
                  <c:v>128.894575383987</c:v>
                </c:pt>
                <c:pt idx="52">
                  <c:v>128.98825267787</c:v>
                </c:pt>
                <c:pt idx="53">
                  <c:v>128.865504371325</c:v>
                </c:pt>
                <c:pt idx="54">
                  <c:v>129.86271508608</c:v>
                </c:pt>
                <c:pt idx="55">
                  <c:v>132.097915023464</c:v>
                </c:pt>
                <c:pt idx="56">
                  <c:v>131.523701391521</c:v>
                </c:pt>
                <c:pt idx="57">
                  <c:v>133.060000557966</c:v>
                </c:pt>
                <c:pt idx="58">
                  <c:v>133.976414107465</c:v>
                </c:pt>
                <c:pt idx="59">
                  <c:v>133.978362596971</c:v>
                </c:pt>
                <c:pt idx="60">
                  <c:v>134.321549985918</c:v>
                </c:pt>
                <c:pt idx="61">
                  <c:v>134.968960819413</c:v>
                </c:pt>
                <c:pt idx="62">
                  <c:v>135.865309015334</c:v>
                </c:pt>
                <c:pt idx="63">
                  <c:v>137.53305105838</c:v>
                </c:pt>
                <c:pt idx="64">
                  <c:v>137.747014836884</c:v>
                </c:pt>
                <c:pt idx="65">
                  <c:v>138.601405774051</c:v>
                </c:pt>
                <c:pt idx="66">
                  <c:v>138.768219869189</c:v>
                </c:pt>
                <c:pt idx="67">
                  <c:v>139.885643764302</c:v>
                </c:pt>
                <c:pt idx="68">
                  <c:v>140.549283273651</c:v>
                </c:pt>
                <c:pt idx="69">
                  <c:v>141.835760567191</c:v>
                </c:pt>
                <c:pt idx="70">
                  <c:v>141.739082479368</c:v>
                </c:pt>
                <c:pt idx="71">
                  <c:v>141.72064408325</c:v>
                </c:pt>
                <c:pt idx="72">
                  <c:v>143.525874856281</c:v>
                </c:pt>
                <c:pt idx="73">
                  <c:v>142.953382928718</c:v>
                </c:pt>
                <c:pt idx="74">
                  <c:v>144.747868094278</c:v>
                </c:pt>
                <c:pt idx="75">
                  <c:v>146.327959737354</c:v>
                </c:pt>
                <c:pt idx="76">
                  <c:v>146.406764645473</c:v>
                </c:pt>
                <c:pt idx="77">
                  <c:v>146.359330309416</c:v>
                </c:pt>
                <c:pt idx="78">
                  <c:v>147.856475215175</c:v>
                </c:pt>
                <c:pt idx="79">
                  <c:v>148.404986601099</c:v>
                </c:pt>
                <c:pt idx="80">
                  <c:v>149.609638743469</c:v>
                </c:pt>
                <c:pt idx="81">
                  <c:v>150.13576653794</c:v>
                </c:pt>
                <c:pt idx="82">
                  <c:v>149.910211184277</c:v>
                </c:pt>
                <c:pt idx="83">
                  <c:v>151.453024308581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GDP!E203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GDP!$E$204:$E$295</c:f>
              <c:numCache>
                <c:formatCode>#,##0.00;\(#,##0.00\);\-</c:formatCode>
                <c:ptCount val="92"/>
                <c:pt idx="84">
                  <c:v>152.143005972282</c:v>
                </c:pt>
                <c:pt idx="85">
                  <c:v>152.910238071314</c:v>
                </c:pt>
                <c:pt idx="86">
                  <c:v>153.681339195347</c:v>
                </c:pt>
                <c:pt idx="87">
                  <c:v>154.456328855236</c:v>
                </c:pt>
                <c:pt idx="88">
                  <c:v>155.235226660227</c:v>
                </c:pt>
                <c:pt idx="89">
                  <c:v>156.018052318449</c:v>
                </c:pt>
                <c:pt idx="90">
                  <c:v>156.804825637422</c:v>
                </c:pt>
                <c:pt idx="91">
                  <c:v>157.595566524545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GDP!F203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GDP!$F$204:$F$295</c:f>
              <c:numCache>
                <c:formatCode>#,##0.00;\(#,##0.00\);\-</c:formatCode>
                <c:ptCount val="92"/>
                <c:pt idx="84">
                  <c:v>151.272365559007</c:v>
                </c:pt>
                <c:pt idx="85">
                  <c:v>151.528798260806</c:v>
                </c:pt>
                <c:pt idx="86">
                  <c:v>151.985955521909</c:v>
                </c:pt>
                <c:pt idx="87">
                  <c:v>152.902859018146</c:v>
                </c:pt>
                <c:pt idx="88">
                  <c:v>152.852356018051</c:v>
                </c:pt>
                <c:pt idx="89">
                  <c:v>153.029789196898</c:v>
                </c:pt>
                <c:pt idx="90">
                  <c:v>153.411896911197</c:v>
                </c:pt>
                <c:pt idx="91">
                  <c:v>154.257503337969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869706"/>
        <c:axId val="9207665"/>
      </c:lineChart>
      <c:catAx>
        <c:axId val="108697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07665"/>
        <c:crosses val="autoZero"/>
        <c:auto val="1"/>
        <c:lblAlgn val="ctr"/>
        <c:lblOffset val="100"/>
        <c:noMultiLvlLbl val="0"/>
      </c:catAx>
      <c:valAx>
        <c:axId val="9207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 2004=100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8697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CPI National (IPC nacional)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Inflation!B7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Inflation!$B$8:$B$99</c:f>
              <c:numCache>
                <c:formatCode>#,##0.00;\(#,##0.00\);\-</c:formatCode>
                <c:ptCount val="92"/>
                <c:pt idx="0">
                  <c:v>99.4054976229968</c:v>
                </c:pt>
                <c:pt idx="1">
                  <c:v>100.904743178861</c:v>
                </c:pt>
                <c:pt idx="2">
                  <c:v>100.853138578767</c:v>
                </c:pt>
                <c:pt idx="3">
                  <c:v>101.509576499459</c:v>
                </c:pt>
                <c:pt idx="4">
                  <c:v>102.189969918829</c:v>
                </c:pt>
                <c:pt idx="5">
                  <c:v>101.993196020582</c:v>
                </c:pt>
                <c:pt idx="6">
                  <c:v>102.676150270966</c:v>
                </c:pt>
                <c:pt idx="7">
                  <c:v>104.112702893252</c:v>
                </c:pt>
                <c:pt idx="8">
                  <c:v>104.966351172628</c:v>
                </c:pt>
                <c:pt idx="9">
                  <c:v>103.801539245141</c:v>
                </c:pt>
                <c:pt idx="10">
                  <c:v>104.899333109669</c:v>
                </c:pt>
                <c:pt idx="11">
                  <c:v>106.093933122988</c:v>
                </c:pt>
                <c:pt idx="12">
                  <c:v>106.772135776956</c:v>
                </c:pt>
                <c:pt idx="13">
                  <c:v>107.590267261119</c:v>
                </c:pt>
                <c:pt idx="14">
                  <c:v>106.539202744953</c:v>
                </c:pt>
                <c:pt idx="15">
                  <c:v>108.963167190278</c:v>
                </c:pt>
                <c:pt idx="16">
                  <c:v>107.879218143571</c:v>
                </c:pt>
                <c:pt idx="17">
                  <c:v>109.382310539531</c:v>
                </c:pt>
                <c:pt idx="18">
                  <c:v>109.308409509224</c:v>
                </c:pt>
                <c:pt idx="19">
                  <c:v>109.331585820106</c:v>
                </c:pt>
                <c:pt idx="20">
                  <c:v>109.91537473197</c:v>
                </c:pt>
                <c:pt idx="21">
                  <c:v>110.513715988107</c:v>
                </c:pt>
                <c:pt idx="22">
                  <c:v>112.884289473836</c:v>
                </c:pt>
                <c:pt idx="23">
                  <c:v>112.275285661685</c:v>
                </c:pt>
                <c:pt idx="24">
                  <c:v>112.935055846178</c:v>
                </c:pt>
                <c:pt idx="25">
                  <c:v>113.804691230271</c:v>
                </c:pt>
                <c:pt idx="26">
                  <c:v>113.433838074506</c:v>
                </c:pt>
                <c:pt idx="27">
                  <c:v>115.095273453693</c:v>
                </c:pt>
                <c:pt idx="28">
                  <c:v>114.667760883079</c:v>
                </c:pt>
                <c:pt idx="29">
                  <c:v>115.89285719595</c:v>
                </c:pt>
                <c:pt idx="30">
                  <c:v>116.971935254515</c:v>
                </c:pt>
                <c:pt idx="31">
                  <c:v>116.602349054836</c:v>
                </c:pt>
                <c:pt idx="32">
                  <c:v>116.574565744228</c:v>
                </c:pt>
                <c:pt idx="33">
                  <c:v>118.429076269527</c:v>
                </c:pt>
                <c:pt idx="34">
                  <c:v>118.456602946177</c:v>
                </c:pt>
                <c:pt idx="35">
                  <c:v>118.374652498409</c:v>
                </c:pt>
                <c:pt idx="36">
                  <c:v>119.342119881816</c:v>
                </c:pt>
                <c:pt idx="37">
                  <c:v>120.096736799445</c:v>
                </c:pt>
                <c:pt idx="38">
                  <c:v>120.7440953907</c:v>
                </c:pt>
                <c:pt idx="39">
                  <c:v>120.960796259319</c:v>
                </c:pt>
                <c:pt idx="40">
                  <c:v>121.944382305743</c:v>
                </c:pt>
                <c:pt idx="41">
                  <c:v>121.887478305079</c:v>
                </c:pt>
                <c:pt idx="42">
                  <c:v>123.424564468475</c:v>
                </c:pt>
                <c:pt idx="43">
                  <c:v>124.747466841385</c:v>
                </c:pt>
                <c:pt idx="44">
                  <c:v>124.667554412525</c:v>
                </c:pt>
                <c:pt idx="45">
                  <c:v>125.870284033089</c:v>
                </c:pt>
                <c:pt idx="46">
                  <c:v>126.58574487134</c:v>
                </c:pt>
                <c:pt idx="47">
                  <c:v>126.5885352619</c:v>
                </c:pt>
                <c:pt idx="48">
                  <c:v>127.759325756516</c:v>
                </c:pt>
                <c:pt idx="49">
                  <c:v>127.455476105162</c:v>
                </c:pt>
                <c:pt idx="50">
                  <c:v>127.862349037164</c:v>
                </c:pt>
                <c:pt idx="51">
                  <c:v>129.167379233409</c:v>
                </c:pt>
                <c:pt idx="52">
                  <c:v>129.342605276314</c:v>
                </c:pt>
                <c:pt idx="53">
                  <c:v>130.532211513407</c:v>
                </c:pt>
                <c:pt idx="54">
                  <c:v>130.78625640809</c:v>
                </c:pt>
                <c:pt idx="55">
                  <c:v>131.91546428098</c:v>
                </c:pt>
                <c:pt idx="56">
                  <c:v>132.473790155458</c:v>
                </c:pt>
                <c:pt idx="57">
                  <c:v>132.487103456155</c:v>
                </c:pt>
                <c:pt idx="58">
                  <c:v>133.537107476751</c:v>
                </c:pt>
                <c:pt idx="59">
                  <c:v>134.091320409292</c:v>
                </c:pt>
                <c:pt idx="60">
                  <c:v>134.939743201766</c:v>
                </c:pt>
                <c:pt idx="61">
                  <c:v>136.479221619225</c:v>
                </c:pt>
                <c:pt idx="62">
                  <c:v>135.82723364422</c:v>
                </c:pt>
                <c:pt idx="63">
                  <c:v>137.140229538394</c:v>
                </c:pt>
                <c:pt idx="64">
                  <c:v>137.954697556695</c:v>
                </c:pt>
                <c:pt idx="65">
                  <c:v>138.860774129718</c:v>
                </c:pt>
                <c:pt idx="66">
                  <c:v>139.333096713024</c:v>
                </c:pt>
                <c:pt idx="67">
                  <c:v>140.089844949605</c:v>
                </c:pt>
                <c:pt idx="68">
                  <c:v>139.947029678021</c:v>
                </c:pt>
                <c:pt idx="69">
                  <c:v>140.558208524716</c:v>
                </c:pt>
                <c:pt idx="70">
                  <c:v>141.700225870233</c:v>
                </c:pt>
                <c:pt idx="71">
                  <c:v>143.010957616841</c:v>
                </c:pt>
                <c:pt idx="72">
                  <c:v>142.331280773609</c:v>
                </c:pt>
                <c:pt idx="73">
                  <c:v>143.131238039634</c:v>
                </c:pt>
                <c:pt idx="74">
                  <c:v>144.752087709236</c:v>
                </c:pt>
                <c:pt idx="75">
                  <c:v>145.465953900711</c:v>
                </c:pt>
                <c:pt idx="76">
                  <c:v>145.282414601446</c:v>
                </c:pt>
                <c:pt idx="77">
                  <c:v>146.868227636007</c:v>
                </c:pt>
                <c:pt idx="78">
                  <c:v>147.704741306481</c:v>
                </c:pt>
                <c:pt idx="79">
                  <c:v>148.439315828892</c:v>
                </c:pt>
                <c:pt idx="80">
                  <c:v>149.517757565734</c:v>
                </c:pt>
                <c:pt idx="81">
                  <c:v>149.296269211539</c:v>
                </c:pt>
                <c:pt idx="82">
                  <c:v>150.069564577863</c:v>
                </c:pt>
                <c:pt idx="83">
                  <c:v>150.548257224416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Inflation!E7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Inflation!$E$8:$E$99</c:f>
              <c:numCache>
                <c:formatCode>#,##0.00;\(#,##0.00\);\-</c:formatCode>
                <c:ptCount val="92"/>
                <c:pt idx="84">
                  <c:v>151.73756660099</c:v>
                </c:pt>
                <c:pt idx="85">
                  <c:v>152.479948015414</c:v>
                </c:pt>
                <c:pt idx="86">
                  <c:v>153.22596155718</c:v>
                </c:pt>
                <c:pt idx="87">
                  <c:v>153.9756249966</c:v>
                </c:pt>
                <c:pt idx="88">
                  <c:v>154.728956190927</c:v>
                </c:pt>
                <c:pt idx="89">
                  <c:v>155.485973084782</c:v>
                </c:pt>
                <c:pt idx="90">
                  <c:v>156.24669371058</c:v>
                </c:pt>
                <c:pt idx="91">
                  <c:v>157.011136188961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Inflation!F7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Inflation!$F$8:$F$99</c:f>
              <c:numCache>
                <c:formatCode>#,##0.00;\(#,##0.00\);\-</c:formatCode>
                <c:ptCount val="92"/>
                <c:pt idx="84">
                  <c:v>150.370982003912</c:v>
                </c:pt>
                <c:pt idx="85">
                  <c:v>150.954800098096</c:v>
                </c:pt>
                <c:pt idx="86">
                  <c:v>151.619227068522</c:v>
                </c:pt>
                <c:pt idx="87">
                  <c:v>152.207573271356</c:v>
                </c:pt>
                <c:pt idx="88">
                  <c:v>151.838891228805</c:v>
                </c:pt>
                <c:pt idx="89">
                  <c:v>152.349313861744</c:v>
                </c:pt>
                <c:pt idx="90">
                  <c:v>152.944015143989</c:v>
                </c:pt>
                <c:pt idx="91">
                  <c:v>153.466121943049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656661"/>
        <c:axId val="86295360"/>
      </c:lineChart>
      <c:catAx>
        <c:axId val="51656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295360"/>
        <c:crosses val="autoZero"/>
        <c:auto val="1"/>
        <c:lblAlgn val="ctr"/>
        <c:lblOffset val="100"/>
        <c:noMultiLvlLbl val="0"/>
      </c:catAx>
      <c:valAx>
        <c:axId val="86295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 Dec-2016=100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566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Core CPI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Inflation!B105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Inflation!$B$106:$B$197</c:f>
              <c:numCache>
                <c:formatCode>#,##0.00;\(#,##0.00\);\-</c:formatCode>
                <c:ptCount val="92"/>
                <c:pt idx="0">
                  <c:v>99.2203619641395</c:v>
                </c:pt>
                <c:pt idx="1">
                  <c:v>100.557803205695</c:v>
                </c:pt>
                <c:pt idx="2">
                  <c:v>101.46453977146</c:v>
                </c:pt>
                <c:pt idx="3">
                  <c:v>102.350891845898</c:v>
                </c:pt>
                <c:pt idx="4">
                  <c:v>100.77787367319</c:v>
                </c:pt>
                <c:pt idx="5">
                  <c:v>102.453808671493</c:v>
                </c:pt>
                <c:pt idx="6">
                  <c:v>102.833576443317</c:v>
                </c:pt>
                <c:pt idx="7">
                  <c:v>103.810082551883</c:v>
                </c:pt>
                <c:pt idx="8">
                  <c:v>103.644281829077</c:v>
                </c:pt>
                <c:pt idx="9">
                  <c:v>104.616466045875</c:v>
                </c:pt>
                <c:pt idx="10">
                  <c:v>105.905288695275</c:v>
                </c:pt>
                <c:pt idx="11">
                  <c:v>106.147284509432</c:v>
                </c:pt>
                <c:pt idx="12">
                  <c:v>106.484814610122</c:v>
                </c:pt>
                <c:pt idx="13">
                  <c:v>106.537277218559</c:v>
                </c:pt>
                <c:pt idx="14">
                  <c:v>107.595471059927</c:v>
                </c:pt>
                <c:pt idx="15">
                  <c:v>107.919281308977</c:v>
                </c:pt>
                <c:pt idx="16">
                  <c:v>108.377721600031</c:v>
                </c:pt>
                <c:pt idx="17">
                  <c:v>108.721659313786</c:v>
                </c:pt>
                <c:pt idx="18">
                  <c:v>109.760638674345</c:v>
                </c:pt>
                <c:pt idx="19">
                  <c:v>110.785388872421</c:v>
                </c:pt>
                <c:pt idx="20">
                  <c:v>110.42717469802</c:v>
                </c:pt>
                <c:pt idx="21">
                  <c:v>111.801745757223</c:v>
                </c:pt>
                <c:pt idx="22">
                  <c:v>111.022234453801</c:v>
                </c:pt>
                <c:pt idx="23">
                  <c:v>111.330516906246</c:v>
                </c:pt>
                <c:pt idx="24">
                  <c:v>113.243676309187</c:v>
                </c:pt>
                <c:pt idx="25">
                  <c:v>113.925677929272</c:v>
                </c:pt>
                <c:pt idx="26">
                  <c:v>113.784878014577</c:v>
                </c:pt>
                <c:pt idx="27">
                  <c:v>114.521025466249</c:v>
                </c:pt>
                <c:pt idx="28">
                  <c:v>116.033499609594</c:v>
                </c:pt>
                <c:pt idx="29">
                  <c:v>115.81055700146</c:v>
                </c:pt>
                <c:pt idx="30">
                  <c:v>115.908515598897</c:v>
                </c:pt>
                <c:pt idx="31">
                  <c:v>116.050461940961</c:v>
                </c:pt>
                <c:pt idx="32">
                  <c:v>117.914979648035</c:v>
                </c:pt>
                <c:pt idx="33">
                  <c:v>118.095866191376</c:v>
                </c:pt>
                <c:pt idx="34">
                  <c:v>119.597447016752</c:v>
                </c:pt>
                <c:pt idx="35">
                  <c:v>119.116969550767</c:v>
                </c:pt>
                <c:pt idx="36">
                  <c:v>119.42601009446</c:v>
                </c:pt>
                <c:pt idx="37">
                  <c:v>119.512820855501</c:v>
                </c:pt>
                <c:pt idx="38">
                  <c:v>120.684143720181</c:v>
                </c:pt>
                <c:pt idx="39">
                  <c:v>121.830408658012</c:v>
                </c:pt>
                <c:pt idx="40">
                  <c:v>121.815633890514</c:v>
                </c:pt>
                <c:pt idx="41">
                  <c:v>122.785706787346</c:v>
                </c:pt>
                <c:pt idx="42">
                  <c:v>122.932610956704</c:v>
                </c:pt>
                <c:pt idx="43">
                  <c:v>123.703957415</c:v>
                </c:pt>
                <c:pt idx="44">
                  <c:v>125.157734123786</c:v>
                </c:pt>
                <c:pt idx="45">
                  <c:v>125.402855014513</c:v>
                </c:pt>
                <c:pt idx="46">
                  <c:v>125.593214257109</c:v>
                </c:pt>
                <c:pt idx="47">
                  <c:v>126.796573020838</c:v>
                </c:pt>
                <c:pt idx="48">
                  <c:v>127.105682719623</c:v>
                </c:pt>
                <c:pt idx="49">
                  <c:v>127.367609080267</c:v>
                </c:pt>
                <c:pt idx="50">
                  <c:v>128.430569933403</c:v>
                </c:pt>
                <c:pt idx="51">
                  <c:v>128.286330455776</c:v>
                </c:pt>
                <c:pt idx="52">
                  <c:v>129.497138310511</c:v>
                </c:pt>
                <c:pt idx="53">
                  <c:v>130.956912540916</c:v>
                </c:pt>
                <c:pt idx="54">
                  <c:v>130.97159377258</c:v>
                </c:pt>
                <c:pt idx="55">
                  <c:v>131.376578990148</c:v>
                </c:pt>
                <c:pt idx="56">
                  <c:v>132.274430046446</c:v>
                </c:pt>
                <c:pt idx="57">
                  <c:v>132.487692115583</c:v>
                </c:pt>
                <c:pt idx="58">
                  <c:v>134.146774406354</c:v>
                </c:pt>
                <c:pt idx="59">
                  <c:v>133.85983290905</c:v>
                </c:pt>
                <c:pt idx="60">
                  <c:v>135.395113234852</c:v>
                </c:pt>
                <c:pt idx="61">
                  <c:v>135.489938576014</c:v>
                </c:pt>
                <c:pt idx="62">
                  <c:v>136.5981680199</c:v>
                </c:pt>
                <c:pt idx="63">
                  <c:v>136.827187889301</c:v>
                </c:pt>
                <c:pt idx="64">
                  <c:v>137.670384968986</c:v>
                </c:pt>
                <c:pt idx="65">
                  <c:v>138.298490804089</c:v>
                </c:pt>
                <c:pt idx="66">
                  <c:v>139.249802953739</c:v>
                </c:pt>
                <c:pt idx="67">
                  <c:v>139.213486498953</c:v>
                </c:pt>
                <c:pt idx="68">
                  <c:v>140.593774189971</c:v>
                </c:pt>
                <c:pt idx="69">
                  <c:v>141.081187997962</c:v>
                </c:pt>
                <c:pt idx="70">
                  <c:v>142.233907285556</c:v>
                </c:pt>
                <c:pt idx="71">
                  <c:v>142.956103758935</c:v>
                </c:pt>
                <c:pt idx="72">
                  <c:v>143.378905575561</c:v>
                </c:pt>
                <c:pt idx="73">
                  <c:v>143.99797101889</c:v>
                </c:pt>
                <c:pt idx="74">
                  <c:v>144.798770332291</c:v>
                </c:pt>
                <c:pt idx="75">
                  <c:v>145.576480682123</c:v>
                </c:pt>
                <c:pt idx="76">
                  <c:v>146.960857746011</c:v>
                </c:pt>
                <c:pt idx="77">
                  <c:v>146.649058221414</c:v>
                </c:pt>
                <c:pt idx="78">
                  <c:v>148.547044687334</c:v>
                </c:pt>
                <c:pt idx="79">
                  <c:v>148.564698347448</c:v>
                </c:pt>
                <c:pt idx="80">
                  <c:v>149.180265777396</c:v>
                </c:pt>
                <c:pt idx="81">
                  <c:v>149.55959907069</c:v>
                </c:pt>
                <c:pt idx="82">
                  <c:v>150.069629018013</c:v>
                </c:pt>
                <c:pt idx="83">
                  <c:v>151.353873036833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Inflation!E105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Inflation!$E$106:$E$197</c:f>
              <c:numCache>
                <c:formatCode>#,##0.00;\(#,##0.00\);\-</c:formatCode>
                <c:ptCount val="92"/>
                <c:pt idx="84">
                  <c:v>152.213156085285</c:v>
                </c:pt>
                <c:pt idx="85">
                  <c:v>152.976956991258</c:v>
                </c:pt>
                <c:pt idx="86">
                  <c:v>153.744590626536</c:v>
                </c:pt>
                <c:pt idx="87">
                  <c:v>154.516076223636</c:v>
                </c:pt>
                <c:pt idx="88">
                  <c:v>155.291433111584</c:v>
                </c:pt>
                <c:pt idx="89">
                  <c:v>156.070680716397</c:v>
                </c:pt>
                <c:pt idx="90">
                  <c:v>156.853838561571</c:v>
                </c:pt>
                <c:pt idx="91">
                  <c:v>157.640926268573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Inflation!F105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Inflation!$F$106:$F$197</c:f>
              <c:numCache>
                <c:formatCode>#,##0.00;\(#,##0.00\);\-</c:formatCode>
                <c:ptCount val="92"/>
                <c:pt idx="84">
                  <c:v>151.227725520237</c:v>
                </c:pt>
                <c:pt idx="85">
                  <c:v>151.380989775327</c:v>
                </c:pt>
                <c:pt idx="86">
                  <c:v>152.063198583935</c:v>
                </c:pt>
                <c:pt idx="87">
                  <c:v>152.594449765959</c:v>
                </c:pt>
                <c:pt idx="88">
                  <c:v>152.757032887592</c:v>
                </c:pt>
                <c:pt idx="89">
                  <c:v>152.833831774313</c:v>
                </c:pt>
                <c:pt idx="90">
                  <c:v>153.443398482972</c:v>
                </c:pt>
                <c:pt idx="91">
                  <c:v>153.905639670044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994260"/>
        <c:axId val="4714688"/>
      </c:lineChart>
      <c:catAx>
        <c:axId val="50994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14688"/>
        <c:crosses val="autoZero"/>
        <c:auto val="1"/>
        <c:lblAlgn val="ctr"/>
        <c:lblOffset val="100"/>
        <c:noMultiLvlLbl val="0"/>
      </c:catAx>
      <c:valAx>
        <c:axId val="4714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9942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Wholesale Price Index (IPIM)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Inflation!B203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Inflation!$B$204:$B$295</c:f>
              <c:numCache>
                <c:formatCode>#,##0.00;\(#,##0.00\);\-</c:formatCode>
                <c:ptCount val="92"/>
                <c:pt idx="0">
                  <c:v>99.3999082619822</c:v>
                </c:pt>
                <c:pt idx="1">
                  <c:v>99.309844083168</c:v>
                </c:pt>
                <c:pt idx="2">
                  <c:v>100.354797546938</c:v>
                </c:pt>
                <c:pt idx="3">
                  <c:v>100.787235843726</c:v>
                </c:pt>
                <c:pt idx="4">
                  <c:v>102.348479414366</c:v>
                </c:pt>
                <c:pt idx="5">
                  <c:v>102.103253538495</c:v>
                </c:pt>
                <c:pt idx="6">
                  <c:v>103.402167183986</c:v>
                </c:pt>
                <c:pt idx="7">
                  <c:v>103.574802071556</c:v>
                </c:pt>
                <c:pt idx="8">
                  <c:v>104.924695538401</c:v>
                </c:pt>
                <c:pt idx="9">
                  <c:v>104.971937666466</c:v>
                </c:pt>
                <c:pt idx="10">
                  <c:v>104.465619029858</c:v>
                </c:pt>
                <c:pt idx="11">
                  <c:v>105.077647938515</c:v>
                </c:pt>
                <c:pt idx="12">
                  <c:v>106.35784345563</c:v>
                </c:pt>
                <c:pt idx="13">
                  <c:v>106.372627803774</c:v>
                </c:pt>
                <c:pt idx="14">
                  <c:v>107.715211448312</c:v>
                </c:pt>
                <c:pt idx="15">
                  <c:v>108.137189228677</c:v>
                </c:pt>
                <c:pt idx="16">
                  <c:v>108.269633872625</c:v>
                </c:pt>
                <c:pt idx="17">
                  <c:v>108.676561027388</c:v>
                </c:pt>
                <c:pt idx="18">
                  <c:v>109.348098867609</c:v>
                </c:pt>
                <c:pt idx="19">
                  <c:v>110.627720915971</c:v>
                </c:pt>
                <c:pt idx="20">
                  <c:v>110.07684484446</c:v>
                </c:pt>
                <c:pt idx="21">
                  <c:v>110.527076001889</c:v>
                </c:pt>
                <c:pt idx="22">
                  <c:v>111.667690788861</c:v>
                </c:pt>
                <c:pt idx="23">
                  <c:v>112.085225193829</c:v>
                </c:pt>
                <c:pt idx="24">
                  <c:v>113.332225566544</c:v>
                </c:pt>
                <c:pt idx="25">
                  <c:v>112.819085032058</c:v>
                </c:pt>
                <c:pt idx="26">
                  <c:v>114.101585334851</c:v>
                </c:pt>
                <c:pt idx="27">
                  <c:v>114.338713443177</c:v>
                </c:pt>
                <c:pt idx="28">
                  <c:v>114.911706291964</c:v>
                </c:pt>
                <c:pt idx="29">
                  <c:v>115.588425713206</c:v>
                </c:pt>
                <c:pt idx="30">
                  <c:v>116.736604565723</c:v>
                </c:pt>
                <c:pt idx="31">
                  <c:v>116.380098560134</c:v>
                </c:pt>
                <c:pt idx="32">
                  <c:v>117.164796455835</c:v>
                </c:pt>
                <c:pt idx="33">
                  <c:v>117.557173963757</c:v>
                </c:pt>
                <c:pt idx="34">
                  <c:v>118.503995500966</c:v>
                </c:pt>
                <c:pt idx="35">
                  <c:v>118.841278667896</c:v>
                </c:pt>
                <c:pt idx="36">
                  <c:v>119.512018354298</c:v>
                </c:pt>
                <c:pt idx="37">
                  <c:v>121.294683247027</c:v>
                </c:pt>
                <c:pt idx="38">
                  <c:v>120.159118206209</c:v>
                </c:pt>
                <c:pt idx="39">
                  <c:v>121.566179280039</c:v>
                </c:pt>
                <c:pt idx="40">
                  <c:v>121.500091138031</c:v>
                </c:pt>
                <c:pt idx="41">
                  <c:v>123.088544786473</c:v>
                </c:pt>
                <c:pt idx="42">
                  <c:v>123.099863268854</c:v>
                </c:pt>
                <c:pt idx="43">
                  <c:v>124.547626174389</c:v>
                </c:pt>
                <c:pt idx="44">
                  <c:v>125.568645191506</c:v>
                </c:pt>
                <c:pt idx="45">
                  <c:v>125.698365084905</c:v>
                </c:pt>
                <c:pt idx="46">
                  <c:v>125.462569815631</c:v>
                </c:pt>
                <c:pt idx="47">
                  <c:v>126.653243967274</c:v>
                </c:pt>
                <c:pt idx="48">
                  <c:v>126.821406880479</c:v>
                </c:pt>
                <c:pt idx="49">
                  <c:v>128.213598004527</c:v>
                </c:pt>
                <c:pt idx="50">
                  <c:v>128.037270608805</c:v>
                </c:pt>
                <c:pt idx="51">
                  <c:v>129.237485586787</c:v>
                </c:pt>
                <c:pt idx="52">
                  <c:v>129.796649159112</c:v>
                </c:pt>
                <c:pt idx="53">
                  <c:v>129.719488901078</c:v>
                </c:pt>
                <c:pt idx="54">
                  <c:v>131.551344959132</c:v>
                </c:pt>
                <c:pt idx="55">
                  <c:v>131.708012093737</c:v>
                </c:pt>
                <c:pt idx="56">
                  <c:v>132.859740470391</c:v>
                </c:pt>
                <c:pt idx="57">
                  <c:v>132.86776153388</c:v>
                </c:pt>
                <c:pt idx="58">
                  <c:v>133.673867624274</c:v>
                </c:pt>
                <c:pt idx="59">
                  <c:v>134.084011596385</c:v>
                </c:pt>
                <c:pt idx="60">
                  <c:v>134.494408543279</c:v>
                </c:pt>
                <c:pt idx="61">
                  <c:v>134.997226610446</c:v>
                </c:pt>
                <c:pt idx="62">
                  <c:v>137.165470565972</c:v>
                </c:pt>
                <c:pt idx="63">
                  <c:v>137.018624998173</c:v>
                </c:pt>
                <c:pt idx="64">
                  <c:v>137.578513002506</c:v>
                </c:pt>
                <c:pt idx="65">
                  <c:v>137.155383494602</c:v>
                </c:pt>
                <c:pt idx="66">
                  <c:v>137.895113885578</c:v>
                </c:pt>
                <c:pt idx="67">
                  <c:v>139.988298087661</c:v>
                </c:pt>
                <c:pt idx="68">
                  <c:v>140.370761599222</c:v>
                </c:pt>
                <c:pt idx="69">
                  <c:v>141.05895211575</c:v>
                </c:pt>
                <c:pt idx="70">
                  <c:v>141.861753499742</c:v>
                </c:pt>
                <c:pt idx="71">
                  <c:v>143.032208478573</c:v>
                </c:pt>
                <c:pt idx="72">
                  <c:v>143.395995640038</c:v>
                </c:pt>
                <c:pt idx="73">
                  <c:v>143.900363938433</c:v>
                </c:pt>
                <c:pt idx="74">
                  <c:v>144.49091992722</c:v>
                </c:pt>
                <c:pt idx="75">
                  <c:v>145.248512389273</c:v>
                </c:pt>
                <c:pt idx="76">
                  <c:v>146.629612664705</c:v>
                </c:pt>
                <c:pt idx="77">
                  <c:v>147.422022741686</c:v>
                </c:pt>
                <c:pt idx="78">
                  <c:v>147.368487635357</c:v>
                </c:pt>
                <c:pt idx="79">
                  <c:v>147.533681145235</c:v>
                </c:pt>
                <c:pt idx="80">
                  <c:v>148.923150147961</c:v>
                </c:pt>
                <c:pt idx="81">
                  <c:v>149.447738355498</c:v>
                </c:pt>
                <c:pt idx="82">
                  <c:v>151.213877905649</c:v>
                </c:pt>
                <c:pt idx="83">
                  <c:v>150.652154829958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Inflation!E203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Inflation!$E$204:$E$295</c:f>
              <c:numCache>
                <c:formatCode>#,##0.00;\(#,##0.00\);\-</c:formatCode>
                <c:ptCount val="92"/>
                <c:pt idx="84">
                  <c:v>151.86940022928</c:v>
                </c:pt>
                <c:pt idx="85">
                  <c:v>152.618526319267</c:v>
                </c:pt>
                <c:pt idx="86">
                  <c:v>153.371347623023</c:v>
                </c:pt>
                <c:pt idx="87">
                  <c:v>154.127882367926</c:v>
                </c:pt>
                <c:pt idx="88">
                  <c:v>154.888148871264</c:v>
                </c:pt>
                <c:pt idx="89">
                  <c:v>155.65216554068</c:v>
                </c:pt>
                <c:pt idx="90">
                  <c:v>156.419950874615</c:v>
                </c:pt>
                <c:pt idx="91">
                  <c:v>157.191523462759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Inflation!F203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Inflation!$F$204:$F$295</c:f>
              <c:numCache>
                <c:formatCode>#,##0.00;\(#,##0.00\);\-</c:formatCode>
                <c:ptCount val="92"/>
                <c:pt idx="84">
                  <c:v>151.238264151739</c:v>
                </c:pt>
                <c:pt idx="85">
                  <c:v>151.460707963013</c:v>
                </c:pt>
                <c:pt idx="86">
                  <c:v>151.946096986579</c:v>
                </c:pt>
                <c:pt idx="87">
                  <c:v>152.481789272032</c:v>
                </c:pt>
                <c:pt idx="88">
                  <c:v>152.81216605607</c:v>
                </c:pt>
                <c:pt idx="89">
                  <c:v>152.955914772128</c:v>
                </c:pt>
                <c:pt idx="90">
                  <c:v>153.366543455238</c:v>
                </c:pt>
                <c:pt idx="91">
                  <c:v>153.831213417258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305584"/>
        <c:axId val="89238937"/>
      </c:lineChart>
      <c:catAx>
        <c:axId val="373055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238937"/>
        <c:crosses val="autoZero"/>
        <c:auto val="1"/>
        <c:lblAlgn val="ctr"/>
        <c:lblOffset val="100"/>
        <c:noMultiLvlLbl val="0"/>
      </c:catAx>
      <c:valAx>
        <c:axId val="89238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3055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Primary Fiscal Balance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Fiscal!B7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Fiscal!$B$8:$B$99</c:f>
              <c:numCache>
                <c:formatCode>#,##0.00;\(#,##0.00\);\-</c:formatCode>
                <c:ptCount val="92"/>
                <c:pt idx="0">
                  <c:v>100.982924906659</c:v>
                </c:pt>
                <c:pt idx="1">
                  <c:v>100.826550727967</c:v>
                </c:pt>
                <c:pt idx="2">
                  <c:v>101.211094772635</c:v>
                </c:pt>
                <c:pt idx="3">
                  <c:v>101.620772671687</c:v>
                </c:pt>
                <c:pt idx="4">
                  <c:v>103.083267970056</c:v>
                </c:pt>
                <c:pt idx="5">
                  <c:v>102.004988874761</c:v>
                </c:pt>
                <c:pt idx="6">
                  <c:v>103.686855508409</c:v>
                </c:pt>
                <c:pt idx="7">
                  <c:v>104.139566524684</c:v>
                </c:pt>
                <c:pt idx="8">
                  <c:v>104.425846538296</c:v>
                </c:pt>
                <c:pt idx="9">
                  <c:v>104.96057528534</c:v>
                </c:pt>
                <c:pt idx="10">
                  <c:v>105.757559418765</c:v>
                </c:pt>
                <c:pt idx="11">
                  <c:v>105.591619276389</c:v>
                </c:pt>
                <c:pt idx="12">
                  <c:v>107.034856555365</c:v>
                </c:pt>
                <c:pt idx="13">
                  <c:v>106.986266355049</c:v>
                </c:pt>
                <c:pt idx="14">
                  <c:v>106.703122076881</c:v>
                </c:pt>
                <c:pt idx="15">
                  <c:v>108.014135741576</c:v>
                </c:pt>
                <c:pt idx="16">
                  <c:v>108.376290856228</c:v>
                </c:pt>
                <c:pt idx="17">
                  <c:v>110.033024399151</c:v>
                </c:pt>
                <c:pt idx="18">
                  <c:v>109.962864451415</c:v>
                </c:pt>
                <c:pt idx="19">
                  <c:v>109.569926909253</c:v>
                </c:pt>
                <c:pt idx="20">
                  <c:v>110.482060659254</c:v>
                </c:pt>
                <c:pt idx="21">
                  <c:v>111.936616324193</c:v>
                </c:pt>
                <c:pt idx="22">
                  <c:v>112.017817964197</c:v>
                </c:pt>
                <c:pt idx="23">
                  <c:v>112.098658074155</c:v>
                </c:pt>
                <c:pt idx="24">
                  <c:v>112.745247816816</c:v>
                </c:pt>
                <c:pt idx="25">
                  <c:v>112.696386226997</c:v>
                </c:pt>
                <c:pt idx="26">
                  <c:v>114.129761305784</c:v>
                </c:pt>
                <c:pt idx="27">
                  <c:v>113.798229376509</c:v>
                </c:pt>
                <c:pt idx="28">
                  <c:v>114.788619423725</c:v>
                </c:pt>
                <c:pt idx="29">
                  <c:v>115.560292974891</c:v>
                </c:pt>
                <c:pt idx="30">
                  <c:v>115.180038514122</c:v>
                </c:pt>
                <c:pt idx="31">
                  <c:v>117.70601234285</c:v>
                </c:pt>
                <c:pt idx="32">
                  <c:v>117.034720399633</c:v>
                </c:pt>
                <c:pt idx="33">
                  <c:v>117.144811985664</c:v>
                </c:pt>
                <c:pt idx="34">
                  <c:v>119.396514907851</c:v>
                </c:pt>
                <c:pt idx="35">
                  <c:v>118.800404888246</c:v>
                </c:pt>
                <c:pt idx="36">
                  <c:v>120.262593144252</c:v>
                </c:pt>
                <c:pt idx="37">
                  <c:v>119.758837827568</c:v>
                </c:pt>
                <c:pt idx="38">
                  <c:v>121.023884442721</c:v>
                </c:pt>
                <c:pt idx="39">
                  <c:v>121.459586218083</c:v>
                </c:pt>
                <c:pt idx="40">
                  <c:v>122.658455652215</c:v>
                </c:pt>
                <c:pt idx="41">
                  <c:v>122.823210729528</c:v>
                </c:pt>
                <c:pt idx="42">
                  <c:v>122.499822325173</c:v>
                </c:pt>
                <c:pt idx="43">
                  <c:v>124.325749584413</c:v>
                </c:pt>
                <c:pt idx="44">
                  <c:v>124.28516204185</c:v>
                </c:pt>
                <c:pt idx="45">
                  <c:v>124.823555191046</c:v>
                </c:pt>
                <c:pt idx="46">
                  <c:v>125.442703561034</c:v>
                </c:pt>
                <c:pt idx="47">
                  <c:v>126.402053032684</c:v>
                </c:pt>
                <c:pt idx="48">
                  <c:v>127.252966706807</c:v>
                </c:pt>
                <c:pt idx="49">
                  <c:v>127.936332398673</c:v>
                </c:pt>
                <c:pt idx="50">
                  <c:v>127.8830903826</c:v>
                </c:pt>
                <c:pt idx="51">
                  <c:v>128.76970204782</c:v>
                </c:pt>
                <c:pt idx="52">
                  <c:v>129.661639171798</c:v>
                </c:pt>
                <c:pt idx="53">
                  <c:v>130.251145541022</c:v>
                </c:pt>
                <c:pt idx="54">
                  <c:v>130.800429235499</c:v>
                </c:pt>
                <c:pt idx="55">
                  <c:v>131.410164673113</c:v>
                </c:pt>
                <c:pt idx="56">
                  <c:v>131.832324845978</c:v>
                </c:pt>
                <c:pt idx="57">
                  <c:v>132.897853351572</c:v>
                </c:pt>
                <c:pt idx="58">
                  <c:v>134.193796675564</c:v>
                </c:pt>
                <c:pt idx="59">
                  <c:v>134.271856679223</c:v>
                </c:pt>
                <c:pt idx="60">
                  <c:v>135.916669165647</c:v>
                </c:pt>
                <c:pt idx="61">
                  <c:v>135.979715976849</c:v>
                </c:pt>
                <c:pt idx="62">
                  <c:v>137.272480121134</c:v>
                </c:pt>
                <c:pt idx="63">
                  <c:v>137.845811271817</c:v>
                </c:pt>
                <c:pt idx="64">
                  <c:v>137.394792600216</c:v>
                </c:pt>
                <c:pt idx="65">
                  <c:v>138.834451409741</c:v>
                </c:pt>
                <c:pt idx="66">
                  <c:v>139.275082312483</c:v>
                </c:pt>
                <c:pt idx="67">
                  <c:v>139.877250356756</c:v>
                </c:pt>
                <c:pt idx="68">
                  <c:v>140.904292705433</c:v>
                </c:pt>
                <c:pt idx="69">
                  <c:v>140.472011015917</c:v>
                </c:pt>
                <c:pt idx="70">
                  <c:v>141.839822936678</c:v>
                </c:pt>
                <c:pt idx="71">
                  <c:v>142.947318503142</c:v>
                </c:pt>
                <c:pt idx="72">
                  <c:v>143.975381855854</c:v>
                </c:pt>
                <c:pt idx="73">
                  <c:v>144.494408543661</c:v>
                </c:pt>
                <c:pt idx="74">
                  <c:v>145.023565316553</c:v>
                </c:pt>
                <c:pt idx="75">
                  <c:v>144.641777614351</c:v>
                </c:pt>
                <c:pt idx="76">
                  <c:v>146.741572220265</c:v>
                </c:pt>
                <c:pt idx="77">
                  <c:v>146.270644291279</c:v>
                </c:pt>
                <c:pt idx="78">
                  <c:v>147.11381004513</c:v>
                </c:pt>
                <c:pt idx="79">
                  <c:v>148.389002897481</c:v>
                </c:pt>
                <c:pt idx="80">
                  <c:v>149.071109480489</c:v>
                </c:pt>
                <c:pt idx="81">
                  <c:v>150.619233264354</c:v>
                </c:pt>
                <c:pt idx="82">
                  <c:v>151.215642980898</c:v>
                </c:pt>
                <c:pt idx="83">
                  <c:v>150.476289733004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Fiscal!E7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Fiscal!$E$8:$E$99</c:f>
              <c:numCache>
                <c:formatCode>#,##0.00;\(#,##0.00\);\-</c:formatCode>
                <c:ptCount val="92"/>
                <c:pt idx="84">
                  <c:v>152.322655255928</c:v>
                </c:pt>
                <c:pt idx="85">
                  <c:v>153.091508046788</c:v>
                </c:pt>
                <c:pt idx="86">
                  <c:v>153.86424164325</c:v>
                </c:pt>
                <c:pt idx="87">
                  <c:v>154.640875633789</c:v>
                </c:pt>
                <c:pt idx="88">
                  <c:v>155.421429705751</c:v>
                </c:pt>
                <c:pt idx="89">
                  <c:v>156.205923645854</c:v>
                </c:pt>
                <c:pt idx="90">
                  <c:v>156.994377340691</c:v>
                </c:pt>
                <c:pt idx="91">
                  <c:v>157.786810777233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Fiscal!F7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Fiscal!$F$8:$F$99</c:f>
              <c:numCache>
                <c:formatCode>#,##0.00;\(#,##0.00\);\-</c:formatCode>
                <c:ptCount val="92"/>
                <c:pt idx="84">
                  <c:v>151.277156344882</c:v>
                </c:pt>
                <c:pt idx="85">
                  <c:v>151.540257739479</c:v>
                </c:pt>
                <c:pt idx="86">
                  <c:v>152.10241226261</c:v>
                </c:pt>
                <c:pt idx="87">
                  <c:v>152.579697817436</c:v>
                </c:pt>
                <c:pt idx="88">
                  <c:v>152.829575414078</c:v>
                </c:pt>
                <c:pt idx="89">
                  <c:v>153.015055855215</c:v>
                </c:pt>
                <c:pt idx="90">
                  <c:v>153.50347047256</c:v>
                </c:pt>
                <c:pt idx="91">
                  <c:v>153.910703116888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099552"/>
        <c:axId val="74935426"/>
      </c:lineChart>
      <c:catAx>
        <c:axId val="73099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935426"/>
        <c:crosses val="autoZero"/>
        <c:auto val="1"/>
        <c:lblAlgn val="ctr"/>
        <c:lblOffset val="100"/>
        <c:noMultiLvlLbl val="0"/>
      </c:catAx>
      <c:valAx>
        <c:axId val="749354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Mn 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0995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Federal Tax Revenue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Fiscal!B105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Fiscal!$B$106:$B$197</c:f>
              <c:numCache>
                <c:formatCode>#,##0.00;\(#,##0.00\);\-</c:formatCode>
                <c:ptCount val="92"/>
                <c:pt idx="0">
                  <c:v>100.036328812895</c:v>
                </c:pt>
                <c:pt idx="1">
                  <c:v>99.8907241733551</c:v>
                </c:pt>
                <c:pt idx="2">
                  <c:v>101.242398830545</c:v>
                </c:pt>
                <c:pt idx="3">
                  <c:v>100.97147113874</c:v>
                </c:pt>
                <c:pt idx="4">
                  <c:v>101.981967599952</c:v>
                </c:pt>
                <c:pt idx="5">
                  <c:v>102.005388897279</c:v>
                </c:pt>
                <c:pt idx="6">
                  <c:v>102.910693329578</c:v>
                </c:pt>
                <c:pt idx="7">
                  <c:v>102.999924710864</c:v>
                </c:pt>
                <c:pt idx="8">
                  <c:v>104.053632109649</c:v>
                </c:pt>
                <c:pt idx="9">
                  <c:v>105.179006851605</c:v>
                </c:pt>
                <c:pt idx="10">
                  <c:v>104.955443679183</c:v>
                </c:pt>
                <c:pt idx="11">
                  <c:v>106.109566858506</c:v>
                </c:pt>
                <c:pt idx="12">
                  <c:v>106.155004352461</c:v>
                </c:pt>
                <c:pt idx="13">
                  <c:v>106.639322071593</c:v>
                </c:pt>
                <c:pt idx="14">
                  <c:v>108.610424831799</c:v>
                </c:pt>
                <c:pt idx="15">
                  <c:v>108.751977658334</c:v>
                </c:pt>
                <c:pt idx="16">
                  <c:v>108.28478960428</c:v>
                </c:pt>
                <c:pt idx="17">
                  <c:v>109.082149123267</c:v>
                </c:pt>
                <c:pt idx="18">
                  <c:v>109.92688593689</c:v>
                </c:pt>
                <c:pt idx="19">
                  <c:v>109.844938990065</c:v>
                </c:pt>
                <c:pt idx="20">
                  <c:v>110.755122132395</c:v>
                </c:pt>
                <c:pt idx="21">
                  <c:v>111.57943173443</c:v>
                </c:pt>
                <c:pt idx="22">
                  <c:v>112.029822393351</c:v>
                </c:pt>
                <c:pt idx="23">
                  <c:v>112.974844218662</c:v>
                </c:pt>
                <c:pt idx="24">
                  <c:v>112.502372238218</c:v>
                </c:pt>
                <c:pt idx="25">
                  <c:v>112.61003206639</c:v>
                </c:pt>
                <c:pt idx="26">
                  <c:v>114.630331988702</c:v>
                </c:pt>
                <c:pt idx="27">
                  <c:v>114.520190990187</c:v>
                </c:pt>
                <c:pt idx="28">
                  <c:v>113.728922047885</c:v>
                </c:pt>
                <c:pt idx="29">
                  <c:v>115.148768412037</c:v>
                </c:pt>
                <c:pt idx="30">
                  <c:v>116.26028610477</c:v>
                </c:pt>
                <c:pt idx="31">
                  <c:v>116.97364020604</c:v>
                </c:pt>
                <c:pt idx="32">
                  <c:v>117.771890593322</c:v>
                </c:pt>
                <c:pt idx="33">
                  <c:v>118.08092550858</c:v>
                </c:pt>
                <c:pt idx="34">
                  <c:v>118.736316351353</c:v>
                </c:pt>
                <c:pt idx="35">
                  <c:v>119.254246338046</c:v>
                </c:pt>
                <c:pt idx="36">
                  <c:v>119.457649835174</c:v>
                </c:pt>
                <c:pt idx="37">
                  <c:v>119.46490549808</c:v>
                </c:pt>
                <c:pt idx="38">
                  <c:v>120.925386633777</c:v>
                </c:pt>
                <c:pt idx="39">
                  <c:v>122.106179395896</c:v>
                </c:pt>
                <c:pt idx="40">
                  <c:v>122.993542322107</c:v>
                </c:pt>
                <c:pt idx="41">
                  <c:v>121.830933354924</c:v>
                </c:pt>
                <c:pt idx="42">
                  <c:v>123.823547403316</c:v>
                </c:pt>
                <c:pt idx="43">
                  <c:v>123.479398968824</c:v>
                </c:pt>
                <c:pt idx="44">
                  <c:v>125.367745172727</c:v>
                </c:pt>
                <c:pt idx="45">
                  <c:v>125.448498221277</c:v>
                </c:pt>
                <c:pt idx="46">
                  <c:v>126.145678924613</c:v>
                </c:pt>
                <c:pt idx="47">
                  <c:v>126.597301300065</c:v>
                </c:pt>
                <c:pt idx="48">
                  <c:v>127.275109801553</c:v>
                </c:pt>
                <c:pt idx="49">
                  <c:v>128.121149867618</c:v>
                </c:pt>
                <c:pt idx="50">
                  <c:v>128.715916891064</c:v>
                </c:pt>
                <c:pt idx="51">
                  <c:v>128.628787835219</c:v>
                </c:pt>
                <c:pt idx="52">
                  <c:v>129.866882968999</c:v>
                </c:pt>
                <c:pt idx="53">
                  <c:v>130.059876120063</c:v>
                </c:pt>
                <c:pt idx="54">
                  <c:v>130.952170383993</c:v>
                </c:pt>
                <c:pt idx="55">
                  <c:v>131.32173596747</c:v>
                </c:pt>
                <c:pt idx="56">
                  <c:v>132.136236932526</c:v>
                </c:pt>
                <c:pt idx="57">
                  <c:v>132.774924333089</c:v>
                </c:pt>
                <c:pt idx="58">
                  <c:v>133.087387331609</c:v>
                </c:pt>
                <c:pt idx="59">
                  <c:v>133.746942507023</c:v>
                </c:pt>
                <c:pt idx="60">
                  <c:v>134.905797605763</c:v>
                </c:pt>
                <c:pt idx="61">
                  <c:v>135.344858472984</c:v>
                </c:pt>
                <c:pt idx="62">
                  <c:v>136.707458343996</c:v>
                </c:pt>
                <c:pt idx="63">
                  <c:v>135.986395988444</c:v>
                </c:pt>
                <c:pt idx="64">
                  <c:v>138.096859488663</c:v>
                </c:pt>
                <c:pt idx="65">
                  <c:v>138.58357156954</c:v>
                </c:pt>
                <c:pt idx="66">
                  <c:v>139.263240537222</c:v>
                </c:pt>
                <c:pt idx="67">
                  <c:v>139.642278549323</c:v>
                </c:pt>
                <c:pt idx="68">
                  <c:v>140.001526404199</c:v>
                </c:pt>
                <c:pt idx="69">
                  <c:v>140.032836841254</c:v>
                </c:pt>
                <c:pt idx="70">
                  <c:v>141.666331072641</c:v>
                </c:pt>
                <c:pt idx="71">
                  <c:v>142.25065102833</c:v>
                </c:pt>
                <c:pt idx="72">
                  <c:v>143.182877350606</c:v>
                </c:pt>
                <c:pt idx="73">
                  <c:v>143.964302500172</c:v>
                </c:pt>
                <c:pt idx="74">
                  <c:v>145.154178056679</c:v>
                </c:pt>
                <c:pt idx="75">
                  <c:v>144.992545432223</c:v>
                </c:pt>
                <c:pt idx="76">
                  <c:v>146.310224546428</c:v>
                </c:pt>
                <c:pt idx="77">
                  <c:v>145.657298559109</c:v>
                </c:pt>
                <c:pt idx="78">
                  <c:v>147.012520551675</c:v>
                </c:pt>
                <c:pt idx="79">
                  <c:v>147.997618724001</c:v>
                </c:pt>
                <c:pt idx="80">
                  <c:v>148.945118810225</c:v>
                </c:pt>
                <c:pt idx="81">
                  <c:v>150.323369575851</c:v>
                </c:pt>
                <c:pt idx="82">
                  <c:v>150.671213298755</c:v>
                </c:pt>
                <c:pt idx="83">
                  <c:v>151.42547623133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Fiscal!E105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Fiscal!$E$106:$E$197</c:f>
              <c:numCache>
                <c:formatCode>#,##0.00;\(#,##0.00\);\-</c:formatCode>
                <c:ptCount val="92"/>
                <c:pt idx="84">
                  <c:v>151.770095776885</c:v>
                </c:pt>
                <c:pt idx="85">
                  <c:v>152.517096909102</c:v>
                </c:pt>
                <c:pt idx="86">
                  <c:v>153.267774725376</c:v>
                </c:pt>
                <c:pt idx="87">
                  <c:v>154.022147322074</c:v>
                </c:pt>
                <c:pt idx="88">
                  <c:v>154.780232884629</c:v>
                </c:pt>
                <c:pt idx="89">
                  <c:v>155.542049687984</c:v>
                </c:pt>
                <c:pt idx="90">
                  <c:v>156.307616097028</c:v>
                </c:pt>
                <c:pt idx="91">
                  <c:v>157.076950567043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Fiscal!F105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Fiscal!$F$106:$F$197</c:f>
              <c:numCache>
                <c:formatCode>#,##0.00;\(#,##0.00\);\-</c:formatCode>
                <c:ptCount val="92"/>
                <c:pt idx="84">
                  <c:v>151.58562877152</c:v>
                </c:pt>
                <c:pt idx="85">
                  <c:v>151.798423485171</c:v>
                </c:pt>
                <c:pt idx="86">
                  <c:v>152.572647589944</c:v>
                </c:pt>
                <c:pt idx="87">
                  <c:v>152.934448541842</c:v>
                </c:pt>
                <c:pt idx="88">
                  <c:v>153.308579035797</c:v>
                </c:pt>
                <c:pt idx="89">
                  <c:v>153.435226236234</c:v>
                </c:pt>
                <c:pt idx="90">
                  <c:v>154.127610203453</c:v>
                </c:pt>
                <c:pt idx="91">
                  <c:v>154.411663024676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491390"/>
        <c:axId val="89742356"/>
      </c:lineChart>
      <c:catAx>
        <c:axId val="38491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742356"/>
        <c:crosses val="autoZero"/>
        <c:auto val="1"/>
        <c:lblAlgn val="ctr"/>
        <c:lblOffset val="100"/>
        <c:noMultiLvlLbl val="0"/>
      </c:catAx>
      <c:valAx>
        <c:axId val="89742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Mn 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4913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Public Debt (External + Domestic)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Fiscal!B203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Fiscal!$B$204:$B$295</c:f>
              <c:numCache>
                <c:formatCode>#,##0.00;\(#,##0.00\);\-</c:formatCode>
                <c:ptCount val="92"/>
                <c:pt idx="0">
                  <c:v>100.102143277978</c:v>
                </c:pt>
                <c:pt idx="1">
                  <c:v>99.7563457570186</c:v>
                </c:pt>
                <c:pt idx="2">
                  <c:v>100.93175363561</c:v>
                </c:pt>
                <c:pt idx="3">
                  <c:v>100.267947745663</c:v>
                </c:pt>
                <c:pt idx="4">
                  <c:v>103.206666425209</c:v>
                </c:pt>
                <c:pt idx="5">
                  <c:v>102.360920392153</c:v>
                </c:pt>
                <c:pt idx="6">
                  <c:v>102.927981900028</c:v>
                </c:pt>
                <c:pt idx="7">
                  <c:v>102.577017662624</c:v>
                </c:pt>
                <c:pt idx="8">
                  <c:v>104.051168967385</c:v>
                </c:pt>
                <c:pt idx="9">
                  <c:v>104.448102890096</c:v>
                </c:pt>
                <c:pt idx="10">
                  <c:v>105.823245813573</c:v>
                </c:pt>
                <c:pt idx="11">
                  <c:v>106.036877622803</c:v>
                </c:pt>
                <c:pt idx="12">
                  <c:v>106.349772956318</c:v>
                </c:pt>
                <c:pt idx="13">
                  <c:v>106.644074146251</c:v>
                </c:pt>
                <c:pt idx="14">
                  <c:v>106.529468305096</c:v>
                </c:pt>
                <c:pt idx="15">
                  <c:v>107.857252509054</c:v>
                </c:pt>
                <c:pt idx="16">
                  <c:v>108.237585532261</c:v>
                </c:pt>
                <c:pt idx="17">
                  <c:v>109.077351452329</c:v>
                </c:pt>
                <c:pt idx="18">
                  <c:v>109.00302838188</c:v>
                </c:pt>
                <c:pt idx="19">
                  <c:v>109.147312701067</c:v>
                </c:pt>
                <c:pt idx="20">
                  <c:v>109.85342968885</c:v>
                </c:pt>
                <c:pt idx="21">
                  <c:v>111.985726144319</c:v>
                </c:pt>
                <c:pt idx="22">
                  <c:v>111.469525711838</c:v>
                </c:pt>
                <c:pt idx="23">
                  <c:v>112.143479707989</c:v>
                </c:pt>
                <c:pt idx="24">
                  <c:v>113.054837445536</c:v>
                </c:pt>
                <c:pt idx="25">
                  <c:v>112.458050511223</c:v>
                </c:pt>
                <c:pt idx="26">
                  <c:v>114.833477727983</c:v>
                </c:pt>
                <c:pt idx="27">
                  <c:v>114.38378497081</c:v>
                </c:pt>
                <c:pt idx="28">
                  <c:v>115.173489814809</c:v>
                </c:pt>
                <c:pt idx="29">
                  <c:v>115.479983590492</c:v>
                </c:pt>
                <c:pt idx="30">
                  <c:v>115.767721513676</c:v>
                </c:pt>
                <c:pt idx="31">
                  <c:v>116.542012657591</c:v>
                </c:pt>
                <c:pt idx="32">
                  <c:v>117.184324082673</c:v>
                </c:pt>
                <c:pt idx="33">
                  <c:v>118.680306758684</c:v>
                </c:pt>
                <c:pt idx="34">
                  <c:v>118.761098317523</c:v>
                </c:pt>
                <c:pt idx="35">
                  <c:v>118.271263878048</c:v>
                </c:pt>
                <c:pt idx="36">
                  <c:v>119.759982802244</c:v>
                </c:pt>
                <c:pt idx="37">
                  <c:v>120.104632483596</c:v>
                </c:pt>
                <c:pt idx="38">
                  <c:v>121.038058184254</c:v>
                </c:pt>
                <c:pt idx="39">
                  <c:v>122.036227752203</c:v>
                </c:pt>
                <c:pt idx="40">
                  <c:v>121.71235801715</c:v>
                </c:pt>
                <c:pt idx="41">
                  <c:v>122.570019996683</c:v>
                </c:pt>
                <c:pt idx="42">
                  <c:v>122.994647465312</c:v>
                </c:pt>
                <c:pt idx="43">
                  <c:v>123.627185869128</c:v>
                </c:pt>
                <c:pt idx="44">
                  <c:v>124.405153717815</c:v>
                </c:pt>
                <c:pt idx="45">
                  <c:v>124.570631751614</c:v>
                </c:pt>
                <c:pt idx="46">
                  <c:v>125.849887158045</c:v>
                </c:pt>
                <c:pt idx="47">
                  <c:v>126.223214311058</c:v>
                </c:pt>
                <c:pt idx="48">
                  <c:v>127.833679894884</c:v>
                </c:pt>
                <c:pt idx="49">
                  <c:v>127.685706567289</c:v>
                </c:pt>
                <c:pt idx="50">
                  <c:v>129.348779284251</c:v>
                </c:pt>
                <c:pt idx="51">
                  <c:v>129.408117751329</c:v>
                </c:pt>
                <c:pt idx="52">
                  <c:v>129.836339233923</c:v>
                </c:pt>
                <c:pt idx="53">
                  <c:v>129.971662592608</c:v>
                </c:pt>
                <c:pt idx="54">
                  <c:v>130.15699391137</c:v>
                </c:pt>
                <c:pt idx="55">
                  <c:v>132.455432537915</c:v>
                </c:pt>
                <c:pt idx="56">
                  <c:v>131.847185073459</c:v>
                </c:pt>
                <c:pt idx="57">
                  <c:v>132.836245342559</c:v>
                </c:pt>
                <c:pt idx="58">
                  <c:v>133.117723111297</c:v>
                </c:pt>
                <c:pt idx="59">
                  <c:v>132.984813531099</c:v>
                </c:pt>
                <c:pt idx="60">
                  <c:v>134.888136039209</c:v>
                </c:pt>
                <c:pt idx="61">
                  <c:v>134.350180623897</c:v>
                </c:pt>
                <c:pt idx="62">
                  <c:v>136.757763163299</c:v>
                </c:pt>
                <c:pt idx="63">
                  <c:v>136.691615939191</c:v>
                </c:pt>
                <c:pt idx="64">
                  <c:v>137.983892743618</c:v>
                </c:pt>
                <c:pt idx="65">
                  <c:v>138.807767840768</c:v>
                </c:pt>
                <c:pt idx="66">
                  <c:v>139.051093612308</c:v>
                </c:pt>
                <c:pt idx="67">
                  <c:v>139.641596784898</c:v>
                </c:pt>
                <c:pt idx="68">
                  <c:v>140.919633883237</c:v>
                </c:pt>
                <c:pt idx="69">
                  <c:v>140.947820163024</c:v>
                </c:pt>
                <c:pt idx="70">
                  <c:v>141.044032017804</c:v>
                </c:pt>
                <c:pt idx="71">
                  <c:v>142.382904684234</c:v>
                </c:pt>
                <c:pt idx="72">
                  <c:v>142.387795318267</c:v>
                </c:pt>
                <c:pt idx="73">
                  <c:v>143.329241597633</c:v>
                </c:pt>
                <c:pt idx="74">
                  <c:v>144.201438701391</c:v>
                </c:pt>
                <c:pt idx="75">
                  <c:v>145.783491543905</c:v>
                </c:pt>
                <c:pt idx="76">
                  <c:v>145.670340100797</c:v>
                </c:pt>
                <c:pt idx="77">
                  <c:v>147.148086805159</c:v>
                </c:pt>
                <c:pt idx="78">
                  <c:v>147.776749831581</c:v>
                </c:pt>
                <c:pt idx="79">
                  <c:v>147.556768478671</c:v>
                </c:pt>
                <c:pt idx="80">
                  <c:v>149.330412168003</c:v>
                </c:pt>
                <c:pt idx="81">
                  <c:v>149.584065818121</c:v>
                </c:pt>
                <c:pt idx="82">
                  <c:v>150.802234455996</c:v>
                </c:pt>
                <c:pt idx="83">
                  <c:v>151.218459818152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Fiscal!E203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Fiscal!$E$204:$E$295</c:f>
              <c:numCache>
                <c:formatCode>#,##0.00;\(#,##0.00\);\-</c:formatCode>
                <c:ptCount val="92"/>
                <c:pt idx="84">
                  <c:v>151.87399987705</c:v>
                </c:pt>
                <c:pt idx="85">
                  <c:v>152.628997833999</c:v>
                </c:pt>
                <c:pt idx="86">
                  <c:v>153.387749046379</c:v>
                </c:pt>
                <c:pt idx="87">
                  <c:v>154.150272172422</c:v>
                </c:pt>
                <c:pt idx="88">
                  <c:v>154.916585963114</c:v>
                </c:pt>
                <c:pt idx="89">
                  <c:v>155.686709262653</c:v>
                </c:pt>
                <c:pt idx="90">
                  <c:v>156.46066100892</c:v>
                </c:pt>
                <c:pt idx="91">
                  <c:v>157.238460233936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Fiscal!F203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Fiscal!$F$204:$F$295</c:f>
              <c:numCache>
                <c:formatCode>#,##0.00;\(#,##0.00\);\-</c:formatCode>
                <c:ptCount val="92"/>
                <c:pt idx="84">
                  <c:v>151.300144530966</c:v>
                </c:pt>
                <c:pt idx="85">
                  <c:v>151.50518034641</c:v>
                </c:pt>
                <c:pt idx="86">
                  <c:v>152.29068117685</c:v>
                </c:pt>
                <c:pt idx="87">
                  <c:v>152.846014238779</c:v>
                </c:pt>
                <c:pt idx="88">
                  <c:v>152.949251256479</c:v>
                </c:pt>
                <c:pt idx="89">
                  <c:v>153.071831735648</c:v>
                </c:pt>
                <c:pt idx="90">
                  <c:v>153.778999996626</c:v>
                </c:pt>
                <c:pt idx="91">
                  <c:v>154.259917117566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486341"/>
        <c:axId val="16873974"/>
      </c:lineChart>
      <c:catAx>
        <c:axId val="164863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873974"/>
        <c:crosses val="autoZero"/>
        <c:auto val="1"/>
        <c:lblAlgn val="ctr"/>
        <c:lblOffset val="100"/>
        <c:noMultiLvlLbl val="0"/>
      </c:catAx>
      <c:valAx>
        <c:axId val="168739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4863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Current Account Balance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BoP!B7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BoP!$B$8:$B$99</c:f>
              <c:numCache>
                <c:formatCode>#,##0.00;\(#,##0.00\);\-</c:formatCode>
                <c:ptCount val="92"/>
                <c:pt idx="0">
                  <c:v>100.073257747659</c:v>
                </c:pt>
                <c:pt idx="1">
                  <c:v>100.675360648398</c:v>
                </c:pt>
                <c:pt idx="2">
                  <c:v>100.664439410703</c:v>
                </c:pt>
                <c:pt idx="3">
                  <c:v>101.277596782429</c:v>
                </c:pt>
                <c:pt idx="4">
                  <c:v>102.322709646913</c:v>
                </c:pt>
                <c:pt idx="5">
                  <c:v>102.538094980532</c:v>
                </c:pt>
                <c:pt idx="6">
                  <c:v>102.703284017673</c:v>
                </c:pt>
                <c:pt idx="7">
                  <c:v>103.19331668069</c:v>
                </c:pt>
                <c:pt idx="8">
                  <c:v>104.139208398884</c:v>
                </c:pt>
                <c:pt idx="9">
                  <c:v>104.820344577647</c:v>
                </c:pt>
                <c:pt idx="10">
                  <c:v>105.427582085084</c:v>
                </c:pt>
                <c:pt idx="11">
                  <c:v>105.378274008492</c:v>
                </c:pt>
                <c:pt idx="12">
                  <c:v>106.178953950219</c:v>
                </c:pt>
                <c:pt idx="13">
                  <c:v>106.452239297029</c:v>
                </c:pt>
                <c:pt idx="14">
                  <c:v>106.713282391994</c:v>
                </c:pt>
                <c:pt idx="15">
                  <c:v>107.489713064784</c:v>
                </c:pt>
                <c:pt idx="16">
                  <c:v>107.495549787603</c:v>
                </c:pt>
                <c:pt idx="17">
                  <c:v>108.035852375282</c:v>
                </c:pt>
                <c:pt idx="18">
                  <c:v>109.707385184089</c:v>
                </c:pt>
                <c:pt idx="19">
                  <c:v>109.509785311915</c:v>
                </c:pt>
                <c:pt idx="20">
                  <c:v>110.982959964136</c:v>
                </c:pt>
                <c:pt idx="21">
                  <c:v>111.567060308019</c:v>
                </c:pt>
                <c:pt idx="22">
                  <c:v>111.037290243756</c:v>
                </c:pt>
                <c:pt idx="23">
                  <c:v>112.385004075999</c:v>
                </c:pt>
                <c:pt idx="24">
                  <c:v>112.545674208425</c:v>
                </c:pt>
                <c:pt idx="25">
                  <c:v>114.417772269007</c:v>
                </c:pt>
                <c:pt idx="26">
                  <c:v>113.756208391297</c:v>
                </c:pt>
                <c:pt idx="27">
                  <c:v>113.973567916863</c:v>
                </c:pt>
                <c:pt idx="28">
                  <c:v>114.809878857858</c:v>
                </c:pt>
                <c:pt idx="29">
                  <c:v>115.443387067471</c:v>
                </c:pt>
                <c:pt idx="30">
                  <c:v>116.061234349243</c:v>
                </c:pt>
                <c:pt idx="31">
                  <c:v>116.729920095561</c:v>
                </c:pt>
                <c:pt idx="32">
                  <c:v>117.96503169097</c:v>
                </c:pt>
                <c:pt idx="33">
                  <c:v>118.249947713402</c:v>
                </c:pt>
                <c:pt idx="34">
                  <c:v>118.824532887462</c:v>
                </c:pt>
                <c:pt idx="35">
                  <c:v>118.274707752078</c:v>
                </c:pt>
                <c:pt idx="36">
                  <c:v>120.071616251943</c:v>
                </c:pt>
                <c:pt idx="37">
                  <c:v>120.586422156499</c:v>
                </c:pt>
                <c:pt idx="38">
                  <c:v>120.098472404924</c:v>
                </c:pt>
                <c:pt idx="39">
                  <c:v>122.134703397116</c:v>
                </c:pt>
                <c:pt idx="40">
                  <c:v>122.147550480131</c:v>
                </c:pt>
                <c:pt idx="41">
                  <c:v>122.512351146556</c:v>
                </c:pt>
                <c:pt idx="42">
                  <c:v>123.194731815785</c:v>
                </c:pt>
                <c:pt idx="43">
                  <c:v>123.225121754712</c:v>
                </c:pt>
                <c:pt idx="44">
                  <c:v>123.979932292072</c:v>
                </c:pt>
                <c:pt idx="45">
                  <c:v>125.010165136539</c:v>
                </c:pt>
                <c:pt idx="46">
                  <c:v>125.760982368506</c:v>
                </c:pt>
                <c:pt idx="47">
                  <c:v>126.423174246065</c:v>
                </c:pt>
                <c:pt idx="48">
                  <c:v>127.692448261336</c:v>
                </c:pt>
                <c:pt idx="49">
                  <c:v>127.628139314677</c:v>
                </c:pt>
                <c:pt idx="50">
                  <c:v>128.850288689019</c:v>
                </c:pt>
                <c:pt idx="51">
                  <c:v>128.85628953062</c:v>
                </c:pt>
                <c:pt idx="52">
                  <c:v>128.867533582573</c:v>
                </c:pt>
                <c:pt idx="53">
                  <c:v>130.441538701393</c:v>
                </c:pt>
                <c:pt idx="54">
                  <c:v>130.632498698178</c:v>
                </c:pt>
                <c:pt idx="55">
                  <c:v>131.429485156352</c:v>
                </c:pt>
                <c:pt idx="56">
                  <c:v>132.588591898912</c:v>
                </c:pt>
                <c:pt idx="57">
                  <c:v>133.355456209366</c:v>
                </c:pt>
                <c:pt idx="58">
                  <c:v>133.394500716181</c:v>
                </c:pt>
                <c:pt idx="59">
                  <c:v>134.573349584599</c:v>
                </c:pt>
                <c:pt idx="60">
                  <c:v>135.193554901635</c:v>
                </c:pt>
                <c:pt idx="61">
                  <c:v>135.398248542784</c:v>
                </c:pt>
                <c:pt idx="62">
                  <c:v>136.692519807634</c:v>
                </c:pt>
                <c:pt idx="63">
                  <c:v>137.558045220651</c:v>
                </c:pt>
                <c:pt idx="64">
                  <c:v>137.465052404296</c:v>
                </c:pt>
                <c:pt idx="65">
                  <c:v>139.002509123952</c:v>
                </c:pt>
                <c:pt idx="66">
                  <c:v>138.299137834105</c:v>
                </c:pt>
                <c:pt idx="67">
                  <c:v>140.213782911011</c:v>
                </c:pt>
                <c:pt idx="68">
                  <c:v>141.028242798485</c:v>
                </c:pt>
                <c:pt idx="69">
                  <c:v>141.073250507832</c:v>
                </c:pt>
                <c:pt idx="70">
                  <c:v>141.70960084006</c:v>
                </c:pt>
                <c:pt idx="71">
                  <c:v>142.957037793449</c:v>
                </c:pt>
                <c:pt idx="72">
                  <c:v>143.462129492055</c:v>
                </c:pt>
                <c:pt idx="73">
                  <c:v>143.838406139418</c:v>
                </c:pt>
                <c:pt idx="74">
                  <c:v>144.106148300277</c:v>
                </c:pt>
                <c:pt idx="75">
                  <c:v>145.496627715644</c:v>
                </c:pt>
                <c:pt idx="76">
                  <c:v>145.30977102163</c:v>
                </c:pt>
                <c:pt idx="77">
                  <c:v>146.717564028874</c:v>
                </c:pt>
                <c:pt idx="78">
                  <c:v>146.716766807571</c:v>
                </c:pt>
                <c:pt idx="79">
                  <c:v>147.97853329638</c:v>
                </c:pt>
                <c:pt idx="80">
                  <c:v>149.521332571559</c:v>
                </c:pt>
                <c:pt idx="81">
                  <c:v>149.861167169281</c:v>
                </c:pt>
                <c:pt idx="82">
                  <c:v>150.472857155832</c:v>
                </c:pt>
                <c:pt idx="83">
                  <c:v>152.018952063838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BoP!E7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BoP!$E$8:$E$99</c:f>
              <c:numCache>
                <c:formatCode>#,##0.00;\(#,##0.00\);\-</c:formatCode>
                <c:ptCount val="92"/>
                <c:pt idx="84">
                  <c:v>152.096375763087</c:v>
                </c:pt>
                <c:pt idx="85">
                  <c:v>152.857013430334</c:v>
                </c:pt>
                <c:pt idx="86">
                  <c:v>153.621455065019</c:v>
                </c:pt>
                <c:pt idx="87">
                  <c:v>154.389719690875</c:v>
                </c:pt>
                <c:pt idx="88">
                  <c:v>155.161826426774</c:v>
                </c:pt>
                <c:pt idx="89">
                  <c:v>155.937794487202</c:v>
                </c:pt>
                <c:pt idx="90">
                  <c:v>156.717643182737</c:v>
                </c:pt>
                <c:pt idx="91">
                  <c:v>157.501391920528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BoP!F7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BoP!$F$8:$F$99</c:f>
              <c:numCache>
                <c:formatCode>#,##0.00;\(#,##0.00\);\-</c:formatCode>
                <c:ptCount val="92"/>
                <c:pt idx="84">
                  <c:v>151.414385195976</c:v>
                </c:pt>
                <c:pt idx="85">
                  <c:v>151.925210027864</c:v>
                </c:pt>
                <c:pt idx="86">
                  <c:v>152.309058699964</c:v>
                </c:pt>
                <c:pt idx="87">
                  <c:v>153.452612639182</c:v>
                </c:pt>
                <c:pt idx="88">
                  <c:v>153.136676873631</c:v>
                </c:pt>
                <c:pt idx="89">
                  <c:v>153.561387121636</c:v>
                </c:pt>
                <c:pt idx="90">
                  <c:v>153.863426939048</c:v>
                </c:pt>
                <c:pt idx="91">
                  <c:v>154.929262466311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996068"/>
        <c:axId val="4549909"/>
      </c:lineChart>
      <c:catAx>
        <c:axId val="159960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49909"/>
        <c:crosses val="autoZero"/>
        <c:auto val="1"/>
        <c:lblAlgn val="ctr"/>
        <c:lblOffset val="100"/>
        <c:noMultiLvlLbl val="0"/>
      </c:catAx>
      <c:valAx>
        <c:axId val="4549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9960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Trade Balance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BoP!B105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BoP!$B$106:$B$197</c:f>
              <c:numCache>
                <c:formatCode>#,##0.00;\(#,##0.00\);\-</c:formatCode>
                <c:ptCount val="92"/>
                <c:pt idx="0">
                  <c:v>99.758194781775</c:v>
                </c:pt>
                <c:pt idx="1">
                  <c:v>100.638442927676</c:v>
                </c:pt>
                <c:pt idx="2">
                  <c:v>100.491500518169</c:v>
                </c:pt>
                <c:pt idx="3">
                  <c:v>101.634245739031</c:v>
                </c:pt>
                <c:pt idx="4">
                  <c:v>101.600304270866</c:v>
                </c:pt>
                <c:pt idx="5">
                  <c:v>103.296215607401</c:v>
                </c:pt>
                <c:pt idx="6">
                  <c:v>103.257081095226</c:v>
                </c:pt>
                <c:pt idx="7">
                  <c:v>103.631785121768</c:v>
                </c:pt>
                <c:pt idx="8">
                  <c:v>103.973685628009</c:v>
                </c:pt>
                <c:pt idx="9">
                  <c:v>103.986660276744</c:v>
                </c:pt>
                <c:pt idx="10">
                  <c:v>105.589029099673</c:v>
                </c:pt>
                <c:pt idx="11">
                  <c:v>105.801240837395</c:v>
                </c:pt>
                <c:pt idx="12">
                  <c:v>106.453654355907</c:v>
                </c:pt>
                <c:pt idx="13">
                  <c:v>106.284510977677</c:v>
                </c:pt>
                <c:pt idx="14">
                  <c:v>106.953978341569</c:v>
                </c:pt>
                <c:pt idx="15">
                  <c:v>107.480095776082</c:v>
                </c:pt>
                <c:pt idx="16">
                  <c:v>108.942553612746</c:v>
                </c:pt>
                <c:pt idx="17">
                  <c:v>108.849815486972</c:v>
                </c:pt>
                <c:pt idx="18">
                  <c:v>109.10699508284</c:v>
                </c:pt>
                <c:pt idx="19">
                  <c:v>110.175885606321</c:v>
                </c:pt>
                <c:pt idx="20">
                  <c:v>111.06608081784</c:v>
                </c:pt>
                <c:pt idx="21">
                  <c:v>110.573711427723</c:v>
                </c:pt>
                <c:pt idx="22">
                  <c:v>111.285456062973</c:v>
                </c:pt>
                <c:pt idx="23">
                  <c:v>111.682298406594</c:v>
                </c:pt>
                <c:pt idx="24">
                  <c:v>112.635652981618</c:v>
                </c:pt>
                <c:pt idx="25">
                  <c:v>113.187688266229</c:v>
                </c:pt>
                <c:pt idx="26">
                  <c:v>114.084802787041</c:v>
                </c:pt>
                <c:pt idx="27">
                  <c:v>115.229977837301</c:v>
                </c:pt>
                <c:pt idx="28">
                  <c:v>114.422145305072</c:v>
                </c:pt>
                <c:pt idx="29">
                  <c:v>115.469940133305</c:v>
                </c:pt>
                <c:pt idx="30">
                  <c:v>116.26793716169</c:v>
                </c:pt>
                <c:pt idx="31">
                  <c:v>116.615815644397</c:v>
                </c:pt>
                <c:pt idx="32">
                  <c:v>116.605335052797</c:v>
                </c:pt>
                <c:pt idx="33">
                  <c:v>118.177972818929</c:v>
                </c:pt>
                <c:pt idx="34">
                  <c:v>119.395849148406</c:v>
                </c:pt>
                <c:pt idx="35">
                  <c:v>119.066480229042</c:v>
                </c:pt>
                <c:pt idx="36">
                  <c:v>119.959917422314</c:v>
                </c:pt>
                <c:pt idx="37">
                  <c:v>119.905754545581</c:v>
                </c:pt>
                <c:pt idx="38">
                  <c:v>120.883240817494</c:v>
                </c:pt>
                <c:pt idx="39">
                  <c:v>121.514924289116</c:v>
                </c:pt>
                <c:pt idx="40">
                  <c:v>121.716817163943</c:v>
                </c:pt>
                <c:pt idx="41">
                  <c:v>122.863413008001</c:v>
                </c:pt>
                <c:pt idx="42">
                  <c:v>123.709919689399</c:v>
                </c:pt>
                <c:pt idx="43">
                  <c:v>123.418656702726</c:v>
                </c:pt>
                <c:pt idx="44">
                  <c:v>125.54011354057</c:v>
                </c:pt>
                <c:pt idx="45">
                  <c:v>125.711767665231</c:v>
                </c:pt>
                <c:pt idx="46">
                  <c:v>126.157547736432</c:v>
                </c:pt>
                <c:pt idx="47">
                  <c:v>126.043679831262</c:v>
                </c:pt>
                <c:pt idx="48">
                  <c:v>126.778669709643</c:v>
                </c:pt>
                <c:pt idx="49">
                  <c:v>127.379770442047</c:v>
                </c:pt>
                <c:pt idx="50">
                  <c:v>128.819104354721</c:v>
                </c:pt>
                <c:pt idx="51">
                  <c:v>128.847358965183</c:v>
                </c:pt>
                <c:pt idx="52">
                  <c:v>130.011451248317</c:v>
                </c:pt>
                <c:pt idx="53">
                  <c:v>129.673051968998</c:v>
                </c:pt>
                <c:pt idx="54">
                  <c:v>131.357670062376</c:v>
                </c:pt>
                <c:pt idx="55">
                  <c:v>131.76004727751</c:v>
                </c:pt>
                <c:pt idx="56">
                  <c:v>131.661748714638</c:v>
                </c:pt>
                <c:pt idx="57">
                  <c:v>131.968574473842</c:v>
                </c:pt>
                <c:pt idx="58">
                  <c:v>132.930854836943</c:v>
                </c:pt>
                <c:pt idx="59">
                  <c:v>133.837064413229</c:v>
                </c:pt>
                <c:pt idx="60">
                  <c:v>135.203476877517</c:v>
                </c:pt>
                <c:pt idx="61">
                  <c:v>135.652046499082</c:v>
                </c:pt>
                <c:pt idx="62">
                  <c:v>136.534127938442</c:v>
                </c:pt>
                <c:pt idx="63">
                  <c:v>137.183228783634</c:v>
                </c:pt>
                <c:pt idx="64">
                  <c:v>138.037931062088</c:v>
                </c:pt>
                <c:pt idx="65">
                  <c:v>137.916368006487</c:v>
                </c:pt>
                <c:pt idx="66">
                  <c:v>138.803920663534</c:v>
                </c:pt>
                <c:pt idx="67">
                  <c:v>139.601052314989</c:v>
                </c:pt>
                <c:pt idx="68">
                  <c:v>140.347610858114</c:v>
                </c:pt>
                <c:pt idx="69">
                  <c:v>140.296081113171</c:v>
                </c:pt>
                <c:pt idx="70">
                  <c:v>141.30807062685</c:v>
                </c:pt>
                <c:pt idx="71">
                  <c:v>142.491547347727</c:v>
                </c:pt>
                <c:pt idx="72">
                  <c:v>143.571753092764</c:v>
                </c:pt>
                <c:pt idx="73">
                  <c:v>143.675607665014</c:v>
                </c:pt>
                <c:pt idx="74">
                  <c:v>144.161344281826</c:v>
                </c:pt>
                <c:pt idx="75">
                  <c:v>144.898382173833</c:v>
                </c:pt>
                <c:pt idx="76">
                  <c:v>146.18681023601</c:v>
                </c:pt>
                <c:pt idx="77">
                  <c:v>146.014717869493</c:v>
                </c:pt>
                <c:pt idx="78">
                  <c:v>146.913472582403</c:v>
                </c:pt>
                <c:pt idx="79">
                  <c:v>148.055381745315</c:v>
                </c:pt>
                <c:pt idx="80">
                  <c:v>148.937546105832</c:v>
                </c:pt>
                <c:pt idx="81">
                  <c:v>149.464865541465</c:v>
                </c:pt>
                <c:pt idx="82">
                  <c:v>149.543645844004</c:v>
                </c:pt>
                <c:pt idx="83">
                  <c:v>151.575627619878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BoP!E105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BoP!$E$106:$E$197</c:f>
              <c:numCache>
                <c:formatCode>#,##0.00;\(#,##0.00\);\-</c:formatCode>
                <c:ptCount val="92"/>
                <c:pt idx="84">
                  <c:v>151.592052725288</c:v>
                </c:pt>
                <c:pt idx="85">
                  <c:v>152.334067523009</c:v>
                </c:pt>
                <c:pt idx="86">
                  <c:v>153.079714344639</c:v>
                </c:pt>
                <c:pt idx="87">
                  <c:v>153.829010968258</c:v>
                </c:pt>
                <c:pt idx="88">
                  <c:v>154.581975258965</c:v>
                </c:pt>
                <c:pt idx="89">
                  <c:v>155.338625169306</c:v>
                </c:pt>
                <c:pt idx="90">
                  <c:v>156.098978739701</c:v>
                </c:pt>
                <c:pt idx="91">
                  <c:v>156.863054098874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BoP!F105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BoP!$F$106:$F$197</c:f>
              <c:numCache>
                <c:formatCode>#,##0.00;\(#,##0.00\);\-</c:formatCode>
                <c:ptCount val="92"/>
                <c:pt idx="84">
                  <c:v>151.257044082754</c:v>
                </c:pt>
                <c:pt idx="85">
                  <c:v>151.270799791448</c:v>
                </c:pt>
                <c:pt idx="86">
                  <c:v>151.93847285782</c:v>
                </c:pt>
                <c:pt idx="87">
                  <c:v>152.651938087014</c:v>
                </c:pt>
                <c:pt idx="88">
                  <c:v>152.911860441553</c:v>
                </c:pt>
                <c:pt idx="89">
                  <c:v>152.842875332307</c:v>
                </c:pt>
                <c:pt idx="90">
                  <c:v>153.431944621636</c:v>
                </c:pt>
                <c:pt idx="91">
                  <c:v>154.07073626264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795795"/>
        <c:axId val="37053868"/>
      </c:lineChart>
      <c:catAx>
        <c:axId val="677957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053868"/>
        <c:crosses val="autoZero"/>
        <c:auto val="1"/>
        <c:lblAlgn val="ctr"/>
        <c:lblOffset val="100"/>
        <c:noMultiLvlLbl val="0"/>
      </c:catAx>
      <c:valAx>
        <c:axId val="37053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957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Foreign Direct Investment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BoP!B203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BoP!$B$204:$B$295</c:f>
              <c:numCache>
                <c:formatCode>#,##0.00;\(#,##0.00\);\-</c:formatCode>
                <c:ptCount val="92"/>
                <c:pt idx="0">
                  <c:v>99.9728755411891</c:v>
                </c:pt>
                <c:pt idx="1">
                  <c:v>99.2244055543828</c:v>
                </c:pt>
                <c:pt idx="2">
                  <c:v>100.592142112693</c:v>
                </c:pt>
                <c:pt idx="3">
                  <c:v>101.365376260808</c:v>
                </c:pt>
                <c:pt idx="4">
                  <c:v>101.995207120289</c:v>
                </c:pt>
                <c:pt idx="5">
                  <c:v>102.250606809259</c:v>
                </c:pt>
                <c:pt idx="6">
                  <c:v>102.868946661817</c:v>
                </c:pt>
                <c:pt idx="7">
                  <c:v>104.279077888581</c:v>
                </c:pt>
                <c:pt idx="8">
                  <c:v>103.698850789514</c:v>
                </c:pt>
                <c:pt idx="9">
                  <c:v>104.920791844775</c:v>
                </c:pt>
                <c:pt idx="10">
                  <c:v>105.167430508061</c:v>
                </c:pt>
                <c:pt idx="11">
                  <c:v>105.40606110407</c:v>
                </c:pt>
                <c:pt idx="12">
                  <c:v>105.905594461092</c:v>
                </c:pt>
                <c:pt idx="13">
                  <c:v>106.443785725106</c:v>
                </c:pt>
                <c:pt idx="14">
                  <c:v>106.600944396216</c:v>
                </c:pt>
                <c:pt idx="15">
                  <c:v>107.011212500844</c:v>
                </c:pt>
                <c:pt idx="16">
                  <c:v>107.931445691088</c:v>
                </c:pt>
                <c:pt idx="17">
                  <c:v>109.088227092303</c:v>
                </c:pt>
                <c:pt idx="18">
                  <c:v>108.154185555234</c:v>
                </c:pt>
                <c:pt idx="19">
                  <c:v>110.533334005765</c:v>
                </c:pt>
                <c:pt idx="20">
                  <c:v>111.613932657079</c:v>
                </c:pt>
                <c:pt idx="21">
                  <c:v>111.080319296135</c:v>
                </c:pt>
                <c:pt idx="22">
                  <c:v>111.033955606193</c:v>
                </c:pt>
                <c:pt idx="23">
                  <c:v>112.892972482962</c:v>
                </c:pt>
                <c:pt idx="24">
                  <c:v>112.366136463519</c:v>
                </c:pt>
                <c:pt idx="25">
                  <c:v>113.017702789557</c:v>
                </c:pt>
                <c:pt idx="26">
                  <c:v>114.595585034826</c:v>
                </c:pt>
                <c:pt idx="27">
                  <c:v>113.835074897667</c:v>
                </c:pt>
                <c:pt idx="28">
                  <c:v>115.039863863722</c:v>
                </c:pt>
                <c:pt idx="29">
                  <c:v>116.894822053938</c:v>
                </c:pt>
                <c:pt idx="30">
                  <c:v>116.306131692131</c:v>
                </c:pt>
                <c:pt idx="31">
                  <c:v>116.232610182022</c:v>
                </c:pt>
                <c:pt idx="32">
                  <c:v>116.397345291924</c:v>
                </c:pt>
                <c:pt idx="33">
                  <c:v>117.503593399664</c:v>
                </c:pt>
                <c:pt idx="34">
                  <c:v>118.593600234769</c:v>
                </c:pt>
                <c:pt idx="35">
                  <c:v>118.691515818777</c:v>
                </c:pt>
                <c:pt idx="36">
                  <c:v>119.784299703467</c:v>
                </c:pt>
                <c:pt idx="37">
                  <c:v>120.353985699991</c:v>
                </c:pt>
                <c:pt idx="38">
                  <c:v>120.682856607756</c:v>
                </c:pt>
                <c:pt idx="39">
                  <c:v>120.496556031458</c:v>
                </c:pt>
                <c:pt idx="40">
                  <c:v>122.38572931454</c:v>
                </c:pt>
                <c:pt idx="41">
                  <c:v>123.125101699234</c:v>
                </c:pt>
                <c:pt idx="42">
                  <c:v>123.16382849361</c:v>
                </c:pt>
                <c:pt idx="43">
                  <c:v>124.159658948474</c:v>
                </c:pt>
                <c:pt idx="44">
                  <c:v>124.54121911044</c:v>
                </c:pt>
                <c:pt idx="45">
                  <c:v>124.676315604566</c:v>
                </c:pt>
                <c:pt idx="46">
                  <c:v>124.852274324428</c:v>
                </c:pt>
                <c:pt idx="47">
                  <c:v>126.131810252455</c:v>
                </c:pt>
                <c:pt idx="48">
                  <c:v>127.049548784688</c:v>
                </c:pt>
                <c:pt idx="49">
                  <c:v>127.673024690642</c:v>
                </c:pt>
                <c:pt idx="50">
                  <c:v>128.413531538017</c:v>
                </c:pt>
                <c:pt idx="51">
                  <c:v>129.720463511136</c:v>
                </c:pt>
                <c:pt idx="52">
                  <c:v>128.638010075904</c:v>
                </c:pt>
                <c:pt idx="53">
                  <c:v>130.431725329078</c:v>
                </c:pt>
                <c:pt idx="54">
                  <c:v>131.613036744149</c:v>
                </c:pt>
                <c:pt idx="55">
                  <c:v>131.830139024942</c:v>
                </c:pt>
                <c:pt idx="56">
                  <c:v>132.542236770059</c:v>
                </c:pt>
                <c:pt idx="57">
                  <c:v>133.255884026522</c:v>
                </c:pt>
                <c:pt idx="58">
                  <c:v>133.128165832912</c:v>
                </c:pt>
                <c:pt idx="59">
                  <c:v>133.780171414115</c:v>
                </c:pt>
                <c:pt idx="60">
                  <c:v>134.788946242179</c:v>
                </c:pt>
                <c:pt idx="61">
                  <c:v>134.72386946358</c:v>
                </c:pt>
                <c:pt idx="62">
                  <c:v>136.506935521336</c:v>
                </c:pt>
                <c:pt idx="63">
                  <c:v>137.19986499568</c:v>
                </c:pt>
                <c:pt idx="64">
                  <c:v>137.111851364144</c:v>
                </c:pt>
                <c:pt idx="65">
                  <c:v>137.742779692034</c:v>
                </c:pt>
                <c:pt idx="66">
                  <c:v>139.011288890351</c:v>
                </c:pt>
                <c:pt idx="67">
                  <c:v>140.495485660952</c:v>
                </c:pt>
                <c:pt idx="68">
                  <c:v>140.400937694085</c:v>
                </c:pt>
                <c:pt idx="69">
                  <c:v>140.165101338016</c:v>
                </c:pt>
                <c:pt idx="70">
                  <c:v>141.085803708076</c:v>
                </c:pt>
                <c:pt idx="71">
                  <c:v>143.052948714717</c:v>
                </c:pt>
                <c:pt idx="72">
                  <c:v>142.104129749192</c:v>
                </c:pt>
                <c:pt idx="73">
                  <c:v>144.279881744918</c:v>
                </c:pt>
                <c:pt idx="74">
                  <c:v>144.565719543133</c:v>
                </c:pt>
                <c:pt idx="75">
                  <c:v>144.96161165228</c:v>
                </c:pt>
                <c:pt idx="76">
                  <c:v>145.803607138131</c:v>
                </c:pt>
                <c:pt idx="77">
                  <c:v>146.264888731662</c:v>
                </c:pt>
                <c:pt idx="78">
                  <c:v>147.472866059166</c:v>
                </c:pt>
                <c:pt idx="79">
                  <c:v>148.374090005282</c:v>
                </c:pt>
                <c:pt idx="80">
                  <c:v>148.625082972387</c:v>
                </c:pt>
                <c:pt idx="81">
                  <c:v>150.443652593925</c:v>
                </c:pt>
                <c:pt idx="82">
                  <c:v>150.948532786548</c:v>
                </c:pt>
                <c:pt idx="83">
                  <c:v>151.559632203826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BoP!E203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BoP!$E$204:$E$295</c:f>
              <c:numCache>
                <c:formatCode>#,##0.00;\(#,##0.00\);\-</c:formatCode>
                <c:ptCount val="92"/>
                <c:pt idx="84">
                  <c:v>152.001542555269</c:v>
                </c:pt>
                <c:pt idx="85">
                  <c:v>152.764780188504</c:v>
                </c:pt>
                <c:pt idx="86">
                  <c:v>153.53185022814</c:v>
                </c:pt>
                <c:pt idx="87">
                  <c:v>154.302771917646</c:v>
                </c:pt>
                <c:pt idx="88">
                  <c:v>155.077564597117</c:v>
                </c:pt>
                <c:pt idx="89">
                  <c:v>155.856247703756</c:v>
                </c:pt>
                <c:pt idx="90">
                  <c:v>156.638840772369</c:v>
                </c:pt>
                <c:pt idx="91">
                  <c:v>157.42536343585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BoP!F203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BoP!$F$204:$F$295</c:f>
              <c:numCache>
                <c:formatCode>#,##0.00;\(#,##0.00\);\-</c:formatCode>
                <c:ptCount val="92"/>
                <c:pt idx="84">
                  <c:v>151.304603066506</c:v>
                </c:pt>
                <c:pt idx="85">
                  <c:v>151.933248589903</c:v>
                </c:pt>
                <c:pt idx="86">
                  <c:v>152.434134221609</c:v>
                </c:pt>
                <c:pt idx="87">
                  <c:v>153.336648167993</c:v>
                </c:pt>
                <c:pt idx="88">
                  <c:v>153.020398309942</c:v>
                </c:pt>
                <c:pt idx="89">
                  <c:v>153.563254071167</c:v>
                </c:pt>
                <c:pt idx="90">
                  <c:v>153.98263942881</c:v>
                </c:pt>
                <c:pt idx="91">
                  <c:v>154.807728114834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845652"/>
        <c:axId val="40891482"/>
      </c:lineChart>
      <c:catAx>
        <c:axId val="198456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891482"/>
        <c:crosses val="autoZero"/>
        <c:auto val="1"/>
        <c:lblAlgn val="ctr"/>
        <c:lblOffset val="100"/>
        <c:noMultiLvlLbl val="0"/>
      </c:catAx>
      <c:valAx>
        <c:axId val="40891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8456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BCRA International Reserves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Reserves!B7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Reserves!$B$8:$B$99</c:f>
              <c:numCache>
                <c:formatCode>#,##0.00;\(#,##0.00\);\-</c:formatCode>
                <c:ptCount val="92"/>
                <c:pt idx="0">
                  <c:v>99.8527362273308</c:v>
                </c:pt>
                <c:pt idx="1">
                  <c:v>100.385276871342</c:v>
                </c:pt>
                <c:pt idx="2">
                  <c:v>100.744317129473</c:v>
                </c:pt>
                <c:pt idx="3">
                  <c:v>101.31267906081</c:v>
                </c:pt>
                <c:pt idx="4">
                  <c:v>101.40747352628</c:v>
                </c:pt>
                <c:pt idx="5">
                  <c:v>102.116797754791</c:v>
                </c:pt>
                <c:pt idx="6">
                  <c:v>103.79115771364</c:v>
                </c:pt>
                <c:pt idx="7">
                  <c:v>103.40444727811</c:v>
                </c:pt>
                <c:pt idx="8">
                  <c:v>104.275705017128</c:v>
                </c:pt>
                <c:pt idx="9">
                  <c:v>104.233016594436</c:v>
                </c:pt>
                <c:pt idx="10">
                  <c:v>104.472620090715</c:v>
                </c:pt>
                <c:pt idx="11">
                  <c:v>105.513747945749</c:v>
                </c:pt>
                <c:pt idx="12">
                  <c:v>106.717563643873</c:v>
                </c:pt>
                <c:pt idx="13">
                  <c:v>107.524370221135</c:v>
                </c:pt>
                <c:pt idx="14">
                  <c:v>107.143990611772</c:v>
                </c:pt>
                <c:pt idx="15">
                  <c:v>107.455683590527</c:v>
                </c:pt>
                <c:pt idx="16">
                  <c:v>108.566194295762</c:v>
                </c:pt>
                <c:pt idx="17">
                  <c:v>108.548725497064</c:v>
                </c:pt>
                <c:pt idx="18">
                  <c:v>109.295874048165</c:v>
                </c:pt>
                <c:pt idx="19">
                  <c:v>110.111625778977</c:v>
                </c:pt>
                <c:pt idx="20">
                  <c:v>109.861092434605</c:v>
                </c:pt>
                <c:pt idx="21">
                  <c:v>110.497436569917</c:v>
                </c:pt>
                <c:pt idx="22">
                  <c:v>111.893555720589</c:v>
                </c:pt>
                <c:pt idx="23">
                  <c:v>112.312583615439</c:v>
                </c:pt>
                <c:pt idx="24">
                  <c:v>112.717107385039</c:v>
                </c:pt>
                <c:pt idx="25">
                  <c:v>112.655518756599</c:v>
                </c:pt>
                <c:pt idx="26">
                  <c:v>113.587729391008</c:v>
                </c:pt>
                <c:pt idx="27">
                  <c:v>114.613441200155</c:v>
                </c:pt>
                <c:pt idx="28">
                  <c:v>115.181567469944</c:v>
                </c:pt>
                <c:pt idx="29">
                  <c:v>115.292730866561</c:v>
                </c:pt>
                <c:pt idx="30">
                  <c:v>115.852599422417</c:v>
                </c:pt>
                <c:pt idx="31">
                  <c:v>116.442439172271</c:v>
                </c:pt>
                <c:pt idx="32">
                  <c:v>116.987602662308</c:v>
                </c:pt>
                <c:pt idx="33">
                  <c:v>117.510150636225</c:v>
                </c:pt>
                <c:pt idx="34">
                  <c:v>117.516127680403</c:v>
                </c:pt>
                <c:pt idx="35">
                  <c:v>119.696705250253</c:v>
                </c:pt>
                <c:pt idx="36">
                  <c:v>119.236381963916</c:v>
                </c:pt>
                <c:pt idx="37">
                  <c:v>119.922110121236</c:v>
                </c:pt>
                <c:pt idx="38">
                  <c:v>121.27237115711</c:v>
                </c:pt>
                <c:pt idx="39">
                  <c:v>121.123911449423</c:v>
                </c:pt>
                <c:pt idx="40">
                  <c:v>122.682976787521</c:v>
                </c:pt>
                <c:pt idx="41">
                  <c:v>122.70352588856</c:v>
                </c:pt>
                <c:pt idx="42">
                  <c:v>123.098942923192</c:v>
                </c:pt>
                <c:pt idx="43">
                  <c:v>123.637798284386</c:v>
                </c:pt>
                <c:pt idx="44">
                  <c:v>125.077037999569</c:v>
                </c:pt>
                <c:pt idx="45">
                  <c:v>125.313735024317</c:v>
                </c:pt>
                <c:pt idx="46">
                  <c:v>125.174700893802</c:v>
                </c:pt>
                <c:pt idx="47">
                  <c:v>126.595680053033</c:v>
                </c:pt>
                <c:pt idx="48">
                  <c:v>127.034315528165</c:v>
                </c:pt>
                <c:pt idx="49">
                  <c:v>127.251093436532</c:v>
                </c:pt>
                <c:pt idx="50">
                  <c:v>128.419319661698</c:v>
                </c:pt>
                <c:pt idx="51">
                  <c:v>129.41886874762</c:v>
                </c:pt>
                <c:pt idx="52">
                  <c:v>130.422760087618</c:v>
                </c:pt>
                <c:pt idx="53">
                  <c:v>131.139307430827</c:v>
                </c:pt>
                <c:pt idx="54">
                  <c:v>131.001029383191</c:v>
                </c:pt>
                <c:pt idx="55">
                  <c:v>130.799050100728</c:v>
                </c:pt>
                <c:pt idx="56">
                  <c:v>131.480395657169</c:v>
                </c:pt>
                <c:pt idx="57">
                  <c:v>132.528761810462</c:v>
                </c:pt>
                <c:pt idx="58">
                  <c:v>133.271961774165</c:v>
                </c:pt>
                <c:pt idx="59">
                  <c:v>134.312908003661</c:v>
                </c:pt>
                <c:pt idx="60">
                  <c:v>135.261909670538</c:v>
                </c:pt>
                <c:pt idx="61">
                  <c:v>136.447409939592</c:v>
                </c:pt>
                <c:pt idx="62">
                  <c:v>135.419738109468</c:v>
                </c:pt>
                <c:pt idx="63">
                  <c:v>136.928353502413</c:v>
                </c:pt>
                <c:pt idx="64">
                  <c:v>136.836213786201</c:v>
                </c:pt>
                <c:pt idx="65">
                  <c:v>137.679023523058</c:v>
                </c:pt>
                <c:pt idx="66">
                  <c:v>139.286671630315</c:v>
                </c:pt>
                <c:pt idx="67">
                  <c:v>140.046661417551</c:v>
                </c:pt>
                <c:pt idx="68">
                  <c:v>140.174557934609</c:v>
                </c:pt>
                <c:pt idx="69">
                  <c:v>140.065484199061</c:v>
                </c:pt>
                <c:pt idx="70">
                  <c:v>140.92390209171</c:v>
                </c:pt>
                <c:pt idx="71">
                  <c:v>142.949091462038</c:v>
                </c:pt>
                <c:pt idx="72">
                  <c:v>143.579130597643</c:v>
                </c:pt>
                <c:pt idx="73">
                  <c:v>144.245473460485</c:v>
                </c:pt>
                <c:pt idx="74">
                  <c:v>144.415728730367</c:v>
                </c:pt>
                <c:pt idx="75">
                  <c:v>145.211394216833</c:v>
                </c:pt>
                <c:pt idx="76">
                  <c:v>145.819820363151</c:v>
                </c:pt>
                <c:pt idx="77">
                  <c:v>147.027926882005</c:v>
                </c:pt>
                <c:pt idx="78">
                  <c:v>147.136148379104</c:v>
                </c:pt>
                <c:pt idx="79">
                  <c:v>148.179082854161</c:v>
                </c:pt>
                <c:pt idx="80">
                  <c:v>148.663936389302</c:v>
                </c:pt>
                <c:pt idx="81">
                  <c:v>149.179609677259</c:v>
                </c:pt>
                <c:pt idx="82">
                  <c:v>151.863256418575</c:v>
                </c:pt>
                <c:pt idx="83">
                  <c:v>150.580554312352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Reserves!E7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Reserves!$E$8:$E$99</c:f>
              <c:numCache>
                <c:formatCode>#,##0.00;\(#,##0.00\);\-</c:formatCode>
                <c:ptCount val="92"/>
                <c:pt idx="84">
                  <c:v>151.838632033543</c:v>
                </c:pt>
                <c:pt idx="85">
                  <c:v>152.591142197405</c:v>
                </c:pt>
                <c:pt idx="86">
                  <c:v>153.347381791249</c:v>
                </c:pt>
                <c:pt idx="87">
                  <c:v>154.107369298078</c:v>
                </c:pt>
                <c:pt idx="88">
                  <c:v>154.871123292498</c:v>
                </c:pt>
                <c:pt idx="89">
                  <c:v>155.638662441168</c:v>
                </c:pt>
                <c:pt idx="90">
                  <c:v>156.410005503262</c:v>
                </c:pt>
                <c:pt idx="91">
                  <c:v>157.185171330921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Reserves!F7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Reserves!$F$8:$F$99</c:f>
              <c:numCache>
                <c:formatCode>#,##0.00;\(#,##0.00\);\-</c:formatCode>
                <c:ptCount val="92"/>
                <c:pt idx="84">
                  <c:v>151.145941645565</c:v>
                </c:pt>
                <c:pt idx="85">
                  <c:v>151.597122804472</c:v>
                </c:pt>
                <c:pt idx="86">
                  <c:v>152.016036800844</c:v>
                </c:pt>
                <c:pt idx="87">
                  <c:v>152.697689769467</c:v>
                </c:pt>
                <c:pt idx="88">
                  <c:v>152.762494529836</c:v>
                </c:pt>
                <c:pt idx="89">
                  <c:v>153.132848044529</c:v>
                </c:pt>
                <c:pt idx="90">
                  <c:v>153.474975778898</c:v>
                </c:pt>
                <c:pt idx="91">
                  <c:v>154.083681798618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126228"/>
        <c:axId val="7204549"/>
      </c:lineChart>
      <c:catAx>
        <c:axId val="53126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04549"/>
        <c:crosses val="autoZero"/>
        <c:auto val="1"/>
        <c:lblAlgn val="ctr"/>
        <c:lblOffset val="100"/>
        <c:noMultiLvlLbl val="0"/>
      </c:catAx>
      <c:valAx>
        <c:axId val="7204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1262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International Reserves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Reserves!B105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Reserves!$B$106:$B$197</c:f>
              <c:numCache>
                <c:formatCode>#,##0.00;\(#,##0.00\);\-</c:formatCode>
                <c:ptCount val="92"/>
                <c:pt idx="0">
                  <c:v>100.057562500759</c:v>
                </c:pt>
                <c:pt idx="1">
                  <c:v>101.121721528848</c:v>
                </c:pt>
                <c:pt idx="2">
                  <c:v>100.060419569948</c:v>
                </c:pt>
                <c:pt idx="3">
                  <c:v>101.822584931427</c:v>
                </c:pt>
                <c:pt idx="4">
                  <c:v>102.133668517536</c:v>
                </c:pt>
                <c:pt idx="5">
                  <c:v>103.127230255545</c:v>
                </c:pt>
                <c:pt idx="6">
                  <c:v>103.843669938308</c:v>
                </c:pt>
                <c:pt idx="7">
                  <c:v>102.916480832025</c:v>
                </c:pt>
                <c:pt idx="8">
                  <c:v>103.212445347954</c:v>
                </c:pt>
                <c:pt idx="9">
                  <c:v>105.044737618628</c:v>
                </c:pt>
                <c:pt idx="10">
                  <c:v>105.632473951978</c:v>
                </c:pt>
                <c:pt idx="11">
                  <c:v>105.840308890781</c:v>
                </c:pt>
                <c:pt idx="12">
                  <c:v>106.484570654844</c:v>
                </c:pt>
                <c:pt idx="13">
                  <c:v>106.368794573107</c:v>
                </c:pt>
                <c:pt idx="14">
                  <c:v>107.947924505968</c:v>
                </c:pt>
                <c:pt idx="15">
                  <c:v>107.160409151287</c:v>
                </c:pt>
                <c:pt idx="16">
                  <c:v>108.334745218133</c:v>
                </c:pt>
                <c:pt idx="17">
                  <c:v>108.958932163941</c:v>
                </c:pt>
                <c:pt idx="18">
                  <c:v>109.235804190937</c:v>
                </c:pt>
                <c:pt idx="19">
                  <c:v>109.770225077984</c:v>
                </c:pt>
                <c:pt idx="20">
                  <c:v>110.992942141443</c:v>
                </c:pt>
                <c:pt idx="21">
                  <c:v>110.49283509596</c:v>
                </c:pt>
                <c:pt idx="22">
                  <c:v>111.168295793956</c:v>
                </c:pt>
                <c:pt idx="23">
                  <c:v>111.761590063898</c:v>
                </c:pt>
                <c:pt idx="24">
                  <c:v>113.050485072793</c:v>
                </c:pt>
                <c:pt idx="25">
                  <c:v>113.894812629098</c:v>
                </c:pt>
                <c:pt idx="26">
                  <c:v>114.415072541126</c:v>
                </c:pt>
                <c:pt idx="27">
                  <c:v>114.634264362647</c:v>
                </c:pt>
                <c:pt idx="28">
                  <c:v>115.351780287243</c:v>
                </c:pt>
                <c:pt idx="29">
                  <c:v>115.683498002229</c:v>
                </c:pt>
                <c:pt idx="30">
                  <c:v>115.559905621855</c:v>
                </c:pt>
                <c:pt idx="31">
                  <c:v>116.302720974044</c:v>
                </c:pt>
                <c:pt idx="32">
                  <c:v>118.591761398946</c:v>
                </c:pt>
                <c:pt idx="33">
                  <c:v>117.912000696979</c:v>
                </c:pt>
                <c:pt idx="34">
                  <c:v>118.422625150319</c:v>
                </c:pt>
                <c:pt idx="35">
                  <c:v>118.644419060663</c:v>
                </c:pt>
                <c:pt idx="36">
                  <c:v>118.694836673924</c:v>
                </c:pt>
                <c:pt idx="37">
                  <c:v>120.202068229069</c:v>
                </c:pt>
                <c:pt idx="38">
                  <c:v>120.283712629855</c:v>
                </c:pt>
                <c:pt idx="39">
                  <c:v>121.174172384274</c:v>
                </c:pt>
                <c:pt idx="40">
                  <c:v>121.219613499365</c:v>
                </c:pt>
                <c:pt idx="41">
                  <c:v>121.872641264108</c:v>
                </c:pt>
                <c:pt idx="42">
                  <c:v>123.401817900784</c:v>
                </c:pt>
                <c:pt idx="43">
                  <c:v>123.881795054061</c:v>
                </c:pt>
                <c:pt idx="44">
                  <c:v>124.716135228132</c:v>
                </c:pt>
                <c:pt idx="45">
                  <c:v>124.983869679247</c:v>
                </c:pt>
                <c:pt idx="46">
                  <c:v>125.449398416064</c:v>
                </c:pt>
                <c:pt idx="47">
                  <c:v>127.318635644282</c:v>
                </c:pt>
                <c:pt idx="48">
                  <c:v>126.930124604718</c:v>
                </c:pt>
                <c:pt idx="49">
                  <c:v>127.77526424795</c:v>
                </c:pt>
                <c:pt idx="50">
                  <c:v>128.731177616496</c:v>
                </c:pt>
                <c:pt idx="51">
                  <c:v>129.761604233282</c:v>
                </c:pt>
                <c:pt idx="52">
                  <c:v>129.946821087699</c:v>
                </c:pt>
                <c:pt idx="53">
                  <c:v>129.286207959895</c:v>
                </c:pt>
                <c:pt idx="54">
                  <c:v>131.018842846908</c:v>
                </c:pt>
                <c:pt idx="55">
                  <c:v>131.300677259048</c:v>
                </c:pt>
                <c:pt idx="56">
                  <c:v>131.690910478247</c:v>
                </c:pt>
                <c:pt idx="57">
                  <c:v>133.057365630713</c:v>
                </c:pt>
                <c:pt idx="58">
                  <c:v>133.03791213268</c:v>
                </c:pt>
                <c:pt idx="59">
                  <c:v>135.414971296728</c:v>
                </c:pt>
                <c:pt idx="60">
                  <c:v>135.328720100838</c:v>
                </c:pt>
                <c:pt idx="61">
                  <c:v>135.251561201013</c:v>
                </c:pt>
                <c:pt idx="62">
                  <c:v>136.233969817459</c:v>
                </c:pt>
                <c:pt idx="63">
                  <c:v>137.08499339715</c:v>
                </c:pt>
                <c:pt idx="64">
                  <c:v>137.822634440648</c:v>
                </c:pt>
                <c:pt idx="65">
                  <c:v>138.564818410081</c:v>
                </c:pt>
                <c:pt idx="66">
                  <c:v>138.45285180876</c:v>
                </c:pt>
                <c:pt idx="67">
                  <c:v>139.68737706251</c:v>
                </c:pt>
                <c:pt idx="68">
                  <c:v>140.158260063388</c:v>
                </c:pt>
                <c:pt idx="69">
                  <c:v>140.301213769388</c:v>
                </c:pt>
                <c:pt idx="70">
                  <c:v>142.251238688649</c:v>
                </c:pt>
                <c:pt idx="71">
                  <c:v>142.419684412017</c:v>
                </c:pt>
                <c:pt idx="72">
                  <c:v>142.931234919789</c:v>
                </c:pt>
                <c:pt idx="73">
                  <c:v>143.28121802982</c:v>
                </c:pt>
                <c:pt idx="74">
                  <c:v>144.455095720975</c:v>
                </c:pt>
                <c:pt idx="75">
                  <c:v>145.13756116152</c:v>
                </c:pt>
                <c:pt idx="76">
                  <c:v>146.194339668038</c:v>
                </c:pt>
                <c:pt idx="77">
                  <c:v>146.935353018952</c:v>
                </c:pt>
                <c:pt idx="78">
                  <c:v>147.048812225644</c:v>
                </c:pt>
                <c:pt idx="79">
                  <c:v>147.561063383809</c:v>
                </c:pt>
                <c:pt idx="80">
                  <c:v>148.520950312347</c:v>
                </c:pt>
                <c:pt idx="81">
                  <c:v>149.429379403172</c:v>
                </c:pt>
                <c:pt idx="82">
                  <c:v>149.989800370105</c:v>
                </c:pt>
                <c:pt idx="83">
                  <c:v>151.106246086492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Reserves!E105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Reserves!$E$106:$E$197</c:f>
              <c:numCache>
                <c:formatCode>#,##0.00;\(#,##0.00\);\-</c:formatCode>
                <c:ptCount val="92"/>
                <c:pt idx="84">
                  <c:v>151.648397031351</c:v>
                </c:pt>
                <c:pt idx="85">
                  <c:v>152.391136781873</c:v>
                </c:pt>
                <c:pt idx="86">
                  <c:v>153.137514304688</c:v>
                </c:pt>
                <c:pt idx="87">
                  <c:v>153.887547416787</c:v>
                </c:pt>
                <c:pt idx="88">
                  <c:v>154.641254022424</c:v>
                </c:pt>
                <c:pt idx="89">
                  <c:v>155.398652113545</c:v>
                </c:pt>
                <c:pt idx="90">
                  <c:v>156.159759770215</c:v>
                </c:pt>
                <c:pt idx="91">
                  <c:v>156.924595161053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Reserves!F105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Reserves!$F$106:$F$197</c:f>
              <c:numCache>
                <c:formatCode>#,##0.00;\(#,##0.00\);\-</c:formatCode>
                <c:ptCount val="92"/>
                <c:pt idx="84">
                  <c:v>150.793704369627</c:v>
                </c:pt>
                <c:pt idx="85">
                  <c:v>151.010416634182</c:v>
                </c:pt>
                <c:pt idx="86">
                  <c:v>151.504290461424</c:v>
                </c:pt>
                <c:pt idx="87">
                  <c:v>152.592596875335</c:v>
                </c:pt>
                <c:pt idx="88">
                  <c:v>152.358733447237</c:v>
                </c:pt>
                <c:pt idx="89">
                  <c:v>152.497194257912</c:v>
                </c:pt>
                <c:pt idx="90">
                  <c:v>152.916729203968</c:v>
                </c:pt>
                <c:pt idx="91">
                  <c:v>153.934413680752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314364"/>
        <c:axId val="62734992"/>
      </c:lineChart>
      <c:catAx>
        <c:axId val="173143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734992"/>
        <c:crosses val="autoZero"/>
        <c:auto val="1"/>
        <c:lblAlgn val="ctr"/>
        <c:lblOffset val="100"/>
        <c:noMultiLvlLbl val="0"/>
      </c:catAx>
      <c:valAx>
        <c:axId val="62734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3143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1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2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202</xdr:row>
      <xdr:rowOff>0</xdr:rowOff>
    </xdr:from>
    <xdr:to>
      <xdr:col>25</xdr:col>
      <xdr:colOff>581760</xdr:colOff>
      <xdr:row>219</xdr:row>
      <xdr:rowOff>1080</xdr:rowOff>
    </xdr:to>
    <xdr:graphicFrame>
      <xdr:nvGraphicFramePr>
        <xdr:cNvPr id="3" name="Chart 3"/>
        <xdr:cNvGraphicFramePr/>
      </xdr:nvGraphicFramePr>
      <xdr:xfrm>
        <a:off x="10409040" y="389419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4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5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202</xdr:row>
      <xdr:rowOff>0</xdr:rowOff>
    </xdr:from>
    <xdr:to>
      <xdr:col>25</xdr:col>
      <xdr:colOff>581760</xdr:colOff>
      <xdr:row>219</xdr:row>
      <xdr:rowOff>1080</xdr:rowOff>
    </xdr:to>
    <xdr:graphicFrame>
      <xdr:nvGraphicFramePr>
        <xdr:cNvPr id="6" name="Chart 3"/>
        <xdr:cNvGraphicFramePr/>
      </xdr:nvGraphicFramePr>
      <xdr:xfrm>
        <a:off x="10409040" y="389419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7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8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202</xdr:row>
      <xdr:rowOff>0</xdr:rowOff>
    </xdr:from>
    <xdr:to>
      <xdr:col>25</xdr:col>
      <xdr:colOff>581760</xdr:colOff>
      <xdr:row>219</xdr:row>
      <xdr:rowOff>1080</xdr:rowOff>
    </xdr:to>
    <xdr:graphicFrame>
      <xdr:nvGraphicFramePr>
        <xdr:cNvPr id="9" name="Chart 3"/>
        <xdr:cNvGraphicFramePr/>
      </xdr:nvGraphicFramePr>
      <xdr:xfrm>
        <a:off x="10409040" y="389419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10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11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202</xdr:row>
      <xdr:rowOff>0</xdr:rowOff>
    </xdr:from>
    <xdr:to>
      <xdr:col>25</xdr:col>
      <xdr:colOff>581760</xdr:colOff>
      <xdr:row>219</xdr:row>
      <xdr:rowOff>1080</xdr:rowOff>
    </xdr:to>
    <xdr:graphicFrame>
      <xdr:nvGraphicFramePr>
        <xdr:cNvPr id="12" name="Chart 3"/>
        <xdr:cNvGraphicFramePr/>
      </xdr:nvGraphicFramePr>
      <xdr:xfrm>
        <a:off x="10409040" y="389419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13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14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_BoP_Current_Account_Balance" displayName="tbl_A_BoP_Current_Account_Balance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2.xml><?xml version="1.0" encoding="utf-8"?>
<table xmlns="http://schemas.openxmlformats.org/spreadsheetml/2006/main" id="2" name="tbl_A_BoP_Foreign_Direct_Investment" displayName="tbl_A_BoP_Foreign_Direct_Investment" ref="I203:L226" headerRowCount="1" totalsRowCount="0" totalsRowShown="0">
  <autoFilter ref="I203:L226"/>
  <tableColumns count="4">
    <tableColumn id="1" name="Year"/>
    <tableColumn id="2" name="Level"/>
    <tableColumn id="3" name="YoY %"/>
    <tableColumn id="4" name="Annual Fcst (HW)"/>
  </tableColumns>
</table>
</file>

<file path=xl/tables/table3.xml><?xml version="1.0" encoding="utf-8"?>
<table xmlns="http://schemas.openxmlformats.org/spreadsheetml/2006/main" id="3" name="tbl_A_BoP_Trade_Balance" displayName="tbl_A_BoP_Trade_Balance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4.xml><?xml version="1.0" encoding="utf-8"?>
<table xmlns="http://schemas.openxmlformats.org/spreadsheetml/2006/main" id="4" name="tbl_A_Fiscal_Federal_Tax_Revenue" displayName="tbl_A_Fiscal_Federal_Tax_Revenue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5.xml><?xml version="1.0" encoding="utf-8"?>
<table xmlns="http://schemas.openxmlformats.org/spreadsheetml/2006/main" id="5" name="tbl_A_Fiscal_Primary_Fiscal_Balance" displayName="tbl_A_Fiscal_Primary_Fiscal_Balance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6.xml><?xml version="1.0" encoding="utf-8"?>
<table xmlns="http://schemas.openxmlformats.org/spreadsheetml/2006/main" id="6" name="tbl_A_Fiscal_Public_Debt_External_Domestic" displayName="tbl_A_Fiscal_Public_Debt_External_Domestic" ref="I203:L226" headerRowCount="1" totalsRowCount="0" totalsRowShown="0">
  <autoFilter ref="I203:L226"/>
  <tableColumns count="4">
    <tableColumn id="1" name="Year"/>
    <tableColumn id="2" name="Level"/>
    <tableColumn id="3" name="YoY %"/>
    <tableColumn id="4" name="Annual Fcst (HW)"/>
  </tableColumns>
</table>
</file>

<file path=xl/tables/table7.xml><?xml version="1.0" encoding="utf-8"?>
<table xmlns="http://schemas.openxmlformats.org/spreadsheetml/2006/main" id="7" name="tbl_A_GDP_EMAE_Monthly_Activity_Index" displayName="tbl_A_GDP_EMAE_Monthly_Activity_Index" ref="I203:L226" headerRowCount="1" totalsRowCount="0" totalsRowShown="0">
  <autoFilter ref="I203:L226"/>
  <tableColumns count="4">
    <tableColumn id="1" name="Year"/>
    <tableColumn id="2" name="Level"/>
    <tableColumn id="3" name="YoY %"/>
    <tableColumn id="4" name="Annual Fcst (HW)"/>
  </tableColumns>
</table>
</file>

<file path=xl/tables/table8.xml><?xml version="1.0" encoding="utf-8"?>
<table xmlns="http://schemas.openxmlformats.org/spreadsheetml/2006/main" id="8" name="tbl_A_GDP_Nominal_GDP" displayName="tbl_A_GDP_Nominal_GDP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9.xml><?xml version="1.0" encoding="utf-8"?>
<table xmlns="http://schemas.openxmlformats.org/spreadsheetml/2006/main" id="9" name="tbl_A_GDP_Real_GDP_SA" displayName="tbl_A_GDP_Real_GDP_SA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10.xml><?xml version="1.0" encoding="utf-8"?>
<table xmlns="http://schemas.openxmlformats.org/spreadsheetml/2006/main" id="10" name="tbl_A_Inflation_Core_CPI" displayName="tbl_A_Inflation_Core_CPI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11.xml><?xml version="1.0" encoding="utf-8"?>
<table xmlns="http://schemas.openxmlformats.org/spreadsheetml/2006/main" id="11" name="tbl_A_Inflation_CPI_National_IPC_nacional" displayName="tbl_A_Inflation_CPI_National_IPC_nacional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12.xml><?xml version="1.0" encoding="utf-8"?>
<table xmlns="http://schemas.openxmlformats.org/spreadsheetml/2006/main" id="12" name="tbl_A_Inflation_Wholesale_Price_Index_IPIM" displayName="tbl_A_Inflation_Wholesale_Price_Index_IPIM" ref="I203:L226" headerRowCount="1" totalsRowCount="0" totalsRowShown="0">
  <autoFilter ref="I203:L226"/>
  <tableColumns count="4">
    <tableColumn id="1" name="Year"/>
    <tableColumn id="2" name="Level"/>
    <tableColumn id="3" name="YoY %"/>
    <tableColumn id="4" name="Annual Fcst (HW)"/>
  </tableColumns>
</table>
</file>

<file path=xl/tables/table13.xml><?xml version="1.0" encoding="utf-8"?>
<table xmlns="http://schemas.openxmlformats.org/spreadsheetml/2006/main" id="13" name="tbl_A_Reserves_BCRA_International_Reserves" displayName="tbl_A_Reserves_BCRA_International_Reserves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14.xml><?xml version="1.0" encoding="utf-8"?>
<table xmlns="http://schemas.openxmlformats.org/spreadsheetml/2006/main" id="14" name="tbl_A_Reserves_Net_International_Reserves" displayName="tbl_A_Reserves_Net_International_Reserves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15.xml><?xml version="1.0" encoding="utf-8"?>
<table xmlns="http://schemas.openxmlformats.org/spreadsheetml/2006/main" id="15" name="tbl_Codes" displayName="tbl_Codes" ref="A4:H18" headerRowCount="1" totalsRowCount="0" totalsRowShown="0">
  <autoFilter ref="A4:H18"/>
  <tableColumns count="8">
    <tableColumn id="1" name="Section"/>
    <tableColumn id="2" name="Indicator"/>
    <tableColumn id="3" name="Country"/>
    <tableColumn id="4" name="Frequency"/>
    <tableColumn id="5" name="Quarterly Code"/>
    <tableColumn id="6" name="Annual Code"/>
    <tableColumn id="7" name="Units"/>
    <tableColumn id="8" name="Notes"/>
  </tableColumns>
</table>
</file>

<file path=xl/tables/table16.xml><?xml version="1.0" encoding="utf-8"?>
<table xmlns="http://schemas.openxmlformats.org/spreadsheetml/2006/main" id="16" name="tbl_Q_BoP_Current_Account_Balance" displayName="tbl_Q_BoP_Current_Account_Balance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17.xml><?xml version="1.0" encoding="utf-8"?>
<table xmlns="http://schemas.openxmlformats.org/spreadsheetml/2006/main" id="17" name="tbl_Q_BoP_Foreign_Direct_Investment" displayName="tbl_Q_BoP_Foreign_Direct_Investment" ref="A203:G295" headerRowCount="1" totalsRowCount="0" totalsRowShown="0">
  <autoFilter ref="A203:G295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18.xml><?xml version="1.0" encoding="utf-8"?>
<table xmlns="http://schemas.openxmlformats.org/spreadsheetml/2006/main" id="18" name="tbl_Q_BoP_Trade_Balance" displayName="tbl_Q_BoP_Trade_Balance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19.xml><?xml version="1.0" encoding="utf-8"?>
<table xmlns="http://schemas.openxmlformats.org/spreadsheetml/2006/main" id="19" name="tbl_Q_Fiscal_Federal_Tax_Revenue" displayName="tbl_Q_Fiscal_Federal_Tax_Revenue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0.xml><?xml version="1.0" encoding="utf-8"?>
<table xmlns="http://schemas.openxmlformats.org/spreadsheetml/2006/main" id="20" name="tbl_Q_Fiscal_Primary_Fiscal_Balance" displayName="tbl_Q_Fiscal_Primary_Fiscal_Balance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1.xml><?xml version="1.0" encoding="utf-8"?>
<table xmlns="http://schemas.openxmlformats.org/spreadsheetml/2006/main" id="21" name="tbl_Q_Fiscal_Public_Debt_External_Domestic" displayName="tbl_Q_Fiscal_Public_Debt_External_Domestic" ref="A203:G295" headerRowCount="1" totalsRowCount="0" totalsRowShown="0">
  <autoFilter ref="A203:G295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2.xml><?xml version="1.0" encoding="utf-8"?>
<table xmlns="http://schemas.openxmlformats.org/spreadsheetml/2006/main" id="22" name="tbl_Q_GDP_EMAE_Monthly_Activity_Index" displayName="tbl_Q_GDP_EMAE_Monthly_Activity_Index" ref="A203:G295" headerRowCount="1" totalsRowCount="0" totalsRowShown="0">
  <autoFilter ref="A203:G295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3.xml><?xml version="1.0" encoding="utf-8"?>
<table xmlns="http://schemas.openxmlformats.org/spreadsheetml/2006/main" id="23" name="tbl_Q_GDP_Nominal_GDP" displayName="tbl_Q_GDP_Nominal_GDP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4.xml><?xml version="1.0" encoding="utf-8"?>
<table xmlns="http://schemas.openxmlformats.org/spreadsheetml/2006/main" id="24" name="tbl_Q_GDP_Real_GDP_SA" displayName="tbl_Q_GDP_Real_GDP_SA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5.xml><?xml version="1.0" encoding="utf-8"?>
<table xmlns="http://schemas.openxmlformats.org/spreadsheetml/2006/main" id="25" name="tbl_Q_Inflation_Core_CPI" displayName="tbl_Q_Inflation_Core_CPI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6.xml><?xml version="1.0" encoding="utf-8"?>
<table xmlns="http://schemas.openxmlformats.org/spreadsheetml/2006/main" id="26" name="tbl_Q_Inflation_CPI_National_IPC_nacional" displayName="tbl_Q_Inflation_CPI_National_IPC_nacional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7.xml><?xml version="1.0" encoding="utf-8"?>
<table xmlns="http://schemas.openxmlformats.org/spreadsheetml/2006/main" id="27" name="tbl_Q_Inflation_Wholesale_Price_Index_IPIM" displayName="tbl_Q_Inflation_Wholesale_Price_Index_IPIM" ref="A203:G295" headerRowCount="1" totalsRowCount="0" totalsRowShown="0">
  <autoFilter ref="A203:G295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8.xml><?xml version="1.0" encoding="utf-8"?>
<table xmlns="http://schemas.openxmlformats.org/spreadsheetml/2006/main" id="28" name="tbl_Q_Reserves_BCRA_International_Reserves" displayName="tbl_Q_Reserves_BCRA_International_Reserves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9.xml><?xml version="1.0" encoding="utf-8"?>
<table xmlns="http://schemas.openxmlformats.org/spreadsheetml/2006/main" id="29" name="tbl_Q_Reserves_Net_International_Reserves" displayName="tbl_Q_Reserves_Net_International_Reserves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<Relationship Id="rId5" Type="http://schemas.openxmlformats.org/officeDocument/2006/relationships/table" Target="../tables/table22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0.xml"/><Relationship Id="rId3" Type="http://schemas.openxmlformats.org/officeDocument/2006/relationships/table" Target="../tables/table11.xml"/><Relationship Id="rId4" Type="http://schemas.openxmlformats.org/officeDocument/2006/relationships/table" Target="../tables/table12.xml"/><Relationship Id="rId5" Type="http://schemas.openxmlformats.org/officeDocument/2006/relationships/table" Target="../tables/table25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Relationship Id="rId4" Type="http://schemas.openxmlformats.org/officeDocument/2006/relationships/table" Target="../tables/table6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3.xml"/><Relationship Id="rId3" Type="http://schemas.openxmlformats.org/officeDocument/2006/relationships/table" Target="../tables/table14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23.8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/>
      <c r="B8" s="4"/>
    </row>
    <row r="9" customFormat="false" ht="15" hidden="false" customHeight="false" outlineLevel="0" collapsed="false">
      <c r="A9" s="3" t="s">
        <v>9</v>
      </c>
      <c r="B9" s="4"/>
    </row>
    <row r="10" customFormat="false" ht="15" hidden="false" customHeight="false" outlineLevel="0" collapsed="false">
      <c r="A10" s="5" t="s">
        <v>10</v>
      </c>
      <c r="B10" s="4" t="s">
        <v>11</v>
      </c>
    </row>
    <row r="11" customFormat="false" ht="1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5" t="s">
        <v>14</v>
      </c>
      <c r="B12" s="4" t="s">
        <v>15</v>
      </c>
    </row>
    <row r="13" customFormat="false" ht="15" hidden="false" customHeight="false" outlineLevel="0" collapsed="false">
      <c r="A13" s="5" t="s">
        <v>16</v>
      </c>
      <c r="B13" s="4" t="s">
        <v>17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3" t="s">
        <v>18</v>
      </c>
      <c r="B15" s="4"/>
    </row>
    <row r="16" customFormat="false" ht="15" hidden="false" customHeight="false" outlineLevel="0" collapsed="false">
      <c r="A16" s="5" t="s">
        <v>19</v>
      </c>
      <c r="B16" s="4" t="s">
        <v>20</v>
      </c>
    </row>
    <row r="17" customFormat="false" ht="23.85" hidden="false" customHeight="false" outlineLevel="0" collapsed="false">
      <c r="A17" s="5" t="s">
        <v>21</v>
      </c>
      <c r="B17" s="4" t="s">
        <v>22</v>
      </c>
    </row>
    <row r="18" customFormat="false" ht="15" hidden="false" customHeight="false" outlineLevel="0" collapsed="false">
      <c r="A18" s="5"/>
      <c r="B18" s="4"/>
    </row>
    <row r="19" customFormat="false" ht="15" hidden="false" customHeight="false" outlineLevel="0" collapsed="false">
      <c r="A19" s="3" t="s">
        <v>23</v>
      </c>
      <c r="B19" s="4"/>
    </row>
    <row r="20" customFormat="false" ht="15" hidden="false" customHeight="false" outlineLevel="0" collapsed="false">
      <c r="A20" s="5" t="s">
        <v>24</v>
      </c>
      <c r="B20" s="4" t="s">
        <v>25</v>
      </c>
    </row>
    <row r="21" customFormat="false" ht="15" hidden="false" customHeight="false" outlineLevel="0" collapsed="false">
      <c r="A21" s="5" t="s">
        <v>26</v>
      </c>
      <c r="B21" s="4" t="s">
        <v>27</v>
      </c>
    </row>
    <row r="22" customFormat="false" ht="15" hidden="false" customHeight="false" outlineLevel="0" collapsed="false">
      <c r="A22" s="5" t="s">
        <v>28</v>
      </c>
      <c r="B22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7" min="5" style="0" width="22"/>
    <col collapsed="false" customWidth="true" hidden="false" outlineLevel="0" max="8" min="8" style="0" width="50"/>
  </cols>
  <sheetData>
    <row r="1" customFormat="false" ht="22.0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</row>
    <row r="5" customFormat="false" ht="23.85" hidden="false" customHeight="false" outlineLevel="0" collapsed="false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8" t="s">
        <v>47</v>
      </c>
    </row>
    <row r="6" customFormat="false" ht="15" hidden="false" customHeight="false" outlineLevel="0" collapsed="false">
      <c r="A6" s="7" t="s">
        <v>40</v>
      </c>
      <c r="B6" s="7" t="s">
        <v>48</v>
      </c>
      <c r="C6" s="7" t="s">
        <v>42</v>
      </c>
      <c r="D6" s="7" t="s">
        <v>43</v>
      </c>
      <c r="E6" s="7" t="s">
        <v>49</v>
      </c>
      <c r="F6" s="7" t="s">
        <v>50</v>
      </c>
      <c r="G6" s="7" t="s">
        <v>51</v>
      </c>
      <c r="H6" s="8" t="s">
        <v>52</v>
      </c>
    </row>
    <row r="7" customFormat="false" ht="23.85" hidden="false" customHeight="false" outlineLevel="0" collapsed="false">
      <c r="A7" s="7" t="s">
        <v>40</v>
      </c>
      <c r="B7" s="7" t="s">
        <v>53</v>
      </c>
      <c r="C7" s="7" t="s">
        <v>42</v>
      </c>
      <c r="D7" s="7" t="s">
        <v>54</v>
      </c>
      <c r="E7" s="7" t="s">
        <v>55</v>
      </c>
      <c r="F7" s="7" t="s">
        <v>56</v>
      </c>
      <c r="G7" s="7" t="s">
        <v>57</v>
      </c>
      <c r="H7" s="8" t="s">
        <v>58</v>
      </c>
    </row>
    <row r="8" customFormat="false" ht="23.85" hidden="false" customHeight="false" outlineLevel="0" collapsed="false">
      <c r="A8" s="7" t="s">
        <v>59</v>
      </c>
      <c r="B8" s="7" t="s">
        <v>60</v>
      </c>
      <c r="C8" s="7" t="s">
        <v>42</v>
      </c>
      <c r="D8" s="7" t="s">
        <v>54</v>
      </c>
      <c r="E8" s="7" t="s">
        <v>61</v>
      </c>
      <c r="F8" s="7" t="s">
        <v>62</v>
      </c>
      <c r="G8" s="7" t="s">
        <v>63</v>
      </c>
      <c r="H8" s="8" t="s">
        <v>64</v>
      </c>
    </row>
    <row r="9" customFormat="false" ht="15" hidden="false" customHeight="false" outlineLevel="0" collapsed="false">
      <c r="A9" s="7" t="s">
        <v>59</v>
      </c>
      <c r="B9" s="7" t="s">
        <v>65</v>
      </c>
      <c r="C9" s="7" t="s">
        <v>42</v>
      </c>
      <c r="D9" s="7" t="s">
        <v>54</v>
      </c>
      <c r="E9" s="7" t="s">
        <v>66</v>
      </c>
      <c r="F9" s="7" t="s">
        <v>67</v>
      </c>
      <c r="G9" s="7" t="s">
        <v>68</v>
      </c>
      <c r="H9" s="8" t="s">
        <v>52</v>
      </c>
    </row>
    <row r="10" customFormat="false" ht="15" hidden="false" customHeight="false" outlineLevel="0" collapsed="false">
      <c r="A10" s="7" t="s">
        <v>59</v>
      </c>
      <c r="B10" s="7" t="s">
        <v>69</v>
      </c>
      <c r="C10" s="7" t="s">
        <v>42</v>
      </c>
      <c r="D10" s="7" t="s">
        <v>54</v>
      </c>
      <c r="E10" s="7" t="s">
        <v>70</v>
      </c>
      <c r="F10" s="7" t="s">
        <v>71</v>
      </c>
      <c r="G10" s="7" t="s">
        <v>68</v>
      </c>
      <c r="H10" s="8" t="s">
        <v>52</v>
      </c>
    </row>
    <row r="11" customFormat="false" ht="15" hidden="false" customHeight="false" outlineLevel="0" collapsed="false">
      <c r="A11" s="7" t="s">
        <v>72</v>
      </c>
      <c r="B11" s="7" t="s">
        <v>73</v>
      </c>
      <c r="C11" s="7" t="s">
        <v>42</v>
      </c>
      <c r="D11" s="7" t="s">
        <v>54</v>
      </c>
      <c r="E11" s="7" t="s">
        <v>74</v>
      </c>
      <c r="F11" s="7" t="s">
        <v>75</v>
      </c>
      <c r="G11" s="7" t="s">
        <v>51</v>
      </c>
      <c r="H11" s="8" t="s">
        <v>76</v>
      </c>
    </row>
    <row r="12" customFormat="false" ht="15" hidden="false" customHeight="false" outlineLevel="0" collapsed="false">
      <c r="A12" s="7" t="s">
        <v>72</v>
      </c>
      <c r="B12" s="7" t="s">
        <v>77</v>
      </c>
      <c r="C12" s="7" t="s">
        <v>42</v>
      </c>
      <c r="D12" s="7" t="s">
        <v>54</v>
      </c>
      <c r="E12" s="7" t="s">
        <v>78</v>
      </c>
      <c r="F12" s="7" t="s">
        <v>79</v>
      </c>
      <c r="G12" s="7" t="s">
        <v>51</v>
      </c>
      <c r="H12" s="8" t="s">
        <v>52</v>
      </c>
    </row>
    <row r="13" customFormat="false" ht="15" hidden="false" customHeight="false" outlineLevel="0" collapsed="false">
      <c r="A13" s="7" t="s">
        <v>72</v>
      </c>
      <c r="B13" s="7" t="s">
        <v>80</v>
      </c>
      <c r="C13" s="7" t="s">
        <v>42</v>
      </c>
      <c r="D13" s="7" t="s">
        <v>43</v>
      </c>
      <c r="E13" s="7" t="s">
        <v>81</v>
      </c>
      <c r="F13" s="7" t="s">
        <v>82</v>
      </c>
      <c r="G13" s="7" t="s">
        <v>83</v>
      </c>
      <c r="H13" s="8" t="s">
        <v>52</v>
      </c>
    </row>
    <row r="14" customFormat="false" ht="15" hidden="false" customHeight="false" outlineLevel="0" collapsed="false">
      <c r="A14" s="7" t="s">
        <v>84</v>
      </c>
      <c r="B14" s="7" t="s">
        <v>85</v>
      </c>
      <c r="C14" s="7" t="s">
        <v>42</v>
      </c>
      <c r="D14" s="7" t="s">
        <v>43</v>
      </c>
      <c r="E14" s="7" t="s">
        <v>86</v>
      </c>
      <c r="F14" s="7" t="s">
        <v>87</v>
      </c>
      <c r="G14" s="7" t="s">
        <v>83</v>
      </c>
      <c r="H14" s="8" t="s">
        <v>88</v>
      </c>
    </row>
    <row r="15" customFormat="false" ht="15" hidden="false" customHeight="false" outlineLevel="0" collapsed="false">
      <c r="A15" s="7" t="s">
        <v>84</v>
      </c>
      <c r="B15" s="7" t="s">
        <v>89</v>
      </c>
      <c r="C15" s="7" t="s">
        <v>42</v>
      </c>
      <c r="D15" s="7" t="s">
        <v>54</v>
      </c>
      <c r="E15" s="7" t="s">
        <v>90</v>
      </c>
      <c r="F15" s="7" t="s">
        <v>91</v>
      </c>
      <c r="G15" s="7" t="s">
        <v>83</v>
      </c>
      <c r="H15" s="8" t="s">
        <v>92</v>
      </c>
    </row>
    <row r="16" customFormat="false" ht="15" hidden="false" customHeight="false" outlineLevel="0" collapsed="false">
      <c r="A16" s="7" t="s">
        <v>84</v>
      </c>
      <c r="B16" s="7" t="s">
        <v>93</v>
      </c>
      <c r="C16" s="7" t="s">
        <v>42</v>
      </c>
      <c r="D16" s="7" t="s">
        <v>43</v>
      </c>
      <c r="E16" s="7" t="s">
        <v>94</v>
      </c>
      <c r="F16" s="7" t="s">
        <v>95</v>
      </c>
      <c r="G16" s="7" t="s">
        <v>83</v>
      </c>
      <c r="H16" s="8" t="s">
        <v>52</v>
      </c>
    </row>
    <row r="17" customFormat="false" ht="23.85" hidden="false" customHeight="false" outlineLevel="0" collapsed="false">
      <c r="A17" s="7" t="s">
        <v>96</v>
      </c>
      <c r="B17" s="7" t="s">
        <v>97</v>
      </c>
      <c r="C17" s="7" t="s">
        <v>42</v>
      </c>
      <c r="D17" s="7" t="s">
        <v>54</v>
      </c>
      <c r="E17" s="7" t="s">
        <v>98</v>
      </c>
      <c r="F17" s="7" t="s">
        <v>99</v>
      </c>
      <c r="G17" s="7" t="s">
        <v>83</v>
      </c>
      <c r="H17" s="8" t="s">
        <v>100</v>
      </c>
    </row>
    <row r="18" customFormat="false" ht="15" hidden="false" customHeight="false" outlineLevel="0" collapsed="false">
      <c r="A18" s="7" t="s">
        <v>96</v>
      </c>
      <c r="B18" s="7" t="s">
        <v>101</v>
      </c>
      <c r="C18" s="7" t="s">
        <v>42</v>
      </c>
      <c r="D18" s="7" t="s">
        <v>54</v>
      </c>
      <c r="E18" s="7" t="s">
        <v>102</v>
      </c>
      <c r="F18" s="7" t="s">
        <v>103</v>
      </c>
      <c r="G18" s="7" t="s">
        <v>83</v>
      </c>
      <c r="H18" s="8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21.75" hidden="false" customHeight="true" outlineLevel="0" collapsed="false">
      <c r="A4" s="9" t="s">
        <v>107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108</v>
      </c>
      <c r="B5" s="10" t="s">
        <v>109</v>
      </c>
      <c r="D5" s="5" t="s">
        <v>110</v>
      </c>
      <c r="E5" s="2" t="s">
        <v>111</v>
      </c>
      <c r="H5" s="5" t="s">
        <v>112</v>
      </c>
      <c r="I5" s="2" t="s">
        <v>113</v>
      </c>
    </row>
    <row r="6" customFormat="false" ht="18" hidden="false" customHeight="true" outlineLevel="0" collapsed="false">
      <c r="A6" s="11" t="s">
        <v>114</v>
      </c>
      <c r="B6" s="11"/>
      <c r="C6" s="11"/>
      <c r="D6" s="11"/>
      <c r="E6" s="11"/>
      <c r="F6" s="11"/>
      <c r="G6" s="11"/>
      <c r="I6" s="11" t="s">
        <v>115</v>
      </c>
      <c r="J6" s="11"/>
      <c r="K6" s="11"/>
      <c r="L6" s="11"/>
    </row>
    <row r="7" customFormat="false" ht="15" hidden="false" customHeight="false" outlineLevel="0" collapsed="false">
      <c r="A7" s="6" t="s">
        <v>116</v>
      </c>
      <c r="B7" s="6" t="s">
        <v>117</v>
      </c>
      <c r="C7" s="6" t="s">
        <v>118</v>
      </c>
      <c r="D7" s="6" t="s">
        <v>119</v>
      </c>
      <c r="E7" s="6" t="s">
        <v>120</v>
      </c>
      <c r="F7" s="6" t="s">
        <v>121</v>
      </c>
      <c r="G7" s="6" t="s">
        <v>122</v>
      </c>
      <c r="I7" s="6" t="s">
        <v>123</v>
      </c>
      <c r="J7" s="6" t="s">
        <v>117</v>
      </c>
      <c r="K7" s="6" t="s">
        <v>119</v>
      </c>
      <c r="L7" s="6" t="s">
        <v>124</v>
      </c>
    </row>
    <row r="8" customFormat="false" ht="15" hidden="false" customHeight="false" outlineLevel="0" collapsed="false">
      <c r="A8" s="12" t="n">
        <v>38353</v>
      </c>
      <c r="B8" s="13" t="n">
        <v>99.3231835155948</v>
      </c>
      <c r="C8" s="14"/>
      <c r="D8" s="14"/>
      <c r="E8" s="14"/>
      <c r="F8" s="14"/>
      <c r="G8" s="14"/>
      <c r="I8" s="15" t="n">
        <v>2005</v>
      </c>
      <c r="J8" s="13" t="n">
        <v>100.681663810297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100.714904626678</v>
      </c>
      <c r="C9" s="18" t="n">
        <f aca="false">IFERROR((B9/B8-1)*100,"")</f>
        <v>1.4012046954422</v>
      </c>
      <c r="D9" s="19"/>
      <c r="E9" s="19"/>
      <c r="F9" s="19"/>
      <c r="G9" s="19"/>
      <c r="I9" s="20" t="n">
        <v>2006</v>
      </c>
      <c r="J9" s="17" t="n">
        <v>103.122406194282</v>
      </c>
      <c r="K9" s="18" t="n">
        <f aca="false">IFERROR((J9/J8-1)*100,"")</f>
        <v>2.4242173714812</v>
      </c>
      <c r="L9" s="19"/>
    </row>
    <row r="10" customFormat="false" ht="15" hidden="false" customHeight="false" outlineLevel="0" collapsed="false">
      <c r="A10" s="12" t="n">
        <v>38534</v>
      </c>
      <c r="B10" s="13" t="n">
        <v>101.511081151986</v>
      </c>
      <c r="C10" s="21" t="n">
        <f aca="false">IFERROR((B10/B9-1)*100,"")</f>
        <v>0.790525025326594</v>
      </c>
      <c r="D10" s="14"/>
      <c r="E10" s="14"/>
      <c r="F10" s="14"/>
      <c r="G10" s="14"/>
      <c r="I10" s="15" t="n">
        <v>2007</v>
      </c>
      <c r="J10" s="13" t="n">
        <v>104.932647838241</v>
      </c>
      <c r="K10" s="21" t="n">
        <f aca="false">IFERROR((J10/J9-1)*100,"")</f>
        <v>1.75542998923832</v>
      </c>
      <c r="L10" s="14"/>
    </row>
    <row r="11" customFormat="false" ht="15" hidden="false" customHeight="false" outlineLevel="0" collapsed="false">
      <c r="A11" s="16" t="n">
        <v>38626</v>
      </c>
      <c r="B11" s="17" t="n">
        <v>101.177485946929</v>
      </c>
      <c r="C11" s="18" t="n">
        <f aca="false">IFERROR((B11/B10-1)*100,"")</f>
        <v>-0.328629348905207</v>
      </c>
      <c r="D11" s="19"/>
      <c r="E11" s="19"/>
      <c r="F11" s="19"/>
      <c r="G11" s="19"/>
      <c r="I11" s="20" t="n">
        <v>2008</v>
      </c>
      <c r="J11" s="17" t="n">
        <v>107.212918111705</v>
      </c>
      <c r="K11" s="18" t="n">
        <f aca="false">IFERROR((J11/J10-1)*100,"")</f>
        <v>2.17307989499993</v>
      </c>
      <c r="L11" s="19"/>
    </row>
    <row r="12" customFormat="false" ht="15" hidden="false" customHeight="false" outlineLevel="0" collapsed="false">
      <c r="A12" s="12" t="n">
        <v>38718</v>
      </c>
      <c r="B12" s="13" t="n">
        <v>102.324925009525</v>
      </c>
      <c r="C12" s="21" t="n">
        <f aca="false">IFERROR((B12/B11-1)*100,"")</f>
        <v>1.13408536677613</v>
      </c>
      <c r="D12" s="21" t="n">
        <f aca="false">IFERROR((B12/B8-1)*100,"")</f>
        <v>3.02219621611231</v>
      </c>
      <c r="E12" s="14"/>
      <c r="F12" s="14"/>
      <c r="G12" s="14"/>
      <c r="I12" s="15" t="n">
        <v>2009</v>
      </c>
      <c r="J12" s="13" t="n">
        <v>108.952262529849</v>
      </c>
      <c r="K12" s="21" t="n">
        <f aca="false">IFERROR((J12/J11-1)*100,"")</f>
        <v>1.62232727993803</v>
      </c>
      <c r="L12" s="14"/>
    </row>
    <row r="13" customFormat="false" ht="15" hidden="false" customHeight="false" outlineLevel="0" collapsed="false">
      <c r="A13" s="16" t="n">
        <v>38808</v>
      </c>
      <c r="B13" s="17" t="n">
        <v>103.08770125484</v>
      </c>
      <c r="C13" s="18" t="n">
        <f aca="false">IFERROR((B13/B12-1)*100,"")</f>
        <v>0.745445203349915</v>
      </c>
      <c r="D13" s="18" t="n">
        <f aca="false">IFERROR((B13/B9-1)*100,"")</f>
        <v>2.35595380540505</v>
      </c>
      <c r="E13" s="19"/>
      <c r="F13" s="19"/>
      <c r="G13" s="19"/>
      <c r="I13" s="20" t="n">
        <v>2010</v>
      </c>
      <c r="J13" s="17" t="n">
        <v>111.406188464394</v>
      </c>
      <c r="K13" s="18" t="n">
        <f aca="false">IFERROR((J13/J12-1)*100,"")</f>
        <v>2.25229460826775</v>
      </c>
      <c r="L13" s="19"/>
    </row>
    <row r="14" customFormat="false" ht="15" hidden="false" customHeight="false" outlineLevel="0" collapsed="false">
      <c r="A14" s="12" t="n">
        <v>38899</v>
      </c>
      <c r="B14" s="13" t="n">
        <v>103.54137328174</v>
      </c>
      <c r="C14" s="21" t="n">
        <f aca="false">IFERROR((B14/B13-1)*100,"")</f>
        <v>0.440083561256843</v>
      </c>
      <c r="D14" s="21" t="n">
        <f aca="false">IFERROR((B14/B10-1)*100,"")</f>
        <v>2.00006945716091</v>
      </c>
      <c r="E14" s="14"/>
      <c r="F14" s="14"/>
      <c r="G14" s="14"/>
      <c r="I14" s="15" t="n">
        <v>2011</v>
      </c>
      <c r="J14" s="13" t="n">
        <v>113.828756515034</v>
      </c>
      <c r="K14" s="21" t="n">
        <f aca="false">IFERROR((J14/J13-1)*100,"")</f>
        <v>2.17453633773124</v>
      </c>
      <c r="L14" s="14"/>
    </row>
    <row r="15" customFormat="false" ht="15" hidden="false" customHeight="false" outlineLevel="0" collapsed="false">
      <c r="A15" s="16" t="n">
        <v>38991</v>
      </c>
      <c r="B15" s="17" t="n">
        <v>103.535625231024</v>
      </c>
      <c r="C15" s="18" t="n">
        <f aca="false">IFERROR((B15/B14-1)*100,"")</f>
        <v>-0.00555145304211857</v>
      </c>
      <c r="D15" s="18" t="n">
        <f aca="false">IFERROR((B15/B11-1)*100,"")</f>
        <v>2.33069567011295</v>
      </c>
      <c r="E15" s="19"/>
      <c r="F15" s="19"/>
      <c r="G15" s="19"/>
      <c r="I15" s="20" t="n">
        <v>2012</v>
      </c>
      <c r="J15" s="17" t="n">
        <v>116.085726025576</v>
      </c>
      <c r="K15" s="18" t="n">
        <f aca="false">IFERROR((J15/J14-1)*100,"")</f>
        <v>1.98277621546679</v>
      </c>
      <c r="L15" s="19"/>
    </row>
    <row r="16" customFormat="false" ht="15" hidden="false" customHeight="false" outlineLevel="0" collapsed="false">
      <c r="A16" s="12" t="n">
        <v>39083</v>
      </c>
      <c r="B16" s="13" t="n">
        <v>104.22908650591</v>
      </c>
      <c r="C16" s="21" t="n">
        <f aca="false">IFERROR((B16/B15-1)*100,"")</f>
        <v>0.66978035177665</v>
      </c>
      <c r="D16" s="21" t="n">
        <f aca="false">IFERROR((B16/B12-1)*100,"")</f>
        <v>1.86089703579782</v>
      </c>
      <c r="E16" s="14"/>
      <c r="F16" s="14"/>
      <c r="G16" s="14"/>
      <c r="I16" s="15" t="n">
        <v>2013</v>
      </c>
      <c r="J16" s="13" t="n">
        <v>118.195426692146</v>
      </c>
      <c r="K16" s="21" t="n">
        <f aca="false">IFERROR((J16/J15-1)*100,"")</f>
        <v>1.81736440714986</v>
      </c>
      <c r="L16" s="14"/>
    </row>
    <row r="17" customFormat="false" ht="15" hidden="false" customHeight="false" outlineLevel="0" collapsed="false">
      <c r="A17" s="16" t="n">
        <v>39173</v>
      </c>
      <c r="B17" s="17" t="n">
        <v>104.445409493528</v>
      </c>
      <c r="C17" s="18" t="n">
        <f aca="false">IFERROR((B17/B16-1)*100,"")</f>
        <v>0.20754570040824</v>
      </c>
      <c r="D17" s="18" t="n">
        <f aca="false">IFERROR((B17/B13-1)*100,"")</f>
        <v>1.31704191883293</v>
      </c>
      <c r="E17" s="19"/>
      <c r="F17" s="19"/>
      <c r="G17" s="19"/>
      <c r="I17" s="20" t="n">
        <v>2014</v>
      </c>
      <c r="J17" s="17" t="n">
        <v>120.557335016085</v>
      </c>
      <c r="K17" s="18" t="n">
        <f aca="false">IFERROR((J17/J16-1)*100,"")</f>
        <v>1.99830770956231</v>
      </c>
      <c r="L17" s="19"/>
    </row>
    <row r="18" customFormat="false" ht="15" hidden="false" customHeight="false" outlineLevel="0" collapsed="false">
      <c r="A18" s="12" t="n">
        <v>39264</v>
      </c>
      <c r="B18" s="13" t="n">
        <v>105.698042138184</v>
      </c>
      <c r="C18" s="21" t="n">
        <f aca="false">IFERROR((B18/B17-1)*100,"")</f>
        <v>1.19931804636566</v>
      </c>
      <c r="D18" s="21" t="n">
        <f aca="false">IFERROR((B18/B14-1)*100,"")</f>
        <v>2.08290540108582</v>
      </c>
      <c r="E18" s="14"/>
      <c r="F18" s="14"/>
      <c r="G18" s="14"/>
      <c r="I18" s="15" t="n">
        <v>2015</v>
      </c>
      <c r="J18" s="13" t="n">
        <v>123.322035314001</v>
      </c>
      <c r="K18" s="21" t="n">
        <f aca="false">IFERROR((J18/J17-1)*100,"")</f>
        <v>2.29326593653321</v>
      </c>
      <c r="L18" s="14"/>
    </row>
    <row r="19" customFormat="false" ht="15" hidden="false" customHeight="false" outlineLevel="0" collapsed="false">
      <c r="A19" s="16" t="n">
        <v>39356</v>
      </c>
      <c r="B19" s="17" t="n">
        <v>105.358053215342</v>
      </c>
      <c r="C19" s="18" t="n">
        <f aca="false">IFERROR((B19/B18-1)*100,"")</f>
        <v>-0.321660568128523</v>
      </c>
      <c r="D19" s="18" t="n">
        <f aca="false">IFERROR((B19/B15-1)*100,"")</f>
        <v>1.76019411700257</v>
      </c>
      <c r="E19" s="19"/>
      <c r="F19" s="19"/>
      <c r="G19" s="19"/>
      <c r="I19" s="20" t="n">
        <v>2016</v>
      </c>
      <c r="J19" s="17" t="n">
        <v>125.801645564007</v>
      </c>
      <c r="K19" s="18" t="n">
        <f aca="false">IFERROR((J19/J18-1)*100,"")</f>
        <v>2.01067898668121</v>
      </c>
      <c r="L19" s="19"/>
    </row>
    <row r="20" customFormat="false" ht="15" hidden="false" customHeight="false" outlineLevel="0" collapsed="false">
      <c r="A20" s="12" t="n">
        <v>39448</v>
      </c>
      <c r="B20" s="13" t="n">
        <v>106.540880195165</v>
      </c>
      <c r="C20" s="21" t="n">
        <f aca="false">IFERROR((B20/B19-1)*100,"")</f>
        <v>1.12267353441509</v>
      </c>
      <c r="D20" s="21" t="n">
        <f aca="false">IFERROR((B20/B16-1)*100,"")</f>
        <v>2.21799285281494</v>
      </c>
      <c r="E20" s="14"/>
      <c r="F20" s="14"/>
      <c r="G20" s="14"/>
      <c r="I20" s="15" t="n">
        <v>2017</v>
      </c>
      <c r="J20" s="13" t="n">
        <v>128.150956213681</v>
      </c>
      <c r="K20" s="21" t="n">
        <f aca="false">IFERROR((J20/J19-1)*100,"")</f>
        <v>1.86747211385148</v>
      </c>
      <c r="L20" s="14"/>
    </row>
    <row r="21" customFormat="false" ht="15" hidden="false" customHeight="false" outlineLevel="0" collapsed="false">
      <c r="A21" s="16" t="n">
        <v>39539</v>
      </c>
      <c r="B21" s="17" t="n">
        <v>106.987122018101</v>
      </c>
      <c r="C21" s="18" t="n">
        <f aca="false">IFERROR((B21/B20-1)*100,"")</f>
        <v>0.418845631947629</v>
      </c>
      <c r="D21" s="18" t="n">
        <f aca="false">IFERROR((B21/B17-1)*100,"")</f>
        <v>2.43353205937797</v>
      </c>
      <c r="E21" s="19"/>
      <c r="F21" s="19"/>
      <c r="G21" s="19"/>
      <c r="I21" s="20" t="n">
        <v>2018</v>
      </c>
      <c r="J21" s="17" t="n">
        <v>130.74598405854</v>
      </c>
      <c r="K21" s="18" t="n">
        <f aca="false">IFERROR((J21/J20-1)*100,"")</f>
        <v>2.02497735602636</v>
      </c>
      <c r="L21" s="19"/>
    </row>
    <row r="22" customFormat="false" ht="15" hidden="false" customHeight="false" outlineLevel="0" collapsed="false">
      <c r="A22" s="12" t="n">
        <v>39630</v>
      </c>
      <c r="B22" s="13" t="n">
        <v>106.95213661966</v>
      </c>
      <c r="C22" s="21" t="n">
        <f aca="false">IFERROR((B22/B21-1)*100,"")</f>
        <v>-0.0327005697335125</v>
      </c>
      <c r="D22" s="21" t="n">
        <f aca="false">IFERROR((B22/B18-1)*100,"")</f>
        <v>1.18648790091707</v>
      </c>
      <c r="E22" s="14"/>
      <c r="F22" s="14"/>
      <c r="G22" s="14"/>
      <c r="I22" s="15" t="n">
        <v>2019</v>
      </c>
      <c r="J22" s="13" t="n">
        <v>132.829953484105</v>
      </c>
      <c r="K22" s="21" t="n">
        <f aca="false">IFERROR((J22/J21-1)*100,"")</f>
        <v>1.59390702557436</v>
      </c>
      <c r="L22" s="14"/>
    </row>
    <row r="23" customFormat="false" ht="15" hidden="false" customHeight="false" outlineLevel="0" collapsed="false">
      <c r="A23" s="16" t="n">
        <v>39722</v>
      </c>
      <c r="B23" s="17" t="n">
        <v>108.371533613893</v>
      </c>
      <c r="C23" s="18" t="n">
        <f aca="false">IFERROR((B23/B22-1)*100,"")</f>
        <v>1.32713290177664</v>
      </c>
      <c r="D23" s="18" t="n">
        <f aca="false">IFERROR((B23/B19-1)*100,"")</f>
        <v>2.86022786733875</v>
      </c>
      <c r="E23" s="19"/>
      <c r="F23" s="19"/>
      <c r="G23" s="19"/>
      <c r="I23" s="20" t="n">
        <v>2020</v>
      </c>
      <c r="J23" s="17" t="n">
        <v>135.525904261404</v>
      </c>
      <c r="K23" s="18" t="n">
        <f aca="false">IFERROR((J23/J22-1)*100,"")</f>
        <v>2.02962562779292</v>
      </c>
      <c r="L23" s="19"/>
    </row>
    <row r="24" customFormat="false" ht="15" hidden="false" customHeight="false" outlineLevel="0" collapsed="false">
      <c r="A24" s="12" t="n">
        <v>39814</v>
      </c>
      <c r="B24" s="13" t="n">
        <v>107.850817381662</v>
      </c>
      <c r="C24" s="21" t="n">
        <f aca="false">IFERROR((B24/B23-1)*100,"")</f>
        <v>-0.480491707431407</v>
      </c>
      <c r="D24" s="21" t="n">
        <f aca="false">IFERROR((B24/B20-1)*100,"")</f>
        <v>1.22951601685344</v>
      </c>
      <c r="E24" s="14"/>
      <c r="F24" s="14"/>
      <c r="G24" s="14"/>
      <c r="I24" s="15" t="n">
        <v>2021</v>
      </c>
      <c r="J24" s="13" t="n">
        <v>138.709523490292</v>
      </c>
      <c r="K24" s="21" t="n">
        <f aca="false">IFERROR((J24/J23-1)*100,"")</f>
        <v>2.34908539901515</v>
      </c>
      <c r="L24" s="14"/>
    </row>
    <row r="25" customFormat="false" ht="15" hidden="false" customHeight="false" outlineLevel="0" collapsed="false">
      <c r="A25" s="16" t="n">
        <v>39904</v>
      </c>
      <c r="B25" s="17" t="n">
        <v>108.086887346193</v>
      </c>
      <c r="C25" s="18" t="n">
        <f aca="false">IFERROR((B25/B24-1)*100,"")</f>
        <v>0.218885651738265</v>
      </c>
      <c r="D25" s="18" t="n">
        <f aca="false">IFERROR((B25/B21-1)*100,"")</f>
        <v>1.02794178153987</v>
      </c>
      <c r="E25" s="19"/>
      <c r="F25" s="19"/>
      <c r="G25" s="19"/>
      <c r="I25" s="20" t="n">
        <v>2022</v>
      </c>
      <c r="J25" s="17" t="n">
        <v>140.937650944876</v>
      </c>
      <c r="K25" s="18" t="n">
        <f aca="false">IFERROR((J25/J24-1)*100,"")</f>
        <v>1.60632622657706</v>
      </c>
      <c r="L25" s="19"/>
    </row>
    <row r="26" customFormat="false" ht="15" hidden="false" customHeight="false" outlineLevel="0" collapsed="false">
      <c r="A26" s="12" t="n">
        <v>39995</v>
      </c>
      <c r="B26" s="13" t="n">
        <v>109.45374925695</v>
      </c>
      <c r="C26" s="21" t="n">
        <f aca="false">IFERROR((B26/B25-1)*100,"")</f>
        <v>1.26459549749072</v>
      </c>
      <c r="D26" s="21" t="n">
        <f aca="false">IFERROR((B26/B22-1)*100,"")</f>
        <v>2.33900202123729</v>
      </c>
      <c r="E26" s="14"/>
      <c r="F26" s="14"/>
      <c r="G26" s="14"/>
      <c r="I26" s="15" t="n">
        <v>2023</v>
      </c>
      <c r="J26" s="13" t="n">
        <v>143.876140278788</v>
      </c>
      <c r="K26" s="21" t="n">
        <f aca="false">IFERROR((J26/J25-1)*100,"")</f>
        <v>2.08495693961936</v>
      </c>
      <c r="L26" s="14"/>
    </row>
    <row r="27" customFormat="false" ht="15" hidden="false" customHeight="false" outlineLevel="0" collapsed="false">
      <c r="A27" s="16" t="n">
        <v>40087</v>
      </c>
      <c r="B27" s="17" t="n">
        <v>110.41759613459</v>
      </c>
      <c r="C27" s="18" t="n">
        <f aca="false">IFERROR((B27/B26-1)*100,"")</f>
        <v>0.880597406834549</v>
      </c>
      <c r="D27" s="18" t="n">
        <f aca="false">IFERROR((B27/B23-1)*100,"")</f>
        <v>1.88800735070092</v>
      </c>
      <c r="E27" s="19"/>
      <c r="F27" s="19"/>
      <c r="G27" s="19"/>
      <c r="I27" s="20" t="n">
        <v>2024</v>
      </c>
      <c r="J27" s="17" t="n">
        <v>147.320038399561</v>
      </c>
      <c r="K27" s="18" t="n">
        <f aca="false">IFERROR((J27/J26-1)*100,"")</f>
        <v>2.393654788139</v>
      </c>
      <c r="L27" s="19"/>
    </row>
    <row r="28" customFormat="false" ht="15" hidden="false" customHeight="false" outlineLevel="0" collapsed="false">
      <c r="A28" s="12" t="n">
        <v>40179</v>
      </c>
      <c r="B28" s="13" t="n">
        <v>110.61639734786</v>
      </c>
      <c r="C28" s="21" t="n">
        <f aca="false">IFERROR((B28/B27-1)*100,"")</f>
        <v>0.180044866243589</v>
      </c>
      <c r="D28" s="21" t="n">
        <f aca="false">IFERROR((B28/B24-1)*100,"")</f>
        <v>2.56426426181982</v>
      </c>
      <c r="E28" s="14"/>
      <c r="F28" s="14"/>
      <c r="G28" s="14"/>
      <c r="I28" s="15" t="n">
        <v>2025</v>
      </c>
      <c r="J28" s="13" t="n">
        <v>150.189990966755</v>
      </c>
      <c r="K28" s="21" t="n">
        <f aca="false">IFERROR((J28/J27-1)*100,"")</f>
        <v>1.94810739826894</v>
      </c>
      <c r="L28" s="14"/>
    </row>
    <row r="29" customFormat="false" ht="15" hidden="false" customHeight="false" outlineLevel="0" collapsed="false">
      <c r="A29" s="16" t="n">
        <v>40269</v>
      </c>
      <c r="B29" s="17" t="n">
        <v>111.638949987599</v>
      </c>
      <c r="C29" s="18" t="n">
        <f aca="false">IFERROR((B29/B28-1)*100,"")</f>
        <v>0.924413255408374</v>
      </c>
      <c r="D29" s="18" t="n">
        <f aca="false">IFERROR((B29/B25-1)*100,"")</f>
        <v>3.28630301844985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152.149838710588</v>
      </c>
    </row>
    <row r="30" customFormat="false" ht="15" hidden="false" customHeight="false" outlineLevel="0" collapsed="false">
      <c r="A30" s="12" t="n">
        <v>40360</v>
      </c>
      <c r="B30" s="13" t="n">
        <v>111.39165202129</v>
      </c>
      <c r="C30" s="21" t="n">
        <f aca="false">IFERROR((B30/B29-1)*100,"")</f>
        <v>-0.221515847592602</v>
      </c>
      <c r="D30" s="21" t="n">
        <f aca="false">IFERROR((B30/B26-1)*100,"")</f>
        <v>1.77052204926369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153.726725618073</v>
      </c>
    </row>
    <row r="31" customFormat="false" ht="15" hidden="false" customHeight="false" outlineLevel="0" collapsed="false">
      <c r="A31" s="16" t="n">
        <v>40452</v>
      </c>
      <c r="B31" s="17" t="n">
        <v>111.977754500828</v>
      </c>
      <c r="C31" s="18" t="n">
        <f aca="false">IFERROR((B31/B30-1)*100,"")</f>
        <v>0.526163737499097</v>
      </c>
      <c r="D31" s="18" t="n">
        <f aca="false">IFERROR((B31/B27-1)*100,"")</f>
        <v>1.41296172064431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112.610709780168</v>
      </c>
      <c r="C32" s="21" t="n">
        <f aca="false">IFERROR((B32/B31-1)*100,"")</f>
        <v>0.565250912703297</v>
      </c>
      <c r="D32" s="21" t="n">
        <f aca="false">IFERROR((B32/B28-1)*100,"")</f>
        <v>1.80290850192535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113.097648429796</v>
      </c>
      <c r="C33" s="18" t="n">
        <f aca="false">IFERROR((B33/B32-1)*100,"")</f>
        <v>0.432408827347208</v>
      </c>
      <c r="D33" s="18" t="n">
        <f aca="false">IFERROR((B33/B29-1)*100,"")</f>
        <v>1.30662142769986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114.285393957834</v>
      </c>
      <c r="C34" s="21" t="n">
        <f aca="false">IFERROR((B34/B33-1)*100,"")</f>
        <v>1.05019471627246</v>
      </c>
      <c r="D34" s="21" t="n">
        <f aca="false">IFERROR((B34/B30-1)*100,"")</f>
        <v>2.59780861854049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115.321273892337</v>
      </c>
      <c r="C35" s="18" t="n">
        <f aca="false">IFERROR((B35/B34-1)*100,"")</f>
        <v>0.906397483203403</v>
      </c>
      <c r="D35" s="18" t="n">
        <f aca="false">IFERROR((B35/B31-1)*100,"")</f>
        <v>2.98587822770164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115.074300853747</v>
      </c>
      <c r="C36" s="21" t="n">
        <f aca="false">IFERROR((B36/B35-1)*100,"")</f>
        <v>-0.214160865774571</v>
      </c>
      <c r="D36" s="21" t="n">
        <f aca="false">IFERROR((B36/B32-1)*100,"")</f>
        <v>2.18770583933623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116.215482882697</v>
      </c>
      <c r="C37" s="18" t="n">
        <f aca="false">IFERROR((B37/B36-1)*100,"")</f>
        <v>0.991691472799716</v>
      </c>
      <c r="D37" s="18" t="n">
        <f aca="false">IFERROR((B37/B33-1)*100,"")</f>
        <v>2.75676328923564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116.647052484973</v>
      </c>
      <c r="C38" s="21" t="n">
        <f aca="false">IFERROR((B38/B37-1)*100,"")</f>
        <v>0.371352931270708</v>
      </c>
      <c r="D38" s="21" t="n">
        <f aca="false">IFERROR((B38/B34-1)*100,"")</f>
        <v>2.06645700325445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116.406067880885</v>
      </c>
      <c r="C39" s="18" t="n">
        <f aca="false">IFERROR((B39/B38-1)*100,"")</f>
        <v>-0.206592964805985</v>
      </c>
      <c r="D39" s="18" t="n">
        <f aca="false">IFERROR((B39/B35-1)*100,"")</f>
        <v>0.940671180549879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117.635030962417</v>
      </c>
      <c r="C40" s="21" t="n">
        <f aca="false">IFERROR((B40/B39-1)*100,"")</f>
        <v>1.05575517144783</v>
      </c>
      <c r="D40" s="21" t="n">
        <f aca="false">IFERROR((B40/B36-1)*100,"")</f>
        <v>2.22528409008049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117.303290089069</v>
      </c>
      <c r="C41" s="18" t="n">
        <f aca="false">IFERROR((B41/B40-1)*100,"")</f>
        <v>-0.282008574005221</v>
      </c>
      <c r="D41" s="18" t="n">
        <f aca="false">IFERROR((B41/B37-1)*100,"")</f>
        <v>0.936026060718231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119.422778973147</v>
      </c>
      <c r="C42" s="21" t="n">
        <f aca="false">IFERROR((B42/B41-1)*100,"")</f>
        <v>1.80684521505652</v>
      </c>
      <c r="D42" s="21" t="n">
        <f aca="false">IFERROR((B42/B38-1)*100,"")</f>
        <v>2.37959419380278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118.42060674395</v>
      </c>
      <c r="C43" s="18" t="n">
        <f aca="false">IFERROR((B43/B42-1)*100,"")</f>
        <v>-0.839180127789896</v>
      </c>
      <c r="D43" s="18" t="n">
        <f aca="false">IFERROR((B43/B39-1)*100,"")</f>
        <v>1.73061327449555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119.879922885052</v>
      </c>
      <c r="C44" s="21" t="n">
        <f aca="false">IFERROR((B44/B43-1)*100,"")</f>
        <v>1.2323160480485</v>
      </c>
      <c r="D44" s="21" t="n">
        <f aca="false">IFERROR((B44/B40-1)*100,"")</f>
        <v>1.90835323820564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119.947296097313</v>
      </c>
      <c r="C45" s="18" t="n">
        <f aca="false">IFERROR((B45/B44-1)*100,"")</f>
        <v>0.0562005802470456</v>
      </c>
      <c r="D45" s="18" t="n">
        <f aca="false">IFERROR((B45/B41-1)*100,"")</f>
        <v>2.25399134690656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120.794088071887</v>
      </c>
      <c r="C46" s="21" t="n">
        <f aca="false">IFERROR((B46/B45-1)*100,"")</f>
        <v>0.705970040280191</v>
      </c>
      <c r="D46" s="21" t="n">
        <f aca="false">IFERROR((B46/B42-1)*100,"")</f>
        <v>1.14828101517186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121.608033010088</v>
      </c>
      <c r="C47" s="18" t="n">
        <f aca="false">IFERROR((B47/B46-1)*100,"")</f>
        <v>0.673828455674985</v>
      </c>
      <c r="D47" s="18" t="n">
        <f aca="false">IFERROR((B47/B43-1)*100,"")</f>
        <v>2.69161453718081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122.265246752225</v>
      </c>
      <c r="C48" s="21" t="n">
        <f aca="false">IFERROR((B48/B47-1)*100,"")</f>
        <v>0.540436125697874</v>
      </c>
      <c r="D48" s="21" t="n">
        <f aca="false">IFERROR((B48/B44-1)*100,"")</f>
        <v>1.9897609289089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122.894491967669</v>
      </c>
      <c r="C49" s="18" t="n">
        <f aca="false">IFERROR((B49/B48-1)*100,"")</f>
        <v>0.514655825885813</v>
      </c>
      <c r="D49" s="18" t="n">
        <f aca="false">IFERROR((B49/B45-1)*100,"")</f>
        <v>2.45707570428659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123.927450978709</v>
      </c>
      <c r="C50" s="21" t="n">
        <f aca="false">IFERROR((B50/B49-1)*100,"")</f>
        <v>0.840525067072862</v>
      </c>
      <c r="D50" s="21" t="n">
        <f aca="false">IFERROR((B50/B46-1)*100,"")</f>
        <v>2.59397041431197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124.200951557401</v>
      </c>
      <c r="C51" s="18" t="n">
        <f aca="false">IFERROR((B51/B50-1)*100,"")</f>
        <v>0.220694104923203</v>
      </c>
      <c r="D51" s="18" t="n">
        <f aca="false">IFERROR((B51/B47-1)*100,"")</f>
        <v>2.13219347697016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124.749364165774</v>
      </c>
      <c r="C52" s="21" t="n">
        <f aca="false">IFERROR((B52/B51-1)*100,"")</f>
        <v>0.441552662436284</v>
      </c>
      <c r="D52" s="21" t="n">
        <f aca="false">IFERROR((B52/B48-1)*100,"")</f>
        <v>2.03174448957091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125.141378020503</v>
      </c>
      <c r="C53" s="18" t="n">
        <f aca="false">IFERROR((B53/B52-1)*100,"")</f>
        <v>0.314241164554696</v>
      </c>
      <c r="D53" s="18" t="n">
        <f aca="false">IFERROR((B53/B49-1)*100,"")</f>
        <v>1.82830492795789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126.582997884067</v>
      </c>
      <c r="C54" s="21" t="n">
        <f aca="false">IFERROR((B54/B53-1)*100,"")</f>
        <v>1.15199295897805</v>
      </c>
      <c r="D54" s="21" t="n">
        <f aca="false">IFERROR((B54/B50-1)*100,"")</f>
        <v>2.14282379278028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126.732842185686</v>
      </c>
      <c r="C55" s="18" t="n">
        <f aca="false">IFERROR((B55/B54-1)*100,"")</f>
        <v>0.118376325512326</v>
      </c>
      <c r="D55" s="18" t="n">
        <f aca="false">IFERROR((B55/B51-1)*100,"")</f>
        <v>2.03854366374532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127.31112334539</v>
      </c>
      <c r="C56" s="21" t="n">
        <f aca="false">IFERROR((B56/B55-1)*100,"")</f>
        <v>0.456299369390778</v>
      </c>
      <c r="D56" s="21" t="n">
        <f aca="false">IFERROR((B56/B52-1)*100,"")</f>
        <v>2.05352483898194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127.56120849123</v>
      </c>
      <c r="C57" s="18" t="n">
        <f aca="false">IFERROR((B57/B56-1)*100,"")</f>
        <v>0.196436210182371</v>
      </c>
      <c r="D57" s="18" t="n">
        <f aca="false">IFERROR((B57/B53-1)*100,"")</f>
        <v>1.93367734078407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128.811711520496</v>
      </c>
      <c r="C58" s="21" t="n">
        <f aca="false">IFERROR((B58/B57-1)*100,"")</f>
        <v>0.980316072618082</v>
      </c>
      <c r="D58" s="21" t="n">
        <f aca="false">IFERROR((B58/B54-1)*100,"")</f>
        <v>1.76067376636926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128.91978149761</v>
      </c>
      <c r="C59" s="18" t="n">
        <f aca="false">IFERROR((B59/B58-1)*100,"")</f>
        <v>0.0838976330945762</v>
      </c>
      <c r="D59" s="18" t="n">
        <f aca="false">IFERROR((B59/B55-1)*100,"")</f>
        <v>1.72562950077302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129.325485539872</v>
      </c>
      <c r="C60" s="21" t="n">
        <f aca="false">IFERROR((B60/B59-1)*100,"")</f>
        <v>0.314694950261996</v>
      </c>
      <c r="D60" s="21" t="n">
        <f aca="false">IFERROR((B60/B56-1)*100,"")</f>
        <v>1.5822358184814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130.511573761969</v>
      </c>
      <c r="C61" s="18" t="n">
        <f aca="false">IFERROR((B61/B60-1)*100,"")</f>
        <v>0.917134172855461</v>
      </c>
      <c r="D61" s="18" t="n">
        <f aca="false">IFERROR((B61/B57-1)*100,"")</f>
        <v>2.31290163023323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131.34717702084</v>
      </c>
      <c r="C62" s="21" t="n">
        <f aca="false">IFERROR((B62/B61-1)*100,"")</f>
        <v>0.640252228047844</v>
      </c>
      <c r="D62" s="21" t="n">
        <f aca="false">IFERROR((B62/B58-1)*100,"")</f>
        <v>1.96835013712349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131.799699911478</v>
      </c>
      <c r="C63" s="18" t="n">
        <f aca="false">IFERROR((B63/B62-1)*100,"")</f>
        <v>0.344524260742407</v>
      </c>
      <c r="D63" s="18" t="n">
        <f aca="false">IFERROR((B63/B59-1)*100,"")</f>
        <v>2.23388403270057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132.304053936011</v>
      </c>
      <c r="C64" s="21" t="n">
        <f aca="false">IFERROR((B64/B63-1)*100,"")</f>
        <v>0.382667050738394</v>
      </c>
      <c r="D64" s="21" t="n">
        <f aca="false">IFERROR((B64/B60-1)*100,"")</f>
        <v>2.30315655394993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132.706373422975</v>
      </c>
      <c r="C65" s="18" t="n">
        <f aca="false">IFERROR((B65/B64-1)*100,"")</f>
        <v>0.304087044195156</v>
      </c>
      <c r="D65" s="18" t="n">
        <f aca="false">IFERROR((B65/B61-1)*100,"")</f>
        <v>1.6816896752843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132.960563001001</v>
      </c>
      <c r="C66" s="21" t="n">
        <f aca="false">IFERROR((B66/B65-1)*100,"")</f>
        <v>0.191542856209348</v>
      </c>
      <c r="D66" s="21" t="n">
        <f aca="false">IFERROR((B66/B62-1)*100,"")</f>
        <v>1.228337004841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133.348823576433</v>
      </c>
      <c r="C67" s="18" t="n">
        <f aca="false">IFERROR((B67/B66-1)*100,"")</f>
        <v>0.292011831680172</v>
      </c>
      <c r="D67" s="18" t="n">
        <f aca="false">IFERROR((B67/B63-1)*100,"")</f>
        <v>1.17536205772537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134.372815524628</v>
      </c>
      <c r="C68" s="21" t="n">
        <f aca="false">IFERROR((B68/B67-1)*100,"")</f>
        <v>0.767904748412018</v>
      </c>
      <c r="D68" s="21" t="n">
        <f aca="false">IFERROR((B68/B64-1)*100,"")</f>
        <v>1.56364187420717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135.745689417324</v>
      </c>
      <c r="C69" s="18" t="n">
        <f aca="false">IFERROR((B69/B68-1)*100,"")</f>
        <v>1.02169020373386</v>
      </c>
      <c r="D69" s="18" t="n">
        <f aca="false">IFERROR((B69/B65-1)*100,"")</f>
        <v>2.29025623710022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135.075534923611</v>
      </c>
      <c r="C70" s="21" t="n">
        <f aca="false">IFERROR((B70/B69-1)*100,"")</f>
        <v>-0.493683811684753</v>
      </c>
      <c r="D70" s="21" t="n">
        <f aca="false">IFERROR((B70/B66-1)*100,"")</f>
        <v>1.59067611844714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136.909577180052</v>
      </c>
      <c r="C71" s="18" t="n">
        <f aca="false">IFERROR((B71/B70-1)*100,"")</f>
        <v>1.35779011164243</v>
      </c>
      <c r="D71" s="18" t="n">
        <f aca="false">IFERROR((B71/B67-1)*100,"")</f>
        <v>2.67025498097346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136.865047845102</v>
      </c>
      <c r="C72" s="21" t="n">
        <f aca="false">IFERROR((B72/B71-1)*100,"")</f>
        <v>-0.0325246311230321</v>
      </c>
      <c r="D72" s="21" t="n">
        <f aca="false">IFERROR((B72/B68-1)*100,"")</f>
        <v>1.85471466884426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138.127395685973</v>
      </c>
      <c r="C73" s="18" t="n">
        <f aca="false">IFERROR((B73/B72-1)*100,"")</f>
        <v>0.922330325197263</v>
      </c>
      <c r="D73" s="18" t="n">
        <f aca="false">IFERROR((B73/B69-1)*100,"")</f>
        <v>1.75453546913509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139.534364383814</v>
      </c>
      <c r="C74" s="21" t="n">
        <f aca="false">IFERROR((B74/B73-1)*100,"")</f>
        <v>1.01860220476449</v>
      </c>
      <c r="D74" s="21" t="n">
        <f aca="false">IFERROR((B74/B70-1)*100,"")</f>
        <v>3.30098967420323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140.311286046277</v>
      </c>
      <c r="C75" s="18" t="n">
        <f aca="false">IFERROR((B75/B74-1)*100,"")</f>
        <v>0.556795930445886</v>
      </c>
      <c r="D75" s="18" t="n">
        <f aca="false">IFERROR((B75/B71-1)*100,"")</f>
        <v>2.48463908536598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140.094534649159</v>
      </c>
      <c r="C76" s="21" t="n">
        <f aca="false">IFERROR((B76/B75-1)*100,"")</f>
        <v>-0.154478946937253</v>
      </c>
      <c r="D76" s="21" t="n">
        <f aca="false">IFERROR((B76/B72-1)*100,"")</f>
        <v>2.35961398100075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140.70581979379</v>
      </c>
      <c r="C77" s="18" t="n">
        <f aca="false">IFERROR((B77/B76-1)*100,"")</f>
        <v>0.436337610287696</v>
      </c>
      <c r="D77" s="18" t="n">
        <f aca="false">IFERROR((B77/B73-1)*100,"")</f>
        <v>1.86670000908367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141.383843913066</v>
      </c>
      <c r="C78" s="21" t="n">
        <f aca="false">IFERROR((B78/B77-1)*100,"")</f>
        <v>0.481873543161804</v>
      </c>
      <c r="D78" s="21" t="n">
        <f aca="false">IFERROR((B78/B74-1)*100,"")</f>
        <v>1.32546526256705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141.566405423491</v>
      </c>
      <c r="C79" s="18" t="n">
        <f aca="false">IFERROR((B79/B78-1)*100,"")</f>
        <v>0.129124732623387</v>
      </c>
      <c r="D79" s="18" t="n">
        <f aca="false">IFERROR((B79/B75-1)*100,"")</f>
        <v>0.894524890036319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142.736621313148</v>
      </c>
      <c r="C80" s="21" t="n">
        <f aca="false">IFERROR((B80/B79-1)*100,"")</f>
        <v>0.826619766289838</v>
      </c>
      <c r="D80" s="21" t="n">
        <f aca="false">IFERROR((B80/B76-1)*100,"")</f>
        <v>1.88593128961501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143.550328192297</v>
      </c>
      <c r="C81" s="18" t="n">
        <f aca="false">IFERROR((B81/B80-1)*100,"")</f>
        <v>0.570075760280275</v>
      </c>
      <c r="D81" s="18" t="n">
        <f aca="false">IFERROR((B81/B77-1)*100,"")</f>
        <v>2.02159967702489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144.320932407829</v>
      </c>
      <c r="C82" s="21" t="n">
        <f aca="false">IFERROR((B82/B81-1)*100,"")</f>
        <v>0.536818149589613</v>
      </c>
      <c r="D82" s="21" t="n">
        <f aca="false">IFERROR((B82/B78-1)*100,"")</f>
        <v>2.07738622283389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144.896679201879</v>
      </c>
      <c r="C83" s="18" t="n">
        <f aca="false">IFERROR((B83/B82-1)*100,"")</f>
        <v>0.398935057059946</v>
      </c>
      <c r="D83" s="18" t="n">
        <f aca="false">IFERROR((B83/B79-1)*100,"")</f>
        <v>2.35244637908676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146.325632158033</v>
      </c>
      <c r="C84" s="21" t="n">
        <f aca="false">IFERROR((B84/B83-1)*100,"")</f>
        <v>0.986187512387815</v>
      </c>
      <c r="D84" s="21" t="n">
        <f aca="false">IFERROR((B84/B80-1)*100,"")</f>
        <v>2.51442889138542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147.103045175879</v>
      </c>
      <c r="C85" s="18" t="n">
        <f aca="false">IFERROR((B85/B84-1)*100,"")</f>
        <v>0.531289703916316</v>
      </c>
      <c r="D85" s="18" t="n">
        <f aca="false">IFERROR((B85/B81-1)*100,"")</f>
        <v>2.47489297190799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147.063743541883</v>
      </c>
      <c r="C86" s="21" t="n">
        <f aca="false">IFERROR((B86/B85-1)*100,"")</f>
        <v>-0.0267170771000136</v>
      </c>
      <c r="D86" s="21" t="n">
        <f aca="false">IFERROR((B86/B82-1)*100,"")</f>
        <v>1.90049432767205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148.787732722449</v>
      </c>
      <c r="C87" s="18" t="n">
        <f aca="false">IFERROR((B87/B86-1)*100,"")</f>
        <v>1.17227342310591</v>
      </c>
      <c r="D87" s="18" t="n">
        <f aca="false">IFERROR((B87/B83-1)*100,"")</f>
        <v>2.6853986868453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149.111515090338</v>
      </c>
      <c r="C88" s="21" t="n">
        <f aca="false">IFERROR((B88/B87-1)*100,"")</f>
        <v>0.217613617711865</v>
      </c>
      <c r="D88" s="21" t="n">
        <f aca="false">IFERROR((B88/B84-1)*100,"")</f>
        <v>1.90389263399602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149.246702702982</v>
      </c>
      <c r="C89" s="18" t="n">
        <f aca="false">IFERROR((B89/B88-1)*100,"")</f>
        <v>0.0906620877420439</v>
      </c>
      <c r="D89" s="18" t="n">
        <f aca="false">IFERROR((B89/B85-1)*100,"")</f>
        <v>1.45724891319585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150.552497009543</v>
      </c>
      <c r="C90" s="21" t="n">
        <f aca="false">IFERROR((B90/B89-1)*100,"")</f>
        <v>0.874923387191728</v>
      </c>
      <c r="D90" s="21" t="n">
        <f aca="false">IFERROR((B90/B86-1)*100,"")</f>
        <v>2.37227299104277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151.849249064158</v>
      </c>
      <c r="C91" s="18" t="n">
        <f aca="false">IFERROR((B91/B90-1)*100,"")</f>
        <v>0.861328825740237</v>
      </c>
      <c r="D91" s="18" t="n">
        <f aca="false">IFERROR((B91/B87-1)*100,"")</f>
        <v>2.05764029445914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151.768179057938</v>
      </c>
      <c r="F92" s="13" t="n">
        <v>151.278703987304</v>
      </c>
      <c r="G92" s="22" t="n">
        <f aca="false">152.806251-149.751157</f>
        <v>3.055094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152.517898794797</v>
      </c>
      <c r="F93" s="17" t="n">
        <v>151.679057269639</v>
      </c>
      <c r="G93" s="23" t="n">
        <f aca="false">153.839335-149.51878</f>
        <v>4.32055500000001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153.271322072724</v>
      </c>
      <c r="F94" s="13" t="n">
        <v>152.440317121804</v>
      </c>
      <c r="G94" s="22" t="n">
        <f aca="false">155.086106-149.794528</f>
        <v>5.29157799999999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154.028467186844</v>
      </c>
      <c r="F95" s="17" t="n">
        <v>153.201276463607</v>
      </c>
      <c r="G95" s="23" t="n">
        <f aca="false">156.25637-150.146183</f>
        <v>6.110187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154.789352522657</v>
      </c>
      <c r="F96" s="13" t="n">
        <v>152.978908880983</v>
      </c>
      <c r="G96" s="22" t="n">
        <f aca="false">156.394607-149.56321</f>
        <v>6.83139700000001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155.553996556487</v>
      </c>
      <c r="F97" s="17" t="n">
        <v>153.294251918634</v>
      </c>
      <c r="G97" s="23" t="n">
        <f aca="false">157.035962-149.552542</f>
        <v>7.48342000000002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156.32241785593</v>
      </c>
      <c r="F98" s="13" t="n">
        <v>153.974752038349</v>
      </c>
      <c r="G98" s="22" t="n">
        <f aca="false">158.016261-149.933243</f>
        <v>8.08301799999998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157.094635080303</v>
      </c>
      <c r="F99" s="17" t="n">
        <v>154.658989634325</v>
      </c>
      <c r="G99" s="23" t="n">
        <f aca="false">158.979544-150.338435</f>
        <v>8.641109</v>
      </c>
    </row>
    <row r="102" customFormat="false" ht="21.75" hidden="false" customHeight="true" outlineLevel="0" collapsed="false">
      <c r="A102" s="9" t="s">
        <v>125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108</v>
      </c>
      <c r="B103" s="10" t="s">
        <v>109</v>
      </c>
      <c r="D103" s="5" t="s">
        <v>110</v>
      </c>
      <c r="E103" s="2" t="s">
        <v>126</v>
      </c>
      <c r="H103" s="5" t="s">
        <v>112</v>
      </c>
      <c r="I103" s="2" t="s">
        <v>113</v>
      </c>
    </row>
    <row r="104" customFormat="false" ht="18" hidden="false" customHeight="true" outlineLevel="0" collapsed="false">
      <c r="A104" s="11" t="s">
        <v>114</v>
      </c>
      <c r="B104" s="11"/>
      <c r="C104" s="11"/>
      <c r="D104" s="11"/>
      <c r="E104" s="11"/>
      <c r="F104" s="11"/>
      <c r="G104" s="11"/>
      <c r="I104" s="11" t="s">
        <v>115</v>
      </c>
      <c r="J104" s="11"/>
      <c r="K104" s="11"/>
      <c r="L104" s="11"/>
    </row>
    <row r="105" customFormat="false" ht="15" hidden="false" customHeight="false" outlineLevel="0" collapsed="false">
      <c r="A105" s="6" t="s">
        <v>116</v>
      </c>
      <c r="B105" s="6" t="s">
        <v>117</v>
      </c>
      <c r="C105" s="6" t="s">
        <v>118</v>
      </c>
      <c r="D105" s="6" t="s">
        <v>119</v>
      </c>
      <c r="E105" s="6" t="s">
        <v>120</v>
      </c>
      <c r="F105" s="6" t="s">
        <v>121</v>
      </c>
      <c r="G105" s="6" t="s">
        <v>122</v>
      </c>
      <c r="I105" s="6" t="s">
        <v>123</v>
      </c>
      <c r="J105" s="6" t="s">
        <v>117</v>
      </c>
      <c r="K105" s="6" t="s">
        <v>119</v>
      </c>
      <c r="L105" s="6" t="s">
        <v>124</v>
      </c>
    </row>
    <row r="106" customFormat="false" ht="15" hidden="false" customHeight="false" outlineLevel="0" collapsed="false">
      <c r="A106" s="12" t="n">
        <v>38353</v>
      </c>
      <c r="B106" s="13" t="n">
        <v>17769.9062918003</v>
      </c>
      <c r="C106" s="14"/>
      <c r="D106" s="14"/>
      <c r="E106" s="14"/>
      <c r="F106" s="14"/>
      <c r="G106" s="14"/>
      <c r="I106" s="15" t="n">
        <v>2005</v>
      </c>
      <c r="J106" s="13" t="n">
        <v>18063.0780343266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18043.3888968454</v>
      </c>
      <c r="C107" s="18" t="n">
        <f aca="false">IFERROR((B107/B106-1)*100,"")</f>
        <v>1.53902108741781</v>
      </c>
      <c r="D107" s="19"/>
      <c r="E107" s="19"/>
      <c r="F107" s="19"/>
      <c r="G107" s="19"/>
      <c r="I107" s="20" t="n">
        <v>2006</v>
      </c>
      <c r="J107" s="17" t="n">
        <v>18498.1582162315</v>
      </c>
      <c r="K107" s="18" t="n">
        <f aca="false">IFERROR((J107/J106-1)*100,"")</f>
        <v>2.40867132987015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18140.4175274012</v>
      </c>
      <c r="C108" s="21" t="n">
        <f aca="false">IFERROR((B108/B107-1)*100,"")</f>
        <v>0.537751700140454</v>
      </c>
      <c r="D108" s="14"/>
      <c r="E108" s="14"/>
      <c r="F108" s="14"/>
      <c r="G108" s="14"/>
      <c r="I108" s="15" t="n">
        <v>2007</v>
      </c>
      <c r="J108" s="13" t="n">
        <v>19012.8914218807</v>
      </c>
      <c r="K108" s="21" t="n">
        <f aca="false">IFERROR((J108/J107-1)*100,"")</f>
        <v>2.78261867820722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18298.5994212595</v>
      </c>
      <c r="C109" s="18" t="n">
        <f aca="false">IFERROR((B109/B108-1)*100,"")</f>
        <v>0.871985959636312</v>
      </c>
      <c r="D109" s="19"/>
      <c r="E109" s="19"/>
      <c r="F109" s="19"/>
      <c r="G109" s="19"/>
      <c r="I109" s="20" t="n">
        <v>2008</v>
      </c>
      <c r="J109" s="17" t="n">
        <v>18654.6839553119</v>
      </c>
      <c r="K109" s="18" t="n">
        <f aca="false">IFERROR((J109/J108-1)*100,"")</f>
        <v>-1.88402415298339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18301.551060311</v>
      </c>
      <c r="C110" s="21" t="n">
        <f aca="false">IFERROR((B110/B109-1)*100,"")</f>
        <v>0.0161304096752746</v>
      </c>
      <c r="D110" s="21" t="n">
        <f aca="false">IFERROR((B110/B106-1)*100,"")</f>
        <v>2.99182651714984</v>
      </c>
      <c r="E110" s="14"/>
      <c r="F110" s="14"/>
      <c r="G110" s="14"/>
      <c r="I110" s="15" t="n">
        <v>2009</v>
      </c>
      <c r="J110" s="13" t="n">
        <v>19037.7930705857</v>
      </c>
      <c r="K110" s="21" t="n">
        <f aca="false">IFERROR((J110/J109-1)*100,"")</f>
        <v>2.05368858669235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18371.0523969741</v>
      </c>
      <c r="C111" s="18" t="n">
        <f aca="false">IFERROR((B111/B110-1)*100,"")</f>
        <v>0.379756537760145</v>
      </c>
      <c r="D111" s="18" t="n">
        <f aca="false">IFERROR((B111/B107-1)*100,"")</f>
        <v>1.81597538024521</v>
      </c>
      <c r="E111" s="19"/>
      <c r="F111" s="19"/>
      <c r="G111" s="19"/>
      <c r="I111" s="20" t="n">
        <v>2010</v>
      </c>
      <c r="J111" s="17" t="n">
        <v>20261.8422727533</v>
      </c>
      <c r="K111" s="18" t="n">
        <f aca="false">IFERROR((J111/J110-1)*100,"")</f>
        <v>6.42957509638442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18578.5432451514</v>
      </c>
      <c r="C112" s="21" t="n">
        <f aca="false">IFERROR((B112/B111-1)*100,"")</f>
        <v>1.12944453966881</v>
      </c>
      <c r="D112" s="21" t="n">
        <f aca="false">IFERROR((B112/B108-1)*100,"")</f>
        <v>2.41519092429046</v>
      </c>
      <c r="E112" s="14"/>
      <c r="F112" s="14"/>
      <c r="G112" s="14"/>
      <c r="I112" s="15" t="n">
        <v>2011</v>
      </c>
      <c r="J112" s="13" t="n">
        <v>20663.6457281476</v>
      </c>
      <c r="K112" s="21" t="n">
        <f aca="false">IFERROR((J112/J111-1)*100,"")</f>
        <v>1.98305489691157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18741.4861624896</v>
      </c>
      <c r="C113" s="18" t="n">
        <f aca="false">IFERROR((B113/B112-1)*100,"")</f>
        <v>0.877048943978442</v>
      </c>
      <c r="D113" s="18" t="n">
        <f aca="false">IFERROR((B113/B109-1)*100,"")</f>
        <v>2.42033136544579</v>
      </c>
      <c r="E113" s="19"/>
      <c r="F113" s="19"/>
      <c r="G113" s="19"/>
      <c r="I113" s="20" t="n">
        <v>2012</v>
      </c>
      <c r="J113" s="17" t="n">
        <v>21176.3619458743</v>
      </c>
      <c r="K113" s="18" t="n">
        <f aca="false">IFERROR((J113/J112-1)*100,"")</f>
        <v>2.48124761947626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18785.4086284391</v>
      </c>
      <c r="C114" s="21" t="n">
        <f aca="false">IFERROR((B114/B113-1)*100,"")</f>
        <v>0.234359567692177</v>
      </c>
      <c r="D114" s="21" t="n">
        <f aca="false">IFERROR((B114/B110-1)*100,"")</f>
        <v>2.64380634479304</v>
      </c>
      <c r="E114" s="14"/>
      <c r="F114" s="14"/>
      <c r="G114" s="14"/>
      <c r="I114" s="15" t="n">
        <v>2013</v>
      </c>
      <c r="J114" s="13" t="n">
        <v>21591.6394506858</v>
      </c>
      <c r="K114" s="21" t="n">
        <f aca="false">IFERROR((J114/J113-1)*100,"")</f>
        <v>1.96104272241353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18924.8814215155</v>
      </c>
      <c r="C115" s="18" t="n">
        <f aca="false">IFERROR((B115/B114-1)*100,"")</f>
        <v>0.742452803849814</v>
      </c>
      <c r="D115" s="18" t="n">
        <f aca="false">IFERROR((B115/B111-1)*100,"")</f>
        <v>3.01468316879174</v>
      </c>
      <c r="E115" s="19"/>
      <c r="F115" s="19"/>
      <c r="G115" s="19"/>
      <c r="I115" s="20" t="n">
        <v>2014</v>
      </c>
      <c r="J115" s="17" t="n">
        <v>22167.6176795845</v>
      </c>
      <c r="K115" s="18" t="n">
        <f aca="false">IFERROR((J115/J114-1)*100,"")</f>
        <v>2.66759840175275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19029.1652281355</v>
      </c>
      <c r="C116" s="21" t="n">
        <f aca="false">IFERROR((B116/B115-1)*100,"")</f>
        <v>0.551040739951159</v>
      </c>
      <c r="D116" s="21" t="n">
        <f aca="false">IFERROR((B116/B112-1)*100,"")</f>
        <v>2.42549685967317</v>
      </c>
      <c r="E116" s="14"/>
      <c r="F116" s="14"/>
      <c r="G116" s="14"/>
      <c r="I116" s="15" t="n">
        <v>2015</v>
      </c>
      <c r="J116" s="13" t="n">
        <v>22662.0885784623</v>
      </c>
      <c r="K116" s="21" t="n">
        <f aca="false">IFERROR((J116/J115-1)*100,"")</f>
        <v>2.23060008533622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19312.1104094326</v>
      </c>
      <c r="C117" s="18" t="n">
        <f aca="false">IFERROR((B117/B116-1)*100,"")</f>
        <v>1.48690275114494</v>
      </c>
      <c r="D117" s="18" t="n">
        <f aca="false">IFERROR((B117/B113-1)*100,"")</f>
        <v>3.0447118333931</v>
      </c>
      <c r="E117" s="19"/>
      <c r="F117" s="19"/>
      <c r="G117" s="19"/>
      <c r="I117" s="20" t="n">
        <v>2016</v>
      </c>
      <c r="J117" s="17" t="n">
        <v>22993.9495616529</v>
      </c>
      <c r="K117" s="18" t="n">
        <f aca="false">IFERROR((J117/J116-1)*100,"")</f>
        <v>1.4643883419728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18504.5542999297</v>
      </c>
      <c r="C118" s="21" t="n">
        <f aca="false">IFERROR((B118/B117-1)*100,"")</f>
        <v>-4.18160466350931</v>
      </c>
      <c r="D118" s="21" t="n">
        <f aca="false">IFERROR((B118/B114-1)*100,"")</f>
        <v>-1.49506637872209</v>
      </c>
      <c r="E118" s="14"/>
      <c r="F118" s="14"/>
      <c r="G118" s="14"/>
      <c r="I118" s="15" t="n">
        <v>2017</v>
      </c>
      <c r="J118" s="13" t="n">
        <v>23570.0829500358</v>
      </c>
      <c r="K118" s="21" t="n">
        <f aca="false">IFERROR((J118/J117-1)*100,"")</f>
        <v>2.50558690162424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18677.3913514995</v>
      </c>
      <c r="C119" s="18" t="n">
        <f aca="false">IFERROR((B119/B118-1)*100,"")</f>
        <v>0.934024396202271</v>
      </c>
      <c r="D119" s="18" t="n">
        <f aca="false">IFERROR((B119/B115-1)*100,"")</f>
        <v>-1.3077496471636</v>
      </c>
      <c r="E119" s="19"/>
      <c r="F119" s="19"/>
      <c r="G119" s="19"/>
      <c r="I119" s="20" t="n">
        <v>2018</v>
      </c>
      <c r="J119" s="17" t="n">
        <v>24096.8877053312</v>
      </c>
      <c r="K119" s="18" t="n">
        <f aca="false">IFERROR((J119/J118-1)*100,"")</f>
        <v>2.23505685750967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18561.5827351248</v>
      </c>
      <c r="C120" s="21" t="n">
        <f aca="false">IFERROR((B120/B119-1)*100,"")</f>
        <v>-0.620047062222262</v>
      </c>
      <c r="D120" s="21" t="n">
        <f aca="false">IFERROR((B120/B116-1)*100,"")</f>
        <v>-2.45718867540959</v>
      </c>
      <c r="E120" s="14"/>
      <c r="F120" s="14"/>
      <c r="G120" s="14"/>
      <c r="I120" s="15" t="n">
        <v>2019</v>
      </c>
      <c r="J120" s="13" t="n">
        <v>24585.7655735844</v>
      </c>
      <c r="K120" s="21" t="n">
        <f aca="false">IFERROR((J120/J119-1)*100,"")</f>
        <v>2.02880087350454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18875.2074346937</v>
      </c>
      <c r="C121" s="18" t="n">
        <f aca="false">IFERROR((B121/B120-1)*100,"")</f>
        <v>1.68964416474784</v>
      </c>
      <c r="D121" s="18" t="n">
        <f aca="false">IFERROR((B121/B117-1)*100,"")</f>
        <v>-2.26232641319984</v>
      </c>
      <c r="E121" s="19"/>
      <c r="F121" s="19"/>
      <c r="G121" s="19"/>
      <c r="I121" s="20" t="n">
        <v>2020</v>
      </c>
      <c r="J121" s="17" t="n">
        <v>24277.3881076381</v>
      </c>
      <c r="K121" s="18" t="n">
        <f aca="false">IFERROR((J121/J120-1)*100,"")</f>
        <v>-1.25429271268095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19062.8517425521</v>
      </c>
      <c r="C122" s="21" t="n">
        <f aca="false">IFERROR((B122/B121-1)*100,"")</f>
        <v>0.994131102970064</v>
      </c>
      <c r="D122" s="21" t="n">
        <f aca="false">IFERROR((B122/B118-1)*100,"")</f>
        <v>3.01708127401112</v>
      </c>
      <c r="E122" s="14"/>
      <c r="F122" s="14"/>
      <c r="G122" s="14"/>
      <c r="I122" s="15" t="n">
        <v>2021</v>
      </c>
      <c r="J122" s="13" t="n">
        <v>25775.0406775607</v>
      </c>
      <c r="K122" s="21" t="n">
        <f aca="false">IFERROR((J122/J121-1)*100,"")</f>
        <v>6.16891966830406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18781.2494570798</v>
      </c>
      <c r="C123" s="18" t="n">
        <f aca="false">IFERROR((B123/B122-1)*100,"")</f>
        <v>-1.47723063304183</v>
      </c>
      <c r="D123" s="18" t="n">
        <f aca="false">IFERROR((B123/B119-1)*100,"")</f>
        <v>0.55606322973949</v>
      </c>
      <c r="E123" s="19"/>
      <c r="F123" s="19"/>
      <c r="G123" s="19"/>
      <c r="I123" s="20" t="n">
        <v>2022</v>
      </c>
      <c r="J123" s="17" t="n">
        <v>26262.1270614919</v>
      </c>
      <c r="K123" s="18" t="n">
        <f aca="false">IFERROR((J123/J122-1)*100,"")</f>
        <v>1.88975990387166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19083.9618932921</v>
      </c>
      <c r="C124" s="21" t="n">
        <f aca="false">IFERROR((B124/B123-1)*100,"")</f>
        <v>1.61178007301419</v>
      </c>
      <c r="D124" s="21" t="n">
        <f aca="false">IFERROR((B124/B120-1)*100,"")</f>
        <v>2.8143028836584</v>
      </c>
      <c r="E124" s="14"/>
      <c r="F124" s="14"/>
      <c r="G124" s="14"/>
      <c r="I124" s="15" t="n">
        <v>2023</v>
      </c>
      <c r="J124" s="13" t="n">
        <v>26858.9470720914</v>
      </c>
      <c r="K124" s="21" t="n">
        <f aca="false">IFERROR((J124/J123-1)*100,"")</f>
        <v>2.27255016016827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19223.1091894189</v>
      </c>
      <c r="C125" s="18" t="n">
        <f aca="false">IFERROR((B125/B124-1)*100,"")</f>
        <v>0.729132121018106</v>
      </c>
      <c r="D125" s="18" t="n">
        <f aca="false">IFERROR((B125/B121-1)*100,"")</f>
        <v>1.84316784824186</v>
      </c>
      <c r="E125" s="19"/>
      <c r="F125" s="19"/>
      <c r="G125" s="19"/>
      <c r="I125" s="20" t="n">
        <v>2024</v>
      </c>
      <c r="J125" s="17" t="n">
        <v>27488.4830278715</v>
      </c>
      <c r="K125" s="18" t="n">
        <f aca="false">IFERROR((J125/J124-1)*100,"")</f>
        <v>2.34385940033468</v>
      </c>
      <c r="L125" s="19"/>
    </row>
    <row r="126" customFormat="false" ht="15" hidden="false" customHeight="false" outlineLevel="0" collapsed="false">
      <c r="A126" s="12" t="n">
        <v>40179</v>
      </c>
      <c r="B126" s="13" t="n">
        <v>20068.5898814073</v>
      </c>
      <c r="C126" s="21" t="n">
        <f aca="false">IFERROR((B126/B125-1)*100,"")</f>
        <v>4.39825151934201</v>
      </c>
      <c r="D126" s="21" t="n">
        <f aca="false">IFERROR((B126/B122-1)*100,"")</f>
        <v>5.27590599999372</v>
      </c>
      <c r="E126" s="14"/>
      <c r="F126" s="14"/>
      <c r="G126" s="14"/>
      <c r="I126" s="15" t="n">
        <v>2025</v>
      </c>
      <c r="J126" s="13" t="n">
        <v>28100.9005319659</v>
      </c>
      <c r="K126" s="21" t="n">
        <f aca="false">IFERROR((J126/J125-1)*100,"")</f>
        <v>2.22790578684668</v>
      </c>
      <c r="L126" s="14"/>
    </row>
    <row r="127" customFormat="false" ht="15" hidden="false" customHeight="false" outlineLevel="0" collapsed="false">
      <c r="A127" s="16" t="n">
        <v>40269</v>
      </c>
      <c r="B127" s="17" t="n">
        <v>20272.7779899704</v>
      </c>
      <c r="C127" s="18" t="n">
        <f aca="false">IFERROR((B127/B126-1)*100,"")</f>
        <v>1.0174511999584</v>
      </c>
      <c r="D127" s="18" t="n">
        <f aca="false">IFERROR((B127/B123-1)*100,"")</f>
        <v>7.94158310020423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28481.8714761167</v>
      </c>
    </row>
    <row r="128" customFormat="false" ht="15" hidden="false" customHeight="false" outlineLevel="0" collapsed="false">
      <c r="A128" s="12" t="n">
        <v>40360</v>
      </c>
      <c r="B128" s="13" t="n">
        <v>20214.0760648246</v>
      </c>
      <c r="C128" s="21" t="n">
        <f aca="false">IFERROR((B128/B127-1)*100,"")</f>
        <v>-0.289560341334871</v>
      </c>
      <c r="D128" s="21" t="n">
        <f aca="false">IFERROR((B128/B124-1)*100,"")</f>
        <v>5.92180060855057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28800.7418987937</v>
      </c>
    </row>
    <row r="129" customFormat="false" ht="15" hidden="false" customHeight="false" outlineLevel="0" collapsed="false">
      <c r="A129" s="16" t="n">
        <v>40452</v>
      </c>
      <c r="B129" s="17" t="n">
        <v>20491.9251548108</v>
      </c>
      <c r="C129" s="18" t="n">
        <f aca="false">IFERROR((B129/B128-1)*100,"")</f>
        <v>1.37453272212495</v>
      </c>
      <c r="D129" s="18" t="n">
        <f aca="false">IFERROR((B129/B125-1)*100,"")</f>
        <v>6.60047213429096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20668.7590385023</v>
      </c>
      <c r="C130" s="21" t="n">
        <f aca="false">IFERROR((B130/B129-1)*100,"")</f>
        <v>0.862944220006301</v>
      </c>
      <c r="D130" s="21" t="n">
        <f aca="false">IFERROR((B130/B126-1)*100,"")</f>
        <v>2.99058957625626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20517.7350026096</v>
      </c>
      <c r="C131" s="18" t="n">
        <f aca="false">IFERROR((B131/B130-1)*100,"")</f>
        <v>-0.730687486420156</v>
      </c>
      <c r="D131" s="18" t="n">
        <f aca="false">IFERROR((B131/B127-1)*100,"")</f>
        <v>1.20830511122056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20670.9938494385</v>
      </c>
      <c r="C132" s="21" t="n">
        <f aca="false">IFERROR((B132/B131-1)*100,"")</f>
        <v>0.746957921083191</v>
      </c>
      <c r="D132" s="21" t="n">
        <f aca="false">IFERROR((B132/B128-1)*100,"")</f>
        <v>2.26039410927608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20797.0950220401</v>
      </c>
      <c r="C133" s="18" t="n">
        <f aca="false">IFERROR((B133/B132-1)*100,"")</f>
        <v>0.610039234301385</v>
      </c>
      <c r="D133" s="18" t="n">
        <f aca="false">IFERROR((B133/B129-1)*100,"")</f>
        <v>1.48922009486061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21029.6056121851</v>
      </c>
      <c r="C134" s="21" t="n">
        <f aca="false">IFERROR((B134/B133-1)*100,"")</f>
        <v>1.11799551763658</v>
      </c>
      <c r="D134" s="21" t="n">
        <f aca="false">IFERROR((B134/B130-1)*100,"")</f>
        <v>1.74585505114564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21101.7648753569</v>
      </c>
      <c r="C135" s="18" t="n">
        <f aca="false">IFERROR((B135/B134-1)*100,"")</f>
        <v>0.343131794778029</v>
      </c>
      <c r="D135" s="18" t="n">
        <f aca="false">IFERROR((B135/B131-1)*100,"")</f>
        <v>2.84646366995689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21124.8855013324</v>
      </c>
      <c r="C136" s="21" t="n">
        <f aca="false">IFERROR((B136/B135-1)*100,"")</f>
        <v>0.109567261847787</v>
      </c>
      <c r="D136" s="21" t="n">
        <f aca="false">IFERROR((B136/B132-1)*100,"")</f>
        <v>2.1957901743862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21449.1917946227</v>
      </c>
      <c r="C137" s="18" t="n">
        <f aca="false">IFERROR((B137/B136-1)*100,"")</f>
        <v>1.53518604051035</v>
      </c>
      <c r="D137" s="18" t="n">
        <f aca="false">IFERROR((B137/B133-1)*100,"")</f>
        <v>3.1355185514685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21528.4896297505</v>
      </c>
      <c r="C138" s="21" t="n">
        <f aca="false">IFERROR((B138/B137-1)*100,"")</f>
        <v>0.369700806851436</v>
      </c>
      <c r="D138" s="21" t="n">
        <f aca="false">IFERROR((B138/B134-1)*100,"")</f>
        <v>2.37229374038443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21539.1379261603</v>
      </c>
      <c r="C139" s="18" t="n">
        <f aca="false">IFERROR((B139/B138-1)*100,"")</f>
        <v>0.0494614187660281</v>
      </c>
      <c r="D139" s="18" t="n">
        <f aca="false">IFERROR((B139/B135-1)*100,"")</f>
        <v>2.072684694322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21439.7801648986</v>
      </c>
      <c r="C140" s="21" t="n">
        <f aca="false">IFERROR((B140/B139-1)*100,"")</f>
        <v>-0.461289405371268</v>
      </c>
      <c r="D140" s="21" t="n">
        <f aca="false">IFERROR((B140/B136-1)*100,"")</f>
        <v>1.4906337056658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21859.1500819339</v>
      </c>
      <c r="C141" s="18" t="n">
        <f aca="false">IFERROR((B141/B140-1)*100,"")</f>
        <v>1.95603646030786</v>
      </c>
      <c r="D141" s="18" t="n">
        <f aca="false">IFERROR((B141/B137-1)*100,"")</f>
        <v>1.91129946170729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21976.5621720371</v>
      </c>
      <c r="C142" s="21" t="n">
        <f aca="false">IFERROR((B142/B141-1)*100,"")</f>
        <v>0.537130170492217</v>
      </c>
      <c r="D142" s="21" t="n">
        <f aca="false">IFERROR((B142/B138-1)*100,"")</f>
        <v>2.08130040700765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22099.6468072357</v>
      </c>
      <c r="C143" s="18" t="n">
        <f aca="false">IFERROR((B143/B142-1)*100,"")</f>
        <v>0.560072290811498</v>
      </c>
      <c r="D143" s="18" t="n">
        <f aca="false">IFERROR((B143/B139-1)*100,"")</f>
        <v>2.60228094084771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22105.7242487384</v>
      </c>
      <c r="C144" s="21" t="n">
        <f aca="false">IFERROR((B144/B143-1)*100,"")</f>
        <v>0.0275001748027082</v>
      </c>
      <c r="D144" s="21" t="n">
        <f aca="false">IFERROR((B144/B140-1)*100,"")</f>
        <v>3.10611432914836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22488.5374903269</v>
      </c>
      <c r="C145" s="18" t="n">
        <f aca="false">IFERROR((B145/B144-1)*100,"")</f>
        <v>1.73173806603646</v>
      </c>
      <c r="D145" s="18" t="n">
        <f aca="false">IFERROR((B145/B141-1)*100,"")</f>
        <v>2.87928581867958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22403.7933668324</v>
      </c>
      <c r="C146" s="21" t="n">
        <f aca="false">IFERROR((B146/B145-1)*100,"")</f>
        <v>-0.376832524262372</v>
      </c>
      <c r="D146" s="21" t="n">
        <f aca="false">IFERROR((B146/B142-1)*100,"")</f>
        <v>1.94403106114063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22813.7704557564</v>
      </c>
      <c r="C147" s="18" t="n">
        <f aca="false">IFERROR((B147/B146-1)*100,"")</f>
        <v>1.82994496606534</v>
      </c>
      <c r="D147" s="18" t="n">
        <f aca="false">IFERROR((B147/B143-1)*100,"")</f>
        <v>3.23138036887973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22577.759486848</v>
      </c>
      <c r="C148" s="21" t="n">
        <f aca="false">IFERROR((B148/B147-1)*100,"")</f>
        <v>-1.03451101765987</v>
      </c>
      <c r="D148" s="21" t="n">
        <f aca="false">IFERROR((B148/B144-1)*100,"")</f>
        <v>2.13535296468066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22853.0310044126</v>
      </c>
      <c r="C149" s="18" t="n">
        <f aca="false">IFERROR((B149/B148-1)*100,"")</f>
        <v>1.21921538638465</v>
      </c>
      <c r="D149" s="18" t="n">
        <f aca="false">IFERROR((B149/B145-1)*100,"")</f>
        <v>1.62079688037724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22759.5724999376</v>
      </c>
      <c r="C150" s="21" t="n">
        <f aca="false">IFERROR((B150/B149-1)*100,"")</f>
        <v>-0.40895452536206</v>
      </c>
      <c r="D150" s="21" t="n">
        <f aca="false">IFERROR((B150/B146-1)*100,"")</f>
        <v>1.58803077353831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22962.0474191015</v>
      </c>
      <c r="C151" s="18" t="n">
        <f aca="false">IFERROR((B151/B150-1)*100,"")</f>
        <v>0.889625317718346</v>
      </c>
      <c r="D151" s="18" t="n">
        <f aca="false">IFERROR((B151/B147-1)*100,"")</f>
        <v>0.64994501295903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22940.3748642036</v>
      </c>
      <c r="C152" s="21" t="n">
        <f aca="false">IFERROR((B152/B151-1)*100,"")</f>
        <v>-0.0943842441503029</v>
      </c>
      <c r="D152" s="21" t="n">
        <f aca="false">IFERROR((B152/B148-1)*100,"")</f>
        <v>1.60607334650198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23313.8034633688</v>
      </c>
      <c r="C153" s="18" t="n">
        <f aca="false">IFERROR((B153/B152-1)*100,"")</f>
        <v>1.62782256774698</v>
      </c>
      <c r="D153" s="18" t="n">
        <f aca="false">IFERROR((B153/B149-1)*100,"")</f>
        <v>2.01624221691779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23326.6624773712</v>
      </c>
      <c r="C154" s="21" t="n">
        <f aca="false">IFERROR((B154/B153-1)*100,"")</f>
        <v>0.0551562254635707</v>
      </c>
      <c r="D154" s="21" t="n">
        <f aca="false">IFERROR((B154/B150-1)*100,"")</f>
        <v>2.49165478584961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23567.6874241968</v>
      </c>
      <c r="C155" s="18" t="n">
        <f aca="false">IFERROR((B155/B154-1)*100,"")</f>
        <v>1.03325946032522</v>
      </c>
      <c r="D155" s="18" t="n">
        <f aca="false">IFERROR((B155/B151-1)*100,"")</f>
        <v>2.6375696994313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23621.0195498157</v>
      </c>
      <c r="C156" s="21" t="n">
        <f aca="false">IFERROR((B156/B155-1)*100,"")</f>
        <v>0.226293418861956</v>
      </c>
      <c r="D156" s="21" t="n">
        <f aca="false">IFERROR((B156/B152-1)*100,"")</f>
        <v>2.96701640509902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23764.9623487593</v>
      </c>
      <c r="C157" s="18" t="n">
        <f aca="false">IFERROR((B157/B156-1)*100,"")</f>
        <v>0.609384360569076</v>
      </c>
      <c r="D157" s="18" t="n">
        <f aca="false">IFERROR((B157/B153-1)*100,"")</f>
        <v>1.93515779653577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23996.978119175</v>
      </c>
      <c r="C158" s="21" t="n">
        <f aca="false">IFERROR((B158/B157-1)*100,"")</f>
        <v>0.976293448358123</v>
      </c>
      <c r="D158" s="21" t="n">
        <f aca="false">IFERROR((B158/B154-1)*100,"")</f>
        <v>2.87360286733687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24146.484007855</v>
      </c>
      <c r="C159" s="18" t="n">
        <f aca="false">IFERROR((B159/B158-1)*100,"")</f>
        <v>0.623019648297118</v>
      </c>
      <c r="D159" s="18" t="n">
        <f aca="false">IFERROR((B159/B155-1)*100,"")</f>
        <v>2.45589044542374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23962.0665233528</v>
      </c>
      <c r="C160" s="21" t="n">
        <f aca="false">IFERROR((B160/B159-1)*100,"")</f>
        <v>-0.763744669584965</v>
      </c>
      <c r="D160" s="21" t="n">
        <f aca="false">IFERROR((B160/B156-1)*100,"")</f>
        <v>1.44382833610479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24282.0221709422</v>
      </c>
      <c r="C161" s="18" t="n">
        <f aca="false">IFERROR((B161/B160-1)*100,"")</f>
        <v>1.33525899061171</v>
      </c>
      <c r="D161" s="18" t="n">
        <f aca="false">IFERROR((B161/B157-1)*100,"")</f>
        <v>2.17572329631726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24418.1707941142</v>
      </c>
      <c r="C162" s="21" t="n">
        <f aca="false">IFERROR((B162/B161-1)*100,"")</f>
        <v>0.560697219587159</v>
      </c>
      <c r="D162" s="21" t="n">
        <f aca="false">IFERROR((B162/B158-1)*100,"")</f>
        <v>1.7551904779324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24485.207345206</v>
      </c>
      <c r="C163" s="18" t="n">
        <f aca="false">IFERROR((B163/B162-1)*100,"")</f>
        <v>0.274535515608321</v>
      </c>
      <c r="D163" s="18" t="n">
        <f aca="false">IFERROR((B163/B159-1)*100,"")</f>
        <v>1.40278533819174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24476.7661028225</v>
      </c>
      <c r="C164" s="21" t="n">
        <f aca="false">IFERROR((B164/B163-1)*100,"")</f>
        <v>-0.0344748658422267</v>
      </c>
      <c r="D164" s="21" t="n">
        <f aca="false">IFERROR((B164/B160-1)*100,"")</f>
        <v>2.1479765902833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24962.9180521949</v>
      </c>
      <c r="C165" s="18" t="n">
        <f aca="false">IFERROR((B165/B164-1)*100,"")</f>
        <v>1.98617720711189</v>
      </c>
      <c r="D165" s="18" t="n">
        <f aca="false">IFERROR((B165/B161-1)*100,"")</f>
        <v>2.8041152275508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24062.4132492605</v>
      </c>
      <c r="C166" s="21" t="n">
        <f aca="false">IFERROR((B166/B165-1)*100,"")</f>
        <v>-3.60736994389658</v>
      </c>
      <c r="D166" s="21" t="n">
        <f aca="false">IFERROR((B166/B162-1)*100,"")</f>
        <v>-1.45693773646437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24367.0285259293</v>
      </c>
      <c r="C167" s="18" t="n">
        <f aca="false">IFERROR((B167/B166-1)*100,"")</f>
        <v>1.26593818131759</v>
      </c>
      <c r="D167" s="18" t="n">
        <f aca="false">IFERROR((B167/B163-1)*100,"")</f>
        <v>-0.482653945341571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24444.357406193</v>
      </c>
      <c r="C168" s="21" t="n">
        <f aca="false">IFERROR((B168/B167-1)*100,"")</f>
        <v>0.31735047292063</v>
      </c>
      <c r="D168" s="21" t="n">
        <f aca="false">IFERROR((B168/B164-1)*100,"")</f>
        <v>-0.132405957933202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24235.7532491697</v>
      </c>
      <c r="C169" s="18" t="n">
        <f aca="false">IFERROR((B169/B168-1)*100,"")</f>
        <v>-0.85338368097363</v>
      </c>
      <c r="D169" s="18" t="n">
        <f aca="false">IFERROR((B169/B165-1)*100,"")</f>
        <v>-2.91297997095034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25364.3123021041</v>
      </c>
      <c r="C170" s="21" t="n">
        <f aca="false">IFERROR((B170/B169-1)*100,"")</f>
        <v>4.65658748598252</v>
      </c>
      <c r="D170" s="21" t="n">
        <f aca="false">IFERROR((B170/B166-1)*100,"")</f>
        <v>5.41050907636491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25876.3308383932</v>
      </c>
      <c r="C171" s="18" t="n">
        <f aca="false">IFERROR((B171/B170-1)*100,"")</f>
        <v>2.01865727795267</v>
      </c>
      <c r="D171" s="18" t="n">
        <f aca="false">IFERROR((B171/B167-1)*100,"")</f>
        <v>6.19403515228729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25788.1814854241</v>
      </c>
      <c r="C172" s="21" t="n">
        <f aca="false">IFERROR((B172/B171-1)*100,"")</f>
        <v>-0.340656306798914</v>
      </c>
      <c r="D172" s="21" t="n">
        <f aca="false">IFERROR((B172/B168-1)*100,"")</f>
        <v>5.49748171694868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26071.3380843215</v>
      </c>
      <c r="C173" s="18" t="n">
        <f aca="false">IFERROR((B173/B172-1)*100,"")</f>
        <v>1.0980091754722</v>
      </c>
      <c r="D173" s="18" t="n">
        <f aca="false">IFERROR((B173/B169-1)*100,"")</f>
        <v>7.57387161141625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26110.2103750474</v>
      </c>
      <c r="C174" s="21" t="n">
        <f aca="false">IFERROR((B174/B173-1)*100,"")</f>
        <v>0.149099714791068</v>
      </c>
      <c r="D174" s="21" t="n">
        <f aca="false">IFERROR((B174/B170-1)*100,"")</f>
        <v>2.94073840464966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26247.9338979873</v>
      </c>
      <c r="C175" s="18" t="n">
        <f aca="false">IFERROR((B175/B174-1)*100,"")</f>
        <v>0.527469985732343</v>
      </c>
      <c r="D175" s="18" t="n">
        <f aca="false">IFERROR((B175/B171-1)*100,"")</f>
        <v>1.43607322813626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26272.8866540193</v>
      </c>
      <c r="C176" s="21" t="n">
        <f aca="false">IFERROR((B176/B175-1)*100,"")</f>
        <v>0.0950656007020712</v>
      </c>
      <c r="D176" s="21" t="n">
        <f aca="false">IFERROR((B176/B172-1)*100,"")</f>
        <v>1.87956319785183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26417.4773189134</v>
      </c>
      <c r="C177" s="18" t="n">
        <f aca="false">IFERROR((B177/B176-1)*100,"")</f>
        <v>0.550341752690264</v>
      </c>
      <c r="D177" s="18" t="n">
        <f aca="false">IFERROR((B177/B173-1)*100,"")</f>
        <v>1.32766194612814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26759.4578094274</v>
      </c>
      <c r="C178" s="21" t="n">
        <f aca="false">IFERROR((B178/B177-1)*100,"")</f>
        <v>1.29452364578799</v>
      </c>
      <c r="D178" s="21" t="n">
        <f aca="false">IFERROR((B178/B174-1)*100,"")</f>
        <v>2.48656531316378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26827.9854205983</v>
      </c>
      <c r="C179" s="18" t="n">
        <f aca="false">IFERROR((B179/B178-1)*100,"")</f>
        <v>0.256087442648911</v>
      </c>
      <c r="D179" s="18" t="n">
        <f aca="false">IFERROR((B179/B175-1)*100,"")</f>
        <v>2.20989402390801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26803.0487349799</v>
      </c>
      <c r="C180" s="21" t="n">
        <f aca="false">IFERROR((B180/B179-1)*100,"")</f>
        <v>-0.0929502727372245</v>
      </c>
      <c r="D180" s="21" t="n">
        <f aca="false">IFERROR((B180/B176-1)*100,"")</f>
        <v>2.01790571375793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27045.29632336</v>
      </c>
      <c r="C181" s="18" t="n">
        <f aca="false">IFERROR((B181/B180-1)*100,"")</f>
        <v>0.903806095997806</v>
      </c>
      <c r="D181" s="18" t="n">
        <f aca="false">IFERROR((B181/B177-1)*100,"")</f>
        <v>2.37652898067247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27192.8010166543</v>
      </c>
      <c r="C182" s="21" t="n">
        <f aca="false">IFERROR((B182/B181-1)*100,"")</f>
        <v>0.54539869532475</v>
      </c>
      <c r="D182" s="21" t="n">
        <f aca="false">IFERROR((B182/B178-1)*100,"")</f>
        <v>1.6194020458598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27544.1796320979</v>
      </c>
      <c r="C183" s="18" t="n">
        <f aca="false">IFERROR((B183/B182-1)*100,"")</f>
        <v>1.29217514307725</v>
      </c>
      <c r="D183" s="18" t="n">
        <f aca="false">IFERROR((B183/B179-1)*100,"")</f>
        <v>2.66957880091046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27501.1307468399</v>
      </c>
      <c r="C184" s="21" t="n">
        <f aca="false">IFERROR((B184/B183-1)*100,"")</f>
        <v>-0.156290315533247</v>
      </c>
      <c r="D184" s="21" t="n">
        <f aca="false">IFERROR((B184/B180-1)*100,"")</f>
        <v>2.60448734307188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27715.8207158941</v>
      </c>
      <c r="C185" s="18" t="n">
        <f aca="false">IFERROR((B185/B184-1)*100,"")</f>
        <v>0.780658697384062</v>
      </c>
      <c r="D185" s="18" t="n">
        <f aca="false">IFERROR((B185/B181-1)*100,"")</f>
        <v>2.47926435901145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27784.7883498973</v>
      </c>
      <c r="C186" s="21" t="n">
        <f aca="false">IFERROR((B186/B185-1)*100,"")</f>
        <v>0.248838505307902</v>
      </c>
      <c r="D186" s="21" t="n">
        <f aca="false">IFERROR((B186/B182-1)*100,"")</f>
        <v>2.17700020266565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28095.774869145</v>
      </c>
      <c r="C187" s="18" t="n">
        <f aca="false">IFERROR((B187/B186-1)*100,"")</f>
        <v>1.11926898751726</v>
      </c>
      <c r="D187" s="18" t="n">
        <f aca="false">IFERROR((B187/B183-1)*100,"")</f>
        <v>2.00258364712482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28258.7297117187</v>
      </c>
      <c r="C188" s="21" t="n">
        <f aca="false">IFERROR((B188/B187-1)*100,"")</f>
        <v>0.579997680550282</v>
      </c>
      <c r="D188" s="21" t="n">
        <f aca="false">IFERROR((B188/B184-1)*100,"")</f>
        <v>2.75479205510796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28264.3091971024</v>
      </c>
      <c r="C189" s="18" t="n">
        <f aca="false">IFERROR((B189/B188-1)*100,"")</f>
        <v>0.0197442894306565</v>
      </c>
      <c r="D189" s="18" t="n">
        <f aca="false">IFERROR((B189/B185-1)*100,"")</f>
        <v>1.97897254001864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28415.0211004529</v>
      </c>
      <c r="F190" s="13" t="n">
        <v>28310.8396575347</v>
      </c>
      <c r="G190" s="22" t="n">
        <f aca="false">28963.462752-27658.216563</f>
        <v>1305.246189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28573.8554708926</v>
      </c>
      <c r="F191" s="17" t="n">
        <v>28494.2405075678</v>
      </c>
      <c r="G191" s="23" t="n">
        <f aca="false">29417.188939-27571.292076</f>
        <v>1845.896863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28733.5776941741</v>
      </c>
      <c r="F192" s="13" t="n">
        <v>28455.7936650517</v>
      </c>
      <c r="G192" s="22" t="n">
        <f aca="false">29586.170023-27325.417307</f>
        <v>2260.752716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28894.1927332198</v>
      </c>
      <c r="F193" s="17" t="n">
        <v>28666.6120743126</v>
      </c>
      <c r="G193" s="23" t="n">
        <f aca="false">29971.858263-27361.365885</f>
        <v>2610.492378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29055.705578694</v>
      </c>
      <c r="F194" s="13" t="n">
        <v>28654.6468452993</v>
      </c>
      <c r="G194" s="22" t="n">
        <f aca="false">30113.956448-27195.337242</f>
        <v>2918.619206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29218.1212491578</v>
      </c>
      <c r="F195" s="17" t="n">
        <v>28820.8573359442</v>
      </c>
      <c r="G195" s="23" t="n">
        <f aca="false">30419.450912-27222.26376</f>
        <v>3197.187152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29381.444791225</v>
      </c>
      <c r="F196" s="13" t="n">
        <v>28766.0796520092</v>
      </c>
      <c r="G196" s="22" t="n">
        <f aca="false">30492.75806-27039.401244</f>
        <v>3453.356816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29545.681279719</v>
      </c>
      <c r="F197" s="17" t="n">
        <v>28961.3837619222</v>
      </c>
      <c r="G197" s="23" t="n">
        <f aca="false">30807.280625-27115.486899</f>
        <v>3691.793726</v>
      </c>
    </row>
    <row r="200" customFormat="false" ht="21.75" hidden="false" customHeight="true" outlineLevel="0" collapsed="false">
      <c r="A200" s="9" t="s">
        <v>127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customFormat="false" ht="15" hidden="false" customHeight="false" outlineLevel="0" collapsed="false">
      <c r="A201" s="5" t="s">
        <v>108</v>
      </c>
      <c r="B201" s="10" t="s">
        <v>109</v>
      </c>
      <c r="D201" s="5" t="s">
        <v>110</v>
      </c>
      <c r="E201" s="2" t="s">
        <v>128</v>
      </c>
      <c r="H201" s="5" t="s">
        <v>112</v>
      </c>
      <c r="I201" s="2" t="s">
        <v>113</v>
      </c>
    </row>
    <row r="202" customFormat="false" ht="18" hidden="false" customHeight="true" outlineLevel="0" collapsed="false">
      <c r="A202" s="11" t="s">
        <v>114</v>
      </c>
      <c r="B202" s="11"/>
      <c r="C202" s="11"/>
      <c r="D202" s="11"/>
      <c r="E202" s="11"/>
      <c r="F202" s="11"/>
      <c r="G202" s="11"/>
      <c r="I202" s="11" t="s">
        <v>115</v>
      </c>
      <c r="J202" s="11"/>
      <c r="K202" s="11"/>
      <c r="L202" s="11"/>
    </row>
    <row r="203" customFormat="false" ht="15" hidden="false" customHeight="false" outlineLevel="0" collapsed="false">
      <c r="A203" s="6" t="s">
        <v>116</v>
      </c>
      <c r="B203" s="6" t="s">
        <v>117</v>
      </c>
      <c r="C203" s="6" t="s">
        <v>118</v>
      </c>
      <c r="D203" s="6" t="s">
        <v>119</v>
      </c>
      <c r="E203" s="6" t="s">
        <v>120</v>
      </c>
      <c r="F203" s="6" t="s">
        <v>121</v>
      </c>
      <c r="G203" s="6" t="s">
        <v>122</v>
      </c>
      <c r="I203" s="6" t="s">
        <v>123</v>
      </c>
      <c r="J203" s="6" t="s">
        <v>117</v>
      </c>
      <c r="K203" s="6" t="s">
        <v>119</v>
      </c>
      <c r="L203" s="6" t="s">
        <v>124</v>
      </c>
    </row>
    <row r="204" customFormat="false" ht="15" hidden="false" customHeight="false" outlineLevel="0" collapsed="false">
      <c r="A204" s="12" t="n">
        <v>38353</v>
      </c>
      <c r="B204" s="13" t="n">
        <v>99.0139190139404</v>
      </c>
      <c r="C204" s="14"/>
      <c r="D204" s="14"/>
      <c r="E204" s="14"/>
      <c r="F204" s="14"/>
      <c r="G204" s="14"/>
      <c r="I204" s="15" t="n">
        <v>2005</v>
      </c>
      <c r="J204" s="13" t="n">
        <v>100.469733328128</v>
      </c>
      <c r="K204" s="14"/>
      <c r="L204" s="14"/>
    </row>
    <row r="205" customFormat="false" ht="15" hidden="false" customHeight="false" outlineLevel="0" collapsed="false">
      <c r="A205" s="16" t="n">
        <v>38443</v>
      </c>
      <c r="B205" s="17" t="n">
        <v>100.302484062946</v>
      </c>
      <c r="C205" s="18" t="n">
        <f aca="false">IFERROR((B205/B204-1)*100,"")</f>
        <v>1.3013978861131</v>
      </c>
      <c r="D205" s="19"/>
      <c r="E205" s="19"/>
      <c r="F205" s="19"/>
      <c r="G205" s="19"/>
      <c r="I205" s="20" t="n">
        <v>2006</v>
      </c>
      <c r="J205" s="17" t="n">
        <v>102.730261863076</v>
      </c>
      <c r="K205" s="18" t="n">
        <f aca="false">IFERROR((J205/J204-1)*100,"")</f>
        <v>2.24995972425381</v>
      </c>
      <c r="L205" s="19"/>
    </row>
    <row r="206" customFormat="false" ht="15" hidden="false" customHeight="false" outlineLevel="0" collapsed="false">
      <c r="A206" s="12" t="n">
        <v>38534</v>
      </c>
      <c r="B206" s="13" t="n">
        <v>101.330754547138</v>
      </c>
      <c r="C206" s="21" t="n">
        <f aca="false">IFERROR((B206/B205-1)*100,"")</f>
        <v>1.02516950980667</v>
      </c>
      <c r="D206" s="14"/>
      <c r="E206" s="14"/>
      <c r="F206" s="14"/>
      <c r="G206" s="14"/>
      <c r="I206" s="15" t="n">
        <v>2007</v>
      </c>
      <c r="J206" s="13" t="n">
        <v>104.958891479545</v>
      </c>
      <c r="K206" s="21" t="n">
        <f aca="false">IFERROR((J206/J205-1)*100,"")</f>
        <v>2.16939933379965</v>
      </c>
      <c r="L206" s="14"/>
    </row>
    <row r="207" customFormat="false" ht="15" hidden="false" customHeight="false" outlineLevel="0" collapsed="false">
      <c r="A207" s="16" t="n">
        <v>38626</v>
      </c>
      <c r="B207" s="17" t="n">
        <v>101.23177568849</v>
      </c>
      <c r="C207" s="18" t="n">
        <f aca="false">IFERROR((B207/B206-1)*100,"")</f>
        <v>-0.0976789910330234</v>
      </c>
      <c r="D207" s="19"/>
      <c r="E207" s="19"/>
      <c r="F207" s="19"/>
      <c r="G207" s="19"/>
      <c r="I207" s="20" t="n">
        <v>2008</v>
      </c>
      <c r="J207" s="17" t="n">
        <v>107.236853083061</v>
      </c>
      <c r="K207" s="18" t="n">
        <f aca="false">IFERROR((J207/J206-1)*100,"")</f>
        <v>2.17033694945279</v>
      </c>
      <c r="L207" s="19"/>
    </row>
    <row r="208" customFormat="false" ht="15" hidden="false" customHeight="false" outlineLevel="0" collapsed="false">
      <c r="A208" s="12" t="n">
        <v>38718</v>
      </c>
      <c r="B208" s="13" t="n">
        <v>101.640567907222</v>
      </c>
      <c r="C208" s="21" t="n">
        <f aca="false">IFERROR((B208/B207-1)*100,"")</f>
        <v>0.403818085726182</v>
      </c>
      <c r="D208" s="21" t="n">
        <f aca="false">IFERROR((B208/B204-1)*100,"")</f>
        <v>2.65280772586272</v>
      </c>
      <c r="E208" s="14"/>
      <c r="F208" s="14"/>
      <c r="G208" s="14"/>
      <c r="I208" s="15" t="n">
        <v>2009</v>
      </c>
      <c r="J208" s="13" t="n">
        <v>108.556688822668</v>
      </c>
      <c r="K208" s="21" t="n">
        <f aca="false">IFERROR((J208/J207-1)*100,"")</f>
        <v>1.23076694406932</v>
      </c>
      <c r="L208" s="14"/>
    </row>
    <row r="209" customFormat="false" ht="15" hidden="false" customHeight="false" outlineLevel="0" collapsed="false">
      <c r="A209" s="16" t="n">
        <v>38808</v>
      </c>
      <c r="B209" s="17" t="n">
        <v>102.932592903296</v>
      </c>
      <c r="C209" s="18" t="n">
        <f aca="false">IFERROR((B209/B208-1)*100,"")</f>
        <v>1.27117057950117</v>
      </c>
      <c r="D209" s="18" t="n">
        <f aca="false">IFERROR((B209/B205-1)*100,"")</f>
        <v>2.6221771723022</v>
      </c>
      <c r="E209" s="19"/>
      <c r="F209" s="19"/>
      <c r="G209" s="19"/>
      <c r="I209" s="20" t="n">
        <v>2010</v>
      </c>
      <c r="J209" s="17" t="n">
        <v>111.155956970478</v>
      </c>
      <c r="K209" s="18" t="n">
        <f aca="false">IFERROR((J209/J208-1)*100,"")</f>
        <v>2.39438783183257</v>
      </c>
      <c r="L209" s="19"/>
    </row>
    <row r="210" customFormat="false" ht="15" hidden="false" customHeight="false" outlineLevel="0" collapsed="false">
      <c r="A210" s="12" t="n">
        <v>38899</v>
      </c>
      <c r="B210" s="13" t="n">
        <v>102.782252369466</v>
      </c>
      <c r="C210" s="21" t="n">
        <f aca="false">IFERROR((B210/B209-1)*100,"")</f>
        <v>-0.146057268732991</v>
      </c>
      <c r="D210" s="21" t="n">
        <f aca="false">IFERROR((B210/B206-1)*100,"")</f>
        <v>1.43243562017765</v>
      </c>
      <c r="E210" s="14"/>
      <c r="F210" s="14"/>
      <c r="G210" s="14"/>
      <c r="I210" s="15" t="n">
        <v>2011</v>
      </c>
      <c r="J210" s="13" t="n">
        <v>113.566345943644</v>
      </c>
      <c r="K210" s="21" t="n">
        <f aca="false">IFERROR((J210/J209-1)*100,"")</f>
        <v>2.1684748517852</v>
      </c>
      <c r="L210" s="14"/>
    </row>
    <row r="211" customFormat="false" ht="15" hidden="false" customHeight="false" outlineLevel="0" collapsed="false">
      <c r="A211" s="16" t="n">
        <v>38991</v>
      </c>
      <c r="B211" s="17" t="n">
        <v>103.565634272322</v>
      </c>
      <c r="C211" s="18" t="n">
        <f aca="false">IFERROR((B211/B210-1)*100,"")</f>
        <v>0.762176236458134</v>
      </c>
      <c r="D211" s="18" t="n">
        <f aca="false">IFERROR((B211/B207-1)*100,"")</f>
        <v>2.30546048210598</v>
      </c>
      <c r="E211" s="19"/>
      <c r="F211" s="19"/>
      <c r="G211" s="19"/>
      <c r="I211" s="20" t="n">
        <v>2012</v>
      </c>
      <c r="J211" s="17" t="n">
        <v>115.836604895199</v>
      </c>
      <c r="K211" s="18" t="n">
        <f aca="false">IFERROR((J211/J210-1)*100,"")</f>
        <v>1.99905960933278</v>
      </c>
      <c r="L211" s="19"/>
    </row>
    <row r="212" customFormat="false" ht="15" hidden="false" customHeight="false" outlineLevel="0" collapsed="false">
      <c r="A212" s="12" t="n">
        <v>39083</v>
      </c>
      <c r="B212" s="13" t="n">
        <v>104.840110316837</v>
      </c>
      <c r="C212" s="21" t="n">
        <f aca="false">IFERROR((B212/B211-1)*100,"")</f>
        <v>1.23059744042442</v>
      </c>
      <c r="D212" s="21" t="n">
        <f aca="false">IFERROR((B212/B208-1)*100,"")</f>
        <v>3.14789898904881</v>
      </c>
      <c r="E212" s="14"/>
      <c r="F212" s="14"/>
      <c r="G212" s="14"/>
      <c r="I212" s="15" t="n">
        <v>2013</v>
      </c>
      <c r="J212" s="13" t="n">
        <v>118.225375169488</v>
      </c>
      <c r="K212" s="21" t="n">
        <f aca="false">IFERROR((J212/J211-1)*100,"")</f>
        <v>2.06218947495129</v>
      </c>
      <c r="L212" s="14"/>
    </row>
    <row r="213" customFormat="false" ht="15" hidden="false" customHeight="false" outlineLevel="0" collapsed="false">
      <c r="A213" s="16" t="n">
        <v>39173</v>
      </c>
      <c r="B213" s="17" t="n">
        <v>104.250112463549</v>
      </c>
      <c r="C213" s="18" t="n">
        <f aca="false">IFERROR((B213/B212-1)*100,"")</f>
        <v>-0.562759664698054</v>
      </c>
      <c r="D213" s="18" t="n">
        <f aca="false">IFERROR((B213/B209-1)*100,"")</f>
        <v>1.27998287334519</v>
      </c>
      <c r="E213" s="19"/>
      <c r="F213" s="19"/>
      <c r="G213" s="19"/>
      <c r="I213" s="20" t="n">
        <v>2014</v>
      </c>
      <c r="J213" s="17" t="n">
        <v>120.578663847576</v>
      </c>
      <c r="K213" s="18" t="n">
        <f aca="false">IFERROR((J213/J212-1)*100,"")</f>
        <v>1.99051064521005</v>
      </c>
      <c r="L213" s="19"/>
    </row>
    <row r="214" customFormat="false" ht="15" hidden="false" customHeight="false" outlineLevel="0" collapsed="false">
      <c r="A214" s="12" t="n">
        <v>39264</v>
      </c>
      <c r="B214" s="13" t="n">
        <v>104.925812356913</v>
      </c>
      <c r="C214" s="21" t="n">
        <f aca="false">IFERROR((B214/B213-1)*100,"")</f>
        <v>0.648152675710878</v>
      </c>
      <c r="D214" s="21" t="n">
        <f aca="false">IFERROR((B214/B210-1)*100,"")</f>
        <v>2.08553513669041</v>
      </c>
      <c r="E214" s="14"/>
      <c r="F214" s="14"/>
      <c r="G214" s="14"/>
      <c r="I214" s="15" t="n">
        <v>2015</v>
      </c>
      <c r="J214" s="13" t="n">
        <v>123.043782872374</v>
      </c>
      <c r="K214" s="21" t="n">
        <f aca="false">IFERROR((J214/J213-1)*100,"")</f>
        <v>2.04440731563758</v>
      </c>
      <c r="L214" s="14"/>
    </row>
    <row r="215" customFormat="false" ht="15" hidden="false" customHeight="false" outlineLevel="0" collapsed="false">
      <c r="A215" s="16" t="n">
        <v>39356</v>
      </c>
      <c r="B215" s="17" t="n">
        <v>105.819530780881</v>
      </c>
      <c r="C215" s="18" t="n">
        <f aca="false">IFERROR((B215/B214-1)*100,"")</f>
        <v>0.851762215505048</v>
      </c>
      <c r="D215" s="18" t="n">
        <f aca="false">IFERROR((B215/B211-1)*100,"")</f>
        <v>2.17629769217833</v>
      </c>
      <c r="E215" s="19"/>
      <c r="F215" s="19"/>
      <c r="G215" s="19"/>
      <c r="I215" s="20" t="n">
        <v>2016</v>
      </c>
      <c r="J215" s="17" t="n">
        <v>125.39632361558</v>
      </c>
      <c r="K215" s="18" t="n">
        <f aca="false">IFERROR((J215/J214-1)*100,"")</f>
        <v>1.9119541745934</v>
      </c>
      <c r="L215" s="19"/>
    </row>
    <row r="216" customFormat="false" ht="15" hidden="false" customHeight="false" outlineLevel="0" collapsed="false">
      <c r="A216" s="12" t="n">
        <v>39448</v>
      </c>
      <c r="B216" s="13" t="n">
        <v>106.542203936133</v>
      </c>
      <c r="C216" s="21" t="n">
        <f aca="false">IFERROR((B216/B215-1)*100,"")</f>
        <v>0.682929842836799</v>
      </c>
      <c r="D216" s="21" t="n">
        <f aca="false">IFERROR((B216/B212-1)*100,"")</f>
        <v>1.62351376219705</v>
      </c>
      <c r="E216" s="14"/>
      <c r="F216" s="14"/>
      <c r="G216" s="14"/>
      <c r="I216" s="15" t="n">
        <v>2017</v>
      </c>
      <c r="J216" s="13" t="n">
        <v>128.395642930771</v>
      </c>
      <c r="K216" s="21" t="n">
        <f aca="false">IFERROR((J216/J215-1)*100,"")</f>
        <v>2.39187180988314</v>
      </c>
      <c r="L216" s="14"/>
    </row>
    <row r="217" customFormat="false" ht="15" hidden="false" customHeight="false" outlineLevel="0" collapsed="false">
      <c r="A217" s="16" t="n">
        <v>39539</v>
      </c>
      <c r="B217" s="17" t="n">
        <v>107.002907865831</v>
      </c>
      <c r="C217" s="18" t="n">
        <f aca="false">IFERROR((B217/B216-1)*100,"")</f>
        <v>0.432414491794875</v>
      </c>
      <c r="D217" s="18" t="n">
        <f aca="false">IFERROR((B217/B213-1)*100,"")</f>
        <v>2.64056828067645</v>
      </c>
      <c r="E217" s="19"/>
      <c r="F217" s="19"/>
      <c r="G217" s="19"/>
      <c r="I217" s="20" t="n">
        <v>2018</v>
      </c>
      <c r="J217" s="17" t="n">
        <v>129.953596789685</v>
      </c>
      <c r="K217" s="18" t="n">
        <f aca="false">IFERROR((J217/J216-1)*100,"")</f>
        <v>1.21340087821649</v>
      </c>
      <c r="L217" s="19"/>
    </row>
    <row r="218" customFormat="false" ht="15" hidden="false" customHeight="false" outlineLevel="0" collapsed="false">
      <c r="A218" s="12" t="n">
        <v>39630</v>
      </c>
      <c r="B218" s="13" t="n">
        <v>107.625655591464</v>
      </c>
      <c r="C218" s="21" t="n">
        <f aca="false">IFERROR((B218/B217-1)*100,"")</f>
        <v>0.581991403835835</v>
      </c>
      <c r="D218" s="21" t="n">
        <f aca="false">IFERROR((B218/B214-1)*100,"")</f>
        <v>2.5730972902718</v>
      </c>
      <c r="E218" s="14"/>
      <c r="F218" s="14"/>
      <c r="G218" s="14"/>
      <c r="I218" s="15" t="n">
        <v>2019</v>
      </c>
      <c r="J218" s="13" t="n">
        <v>133.134619663481</v>
      </c>
      <c r="K218" s="21" t="n">
        <f aca="false">IFERROR((J218/J217-1)*100,"")</f>
        <v>2.44781441405113</v>
      </c>
      <c r="L218" s="14"/>
    </row>
    <row r="219" customFormat="false" ht="15" hidden="false" customHeight="false" outlineLevel="0" collapsed="false">
      <c r="A219" s="16" t="n">
        <v>39722</v>
      </c>
      <c r="B219" s="17" t="n">
        <v>107.776644938818</v>
      </c>
      <c r="C219" s="18" t="n">
        <f aca="false">IFERROR((B219/B218-1)*100,"")</f>
        <v>0.140291221943056</v>
      </c>
      <c r="D219" s="18" t="n">
        <f aca="false">IFERROR((B219/B215-1)*100,"")</f>
        <v>1.84948292956391</v>
      </c>
      <c r="E219" s="19"/>
      <c r="F219" s="19"/>
      <c r="G219" s="19"/>
      <c r="I219" s="20" t="n">
        <v>2020</v>
      </c>
      <c r="J219" s="17" t="n">
        <v>135.672217719761</v>
      </c>
      <c r="K219" s="18" t="n">
        <f aca="false">IFERROR((J219/J218-1)*100,"")</f>
        <v>1.90603921256154</v>
      </c>
      <c r="L219" s="19"/>
    </row>
    <row r="220" customFormat="false" ht="15" hidden="false" customHeight="false" outlineLevel="0" collapsed="false">
      <c r="A220" s="12" t="n">
        <v>39814</v>
      </c>
      <c r="B220" s="13" t="n">
        <v>106.797765977208</v>
      </c>
      <c r="C220" s="21" t="n">
        <f aca="false">IFERROR((B220/B219-1)*100,"")</f>
        <v>-0.908247758282865</v>
      </c>
      <c r="D220" s="21" t="n">
        <f aca="false">IFERROR((B220/B216-1)*100,"")</f>
        <v>0.239869302148454</v>
      </c>
      <c r="E220" s="14"/>
      <c r="F220" s="14"/>
      <c r="G220" s="14"/>
      <c r="I220" s="15" t="n">
        <v>2021</v>
      </c>
      <c r="J220" s="13" t="n">
        <v>138.750571061106</v>
      </c>
      <c r="K220" s="21" t="n">
        <f aca="false">IFERROR((J220/J219-1)*100,"")</f>
        <v>2.268963678108</v>
      </c>
      <c r="L220" s="14"/>
    </row>
    <row r="221" customFormat="false" ht="15" hidden="false" customHeight="false" outlineLevel="0" collapsed="false">
      <c r="A221" s="16" t="n">
        <v>39904</v>
      </c>
      <c r="B221" s="17" t="n">
        <v>109.112532424327</v>
      </c>
      <c r="C221" s="18" t="n">
        <f aca="false">IFERROR((B221/B220-1)*100,"")</f>
        <v>2.16742965167707</v>
      </c>
      <c r="D221" s="18" t="n">
        <f aca="false">IFERROR((B221/B217-1)*100,"")</f>
        <v>1.9715581572247</v>
      </c>
      <c r="E221" s="19"/>
      <c r="F221" s="19"/>
      <c r="G221" s="19"/>
      <c r="I221" s="20" t="n">
        <v>2022</v>
      </c>
      <c r="J221" s="17" t="n">
        <v>141.461192600865</v>
      </c>
      <c r="K221" s="18" t="n">
        <f aca="false">IFERROR((J221/J220-1)*100,"")</f>
        <v>1.95359306922398</v>
      </c>
      <c r="L221" s="19"/>
    </row>
    <row r="222" customFormat="false" ht="15" hidden="false" customHeight="false" outlineLevel="0" collapsed="false">
      <c r="A222" s="12" t="n">
        <v>39995</v>
      </c>
      <c r="B222" s="13" t="n">
        <v>109.324252224943</v>
      </c>
      <c r="C222" s="21" t="n">
        <f aca="false">IFERROR((B222/B221-1)*100,"")</f>
        <v>0.194038022867016</v>
      </c>
      <c r="D222" s="21" t="n">
        <f aca="false">IFERROR((B222/B218-1)*100,"")</f>
        <v>1.57824509792246</v>
      </c>
      <c r="E222" s="14"/>
      <c r="F222" s="14"/>
      <c r="G222" s="14"/>
      <c r="I222" s="15" t="n">
        <v>2023</v>
      </c>
      <c r="J222" s="13" t="n">
        <v>144.388771404158</v>
      </c>
      <c r="K222" s="21" t="n">
        <f aca="false">IFERROR((J222/J221-1)*100,"")</f>
        <v>2.06952786800902</v>
      </c>
      <c r="L222" s="14"/>
    </row>
    <row r="223" customFormat="false" ht="15" hidden="false" customHeight="false" outlineLevel="0" collapsed="false">
      <c r="A223" s="16" t="n">
        <v>40087</v>
      </c>
      <c r="B223" s="17" t="n">
        <v>108.992204664193</v>
      </c>
      <c r="C223" s="18" t="n">
        <f aca="false">IFERROR((B223/B222-1)*100,"")</f>
        <v>-0.303727264529996</v>
      </c>
      <c r="D223" s="18" t="n">
        <f aca="false">IFERROR((B223/B219-1)*100,"")</f>
        <v>1.12785077515174</v>
      </c>
      <c r="E223" s="19"/>
      <c r="F223" s="19"/>
      <c r="G223" s="19"/>
      <c r="I223" s="20" t="n">
        <v>2024</v>
      </c>
      <c r="J223" s="17" t="n">
        <v>147.256889192791</v>
      </c>
      <c r="K223" s="18" t="n">
        <f aca="false">IFERROR((J223/J222-1)*100,"")</f>
        <v>1.98638561762186</v>
      </c>
      <c r="L223" s="19"/>
    </row>
    <row r="224" customFormat="false" ht="15" hidden="false" customHeight="false" outlineLevel="0" collapsed="false">
      <c r="A224" s="12" t="n">
        <v>40179</v>
      </c>
      <c r="B224" s="13" t="n">
        <v>110.181789264167</v>
      </c>
      <c r="C224" s="21" t="n">
        <f aca="false">IFERROR((B224/B223-1)*100,"")</f>
        <v>1.09144007467261</v>
      </c>
      <c r="D224" s="21" t="n">
        <f aca="false">IFERROR((B224/B220-1)*100,"")</f>
        <v>3.16862741087738</v>
      </c>
      <c r="E224" s="14"/>
      <c r="F224" s="14"/>
      <c r="G224" s="14"/>
      <c r="I224" s="15" t="n">
        <v>2025</v>
      </c>
      <c r="J224" s="13" t="n">
        <v>150.277160193567</v>
      </c>
      <c r="K224" s="21" t="n">
        <f aca="false">IFERROR((J224/J223-1)*100,"")</f>
        <v>2.05102186887962</v>
      </c>
      <c r="L224" s="14"/>
    </row>
    <row r="225" customFormat="false" ht="15" hidden="false" customHeight="false" outlineLevel="0" collapsed="false">
      <c r="A225" s="16" t="n">
        <v>40269</v>
      </c>
      <c r="B225" s="17" t="n">
        <v>110.748106608471</v>
      </c>
      <c r="C225" s="18" t="n">
        <f aca="false">IFERROR((B225/B224-1)*100,"")</f>
        <v>0.51398452329261</v>
      </c>
      <c r="D225" s="18" t="n">
        <f aca="false">IFERROR((B225/B221-1)*100,"")</f>
        <v>1.49897921696467</v>
      </c>
      <c r="E225" s="19"/>
      <c r="F225" s="19"/>
      <c r="G225" s="19"/>
      <c r="I225" s="20" t="n">
        <v>2026</v>
      </c>
      <c r="J225" s="19"/>
      <c r="K225" s="18" t="n">
        <f aca="false">IFERROR((J225/J224-1)*100,"")</f>
        <v>-100</v>
      </c>
      <c r="L225" s="17" t="n">
        <v>151.922494589967</v>
      </c>
    </row>
    <row r="226" customFormat="false" ht="15" hidden="false" customHeight="false" outlineLevel="0" collapsed="false">
      <c r="A226" s="12" t="n">
        <v>40360</v>
      </c>
      <c r="B226" s="13" t="n">
        <v>111.883306057588</v>
      </c>
      <c r="C226" s="21" t="n">
        <f aca="false">IFERROR((B226/B225-1)*100,"")</f>
        <v>1.02502831324185</v>
      </c>
      <c r="D226" s="21" t="n">
        <f aca="false">IFERROR((B226/B222-1)*100,"")</f>
        <v>2.34079244135039</v>
      </c>
      <c r="E226" s="14"/>
      <c r="F226" s="14"/>
      <c r="G226" s="14"/>
      <c r="I226" s="15" t="n">
        <v>2027</v>
      </c>
      <c r="J226" s="14"/>
      <c r="K226" s="21" t="str">
        <f aca="false">IFERROR((J226/J225-1)*100,"")</f>
        <v/>
      </c>
      <c r="L226" s="13" t="n">
        <v>153.387886366029</v>
      </c>
    </row>
    <row r="227" customFormat="false" ht="15" hidden="false" customHeight="false" outlineLevel="0" collapsed="false">
      <c r="A227" s="16" t="n">
        <v>40452</v>
      </c>
      <c r="B227" s="17" t="n">
        <v>111.810625951687</v>
      </c>
      <c r="C227" s="18" t="n">
        <f aca="false">IFERROR((B227/B226-1)*100,"")</f>
        <v>-0.064960634845368</v>
      </c>
      <c r="D227" s="18" t="n">
        <f aca="false">IFERROR((B227/B223-1)*100,"")</f>
        <v>2.58589253807429</v>
      </c>
      <c r="E227" s="19"/>
      <c r="F227" s="19"/>
      <c r="G227" s="19"/>
    </row>
    <row r="228" customFormat="false" ht="15" hidden="false" customHeight="false" outlineLevel="0" collapsed="false">
      <c r="A228" s="12" t="n">
        <v>40544</v>
      </c>
      <c r="B228" s="13" t="n">
        <v>113.063638163177</v>
      </c>
      <c r="C228" s="21" t="n">
        <f aca="false">IFERROR((B228/B227-1)*100,"")</f>
        <v>1.12065575237155</v>
      </c>
      <c r="D228" s="21" t="n">
        <f aca="false">IFERROR((B228/B224-1)*100,"")</f>
        <v>2.61554011625336</v>
      </c>
      <c r="E228" s="14"/>
      <c r="F228" s="14"/>
      <c r="G228" s="14"/>
    </row>
    <row r="229" customFormat="false" ht="15" hidden="false" customHeight="false" outlineLevel="0" collapsed="false">
      <c r="A229" s="16" t="n">
        <v>40634</v>
      </c>
      <c r="B229" s="17" t="n">
        <v>112.894191134104</v>
      </c>
      <c r="C229" s="18" t="n">
        <f aca="false">IFERROR((B229/B228-1)*100,"")</f>
        <v>-0.149868721567725</v>
      </c>
      <c r="D229" s="18" t="n">
        <f aca="false">IFERROR((B229/B225-1)*100,"")</f>
        <v>1.93780696695725</v>
      </c>
      <c r="E229" s="19"/>
      <c r="F229" s="19"/>
      <c r="G229" s="19"/>
    </row>
    <row r="230" customFormat="false" ht="15" hidden="false" customHeight="false" outlineLevel="0" collapsed="false">
      <c r="A230" s="12" t="n">
        <v>40725</v>
      </c>
      <c r="B230" s="13" t="n">
        <v>113.821529937104</v>
      </c>
      <c r="C230" s="21" t="n">
        <f aca="false">IFERROR((B230/B229-1)*100,"")</f>
        <v>0.82142295691614</v>
      </c>
      <c r="D230" s="21" t="n">
        <f aca="false">IFERROR((B230/B226-1)*100,"")</f>
        <v>1.73236200092155</v>
      </c>
      <c r="E230" s="14"/>
      <c r="F230" s="14"/>
      <c r="G230" s="14"/>
    </row>
    <row r="231" customFormat="false" ht="15" hidden="false" customHeight="false" outlineLevel="0" collapsed="false">
      <c r="A231" s="16" t="n">
        <v>40817</v>
      </c>
      <c r="B231" s="17" t="n">
        <v>114.486024540192</v>
      </c>
      <c r="C231" s="18" t="n">
        <f aca="false">IFERROR((B231/B230-1)*100,"")</f>
        <v>0.583803963498908</v>
      </c>
      <c r="D231" s="18" t="n">
        <f aca="false">IFERROR((B231/B227-1)*100,"")</f>
        <v>2.39279457183377</v>
      </c>
      <c r="E231" s="19"/>
      <c r="F231" s="19"/>
      <c r="G231" s="19"/>
    </row>
    <row r="232" customFormat="false" ht="15" hidden="false" customHeight="false" outlineLevel="0" collapsed="false">
      <c r="A232" s="12" t="n">
        <v>40909</v>
      </c>
      <c r="B232" s="13" t="n">
        <v>116.320498435677</v>
      </c>
      <c r="C232" s="21" t="n">
        <f aca="false">IFERROR((B232/B231-1)*100,"")</f>
        <v>1.60235618526632</v>
      </c>
      <c r="D232" s="21" t="n">
        <f aca="false">IFERROR((B232/B228-1)*100,"")</f>
        <v>2.88055499134037</v>
      </c>
      <c r="E232" s="14"/>
      <c r="F232" s="14"/>
      <c r="G232" s="14"/>
    </row>
    <row r="233" customFormat="false" ht="15" hidden="false" customHeight="false" outlineLevel="0" collapsed="false">
      <c r="A233" s="16" t="n">
        <v>41000</v>
      </c>
      <c r="B233" s="17" t="n">
        <v>114.620104406332</v>
      </c>
      <c r="C233" s="18" t="n">
        <f aca="false">IFERROR((B233/B232-1)*100,"")</f>
        <v>-1.46181803913562</v>
      </c>
      <c r="D233" s="18" t="n">
        <f aca="false">IFERROR((B233/B229-1)*100,"")</f>
        <v>1.52878837687773</v>
      </c>
      <c r="E233" s="19"/>
      <c r="F233" s="19"/>
      <c r="G233" s="19"/>
    </row>
    <row r="234" customFormat="false" ht="15" hidden="false" customHeight="false" outlineLevel="0" collapsed="false">
      <c r="A234" s="12" t="n">
        <v>41091</v>
      </c>
      <c r="B234" s="13" t="n">
        <v>115.641450570922</v>
      </c>
      <c r="C234" s="21" t="n">
        <f aca="false">IFERROR((B234/B233-1)*100,"")</f>
        <v>0.891070698181795</v>
      </c>
      <c r="D234" s="21" t="n">
        <f aca="false">IFERROR((B234/B230-1)*100,"")</f>
        <v>1.59892476829635</v>
      </c>
      <c r="E234" s="14"/>
      <c r="F234" s="14"/>
      <c r="G234" s="14"/>
    </row>
    <row r="235" customFormat="false" ht="15" hidden="false" customHeight="false" outlineLevel="0" collapsed="false">
      <c r="A235" s="16" t="n">
        <v>41183</v>
      </c>
      <c r="B235" s="17" t="n">
        <v>116.764366167863</v>
      </c>
      <c r="C235" s="18" t="n">
        <f aca="false">IFERROR((B235/B234-1)*100,"")</f>
        <v>0.971032092210167</v>
      </c>
      <c r="D235" s="18" t="n">
        <f aca="false">IFERROR((B235/B231-1)*100,"")</f>
        <v>1.99006091513942</v>
      </c>
      <c r="E235" s="19"/>
      <c r="F235" s="19"/>
      <c r="G235" s="19"/>
    </row>
    <row r="236" customFormat="false" ht="15" hidden="false" customHeight="false" outlineLevel="0" collapsed="false">
      <c r="A236" s="12" t="n">
        <v>41275</v>
      </c>
      <c r="B236" s="13" t="n">
        <v>118.260970157304</v>
      </c>
      <c r="C236" s="21" t="n">
        <f aca="false">IFERROR((B236/B235-1)*100,"")</f>
        <v>1.28173006762136</v>
      </c>
      <c r="D236" s="21" t="n">
        <f aca="false">IFERROR((B236/B232-1)*100,"")</f>
        <v>1.66821131934889</v>
      </c>
      <c r="E236" s="14"/>
      <c r="F236" s="14"/>
      <c r="G236" s="14"/>
    </row>
    <row r="237" customFormat="false" ht="15" hidden="false" customHeight="false" outlineLevel="0" collapsed="false">
      <c r="A237" s="16" t="n">
        <v>41365</v>
      </c>
      <c r="B237" s="17" t="n">
        <v>116.858723171114</v>
      </c>
      <c r="C237" s="18" t="n">
        <f aca="false">IFERROR((B237/B236-1)*100,"")</f>
        <v>-1.18572254592983</v>
      </c>
      <c r="D237" s="18" t="n">
        <f aca="false">IFERROR((B237/B233-1)*100,"")</f>
        <v>1.95307688505126</v>
      </c>
      <c r="E237" s="19"/>
      <c r="F237" s="19"/>
      <c r="G237" s="19"/>
    </row>
    <row r="238" customFormat="false" ht="15" hidden="false" customHeight="false" outlineLevel="0" collapsed="false">
      <c r="A238" s="12" t="n">
        <v>41456</v>
      </c>
      <c r="B238" s="13" t="n">
        <v>118.279464193781</v>
      </c>
      <c r="C238" s="21" t="n">
        <f aca="false">IFERROR((B238/B237-1)*100,"")</f>
        <v>1.21577660966443</v>
      </c>
      <c r="D238" s="21" t="n">
        <f aca="false">IFERROR((B238/B234-1)*100,"")</f>
        <v>2.28120073713578</v>
      </c>
      <c r="E238" s="14"/>
      <c r="F238" s="14"/>
      <c r="G238" s="14"/>
    </row>
    <row r="239" customFormat="false" ht="15" hidden="false" customHeight="false" outlineLevel="0" collapsed="false">
      <c r="A239" s="16" t="n">
        <v>41548</v>
      </c>
      <c r="B239" s="17" t="n">
        <v>119.502343155755</v>
      </c>
      <c r="C239" s="18" t="n">
        <f aca="false">IFERROR((B239/B238-1)*100,"")</f>
        <v>1.03388950086096</v>
      </c>
      <c r="D239" s="18" t="n">
        <f aca="false">IFERROR((B239/B235-1)*100,"")</f>
        <v>2.34487376393182</v>
      </c>
      <c r="E239" s="19"/>
      <c r="F239" s="19"/>
      <c r="G239" s="19"/>
    </row>
    <row r="240" customFormat="false" ht="15" hidden="false" customHeight="false" outlineLevel="0" collapsed="false">
      <c r="A240" s="12" t="n">
        <v>41640</v>
      </c>
      <c r="B240" s="13" t="n">
        <v>119.548250519356</v>
      </c>
      <c r="C240" s="21" t="n">
        <f aca="false">IFERROR((B240/B239-1)*100,"")</f>
        <v>0.0384154506006373</v>
      </c>
      <c r="D240" s="21" t="n">
        <f aca="false">IFERROR((B240/B236-1)*100,"")</f>
        <v>1.08850820379693</v>
      </c>
      <c r="E240" s="14"/>
      <c r="F240" s="14"/>
      <c r="G240" s="14"/>
    </row>
    <row r="241" customFormat="false" ht="15" hidden="false" customHeight="false" outlineLevel="0" collapsed="false">
      <c r="A241" s="16" t="n">
        <v>41730</v>
      </c>
      <c r="B241" s="17" t="n">
        <v>120.110057353885</v>
      </c>
      <c r="C241" s="18" t="n">
        <f aca="false">IFERROR((B241/B240-1)*100,"")</f>
        <v>0.469941493989023</v>
      </c>
      <c r="D241" s="18" t="n">
        <f aca="false">IFERROR((B241/B237-1)*100,"")</f>
        <v>2.78227768928312</v>
      </c>
      <c r="E241" s="19"/>
      <c r="F241" s="19"/>
      <c r="G241" s="19"/>
    </row>
    <row r="242" customFormat="false" ht="15" hidden="false" customHeight="false" outlineLevel="0" collapsed="false">
      <c r="A242" s="12" t="n">
        <v>41821</v>
      </c>
      <c r="B242" s="13" t="n">
        <v>120.532313341745</v>
      </c>
      <c r="C242" s="21" t="n">
        <f aca="false">IFERROR((B242/B241-1)*100,"")</f>
        <v>0.351557560759708</v>
      </c>
      <c r="D242" s="21" t="n">
        <f aca="false">IFERROR((B242/B238-1)*100,"")</f>
        <v>1.90468325446047</v>
      </c>
      <c r="E242" s="14"/>
      <c r="F242" s="14"/>
      <c r="G242" s="14"/>
    </row>
    <row r="243" customFormat="false" ht="15" hidden="false" customHeight="false" outlineLevel="0" collapsed="false">
      <c r="A243" s="16" t="n">
        <v>41913</v>
      </c>
      <c r="B243" s="17" t="n">
        <v>122.12403417532</v>
      </c>
      <c r="C243" s="18" t="n">
        <f aca="false">IFERROR((B243/B242-1)*100,"")</f>
        <v>1.32057602600035</v>
      </c>
      <c r="D243" s="18" t="n">
        <f aca="false">IFERROR((B243/B239-1)*100,"")</f>
        <v>2.19384068155726</v>
      </c>
      <c r="E243" s="19"/>
      <c r="F243" s="19"/>
      <c r="G243" s="19"/>
    </row>
    <row r="244" customFormat="false" ht="15" hidden="false" customHeight="false" outlineLevel="0" collapsed="false">
      <c r="A244" s="12" t="n">
        <v>42005</v>
      </c>
      <c r="B244" s="13" t="n">
        <v>122.424082753659</v>
      </c>
      <c r="C244" s="21" t="n">
        <f aca="false">IFERROR((B244/B243-1)*100,"")</f>
        <v>0.245691669429027</v>
      </c>
      <c r="D244" s="21" t="n">
        <f aca="false">IFERROR((B244/B240-1)*100,"")</f>
        <v>2.4055828686822</v>
      </c>
      <c r="E244" s="14"/>
      <c r="F244" s="14"/>
      <c r="G244" s="14"/>
    </row>
    <row r="245" customFormat="false" ht="15" hidden="false" customHeight="false" outlineLevel="0" collapsed="false">
      <c r="A245" s="16" t="n">
        <v>42095</v>
      </c>
      <c r="B245" s="17" t="n">
        <v>122.760878556826</v>
      </c>
      <c r="C245" s="18" t="n">
        <f aca="false">IFERROR((B245/B244-1)*100,"")</f>
        <v>0.275105841589096</v>
      </c>
      <c r="D245" s="18" t="n">
        <f aca="false">IFERROR((B245/B241-1)*100,"")</f>
        <v>2.20699353687883</v>
      </c>
      <c r="E245" s="19"/>
      <c r="F245" s="19"/>
      <c r="G245" s="19"/>
    </row>
    <row r="246" customFormat="false" ht="15" hidden="false" customHeight="false" outlineLevel="0" collapsed="false">
      <c r="A246" s="12" t="n">
        <v>42186</v>
      </c>
      <c r="B246" s="13" t="n">
        <v>123.460425139376</v>
      </c>
      <c r="C246" s="21" t="n">
        <f aca="false">IFERROR((B246/B245-1)*100,"")</f>
        <v>0.569844881181902</v>
      </c>
      <c r="D246" s="21" t="n">
        <f aca="false">IFERROR((B246/B242-1)*100,"")</f>
        <v>2.42931684993819</v>
      </c>
      <c r="E246" s="14"/>
      <c r="F246" s="14"/>
      <c r="G246" s="14"/>
    </row>
    <row r="247" customFormat="false" ht="15" hidden="false" customHeight="false" outlineLevel="0" collapsed="false">
      <c r="A247" s="16" t="n">
        <v>42278</v>
      </c>
      <c r="B247" s="17" t="n">
        <v>123.529745039636</v>
      </c>
      <c r="C247" s="18" t="n">
        <f aca="false">IFERROR((B247/B246-1)*100,"")</f>
        <v>0.0561474660248695</v>
      </c>
      <c r="D247" s="18" t="n">
        <f aca="false">IFERROR((B247/B243-1)*100,"")</f>
        <v>1.15105177601478</v>
      </c>
      <c r="E247" s="19"/>
      <c r="F247" s="19"/>
      <c r="G247" s="19"/>
    </row>
    <row r="248" customFormat="false" ht="15" hidden="false" customHeight="false" outlineLevel="0" collapsed="false">
      <c r="A248" s="12" t="n">
        <v>42370</v>
      </c>
      <c r="B248" s="13" t="n">
        <v>124.664318987177</v>
      </c>
      <c r="C248" s="21" t="n">
        <f aca="false">IFERROR((B248/B247-1)*100,"")</f>
        <v>0.918462146244825</v>
      </c>
      <c r="D248" s="21" t="n">
        <f aca="false">IFERROR((B248/B244-1)*100,"")</f>
        <v>1.82989831994582</v>
      </c>
      <c r="E248" s="14"/>
      <c r="F248" s="14"/>
      <c r="G248" s="14"/>
    </row>
    <row r="249" customFormat="false" ht="15" hidden="false" customHeight="false" outlineLevel="0" collapsed="false">
      <c r="A249" s="16" t="n">
        <v>42461</v>
      </c>
      <c r="B249" s="17" t="n">
        <v>125.272615604664</v>
      </c>
      <c r="C249" s="18" t="n">
        <f aca="false">IFERROR((B249/B248-1)*100,"")</f>
        <v>0.487947652085663</v>
      </c>
      <c r="D249" s="18" t="n">
        <f aca="false">IFERROR((B249/B245-1)*100,"")</f>
        <v>2.04604029994369</v>
      </c>
      <c r="E249" s="19"/>
      <c r="F249" s="19"/>
      <c r="G249" s="19"/>
    </row>
    <row r="250" customFormat="false" ht="15" hidden="false" customHeight="false" outlineLevel="0" collapsed="false">
      <c r="A250" s="12" t="n">
        <v>42552</v>
      </c>
      <c r="B250" s="13" t="n">
        <v>125.390181176423</v>
      </c>
      <c r="C250" s="21" t="n">
        <f aca="false">IFERROR((B250/B249-1)*100,"")</f>
        <v>0.0938477824474537</v>
      </c>
      <c r="D250" s="21" t="n">
        <f aca="false">IFERROR((B250/B246-1)*100,"")</f>
        <v>1.56305636795595</v>
      </c>
      <c r="E250" s="14"/>
      <c r="F250" s="14"/>
      <c r="G250" s="14"/>
    </row>
    <row r="251" customFormat="false" ht="15" hidden="false" customHeight="false" outlineLevel="0" collapsed="false">
      <c r="A251" s="16" t="n">
        <v>42644</v>
      </c>
      <c r="B251" s="17" t="n">
        <v>126.258178694057</v>
      </c>
      <c r="C251" s="18" t="n">
        <f aca="false">IFERROR((B251/B250-1)*100,"")</f>
        <v>0.692237230611492</v>
      </c>
      <c r="D251" s="18" t="n">
        <f aca="false">IFERROR((B251/B247-1)*100,"")</f>
        <v>2.20872604695019</v>
      </c>
      <c r="E251" s="19"/>
      <c r="F251" s="19"/>
      <c r="G251" s="19"/>
    </row>
    <row r="252" customFormat="false" ht="15" hidden="false" customHeight="false" outlineLevel="0" collapsed="false">
      <c r="A252" s="12" t="n">
        <v>42736</v>
      </c>
      <c r="B252" s="13" t="n">
        <v>128.119097147023</v>
      </c>
      <c r="C252" s="21" t="n">
        <f aca="false">IFERROR((B252/B251-1)*100,"")</f>
        <v>1.47389933247453</v>
      </c>
      <c r="D252" s="21" t="n">
        <f aca="false">IFERROR((B252/B248-1)*100,"")</f>
        <v>2.7712646151794</v>
      </c>
      <c r="E252" s="14"/>
      <c r="F252" s="14"/>
      <c r="G252" s="14"/>
    </row>
    <row r="253" customFormat="false" ht="15" hidden="false" customHeight="false" outlineLevel="0" collapsed="false">
      <c r="A253" s="16" t="n">
        <v>42826</v>
      </c>
      <c r="B253" s="17" t="n">
        <v>128.024546810489</v>
      </c>
      <c r="C253" s="18" t="n">
        <f aca="false">IFERROR((B253/B252-1)*100,"")</f>
        <v>-0.0737987845996102</v>
      </c>
      <c r="D253" s="18" t="n">
        <f aca="false">IFERROR((B253/B249-1)*100,"")</f>
        <v>2.19675400927972</v>
      </c>
      <c r="E253" s="19"/>
      <c r="F253" s="19"/>
      <c r="G253" s="19"/>
    </row>
    <row r="254" customFormat="false" ht="15" hidden="false" customHeight="false" outlineLevel="0" collapsed="false">
      <c r="A254" s="12" t="n">
        <v>42917</v>
      </c>
      <c r="B254" s="13" t="n">
        <v>128.544352381586</v>
      </c>
      <c r="C254" s="21" t="n">
        <f aca="false">IFERROR((B254/B253-1)*100,"")</f>
        <v>0.406020239123395</v>
      </c>
      <c r="D254" s="21" t="n">
        <f aca="false">IFERROR((B254/B250-1)*100,"")</f>
        <v>2.51548500494214</v>
      </c>
      <c r="E254" s="14"/>
      <c r="F254" s="14"/>
      <c r="G254" s="14"/>
    </row>
    <row r="255" customFormat="false" ht="15" hidden="false" customHeight="false" outlineLevel="0" collapsed="false">
      <c r="A255" s="16" t="n">
        <v>43009</v>
      </c>
      <c r="B255" s="17" t="n">
        <v>128.894575383987</v>
      </c>
      <c r="C255" s="18" t="n">
        <f aca="false">IFERROR((B255/B254-1)*100,"")</f>
        <v>0.272453045126375</v>
      </c>
      <c r="D255" s="18" t="n">
        <f aca="false">IFERROR((B255/B251-1)*100,"")</f>
        <v>2.08809973120101</v>
      </c>
      <c r="E255" s="19"/>
      <c r="F255" s="19"/>
      <c r="G255" s="19"/>
    </row>
    <row r="256" customFormat="false" ht="15" hidden="false" customHeight="false" outlineLevel="0" collapsed="false">
      <c r="A256" s="12" t="n">
        <v>43101</v>
      </c>
      <c r="B256" s="13" t="n">
        <v>128.98825267787</v>
      </c>
      <c r="C256" s="21" t="n">
        <f aca="false">IFERROR((B256/B255-1)*100,"")</f>
        <v>0.0726774525648066</v>
      </c>
      <c r="D256" s="21" t="n">
        <f aca="false">IFERROR((B256/B252-1)*100,"")</f>
        <v>0.678396546807991</v>
      </c>
      <c r="E256" s="14"/>
      <c r="F256" s="14"/>
      <c r="G256" s="14"/>
    </row>
    <row r="257" customFormat="false" ht="15" hidden="false" customHeight="false" outlineLevel="0" collapsed="false">
      <c r="A257" s="16" t="n">
        <v>43191</v>
      </c>
      <c r="B257" s="17" t="n">
        <v>128.865504371325</v>
      </c>
      <c r="C257" s="18" t="n">
        <f aca="false">IFERROR((B257/B256-1)*100,"")</f>
        <v>-0.0951623919211997</v>
      </c>
      <c r="D257" s="18" t="n">
        <f aca="false">IFERROR((B257/B253-1)*100,"")</f>
        <v>0.656872124750207</v>
      </c>
      <c r="E257" s="19"/>
      <c r="F257" s="19"/>
      <c r="G257" s="19"/>
    </row>
    <row r="258" customFormat="false" ht="15" hidden="false" customHeight="false" outlineLevel="0" collapsed="false">
      <c r="A258" s="12" t="n">
        <v>43282</v>
      </c>
      <c r="B258" s="13" t="n">
        <v>129.86271508608</v>
      </c>
      <c r="C258" s="21" t="n">
        <f aca="false">IFERROR((B258/B257-1)*100,"")</f>
        <v>0.773838367079338</v>
      </c>
      <c r="D258" s="21" t="n">
        <f aca="false">IFERROR((B258/B254-1)*100,"")</f>
        <v>1.02560920030259</v>
      </c>
      <c r="E258" s="14"/>
      <c r="F258" s="14"/>
      <c r="G258" s="14"/>
    </row>
    <row r="259" customFormat="false" ht="15" hidden="false" customHeight="false" outlineLevel="0" collapsed="false">
      <c r="A259" s="16" t="n">
        <v>43374</v>
      </c>
      <c r="B259" s="17" t="n">
        <v>132.097915023464</v>
      </c>
      <c r="C259" s="18" t="n">
        <f aca="false">IFERROR((B259/B258-1)*100,"")</f>
        <v>1.7212022218247</v>
      </c>
      <c r="D259" s="18" t="n">
        <f aca="false">IFERROR((B259/B255-1)*100,"")</f>
        <v>2.48524007308593</v>
      </c>
      <c r="E259" s="19"/>
      <c r="F259" s="19"/>
      <c r="G259" s="19"/>
    </row>
    <row r="260" customFormat="false" ht="15" hidden="false" customHeight="false" outlineLevel="0" collapsed="false">
      <c r="A260" s="12" t="n">
        <v>43466</v>
      </c>
      <c r="B260" s="13" t="n">
        <v>131.523701391521</v>
      </c>
      <c r="C260" s="21" t="n">
        <f aca="false">IFERROR((B260/B259-1)*100,"")</f>
        <v>-0.434687884241858</v>
      </c>
      <c r="D260" s="21" t="n">
        <f aca="false">IFERROR((B260/B256-1)*100,"")</f>
        <v>1.96564311944152</v>
      </c>
      <c r="E260" s="14"/>
      <c r="F260" s="14"/>
      <c r="G260" s="14"/>
    </row>
    <row r="261" customFormat="false" ht="15" hidden="false" customHeight="false" outlineLevel="0" collapsed="false">
      <c r="A261" s="16" t="n">
        <v>43556</v>
      </c>
      <c r="B261" s="17" t="n">
        <v>133.060000557966</v>
      </c>
      <c r="C261" s="18" t="n">
        <f aca="false">IFERROR((B261/B260-1)*100,"")</f>
        <v>1.16807780665436</v>
      </c>
      <c r="D261" s="18" t="n">
        <f aca="false">IFERROR((B261/B257-1)*100,"")</f>
        <v>3.25494103880144</v>
      </c>
      <c r="E261" s="19"/>
      <c r="F261" s="19"/>
      <c r="G261" s="19"/>
    </row>
    <row r="262" customFormat="false" ht="15" hidden="false" customHeight="false" outlineLevel="0" collapsed="false">
      <c r="A262" s="12" t="n">
        <v>43647</v>
      </c>
      <c r="B262" s="13" t="n">
        <v>133.976414107465</v>
      </c>
      <c r="C262" s="21" t="n">
        <f aca="false">IFERROR((B262/B261-1)*100,"")</f>
        <v>0.688722039423539</v>
      </c>
      <c r="D262" s="21" t="n">
        <f aca="false">IFERROR((B262/B258-1)*100,"")</f>
        <v>3.16772910427607</v>
      </c>
      <c r="E262" s="14"/>
      <c r="F262" s="14"/>
      <c r="G262" s="14"/>
    </row>
    <row r="263" customFormat="false" ht="15" hidden="false" customHeight="false" outlineLevel="0" collapsed="false">
      <c r="A263" s="16" t="n">
        <v>43739</v>
      </c>
      <c r="B263" s="17" t="n">
        <v>133.978362596971</v>
      </c>
      <c r="C263" s="18" t="n">
        <f aca="false">IFERROR((B263/B262-1)*100,"")</f>
        <v>0.00145435263281257</v>
      </c>
      <c r="D263" s="18" t="n">
        <f aca="false">IFERROR((B263/B259-1)*100,"")</f>
        <v>1.4235255516132</v>
      </c>
      <c r="E263" s="19"/>
      <c r="F263" s="19"/>
      <c r="G263" s="19"/>
    </row>
    <row r="264" customFormat="false" ht="15" hidden="false" customHeight="false" outlineLevel="0" collapsed="false">
      <c r="A264" s="12" t="n">
        <v>43831</v>
      </c>
      <c r="B264" s="13" t="n">
        <v>134.321549985918</v>
      </c>
      <c r="C264" s="21" t="n">
        <f aca="false">IFERROR((B264/B263-1)*100,"")</f>
        <v>0.256151353319312</v>
      </c>
      <c r="D264" s="21" t="n">
        <f aca="false">IFERROR((B264/B260-1)*100,"")</f>
        <v>2.12725810237726</v>
      </c>
      <c r="E264" s="14"/>
      <c r="F264" s="14"/>
      <c r="G264" s="14"/>
    </row>
    <row r="265" customFormat="false" ht="15" hidden="false" customHeight="false" outlineLevel="0" collapsed="false">
      <c r="A265" s="16" t="n">
        <v>43922</v>
      </c>
      <c r="B265" s="17" t="n">
        <v>134.968960819413</v>
      </c>
      <c r="C265" s="18" t="n">
        <f aca="false">IFERROR((B265/B264-1)*100,"")</f>
        <v>0.481985826966747</v>
      </c>
      <c r="D265" s="18" t="n">
        <f aca="false">IFERROR((B265/B261-1)*100,"")</f>
        <v>1.43466124563518</v>
      </c>
      <c r="E265" s="19"/>
      <c r="F265" s="19"/>
      <c r="G265" s="19"/>
    </row>
    <row r="266" customFormat="false" ht="15" hidden="false" customHeight="false" outlineLevel="0" collapsed="false">
      <c r="A266" s="12" t="n">
        <v>44013</v>
      </c>
      <c r="B266" s="13" t="n">
        <v>135.865309015334</v>
      </c>
      <c r="C266" s="21" t="n">
        <f aca="false">IFERROR((B266/B265-1)*100,"")</f>
        <v>0.664114319677567</v>
      </c>
      <c r="D266" s="21" t="n">
        <f aca="false">IFERROR((B266/B262-1)*100,"")</f>
        <v>1.40987122282126</v>
      </c>
      <c r="E266" s="14"/>
      <c r="F266" s="14"/>
      <c r="G266" s="14"/>
    </row>
    <row r="267" customFormat="false" ht="15" hidden="false" customHeight="false" outlineLevel="0" collapsed="false">
      <c r="A267" s="16" t="n">
        <v>44105</v>
      </c>
      <c r="B267" s="17" t="n">
        <v>137.53305105838</v>
      </c>
      <c r="C267" s="18" t="n">
        <f aca="false">IFERROR((B267/B266-1)*100,"")</f>
        <v>1.22749659580685</v>
      </c>
      <c r="D267" s="18" t="n">
        <f aca="false">IFERROR((B267/B263-1)*100,"")</f>
        <v>2.65318100065299</v>
      </c>
      <c r="E267" s="19"/>
      <c r="F267" s="19"/>
      <c r="G267" s="19"/>
    </row>
    <row r="268" customFormat="false" ht="15" hidden="false" customHeight="false" outlineLevel="0" collapsed="false">
      <c r="A268" s="12" t="n">
        <v>44197</v>
      </c>
      <c r="B268" s="13" t="n">
        <v>137.747014836884</v>
      </c>
      <c r="C268" s="21" t="n">
        <f aca="false">IFERROR((B268/B267-1)*100,"")</f>
        <v>0.155572625530476</v>
      </c>
      <c r="D268" s="21" t="n">
        <f aca="false">IFERROR((B268/B264-1)*100,"")</f>
        <v>2.55019753071968</v>
      </c>
      <c r="E268" s="14"/>
      <c r="F268" s="14"/>
      <c r="G268" s="14"/>
    </row>
    <row r="269" customFormat="false" ht="15" hidden="false" customHeight="false" outlineLevel="0" collapsed="false">
      <c r="A269" s="16" t="n">
        <v>44287</v>
      </c>
      <c r="B269" s="17" t="n">
        <v>138.601405774051</v>
      </c>
      <c r="C269" s="18" t="n">
        <f aca="false">IFERROR((B269/B268-1)*100,"")</f>
        <v>0.620260945893425</v>
      </c>
      <c r="D269" s="18" t="n">
        <f aca="false">IFERROR((B269/B265-1)*100,"")</f>
        <v>2.69131875401967</v>
      </c>
      <c r="E269" s="19"/>
      <c r="F269" s="19"/>
      <c r="G269" s="19"/>
    </row>
    <row r="270" customFormat="false" ht="15" hidden="false" customHeight="false" outlineLevel="0" collapsed="false">
      <c r="A270" s="12" t="n">
        <v>44378</v>
      </c>
      <c r="B270" s="13" t="n">
        <v>138.768219869189</v>
      </c>
      <c r="C270" s="21" t="n">
        <f aca="false">IFERROR((B270/B269-1)*100,"")</f>
        <v>0.120355269274719</v>
      </c>
      <c r="D270" s="21" t="n">
        <f aca="false">IFERROR((B270/B266-1)*100,"")</f>
        <v>2.13660931910653</v>
      </c>
      <c r="E270" s="14"/>
      <c r="F270" s="14"/>
      <c r="G270" s="14"/>
    </row>
    <row r="271" customFormat="false" ht="15" hidden="false" customHeight="false" outlineLevel="0" collapsed="false">
      <c r="A271" s="16" t="n">
        <v>44470</v>
      </c>
      <c r="B271" s="17" t="n">
        <v>139.885643764302</v>
      </c>
      <c r="C271" s="18" t="n">
        <f aca="false">IFERROR((B271/B270-1)*100,"")</f>
        <v>0.80524481481894</v>
      </c>
      <c r="D271" s="18" t="n">
        <f aca="false">IFERROR((B271/B267-1)*100,"")</f>
        <v>1.71056534252509</v>
      </c>
      <c r="E271" s="19"/>
      <c r="F271" s="19"/>
      <c r="G271" s="19"/>
    </row>
    <row r="272" customFormat="false" ht="15" hidden="false" customHeight="false" outlineLevel="0" collapsed="false">
      <c r="A272" s="12" t="n">
        <v>44562</v>
      </c>
      <c r="B272" s="13" t="n">
        <v>140.549283273651</v>
      </c>
      <c r="C272" s="21" t="n">
        <f aca="false">IFERROR((B272/B271-1)*100,"")</f>
        <v>0.474415738091549</v>
      </c>
      <c r="D272" s="21" t="n">
        <f aca="false">IFERROR((B272/B268-1)*100,"")</f>
        <v>2.0343587409754</v>
      </c>
      <c r="E272" s="14"/>
      <c r="F272" s="14"/>
      <c r="G272" s="14"/>
    </row>
    <row r="273" customFormat="false" ht="15" hidden="false" customHeight="false" outlineLevel="0" collapsed="false">
      <c r="A273" s="16" t="n">
        <v>44652</v>
      </c>
      <c r="B273" s="17" t="n">
        <v>141.835760567191</v>
      </c>
      <c r="C273" s="18" t="n">
        <f aca="false">IFERROR((B273/B272-1)*100,"")</f>
        <v>0.915321134036118</v>
      </c>
      <c r="D273" s="18" t="n">
        <f aca="false">IFERROR((B273/B269-1)*100,"")</f>
        <v>2.33356564825342</v>
      </c>
      <c r="E273" s="19"/>
      <c r="F273" s="19"/>
      <c r="G273" s="19"/>
    </row>
    <row r="274" customFormat="false" ht="15" hidden="false" customHeight="false" outlineLevel="0" collapsed="false">
      <c r="A274" s="12" t="n">
        <v>44743</v>
      </c>
      <c r="B274" s="13" t="n">
        <v>141.739082479368</v>
      </c>
      <c r="C274" s="21" t="n">
        <f aca="false">IFERROR((B274/B273-1)*100,"")</f>
        <v>-0.0681619976765413</v>
      </c>
      <c r="D274" s="21" t="n">
        <f aca="false">IFERROR((B274/B270-1)*100,"")</f>
        <v>2.14088111311068</v>
      </c>
      <c r="E274" s="14"/>
      <c r="F274" s="14"/>
      <c r="G274" s="14"/>
    </row>
    <row r="275" customFormat="false" ht="15" hidden="false" customHeight="false" outlineLevel="0" collapsed="false">
      <c r="A275" s="16" t="n">
        <v>44835</v>
      </c>
      <c r="B275" s="17" t="n">
        <v>141.72064408325</v>
      </c>
      <c r="C275" s="18" t="n">
        <f aca="false">IFERROR((B275/B274-1)*100,"")</f>
        <v>-0.0130086887791703</v>
      </c>
      <c r="D275" s="18" t="n">
        <f aca="false">IFERROR((B275/B271-1)*100,"")</f>
        <v>1.31178602004354</v>
      </c>
      <c r="E275" s="19"/>
      <c r="F275" s="19"/>
      <c r="G275" s="19"/>
    </row>
    <row r="276" customFormat="false" ht="15" hidden="false" customHeight="false" outlineLevel="0" collapsed="false">
      <c r="A276" s="12" t="n">
        <v>44927</v>
      </c>
      <c r="B276" s="13" t="n">
        <v>143.525874856281</v>
      </c>
      <c r="C276" s="21" t="n">
        <f aca="false">IFERROR((B276/B275-1)*100,"")</f>
        <v>1.27379520796567</v>
      </c>
      <c r="D276" s="21" t="n">
        <f aca="false">IFERROR((B276/B272-1)*100,"")</f>
        <v>2.11782764970387</v>
      </c>
      <c r="E276" s="14"/>
      <c r="F276" s="14"/>
      <c r="G276" s="14"/>
    </row>
    <row r="277" customFormat="false" ht="15" hidden="false" customHeight="false" outlineLevel="0" collapsed="false">
      <c r="A277" s="16" t="n">
        <v>45017</v>
      </c>
      <c r="B277" s="17" t="n">
        <v>142.953382928718</v>
      </c>
      <c r="C277" s="18" t="n">
        <f aca="false">IFERROR((B277/B276-1)*100,"")</f>
        <v>-0.398877155868482</v>
      </c>
      <c r="D277" s="18" t="n">
        <f aca="false">IFERROR((B277/B273-1)*100,"")</f>
        <v>0.787969378849618</v>
      </c>
      <c r="E277" s="19"/>
      <c r="F277" s="19"/>
      <c r="G277" s="19"/>
    </row>
    <row r="278" customFormat="false" ht="15" hidden="false" customHeight="false" outlineLevel="0" collapsed="false">
      <c r="A278" s="12" t="n">
        <v>45108</v>
      </c>
      <c r="B278" s="13" t="n">
        <v>144.747868094278</v>
      </c>
      <c r="C278" s="21" t="n">
        <f aca="false">IFERROR((B278/B277-1)*100,"")</f>
        <v>1.25529394883539</v>
      </c>
      <c r="D278" s="21" t="n">
        <f aca="false">IFERROR((B278/B274-1)*100,"")</f>
        <v>2.12276357535182</v>
      </c>
      <c r="E278" s="14"/>
      <c r="F278" s="14"/>
      <c r="G278" s="14"/>
    </row>
    <row r="279" customFormat="false" ht="15" hidden="false" customHeight="false" outlineLevel="0" collapsed="false">
      <c r="A279" s="16" t="n">
        <v>45200</v>
      </c>
      <c r="B279" s="17" t="n">
        <v>146.327959737354</v>
      </c>
      <c r="C279" s="18" t="n">
        <f aca="false">IFERROR((B279/B278-1)*100,"")</f>
        <v>1.09161652180354</v>
      </c>
      <c r="D279" s="18" t="n">
        <f aca="false">IFERROR((B279/B275-1)*100,"")</f>
        <v>3.25098413425018</v>
      </c>
      <c r="E279" s="19"/>
      <c r="F279" s="19"/>
      <c r="G279" s="19"/>
    </row>
    <row r="280" customFormat="false" ht="15" hidden="false" customHeight="false" outlineLevel="0" collapsed="false">
      <c r="A280" s="12" t="n">
        <v>45292</v>
      </c>
      <c r="B280" s="13" t="n">
        <v>146.406764645473</v>
      </c>
      <c r="C280" s="21" t="n">
        <f aca="false">IFERROR((B280/B279-1)*100,"")</f>
        <v>0.0538549900244156</v>
      </c>
      <c r="D280" s="21" t="n">
        <f aca="false">IFERROR((B280/B276-1)*100,"")</f>
        <v>2.00722677501697</v>
      </c>
      <c r="E280" s="14"/>
      <c r="F280" s="14"/>
      <c r="G280" s="14"/>
    </row>
    <row r="281" customFormat="false" ht="15" hidden="false" customHeight="false" outlineLevel="0" collapsed="false">
      <c r="A281" s="16" t="n">
        <v>45383</v>
      </c>
      <c r="B281" s="17" t="n">
        <v>146.359330309416</v>
      </c>
      <c r="C281" s="18" t="n">
        <f aca="false">IFERROR((B281/B280-1)*100,"")</f>
        <v>-0.0323990057238488</v>
      </c>
      <c r="D281" s="18" t="n">
        <f aca="false">IFERROR((B281/B277-1)*100,"")</f>
        <v>2.38255808356449</v>
      </c>
      <c r="E281" s="19"/>
      <c r="F281" s="19"/>
      <c r="G281" s="19"/>
    </row>
    <row r="282" customFormat="false" ht="15" hidden="false" customHeight="false" outlineLevel="0" collapsed="false">
      <c r="A282" s="12" t="n">
        <v>45474</v>
      </c>
      <c r="B282" s="13" t="n">
        <v>147.856475215175</v>
      </c>
      <c r="C282" s="21" t="n">
        <f aca="false">IFERROR((B282/B281-1)*100,"")</f>
        <v>1.02292412967093</v>
      </c>
      <c r="D282" s="21" t="n">
        <f aca="false">IFERROR((B282/B278-1)*100,"")</f>
        <v>2.14760131656826</v>
      </c>
      <c r="E282" s="14"/>
      <c r="F282" s="14"/>
      <c r="G282" s="14"/>
    </row>
    <row r="283" customFormat="false" ht="15" hidden="false" customHeight="false" outlineLevel="0" collapsed="false">
      <c r="A283" s="16" t="n">
        <v>45566</v>
      </c>
      <c r="B283" s="17" t="n">
        <v>148.404986601099</v>
      </c>
      <c r="C283" s="18" t="n">
        <f aca="false">IFERROR((B283/B282-1)*100,"")</f>
        <v>0.370975559322351</v>
      </c>
      <c r="D283" s="18" t="n">
        <f aca="false">IFERROR((B283/B279-1)*100,"")</f>
        <v>1.41943266855737</v>
      </c>
      <c r="E283" s="19"/>
      <c r="F283" s="19"/>
      <c r="G283" s="19"/>
    </row>
    <row r="284" customFormat="false" ht="15" hidden="false" customHeight="false" outlineLevel="0" collapsed="false">
      <c r="A284" s="12" t="n">
        <v>45658</v>
      </c>
      <c r="B284" s="13" t="n">
        <v>149.609638743469</v>
      </c>
      <c r="C284" s="21" t="n">
        <f aca="false">IFERROR((B284/B283-1)*100,"")</f>
        <v>0.811732927552034</v>
      </c>
      <c r="D284" s="21" t="n">
        <f aca="false">IFERROR((B284/B280-1)*100,"")</f>
        <v>2.18765444735571</v>
      </c>
      <c r="E284" s="14"/>
      <c r="F284" s="14"/>
      <c r="G284" s="14"/>
    </row>
    <row r="285" customFormat="false" ht="15" hidden="false" customHeight="false" outlineLevel="0" collapsed="false">
      <c r="A285" s="16" t="n">
        <v>45748</v>
      </c>
      <c r="B285" s="17" t="n">
        <v>150.13576653794</v>
      </c>
      <c r="C285" s="18" t="n">
        <f aca="false">IFERROR((B285/B284-1)*100,"")</f>
        <v>0.351667044242077</v>
      </c>
      <c r="D285" s="18" t="n">
        <f aca="false">IFERROR((B285/B281-1)*100,"")</f>
        <v>2.58024973231334</v>
      </c>
      <c r="E285" s="19"/>
      <c r="F285" s="19"/>
      <c r="G285" s="19"/>
    </row>
    <row r="286" customFormat="false" ht="15" hidden="false" customHeight="false" outlineLevel="0" collapsed="false">
      <c r="A286" s="12" t="n">
        <v>45839</v>
      </c>
      <c r="B286" s="13" t="n">
        <v>149.910211184277</v>
      </c>
      <c r="C286" s="21" t="n">
        <f aca="false">IFERROR((B286/B285-1)*100,"")</f>
        <v>-0.150234257208792</v>
      </c>
      <c r="D286" s="21" t="n">
        <f aca="false">IFERROR((B286/B282-1)*100,"")</f>
        <v>1.38900644433237</v>
      </c>
      <c r="E286" s="14"/>
      <c r="F286" s="14"/>
      <c r="G286" s="14"/>
    </row>
    <row r="287" customFormat="false" ht="15" hidden="false" customHeight="false" outlineLevel="0" collapsed="false">
      <c r="A287" s="16" t="n">
        <v>45931</v>
      </c>
      <c r="B287" s="17" t="n">
        <v>151.453024308581</v>
      </c>
      <c r="C287" s="18" t="n">
        <f aca="false">IFERROR((B287/B286-1)*100,"")</f>
        <v>1.02915812879973</v>
      </c>
      <c r="D287" s="18" t="n">
        <f aca="false">IFERROR((B287/B283-1)*100,"")</f>
        <v>2.05386475029603</v>
      </c>
      <c r="E287" s="19"/>
      <c r="F287" s="19"/>
      <c r="G287" s="19"/>
    </row>
    <row r="288" customFormat="false" ht="15" hidden="false" customHeight="false" outlineLevel="0" collapsed="false">
      <c r="A288" s="12" t="n">
        <v>46023</v>
      </c>
      <c r="B288" s="14"/>
      <c r="C288" s="21" t="n">
        <f aca="false">IFERROR((B288/B287-1)*100,"")</f>
        <v>-100</v>
      </c>
      <c r="D288" s="21" t="n">
        <f aca="false">IFERROR((B288/B284-1)*100,"")</f>
        <v>-100</v>
      </c>
      <c r="E288" s="13" t="n">
        <v>152.143005972282</v>
      </c>
      <c r="F288" s="13" t="n">
        <v>151.272365559007</v>
      </c>
      <c r="G288" s="22" t="n">
        <f aca="false">152.848625-149.696106</f>
        <v>3.15251900000001</v>
      </c>
    </row>
    <row r="289" customFormat="false" ht="15" hidden="false" customHeight="false" outlineLevel="0" collapsed="false">
      <c r="A289" s="16" t="n">
        <v>46113</v>
      </c>
      <c r="B289" s="19"/>
      <c r="C289" s="18" t="str">
        <f aca="false">IFERROR((B289/B288-1)*100,"")</f>
        <v/>
      </c>
      <c r="D289" s="18" t="n">
        <f aca="false">IFERROR((B289/B285-1)*100,"")</f>
        <v>-100</v>
      </c>
      <c r="E289" s="17" t="n">
        <v>152.910238071314</v>
      </c>
      <c r="F289" s="17" t="n">
        <v>151.528798260806</v>
      </c>
      <c r="G289" s="23" t="n">
        <f aca="false">153.757966-149.299631</f>
        <v>4.45833500000001</v>
      </c>
    </row>
    <row r="290" customFormat="false" ht="15" hidden="false" customHeight="false" outlineLevel="0" collapsed="false">
      <c r="A290" s="12" t="n">
        <v>46204</v>
      </c>
      <c r="B290" s="14"/>
      <c r="C290" s="21" t="str">
        <f aca="false">IFERROR((B290/B289-1)*100,"")</f>
        <v/>
      </c>
      <c r="D290" s="21" t="n">
        <f aca="false">IFERROR((B290/B286-1)*100,"")</f>
        <v>-100</v>
      </c>
      <c r="E290" s="13" t="n">
        <v>153.681339195347</v>
      </c>
      <c r="F290" s="13" t="n">
        <v>151.985955521909</v>
      </c>
      <c r="G290" s="22" t="n">
        <f aca="false">154.716117-149.255794</f>
        <v>5.46032299999999</v>
      </c>
    </row>
    <row r="291" customFormat="false" ht="15" hidden="false" customHeight="false" outlineLevel="0" collapsed="false">
      <c r="A291" s="16" t="n">
        <v>46296</v>
      </c>
      <c r="B291" s="19"/>
      <c r="C291" s="18" t="str">
        <f aca="false">IFERROR((B291/B290-1)*100,"")</f>
        <v/>
      </c>
      <c r="D291" s="18" t="n">
        <f aca="false">IFERROR((B291/B287-1)*100,"")</f>
        <v>-100</v>
      </c>
      <c r="E291" s="17" t="n">
        <v>154.456328855236</v>
      </c>
      <c r="F291" s="17" t="n">
        <v>152.902859018146</v>
      </c>
      <c r="G291" s="23" t="n">
        <f aca="false">156.055378-149.75034</f>
        <v>6.305038</v>
      </c>
    </row>
    <row r="292" customFormat="false" ht="15" hidden="false" customHeight="false" outlineLevel="0" collapsed="false">
      <c r="A292" s="12" t="n">
        <v>46388</v>
      </c>
      <c r="B292" s="14"/>
      <c r="C292" s="21" t="str">
        <f aca="false">IFERROR((B292/B291-1)*100,"")</f>
        <v/>
      </c>
      <c r="D292" s="21" t="str">
        <f aca="false">IFERROR((B292/B288-1)*100,"")</f>
        <v/>
      </c>
      <c r="E292" s="13" t="n">
        <v>155.235226660227</v>
      </c>
      <c r="F292" s="13" t="n">
        <v>152.852356018051</v>
      </c>
      <c r="G292" s="22" t="n">
        <f aca="false">156.37698-149.327732</f>
        <v>7.04924800000001</v>
      </c>
    </row>
    <row r="293" customFormat="false" ht="15" hidden="false" customHeight="false" outlineLevel="0" collapsed="false">
      <c r="A293" s="16" t="n">
        <v>46478</v>
      </c>
      <c r="B293" s="19"/>
      <c r="C293" s="18" t="str">
        <f aca="false">IFERROR((B293/B292-1)*100,"")</f>
        <v/>
      </c>
      <c r="D293" s="18" t="str">
        <f aca="false">IFERROR((B293/B289-1)*100,"")</f>
        <v/>
      </c>
      <c r="E293" s="17" t="n">
        <v>156.018052318449</v>
      </c>
      <c r="F293" s="17" t="n">
        <v>153.029789196898</v>
      </c>
      <c r="G293" s="23" t="n">
        <f aca="false">156.890821-149.168757</f>
        <v>7.72206399999999</v>
      </c>
    </row>
    <row r="294" customFormat="false" ht="15" hidden="false" customHeight="false" outlineLevel="0" collapsed="false">
      <c r="A294" s="12" t="n">
        <v>46569</v>
      </c>
      <c r="B294" s="14"/>
      <c r="C294" s="21" t="str">
        <f aca="false">IFERROR((B294/B293-1)*100,"")</f>
        <v/>
      </c>
      <c r="D294" s="21" t="str">
        <f aca="false">IFERROR((B294/B290-1)*100,"")</f>
        <v/>
      </c>
      <c r="E294" s="13" t="n">
        <v>156.804825637422</v>
      </c>
      <c r="F294" s="13" t="n">
        <v>153.411896911197</v>
      </c>
      <c r="G294" s="22" t="n">
        <f aca="false">157.582288-149.241506</f>
        <v>8.34078200000002</v>
      </c>
    </row>
    <row r="295" customFormat="false" ht="15" hidden="false" customHeight="false" outlineLevel="0" collapsed="false">
      <c r="A295" s="16" t="n">
        <v>46661</v>
      </c>
      <c r="B295" s="19"/>
      <c r="C295" s="18" t="str">
        <f aca="false">IFERROR((B295/B294-1)*100,"")</f>
        <v/>
      </c>
      <c r="D295" s="18" t="str">
        <f aca="false">IFERROR((B295/B291-1)*100,"")</f>
        <v/>
      </c>
      <c r="E295" s="17" t="n">
        <v>157.595566524545</v>
      </c>
      <c r="F295" s="17" t="n">
        <v>154.257503337969</v>
      </c>
      <c r="G295" s="23" t="n">
        <f aca="false">158.715839-149.799168</f>
        <v>8.91667099999998</v>
      </c>
    </row>
  </sheetData>
  <mergeCells count="9">
    <mergeCell ref="A4:N4"/>
    <mergeCell ref="A6:G6"/>
    <mergeCell ref="I6:L6"/>
    <mergeCell ref="A102:N102"/>
    <mergeCell ref="A104:G104"/>
    <mergeCell ref="I104:L104"/>
    <mergeCell ref="A200:N200"/>
    <mergeCell ref="A202:G202"/>
    <mergeCell ref="I202:L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106</v>
      </c>
    </row>
    <row r="4" customFormat="false" ht="21.75" hidden="false" customHeight="true" outlineLevel="0" collapsed="false">
      <c r="A4" s="9" t="s">
        <v>130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108</v>
      </c>
      <c r="B5" s="10" t="s">
        <v>109</v>
      </c>
      <c r="D5" s="5" t="s">
        <v>110</v>
      </c>
      <c r="E5" s="2" t="s">
        <v>131</v>
      </c>
      <c r="H5" s="5" t="s">
        <v>112</v>
      </c>
      <c r="I5" s="2" t="s">
        <v>113</v>
      </c>
    </row>
    <row r="6" customFormat="false" ht="18" hidden="false" customHeight="true" outlineLevel="0" collapsed="false">
      <c r="A6" s="11" t="s">
        <v>114</v>
      </c>
      <c r="B6" s="11"/>
      <c r="C6" s="11"/>
      <c r="D6" s="11"/>
      <c r="E6" s="11"/>
      <c r="F6" s="11"/>
      <c r="G6" s="11"/>
      <c r="I6" s="11" t="s">
        <v>115</v>
      </c>
      <c r="J6" s="11"/>
      <c r="K6" s="11"/>
      <c r="L6" s="11"/>
    </row>
    <row r="7" customFormat="false" ht="15" hidden="false" customHeight="false" outlineLevel="0" collapsed="false">
      <c r="A7" s="6" t="s">
        <v>116</v>
      </c>
      <c r="B7" s="6" t="s">
        <v>117</v>
      </c>
      <c r="C7" s="6" t="s">
        <v>118</v>
      </c>
      <c r="D7" s="6" t="s">
        <v>119</v>
      </c>
      <c r="E7" s="6" t="s">
        <v>120</v>
      </c>
      <c r="F7" s="6" t="s">
        <v>121</v>
      </c>
      <c r="G7" s="6" t="s">
        <v>122</v>
      </c>
      <c r="I7" s="6" t="s">
        <v>123</v>
      </c>
      <c r="J7" s="6" t="s">
        <v>117</v>
      </c>
      <c r="K7" s="6" t="s">
        <v>119</v>
      </c>
      <c r="L7" s="6" t="s">
        <v>124</v>
      </c>
    </row>
    <row r="8" customFormat="false" ht="15" hidden="false" customHeight="false" outlineLevel="0" collapsed="false">
      <c r="A8" s="12" t="n">
        <v>38353</v>
      </c>
      <c r="B8" s="13" t="n">
        <v>99.4054976229968</v>
      </c>
      <c r="C8" s="14"/>
      <c r="D8" s="14"/>
      <c r="E8" s="14"/>
      <c r="F8" s="14"/>
      <c r="G8" s="14"/>
      <c r="I8" s="15" t="n">
        <v>2005</v>
      </c>
      <c r="J8" s="13" t="n">
        <v>100.668238970021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100.904743178861</v>
      </c>
      <c r="C9" s="18" t="n">
        <f aca="false">IFERROR((B9/B8-1)*100,"")</f>
        <v>1.50821191152821</v>
      </c>
      <c r="D9" s="19"/>
      <c r="E9" s="19"/>
      <c r="F9" s="19"/>
      <c r="G9" s="19"/>
      <c r="I9" s="20" t="n">
        <v>2006</v>
      </c>
      <c r="J9" s="17" t="n">
        <v>102.743004775907</v>
      </c>
      <c r="K9" s="18" t="n">
        <f aca="false">IFERROR((J9/J8-1)*100,"")</f>
        <v>2.06099344452044</v>
      </c>
      <c r="L9" s="19"/>
    </row>
    <row r="10" customFormat="false" ht="15" hidden="false" customHeight="false" outlineLevel="0" collapsed="false">
      <c r="A10" s="12" t="n">
        <v>38534</v>
      </c>
      <c r="B10" s="13" t="n">
        <v>100.853138578767</v>
      </c>
      <c r="C10" s="21" t="n">
        <f aca="false">IFERROR((B10/B9-1)*100,"")</f>
        <v>-0.0511418972665378</v>
      </c>
      <c r="D10" s="14"/>
      <c r="E10" s="14"/>
      <c r="F10" s="14"/>
      <c r="G10" s="14"/>
      <c r="I10" s="15" t="n">
        <v>2007</v>
      </c>
      <c r="J10" s="13" t="n">
        <v>104.940289162606</v>
      </c>
      <c r="K10" s="21" t="n">
        <f aca="false">IFERROR((J10/J9-1)*100,"")</f>
        <v>2.13862188622156</v>
      </c>
      <c r="L10" s="14"/>
    </row>
    <row r="11" customFormat="false" ht="15" hidden="false" customHeight="false" outlineLevel="0" collapsed="false">
      <c r="A11" s="16" t="n">
        <v>38626</v>
      </c>
      <c r="B11" s="17" t="n">
        <v>101.509576499459</v>
      </c>
      <c r="C11" s="18" t="n">
        <f aca="false">IFERROR((B11/B10-1)*100,"")</f>
        <v>0.650884969909993</v>
      </c>
      <c r="D11" s="19"/>
      <c r="E11" s="19"/>
      <c r="F11" s="19"/>
      <c r="G11" s="19"/>
      <c r="I11" s="20" t="n">
        <v>2008</v>
      </c>
      <c r="J11" s="17" t="n">
        <v>107.466193243327</v>
      </c>
      <c r="K11" s="18" t="n">
        <f aca="false">IFERROR((J11/J10-1)*100,"")</f>
        <v>2.40699172917864</v>
      </c>
      <c r="L11" s="19"/>
    </row>
    <row r="12" customFormat="false" ht="15" hidden="false" customHeight="false" outlineLevel="0" collapsed="false">
      <c r="A12" s="12" t="n">
        <v>38718</v>
      </c>
      <c r="B12" s="13" t="n">
        <v>102.189969918829</v>
      </c>
      <c r="C12" s="21" t="n">
        <f aca="false">IFERROR((B12/B11-1)*100,"")</f>
        <v>0.670275103919216</v>
      </c>
      <c r="D12" s="21" t="n">
        <f aca="false">IFERROR((B12/B8-1)*100,"")</f>
        <v>2.80112505084182</v>
      </c>
      <c r="E12" s="14"/>
      <c r="F12" s="14"/>
      <c r="G12" s="14"/>
      <c r="I12" s="15" t="n">
        <v>2009</v>
      </c>
      <c r="J12" s="13" t="n">
        <v>108.975381003108</v>
      </c>
      <c r="K12" s="21" t="n">
        <f aca="false">IFERROR((J12/J11-1)*100,"")</f>
        <v>1.40433722851276</v>
      </c>
      <c r="L12" s="14"/>
    </row>
    <row r="13" customFormat="false" ht="15" hidden="false" customHeight="false" outlineLevel="0" collapsed="false">
      <c r="A13" s="16" t="n">
        <v>38808</v>
      </c>
      <c r="B13" s="17" t="n">
        <v>101.993196020582</v>
      </c>
      <c r="C13" s="18" t="n">
        <f aca="false">IFERROR((B13/B12-1)*100,"")</f>
        <v>-0.192556958773049</v>
      </c>
      <c r="D13" s="18" t="n">
        <f aca="false">IFERROR((B13/B9-1)*100,"")</f>
        <v>1.07869343643405</v>
      </c>
      <c r="E13" s="19"/>
      <c r="F13" s="19"/>
      <c r="G13" s="19"/>
      <c r="I13" s="20" t="n">
        <v>2010</v>
      </c>
      <c r="J13" s="17" t="n">
        <v>111.397166463899</v>
      </c>
      <c r="K13" s="18" t="n">
        <f aca="false">IFERROR((J13/J12-1)*100,"")</f>
        <v>2.22232346287674</v>
      </c>
      <c r="L13" s="19"/>
    </row>
    <row r="14" customFormat="false" ht="15" hidden="false" customHeight="false" outlineLevel="0" collapsed="false">
      <c r="A14" s="12" t="n">
        <v>38899</v>
      </c>
      <c r="B14" s="13" t="n">
        <v>102.676150270966</v>
      </c>
      <c r="C14" s="21" t="n">
        <f aca="false">IFERROR((B14/B13-1)*100,"")</f>
        <v>0.669607657207427</v>
      </c>
      <c r="D14" s="21" t="n">
        <f aca="false">IFERROR((B14/B10-1)*100,"")</f>
        <v>1.80759044080241</v>
      </c>
      <c r="E14" s="14"/>
      <c r="F14" s="14"/>
      <c r="G14" s="14"/>
      <c r="I14" s="15" t="n">
        <v>2011</v>
      </c>
      <c r="J14" s="13" t="n">
        <v>113.817214651162</v>
      </c>
      <c r="K14" s="21" t="n">
        <f aca="false">IFERROR((J14/J13-1)*100,"")</f>
        <v>2.17245039894869</v>
      </c>
      <c r="L14" s="14"/>
    </row>
    <row r="15" customFormat="false" ht="15" hidden="false" customHeight="false" outlineLevel="0" collapsed="false">
      <c r="A15" s="16" t="n">
        <v>38991</v>
      </c>
      <c r="B15" s="17" t="n">
        <v>104.112702893252</v>
      </c>
      <c r="C15" s="18" t="n">
        <f aca="false">IFERROR((B15/B14-1)*100,"")</f>
        <v>1.39911032746669</v>
      </c>
      <c r="D15" s="18" t="n">
        <f aca="false">IFERROR((B15/B11-1)*100,"")</f>
        <v>2.56441459373784</v>
      </c>
      <c r="E15" s="19"/>
      <c r="F15" s="19"/>
      <c r="G15" s="19"/>
      <c r="I15" s="20" t="n">
        <v>2012</v>
      </c>
      <c r="J15" s="17" t="n">
        <v>116.033725597095</v>
      </c>
      <c r="K15" s="18" t="n">
        <f aca="false">IFERROR((J15/J14-1)*100,"")</f>
        <v>1.94743031862648</v>
      </c>
      <c r="L15" s="19"/>
    </row>
    <row r="16" customFormat="false" ht="15" hidden="false" customHeight="false" outlineLevel="0" collapsed="false">
      <c r="A16" s="12" t="n">
        <v>39083</v>
      </c>
      <c r="B16" s="13" t="n">
        <v>104.966351172628</v>
      </c>
      <c r="C16" s="21" t="n">
        <f aca="false">IFERROR((B16/B15-1)*100,"")</f>
        <v>0.819927113265373</v>
      </c>
      <c r="D16" s="21" t="n">
        <f aca="false">IFERROR((B16/B12-1)*100,"")</f>
        <v>2.71688234765548</v>
      </c>
      <c r="E16" s="14"/>
      <c r="F16" s="14"/>
      <c r="G16" s="14"/>
      <c r="I16" s="15" t="n">
        <v>2013</v>
      </c>
      <c r="J16" s="13" t="n">
        <v>117.958724364585</v>
      </c>
      <c r="K16" s="21" t="n">
        <f aca="false">IFERROR((J16/J15-1)*100,"")</f>
        <v>1.65899936211174</v>
      </c>
      <c r="L16" s="14"/>
    </row>
    <row r="17" customFormat="false" ht="15" hidden="false" customHeight="false" outlineLevel="0" collapsed="false">
      <c r="A17" s="16" t="n">
        <v>39173</v>
      </c>
      <c r="B17" s="17" t="n">
        <v>103.801539245141</v>
      </c>
      <c r="C17" s="18" t="n">
        <f aca="false">IFERROR((B17/B16-1)*100,"")</f>
        <v>-1.10970031298063</v>
      </c>
      <c r="D17" s="18" t="n">
        <f aca="false">IFERROR((B17/B13-1)*100,"")</f>
        <v>1.77300378369747</v>
      </c>
      <c r="E17" s="19"/>
      <c r="F17" s="19"/>
      <c r="G17" s="19"/>
      <c r="I17" s="20" t="n">
        <v>2014</v>
      </c>
      <c r="J17" s="17" t="n">
        <v>120.28593708282</v>
      </c>
      <c r="K17" s="18" t="n">
        <f aca="false">IFERROR((J17/J16-1)*100,"")</f>
        <v>1.97290427712824</v>
      </c>
      <c r="L17" s="19"/>
    </row>
    <row r="18" customFormat="false" ht="15" hidden="false" customHeight="false" outlineLevel="0" collapsed="false">
      <c r="A18" s="12" t="n">
        <v>39264</v>
      </c>
      <c r="B18" s="13" t="n">
        <v>104.899333109669</v>
      </c>
      <c r="C18" s="21" t="n">
        <f aca="false">IFERROR((B18/B17-1)*100,"")</f>
        <v>1.05758919618351</v>
      </c>
      <c r="D18" s="21" t="n">
        <f aca="false">IFERROR((B18/B14-1)*100,"")</f>
        <v>2.16523782089242</v>
      </c>
      <c r="E18" s="14"/>
      <c r="F18" s="14"/>
      <c r="G18" s="14"/>
      <c r="I18" s="15" t="n">
        <v>2015</v>
      </c>
      <c r="J18" s="13" t="n">
        <v>123.000972980171</v>
      </c>
      <c r="K18" s="21" t="n">
        <f aca="false">IFERROR((J18/J17-1)*100,"")</f>
        <v>2.25715155337032</v>
      </c>
      <c r="L18" s="14"/>
    </row>
    <row r="19" customFormat="false" ht="15" hidden="false" customHeight="false" outlineLevel="0" collapsed="false">
      <c r="A19" s="16" t="n">
        <v>39356</v>
      </c>
      <c r="B19" s="17" t="n">
        <v>106.093933122988</v>
      </c>
      <c r="C19" s="18" t="n">
        <f aca="false">IFERROR((B19/B18-1)*100,"")</f>
        <v>1.13880610858563</v>
      </c>
      <c r="D19" s="18" t="n">
        <f aca="false">IFERROR((B19/B15-1)*100,"")</f>
        <v>1.9029668567599</v>
      </c>
      <c r="E19" s="19"/>
      <c r="F19" s="19"/>
      <c r="G19" s="19"/>
      <c r="I19" s="20" t="n">
        <v>2016</v>
      </c>
      <c r="J19" s="17" t="n">
        <v>125.928029644714</v>
      </c>
      <c r="K19" s="18" t="n">
        <f aca="false">IFERROR((J19/J18-1)*100,"")</f>
        <v>2.37970204106805</v>
      </c>
      <c r="L19" s="19"/>
    </row>
    <row r="20" customFormat="false" ht="15" hidden="false" customHeight="false" outlineLevel="0" collapsed="false">
      <c r="A20" s="12" t="n">
        <v>39448</v>
      </c>
      <c r="B20" s="13" t="n">
        <v>106.772135776956</v>
      </c>
      <c r="C20" s="21" t="n">
        <f aca="false">IFERROR((B20/B19-1)*100,"")</f>
        <v>0.639247348085492</v>
      </c>
      <c r="D20" s="21" t="n">
        <f aca="false">IFERROR((B20/B16-1)*100,"")</f>
        <v>1.72034617204024</v>
      </c>
      <c r="E20" s="14"/>
      <c r="F20" s="14"/>
      <c r="G20" s="14"/>
      <c r="I20" s="15" t="n">
        <v>2017</v>
      </c>
      <c r="J20" s="13" t="n">
        <v>128.061132533063</v>
      </c>
      <c r="K20" s="21" t="n">
        <f aca="false">IFERROR((J20/J19-1)*100,"")</f>
        <v>1.69390634822708</v>
      </c>
      <c r="L20" s="14"/>
    </row>
    <row r="21" customFormat="false" ht="15" hidden="false" customHeight="false" outlineLevel="0" collapsed="false">
      <c r="A21" s="16" t="n">
        <v>39539</v>
      </c>
      <c r="B21" s="17" t="n">
        <v>107.590267261119</v>
      </c>
      <c r="C21" s="18" t="n">
        <f aca="false">IFERROR((B21/B20-1)*100,"")</f>
        <v>0.766240628427295</v>
      </c>
      <c r="D21" s="18" t="n">
        <f aca="false">IFERROR((B21/B17-1)*100,"")</f>
        <v>3.64997286507538</v>
      </c>
      <c r="E21" s="19"/>
      <c r="F21" s="19"/>
      <c r="G21" s="19"/>
      <c r="I21" s="20" t="n">
        <v>2018</v>
      </c>
      <c r="J21" s="17" t="n">
        <v>130.644134369698</v>
      </c>
      <c r="K21" s="18" t="n">
        <f aca="false">IFERROR((J21/J20-1)*100,"")</f>
        <v>2.01700686659805</v>
      </c>
      <c r="L21" s="19"/>
    </row>
    <row r="22" customFormat="false" ht="15" hidden="false" customHeight="false" outlineLevel="0" collapsed="false">
      <c r="A22" s="12" t="n">
        <v>39630</v>
      </c>
      <c r="B22" s="13" t="n">
        <v>106.539202744953</v>
      </c>
      <c r="C22" s="21" t="n">
        <f aca="false">IFERROR((B22/B21-1)*100,"")</f>
        <v>-0.976914123295825</v>
      </c>
      <c r="D22" s="21" t="n">
        <f aca="false">IFERROR((B22/B18-1)*100,"")</f>
        <v>1.56327937144212</v>
      </c>
      <c r="E22" s="14"/>
      <c r="F22" s="14"/>
      <c r="G22" s="14"/>
      <c r="I22" s="15" t="n">
        <v>2019</v>
      </c>
      <c r="J22" s="13" t="n">
        <v>133.147330374414</v>
      </c>
      <c r="K22" s="21" t="n">
        <f aca="false">IFERROR((J22/J21-1)*100,"")</f>
        <v>1.91604163232659</v>
      </c>
      <c r="L22" s="14"/>
    </row>
    <row r="23" customFormat="false" ht="15" hidden="false" customHeight="false" outlineLevel="0" collapsed="false">
      <c r="A23" s="16" t="n">
        <v>39722</v>
      </c>
      <c r="B23" s="17" t="n">
        <v>108.963167190278</v>
      </c>
      <c r="C23" s="18" t="n">
        <f aca="false">IFERROR((B23/B22-1)*100,"")</f>
        <v>2.27518545556182</v>
      </c>
      <c r="D23" s="18" t="n">
        <f aca="false">IFERROR((B23/B19-1)*100,"")</f>
        <v>2.70442803168007</v>
      </c>
      <c r="E23" s="19"/>
      <c r="F23" s="19"/>
      <c r="G23" s="19"/>
      <c r="I23" s="20" t="n">
        <v>2020</v>
      </c>
      <c r="J23" s="17" t="n">
        <v>136.096607000901</v>
      </c>
      <c r="K23" s="18" t="n">
        <f aca="false">IFERROR((J23/J22-1)*100,"")</f>
        <v>2.21504751029868</v>
      </c>
      <c r="L23" s="19"/>
    </row>
    <row r="24" customFormat="false" ht="15" hidden="false" customHeight="false" outlineLevel="0" collapsed="false">
      <c r="A24" s="12" t="n">
        <v>39814</v>
      </c>
      <c r="B24" s="13" t="n">
        <v>107.879218143571</v>
      </c>
      <c r="C24" s="21" t="n">
        <f aca="false">IFERROR((B24/B23-1)*100,"")</f>
        <v>-0.994784820097738</v>
      </c>
      <c r="D24" s="21" t="n">
        <f aca="false">IFERROR((B24/B20-1)*100,"")</f>
        <v>1.03686449517855</v>
      </c>
      <c r="E24" s="14"/>
      <c r="F24" s="14"/>
      <c r="G24" s="14"/>
      <c r="I24" s="15" t="n">
        <v>2021</v>
      </c>
      <c r="J24" s="13" t="n">
        <v>139.05960333726</v>
      </c>
      <c r="K24" s="21" t="n">
        <f aca="false">IFERROR((J24/J23-1)*100,"")</f>
        <v>2.17712726397308</v>
      </c>
      <c r="L24" s="14"/>
    </row>
    <row r="25" customFormat="false" ht="15" hidden="false" customHeight="false" outlineLevel="0" collapsed="false">
      <c r="A25" s="16" t="n">
        <v>39904</v>
      </c>
      <c r="B25" s="17" t="n">
        <v>109.382310539531</v>
      </c>
      <c r="C25" s="18" t="n">
        <f aca="false">IFERROR((B25/B24-1)*100,"")</f>
        <v>1.3933104279259</v>
      </c>
      <c r="D25" s="18" t="n">
        <f aca="false">IFERROR((B25/B21-1)*100,"")</f>
        <v>1.66561839098565</v>
      </c>
      <c r="E25" s="19"/>
      <c r="F25" s="19"/>
      <c r="G25" s="19"/>
      <c r="I25" s="20" t="n">
        <v>2022</v>
      </c>
      <c r="J25" s="17" t="n">
        <v>141.304105422453</v>
      </c>
      <c r="K25" s="18" t="n">
        <f aca="false">IFERROR((J25/J24-1)*100,"")</f>
        <v>1.6140575920879</v>
      </c>
      <c r="L25" s="19"/>
    </row>
    <row r="26" customFormat="false" ht="15" hidden="false" customHeight="false" outlineLevel="0" collapsed="false">
      <c r="A26" s="12" t="n">
        <v>39995</v>
      </c>
      <c r="B26" s="13" t="n">
        <v>109.308409509224</v>
      </c>
      <c r="C26" s="21" t="n">
        <f aca="false">IFERROR((B26/B25-1)*100,"")</f>
        <v>-0.0675621404798266</v>
      </c>
      <c r="D26" s="21" t="n">
        <f aca="false">IFERROR((B26/B22-1)*100,"")</f>
        <v>2.59923736326417</v>
      </c>
      <c r="E26" s="14"/>
      <c r="F26" s="14"/>
      <c r="G26" s="14"/>
      <c r="I26" s="15" t="n">
        <v>2023</v>
      </c>
      <c r="J26" s="13" t="n">
        <v>143.920140105797</v>
      </c>
      <c r="K26" s="21" t="n">
        <f aca="false">IFERROR((J26/J25-1)*100,"")</f>
        <v>1.85135079799941</v>
      </c>
      <c r="L26" s="14"/>
    </row>
    <row r="27" customFormat="false" ht="15" hidden="false" customHeight="false" outlineLevel="0" collapsed="false">
      <c r="A27" s="16" t="n">
        <v>40087</v>
      </c>
      <c r="B27" s="17" t="n">
        <v>109.331585820106</v>
      </c>
      <c r="C27" s="18" t="n">
        <f aca="false">IFERROR((B27/B26-1)*100,"")</f>
        <v>0.0212026787203889</v>
      </c>
      <c r="D27" s="18" t="n">
        <f aca="false">IFERROR((B27/B23-1)*100,"")</f>
        <v>0.338112996646967</v>
      </c>
      <c r="E27" s="19"/>
      <c r="F27" s="19"/>
      <c r="G27" s="19"/>
      <c r="I27" s="20" t="n">
        <v>2024</v>
      </c>
      <c r="J27" s="17" t="n">
        <v>147.073674843206</v>
      </c>
      <c r="K27" s="18" t="n">
        <f aca="false">IFERROR((J27/J26-1)*100,"")</f>
        <v>2.19116986343328</v>
      </c>
      <c r="L27" s="19"/>
    </row>
    <row r="28" customFormat="false" ht="15" hidden="false" customHeight="false" outlineLevel="0" collapsed="false">
      <c r="A28" s="12" t="n">
        <v>40179</v>
      </c>
      <c r="B28" s="13" t="n">
        <v>109.91537473197</v>
      </c>
      <c r="C28" s="21" t="n">
        <f aca="false">IFERROR((B28/B27-1)*100,"")</f>
        <v>0.533961807545791</v>
      </c>
      <c r="D28" s="21" t="n">
        <f aca="false">IFERROR((B28/B24-1)*100,"")</f>
        <v>1.88744099506615</v>
      </c>
      <c r="E28" s="14"/>
      <c r="F28" s="14"/>
      <c r="G28" s="14"/>
      <c r="I28" s="15" t="n">
        <v>2025</v>
      </c>
      <c r="J28" s="13" t="n">
        <v>149.857962144888</v>
      </c>
      <c r="K28" s="21" t="n">
        <f aca="false">IFERROR((J28/J27-1)*100,"")</f>
        <v>1.89312418055094</v>
      </c>
      <c r="L28" s="14"/>
    </row>
    <row r="29" customFormat="false" ht="15" hidden="false" customHeight="false" outlineLevel="0" collapsed="false">
      <c r="A29" s="16" t="n">
        <v>40269</v>
      </c>
      <c r="B29" s="17" t="n">
        <v>110.513715988107</v>
      </c>
      <c r="C29" s="18" t="n">
        <f aca="false">IFERROR((B29/B28-1)*100,"")</f>
        <v>0.54436538800533</v>
      </c>
      <c r="D29" s="18" t="n">
        <f aca="false">IFERROR((B29/B25-1)*100,"")</f>
        <v>1.03435870297108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151.288145610471</v>
      </c>
    </row>
    <row r="30" customFormat="false" ht="15" hidden="false" customHeight="false" outlineLevel="0" collapsed="false">
      <c r="A30" s="12" t="n">
        <v>40360</v>
      </c>
      <c r="B30" s="13" t="n">
        <v>112.884289473836</v>
      </c>
      <c r="C30" s="21" t="n">
        <f aca="false">IFERROR((B30/B29-1)*100,"")</f>
        <v>2.14504911406987</v>
      </c>
      <c r="D30" s="21" t="n">
        <f aca="false">IFERROR((B30/B26-1)*100,"")</f>
        <v>3.27136766573313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152.649585544397</v>
      </c>
    </row>
    <row r="31" customFormat="false" ht="15" hidden="false" customHeight="false" outlineLevel="0" collapsed="false">
      <c r="A31" s="16" t="n">
        <v>40452</v>
      </c>
      <c r="B31" s="17" t="n">
        <v>112.275285661685</v>
      </c>
      <c r="C31" s="18" t="n">
        <f aca="false">IFERROR((B31/B30-1)*100,"")</f>
        <v>-0.539493861359464</v>
      </c>
      <c r="D31" s="18" t="n">
        <f aca="false">IFERROR((B31/B27-1)*100,"")</f>
        <v>2.69245142608858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112.935055846178</v>
      </c>
      <c r="C32" s="21" t="n">
        <f aca="false">IFERROR((B32/B31-1)*100,"")</f>
        <v>0.587636166413819</v>
      </c>
      <c r="D32" s="21" t="n">
        <f aca="false">IFERROR((B32/B28-1)*100,"")</f>
        <v>2.74727818703364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113.804691230271</v>
      </c>
      <c r="C33" s="18" t="n">
        <f aca="false">IFERROR((B33/B32-1)*100,"")</f>
        <v>0.770031393333071</v>
      </c>
      <c r="D33" s="18" t="n">
        <f aca="false">IFERROR((B33/B29-1)*100,"")</f>
        <v>2.9778885025624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113.433838074506</v>
      </c>
      <c r="C34" s="21" t="n">
        <f aca="false">IFERROR((B34/B33-1)*100,"")</f>
        <v>-0.325868074291791</v>
      </c>
      <c r="D34" s="21" t="n">
        <f aca="false">IFERROR((B34/B30-1)*100,"")</f>
        <v>0.486824697423716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115.095273453693</v>
      </c>
      <c r="C35" s="18" t="n">
        <f aca="false">IFERROR((B35/B34-1)*100,"")</f>
        <v>1.46467351135218</v>
      </c>
      <c r="D35" s="18" t="n">
        <f aca="false">IFERROR((B35/B31-1)*100,"")</f>
        <v>2.51167278300699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114.667760883079</v>
      </c>
      <c r="C36" s="21" t="n">
        <f aca="false">IFERROR((B36/B35-1)*100,"")</f>
        <v>-0.371442334498995</v>
      </c>
      <c r="D36" s="21" t="n">
        <f aca="false">IFERROR((B36/B32-1)*100,"")</f>
        <v>1.53424906369286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115.89285719595</v>
      </c>
      <c r="C37" s="18" t="n">
        <f aca="false">IFERROR((B37/B36-1)*100,"")</f>
        <v>1.06838775209064</v>
      </c>
      <c r="D37" s="18" t="n">
        <f aca="false">IFERROR((B37/B33-1)*100,"")</f>
        <v>1.83486809120497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116.971935254515</v>
      </c>
      <c r="C38" s="21" t="n">
        <f aca="false">IFERROR((B38/B37-1)*100,"")</f>
        <v>0.931099711123706</v>
      </c>
      <c r="D38" s="21" t="n">
        <f aca="false">IFERROR((B38/B34-1)*100,"")</f>
        <v>3.11908442847981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116.602349054836</v>
      </c>
      <c r="C39" s="18" t="n">
        <f aca="false">IFERROR((B39/B38-1)*100,"")</f>
        <v>-0.315961430299017</v>
      </c>
      <c r="D39" s="18" t="n">
        <f aca="false">IFERROR((B39/B35-1)*100,"")</f>
        <v>1.30941571788286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116.574565744228</v>
      </c>
      <c r="C40" s="21" t="n">
        <f aca="false">IFERROR((B40/B39-1)*100,"")</f>
        <v>-0.0238274021348683</v>
      </c>
      <c r="D40" s="21" t="n">
        <f aca="false">IFERROR((B40/B36-1)*100,"")</f>
        <v>1.6628953477984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118.429076269527</v>
      </c>
      <c r="C41" s="18" t="n">
        <f aca="false">IFERROR((B41/B40-1)*100,"")</f>
        <v>1.59083631447363</v>
      </c>
      <c r="D41" s="18" t="n">
        <f aca="false">IFERROR((B41/B37-1)*100,"")</f>
        <v>2.18841707327035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118.456602946177</v>
      </c>
      <c r="C42" s="21" t="n">
        <f aca="false">IFERROR((B42/B41-1)*100,"")</f>
        <v>0.0232431743255823</v>
      </c>
      <c r="D42" s="21" t="n">
        <f aca="false">IFERROR((B42/B38-1)*100,"")</f>
        <v>1.26925119981265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118.374652498409</v>
      </c>
      <c r="C43" s="18" t="n">
        <f aca="false">IFERROR((B43/B42-1)*100,"")</f>
        <v>-0.0691818317673953</v>
      </c>
      <c r="D43" s="18" t="n">
        <f aca="false">IFERROR((B43/B39-1)*100,"")</f>
        <v>1.51995517923873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119.342119881816</v>
      </c>
      <c r="C44" s="21" t="n">
        <f aca="false">IFERROR((B44/B43-1)*100,"")</f>
        <v>0.817292691457316</v>
      </c>
      <c r="D44" s="21" t="n">
        <f aca="false">IFERROR((B44/B40-1)*100,"")</f>
        <v>2.37406343306541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120.096736799445</v>
      </c>
      <c r="C45" s="18" t="n">
        <f aca="false">IFERROR((B45/B44-1)*100,"")</f>
        <v>0.632313988033229</v>
      </c>
      <c r="D45" s="18" t="n">
        <f aca="false">IFERROR((B45/B41-1)*100,"")</f>
        <v>1.40815126018727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120.7440953907</v>
      </c>
      <c r="C46" s="21" t="n">
        <f aca="false">IFERROR((B46/B45-1)*100,"")</f>
        <v>0.539030958298614</v>
      </c>
      <c r="D46" s="21" t="n">
        <f aca="false">IFERROR((B46/B42-1)*100,"")</f>
        <v>1.93108057096891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120.960796259319</v>
      </c>
      <c r="C47" s="18" t="n">
        <f aca="false">IFERROR((B47/B46-1)*100,"")</f>
        <v>0.179471193119563</v>
      </c>
      <c r="D47" s="18" t="n">
        <f aca="false">IFERROR((B47/B43-1)*100,"")</f>
        <v>2.18471075211379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121.944382305743</v>
      </c>
      <c r="C48" s="21" t="n">
        <f aca="false">IFERROR((B48/B47-1)*100,"")</f>
        <v>0.813144487173978</v>
      </c>
      <c r="D48" s="21" t="n">
        <f aca="false">IFERROR((B48/B44-1)*100,"")</f>
        <v>2.18050628437303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121.887478305079</v>
      </c>
      <c r="C49" s="18" t="n">
        <f aca="false">IFERROR((B49/B48-1)*100,"")</f>
        <v>-0.0466638967601907</v>
      </c>
      <c r="D49" s="18" t="n">
        <f aca="false">IFERROR((B49/B45-1)*100,"")</f>
        <v>1.49108256673565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123.424564468475</v>
      </c>
      <c r="C50" s="21" t="n">
        <f aca="false">IFERROR((B50/B49-1)*100,"")</f>
        <v>1.26106978729033</v>
      </c>
      <c r="D50" s="21" t="n">
        <f aca="false">IFERROR((B50/B46-1)*100,"")</f>
        <v>2.2199587227032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124.747466841385</v>
      </c>
      <c r="C51" s="18" t="n">
        <f aca="false">IFERROR((B51/B50-1)*100,"")</f>
        <v>1.07183069967283</v>
      </c>
      <c r="D51" s="18" t="n">
        <f aca="false">IFERROR((B51/B47-1)*100,"")</f>
        <v>3.13049409326676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124.667554412525</v>
      </c>
      <c r="C52" s="21" t="n">
        <f aca="false">IFERROR((B52/B51-1)*100,"")</f>
        <v>-0.0640593599882111</v>
      </c>
      <c r="D52" s="21" t="n">
        <f aca="false">IFERROR((B52/B48-1)*100,"")</f>
        <v>2.23312632799622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125.870284033089</v>
      </c>
      <c r="C53" s="18" t="n">
        <f aca="false">IFERROR((B53/B52-1)*100,"")</f>
        <v>0.964749510192497</v>
      </c>
      <c r="D53" s="18" t="n">
        <f aca="false">IFERROR((B53/B49-1)*100,"")</f>
        <v>3.2676086037656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126.58574487134</v>
      </c>
      <c r="C54" s="21" t="n">
        <f aca="false">IFERROR((B54/B53-1)*100,"")</f>
        <v>0.568411236811461</v>
      </c>
      <c r="D54" s="21" t="n">
        <f aca="false">IFERROR((B54/B50-1)*100,"")</f>
        <v>2.56122467717708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126.5885352619</v>
      </c>
      <c r="C55" s="18" t="n">
        <f aca="false">IFERROR((B55/B54-1)*100,"")</f>
        <v>0.002204348177548</v>
      </c>
      <c r="D55" s="18" t="n">
        <f aca="false">IFERROR((B55/B51-1)*100,"")</f>
        <v>1.47583631726591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127.759325756516</v>
      </c>
      <c r="C56" s="21" t="n">
        <f aca="false">IFERROR((B56/B55-1)*100,"")</f>
        <v>0.924878775312577</v>
      </c>
      <c r="D56" s="21" t="n">
        <f aca="false">IFERROR((B56/B52-1)*100,"")</f>
        <v>2.48001282976982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127.455476105162</v>
      </c>
      <c r="C57" s="18" t="n">
        <f aca="false">IFERROR((B57/B56-1)*100,"")</f>
        <v>-0.237829723627214</v>
      </c>
      <c r="D57" s="18" t="n">
        <f aca="false">IFERROR((B57/B53-1)*100,"")</f>
        <v>1.25938547310791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127.862349037164</v>
      </c>
      <c r="C58" s="21" t="n">
        <f aca="false">IFERROR((B58/B57-1)*100,"")</f>
        <v>0.319227501584152</v>
      </c>
      <c r="D58" s="21" t="n">
        <f aca="false">IFERROR((B58/B54-1)*100,"")</f>
        <v>1.00848967403242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129.167379233409</v>
      </c>
      <c r="C59" s="18" t="n">
        <f aca="false">IFERROR((B59/B58-1)*100,"")</f>
        <v>1.02065244856795</v>
      </c>
      <c r="D59" s="18" t="n">
        <f aca="false">IFERROR((B59/B55-1)*100,"")</f>
        <v>2.03718604230099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129.342605276314</v>
      </c>
      <c r="C60" s="21" t="n">
        <f aca="false">IFERROR((B60/B59-1)*100,"")</f>
        <v>0.135658123548787</v>
      </c>
      <c r="D60" s="21" t="n">
        <f aca="false">IFERROR((B60/B56-1)*100,"")</f>
        <v>1.23926727886379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130.532211513407</v>
      </c>
      <c r="C61" s="18" t="n">
        <f aca="false">IFERROR((B61/B60-1)*100,"")</f>
        <v>0.919732701032539</v>
      </c>
      <c r="D61" s="18" t="n">
        <f aca="false">IFERROR((B61/B57-1)*100,"")</f>
        <v>2.41396878523079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130.78625640809</v>
      </c>
      <c r="C62" s="21" t="n">
        <f aca="false">IFERROR((B62/B61-1)*100,"")</f>
        <v>0.194622378443521</v>
      </c>
      <c r="D62" s="21" t="n">
        <f aca="false">IFERROR((B62/B58-1)*100,"")</f>
        <v>2.2867618129522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131.91546428098</v>
      </c>
      <c r="C63" s="18" t="n">
        <f aca="false">IFERROR((B63/B62-1)*100,"")</f>
        <v>0.863399491584915</v>
      </c>
      <c r="D63" s="18" t="n">
        <f aca="false">IFERROR((B63/B59-1)*100,"")</f>
        <v>2.12753797737566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132.473790155458</v>
      </c>
      <c r="C64" s="21" t="n">
        <f aca="false">IFERROR((B64/B63-1)*100,"")</f>
        <v>0.423245202919098</v>
      </c>
      <c r="D64" s="21" t="n">
        <f aca="false">IFERROR((B64/B60-1)*100,"")</f>
        <v>2.42084568534473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132.487103456155</v>
      </c>
      <c r="C65" s="18" t="n">
        <f aca="false">IFERROR((B65/B64-1)*100,"")</f>
        <v>0.0100497620560747</v>
      </c>
      <c r="D65" s="18" t="n">
        <f aca="false">IFERROR((B65/B61-1)*100,"")</f>
        <v>1.49763182595501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133.537107476751</v>
      </c>
      <c r="C66" s="21" t="n">
        <f aca="false">IFERROR((B66/B65-1)*100,"")</f>
        <v>0.792533003744844</v>
      </c>
      <c r="D66" s="21" t="n">
        <f aca="false">IFERROR((B66/B62-1)*100,"")</f>
        <v>2.10331814994196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134.091320409292</v>
      </c>
      <c r="C67" s="18" t="n">
        <f aca="false">IFERROR((B67/B66-1)*100,"")</f>
        <v>0.415025413544545</v>
      </c>
      <c r="D67" s="18" t="n">
        <f aca="false">IFERROR((B67/B63-1)*100,"")</f>
        <v>1.64943218762952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134.939743201766</v>
      </c>
      <c r="C68" s="21" t="n">
        <f aca="false">IFERROR((B68/B67-1)*100,"")</f>
        <v>0.63272014168041</v>
      </c>
      <c r="D68" s="21" t="n">
        <f aca="false">IFERROR((B68/B64-1)*100,"")</f>
        <v>1.86146485536098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136.479221619225</v>
      </c>
      <c r="C69" s="18" t="n">
        <f aca="false">IFERROR((B69/B68-1)*100,"")</f>
        <v>1.14086360395484</v>
      </c>
      <c r="D69" s="18" t="n">
        <f aca="false">IFERROR((B69/B65-1)*100,"")</f>
        <v>3.01321265159324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135.82723364422</v>
      </c>
      <c r="C70" s="21" t="n">
        <f aca="false">IFERROR((B70/B69-1)*100,"")</f>
        <v>-0.477719587839198</v>
      </c>
      <c r="D70" s="21" t="n">
        <f aca="false">IFERROR((B70/B66-1)*100,"")</f>
        <v>1.71497362099737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137.140229538394</v>
      </c>
      <c r="C71" s="18" t="n">
        <f aca="false">IFERROR((B71/B70-1)*100,"")</f>
        <v>0.966666152984619</v>
      </c>
      <c r="D71" s="18" t="n">
        <f aca="false">IFERROR((B71/B67-1)*100,"")</f>
        <v>2.27375576569466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137.954697556695</v>
      </c>
      <c r="C72" s="21" t="n">
        <f aca="false">IFERROR((B72/B71-1)*100,"")</f>
        <v>0.593894308797838</v>
      </c>
      <c r="D72" s="21" t="n">
        <f aca="false">IFERROR((B72/B68-1)*100,"")</f>
        <v>2.23429679306588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138.860774129718</v>
      </c>
      <c r="C73" s="18" t="n">
        <f aca="false">IFERROR((B73/B72-1)*100,"")</f>
        <v>0.656792837845144</v>
      </c>
      <c r="D73" s="18" t="n">
        <f aca="false">IFERROR((B73/B69-1)*100,"")</f>
        <v>1.74499274119331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139.333096713024</v>
      </c>
      <c r="C74" s="21" t="n">
        <f aca="false">IFERROR((B74/B73-1)*100,"")</f>
        <v>0.340141113475534</v>
      </c>
      <c r="D74" s="21" t="n">
        <f aca="false">IFERROR((B74/B70-1)*100,"")</f>
        <v>2.58111939317474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140.089844949605</v>
      </c>
      <c r="C75" s="18" t="n">
        <f aca="false">IFERROR((B75/B74-1)*100,"")</f>
        <v>0.543121666304547</v>
      </c>
      <c r="D75" s="18" t="n">
        <f aca="false">IFERROR((B75/B71-1)*100,"")</f>
        <v>2.15080244589019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139.947029678021</v>
      </c>
      <c r="C76" s="21" t="n">
        <f aca="false">IFERROR((B76/B75-1)*100,"")</f>
        <v>-0.101945484796173</v>
      </c>
      <c r="D76" s="21" t="n">
        <f aca="false">IFERROR((B76/B72-1)*100,"")</f>
        <v>1.44419302612551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140.558208524716</v>
      </c>
      <c r="C77" s="18" t="n">
        <f aca="false">IFERROR((B77/B76-1)*100,"")</f>
        <v>0.436721556792841</v>
      </c>
      <c r="D77" s="18" t="n">
        <f aca="false">IFERROR((B77/B73-1)*100,"")</f>
        <v>1.22240021030886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141.700225870233</v>
      </c>
      <c r="C78" s="21" t="n">
        <f aca="false">IFERROR((B78/B77-1)*100,"")</f>
        <v>0.812487123664574</v>
      </c>
      <c r="D78" s="21" t="n">
        <f aca="false">IFERROR((B78/B74-1)*100,"")</f>
        <v>1.69889940943819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143.010957616841</v>
      </c>
      <c r="C79" s="18" t="n">
        <f aca="false">IFERROR((B79/B78-1)*100,"")</f>
        <v>0.92500328673284</v>
      </c>
      <c r="D79" s="18" t="n">
        <f aca="false">IFERROR((B79/B75-1)*100,"")</f>
        <v>2.08517089035707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142.331280773609</v>
      </c>
      <c r="C80" s="21" t="n">
        <f aca="false">IFERROR((B80/B79-1)*100,"")</f>
        <v>-0.475262074010518</v>
      </c>
      <c r="D80" s="21" t="n">
        <f aca="false">IFERROR((B80/B76-1)*100,"")</f>
        <v>1.70368110068002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143.131238039634</v>
      </c>
      <c r="C81" s="18" t="n">
        <f aca="false">IFERROR((B81/B80-1)*100,"")</f>
        <v>0.562038971108247</v>
      </c>
      <c r="D81" s="18" t="n">
        <f aca="false">IFERROR((B81/B77-1)*100,"")</f>
        <v>1.83057933216688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144.752087709236</v>
      </c>
      <c r="C82" s="21" t="n">
        <f aca="false">IFERROR((B82/B81-1)*100,"")</f>
        <v>1.13242202876285</v>
      </c>
      <c r="D82" s="21" t="n">
        <f aca="false">IFERROR((B82/B78-1)*100,"")</f>
        <v>2.15374521830136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145.465953900711</v>
      </c>
      <c r="C83" s="18" t="n">
        <f aca="false">IFERROR((B83/B82-1)*100,"")</f>
        <v>0.493164694736259</v>
      </c>
      <c r="D83" s="18" t="n">
        <f aca="false">IFERROR((B83/B79-1)*100,"")</f>
        <v>1.71664907695255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145.282414601446</v>
      </c>
      <c r="C84" s="21" t="n">
        <f aca="false">IFERROR((B84/B83-1)*100,"")</f>
        <v>-0.126173372079952</v>
      </c>
      <c r="D84" s="21" t="n">
        <f aca="false">IFERROR((B84/B80-1)*100,"")</f>
        <v>2.07342603242069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146.868227636007</v>
      </c>
      <c r="C85" s="18" t="n">
        <f aca="false">IFERROR((B85/B84-1)*100,"")</f>
        <v>1.09153818713061</v>
      </c>
      <c r="D85" s="18" t="n">
        <f aca="false">IFERROR((B85/B81-1)*100,"")</f>
        <v>2.61088330371182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147.704741306481</v>
      </c>
      <c r="C86" s="21" t="n">
        <f aca="false">IFERROR((B86/B85-1)*100,"")</f>
        <v>0.56956748504331</v>
      </c>
      <c r="D86" s="21" t="n">
        <f aca="false">IFERROR((B86/B82-1)*100,"")</f>
        <v>2.03980035381328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148.439315828892</v>
      </c>
      <c r="C87" s="18" t="n">
        <f aca="false">IFERROR((B87/B86-1)*100,"")</f>
        <v>0.497326298339651</v>
      </c>
      <c r="D87" s="18" t="n">
        <f aca="false">IFERROR((B87/B83-1)*100,"")</f>
        <v>2.04402600639506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149.517757565734</v>
      </c>
      <c r="C88" s="21" t="n">
        <f aca="false">IFERROR((B88/B87-1)*100,"")</f>
        <v>0.7265202825947</v>
      </c>
      <c r="D88" s="21" t="n">
        <f aca="false">IFERROR((B88/B84-1)*100,"")</f>
        <v>2.91524819153546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149.296269211539</v>
      </c>
      <c r="C89" s="18" t="n">
        <f aca="false">IFERROR((B89/B88-1)*100,"")</f>
        <v>-0.14813514983204</v>
      </c>
      <c r="D89" s="18" t="n">
        <f aca="false">IFERROR((B89/B85-1)*100,"")</f>
        <v>1.65321091880373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150.069564577863</v>
      </c>
      <c r="C90" s="21" t="n">
        <f aca="false">IFERROR((B90/B89-1)*100,"")</f>
        <v>0.517960274833929</v>
      </c>
      <c r="D90" s="21" t="n">
        <f aca="false">IFERROR((B90/B86-1)*100,"")</f>
        <v>1.60104763764888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150.548257224416</v>
      </c>
      <c r="C91" s="18" t="n">
        <f aca="false">IFERROR((B91/B90-1)*100,"")</f>
        <v>0.318980499409882</v>
      </c>
      <c r="D91" s="18" t="n">
        <f aca="false">IFERROR((B91/B87-1)*100,"")</f>
        <v>1.42074313920633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151.73756660099</v>
      </c>
      <c r="F92" s="13" t="n">
        <v>150.370982003912</v>
      </c>
      <c r="G92" s="22" t="n">
        <f aca="false">152.155042-148.586922</f>
        <v>3.56812000000002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152.479948015414</v>
      </c>
      <c r="F93" s="17" t="n">
        <v>150.954800098096</v>
      </c>
      <c r="G93" s="23" t="n">
        <f aca="false">153.477842-148.431758</f>
        <v>5.04608400000001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153.22596155718</v>
      </c>
      <c r="F94" s="13" t="n">
        <v>151.619227068522</v>
      </c>
      <c r="G94" s="22" t="n">
        <f aca="false">154.70931-148.529145</f>
        <v>6.18016499999999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153.9756249966</v>
      </c>
      <c r="F95" s="17" t="n">
        <v>152.207573271356</v>
      </c>
      <c r="G95" s="23" t="n">
        <f aca="false">155.775693-148.639453</f>
        <v>7.13623999999999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154.728956190927</v>
      </c>
      <c r="F96" s="13" t="n">
        <v>151.838891228805</v>
      </c>
      <c r="G96" s="22" t="n">
        <f aca="false">155.828171-147.849612</f>
        <v>7.97855899999999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155.485973084782</v>
      </c>
      <c r="F97" s="17" t="n">
        <v>152.349313861744</v>
      </c>
      <c r="G97" s="23" t="n">
        <f aca="false">156.71935-147.979277</f>
        <v>8.740073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156.24669371058</v>
      </c>
      <c r="F98" s="13" t="n">
        <v>152.944015143989</v>
      </c>
      <c r="G98" s="22" t="n">
        <f aca="false">157.664194-148.223836</f>
        <v>9.440358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157.011136188961</v>
      </c>
      <c r="F99" s="17" t="n">
        <v>153.466121943049</v>
      </c>
      <c r="G99" s="23" t="n">
        <f aca="false">158.512206-148.420038</f>
        <v>10.092168</v>
      </c>
    </row>
    <row r="102" customFormat="false" ht="21.75" hidden="false" customHeight="true" outlineLevel="0" collapsed="false">
      <c r="A102" s="9" t="s">
        <v>132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108</v>
      </c>
      <c r="B103" s="10" t="s">
        <v>109</v>
      </c>
      <c r="D103" s="5" t="s">
        <v>110</v>
      </c>
      <c r="E103" s="2" t="s">
        <v>133</v>
      </c>
      <c r="H103" s="5" t="s">
        <v>112</v>
      </c>
      <c r="I103" s="2" t="s">
        <v>113</v>
      </c>
    </row>
    <row r="104" customFormat="false" ht="18" hidden="false" customHeight="true" outlineLevel="0" collapsed="false">
      <c r="A104" s="11" t="s">
        <v>114</v>
      </c>
      <c r="B104" s="11"/>
      <c r="C104" s="11"/>
      <c r="D104" s="11"/>
      <c r="E104" s="11"/>
      <c r="F104" s="11"/>
      <c r="G104" s="11"/>
      <c r="I104" s="11" t="s">
        <v>115</v>
      </c>
      <c r="J104" s="11"/>
      <c r="K104" s="11"/>
      <c r="L104" s="11"/>
    </row>
    <row r="105" customFormat="false" ht="15" hidden="false" customHeight="false" outlineLevel="0" collapsed="false">
      <c r="A105" s="6" t="s">
        <v>116</v>
      </c>
      <c r="B105" s="6" t="s">
        <v>117</v>
      </c>
      <c r="C105" s="6" t="s">
        <v>118</v>
      </c>
      <c r="D105" s="6" t="s">
        <v>119</v>
      </c>
      <c r="E105" s="6" t="s">
        <v>120</v>
      </c>
      <c r="F105" s="6" t="s">
        <v>121</v>
      </c>
      <c r="G105" s="6" t="s">
        <v>122</v>
      </c>
      <c r="I105" s="6" t="s">
        <v>123</v>
      </c>
      <c r="J105" s="6" t="s">
        <v>117</v>
      </c>
      <c r="K105" s="6" t="s">
        <v>119</v>
      </c>
      <c r="L105" s="6" t="s">
        <v>124</v>
      </c>
    </row>
    <row r="106" customFormat="false" ht="15" hidden="false" customHeight="false" outlineLevel="0" collapsed="false">
      <c r="A106" s="12" t="n">
        <v>38353</v>
      </c>
      <c r="B106" s="13" t="n">
        <v>99.2203619641395</v>
      </c>
      <c r="C106" s="14"/>
      <c r="D106" s="14"/>
      <c r="E106" s="14"/>
      <c r="F106" s="14"/>
      <c r="G106" s="14"/>
      <c r="I106" s="15" t="n">
        <v>2005</v>
      </c>
      <c r="J106" s="13" t="n">
        <v>100.898399196798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100.557803205695</v>
      </c>
      <c r="C107" s="18" t="n">
        <f aca="false">IFERROR((B107/B106-1)*100,"")</f>
        <v>1.34795037538631</v>
      </c>
      <c r="D107" s="19"/>
      <c r="E107" s="19"/>
      <c r="F107" s="19"/>
      <c r="G107" s="19"/>
      <c r="I107" s="20" t="n">
        <v>2006</v>
      </c>
      <c r="J107" s="17" t="n">
        <v>102.46883533497</v>
      </c>
      <c r="K107" s="18" t="n">
        <f aca="false">IFERROR((J107/J106-1)*100,"")</f>
        <v>1.55645297712734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101.46453977146</v>
      </c>
      <c r="C108" s="21" t="n">
        <f aca="false">IFERROR((B108/B107-1)*100,"")</f>
        <v>0.901706816237757</v>
      </c>
      <c r="D108" s="14"/>
      <c r="E108" s="14"/>
      <c r="F108" s="14"/>
      <c r="G108" s="14"/>
      <c r="I108" s="15" t="n">
        <v>2007</v>
      </c>
      <c r="J108" s="13" t="n">
        <v>105.078330269915</v>
      </c>
      <c r="K108" s="21" t="n">
        <f aca="false">IFERROR((J108/J107-1)*100,"")</f>
        <v>2.54662300631601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102.350891845898</v>
      </c>
      <c r="C109" s="18" t="n">
        <f aca="false">IFERROR((B109/B108-1)*100,"")</f>
        <v>0.873558463316182</v>
      </c>
      <c r="D109" s="19"/>
      <c r="E109" s="19"/>
      <c r="F109" s="19"/>
      <c r="G109" s="19"/>
      <c r="I109" s="20" t="n">
        <v>2008</v>
      </c>
      <c r="J109" s="17" t="n">
        <v>107.134211049396</v>
      </c>
      <c r="K109" s="18" t="n">
        <f aca="false">IFERROR((J109/J108-1)*100,"")</f>
        <v>1.95652212420996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100.77787367319</v>
      </c>
      <c r="C110" s="21" t="n">
        <f aca="false">IFERROR((B110/B109-1)*100,"")</f>
        <v>-1.53688760726851</v>
      </c>
      <c r="D110" s="21" t="n">
        <f aca="false">IFERROR((B110/B106-1)*100,"")</f>
        <v>1.56975007772386</v>
      </c>
      <c r="E110" s="14"/>
      <c r="F110" s="14"/>
      <c r="G110" s="14"/>
      <c r="I110" s="15" t="n">
        <v>2009</v>
      </c>
      <c r="J110" s="13" t="n">
        <v>109.411352115146</v>
      </c>
      <c r="K110" s="21" t="n">
        <f aca="false">IFERROR((J110/J109-1)*100,"")</f>
        <v>2.12550318282541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102.453808671493</v>
      </c>
      <c r="C111" s="18" t="n">
        <f aca="false">IFERROR((B111/B110-1)*100,"")</f>
        <v>1.6629989671521</v>
      </c>
      <c r="D111" s="18" t="n">
        <f aca="false">IFERROR((B111/B107-1)*100,"")</f>
        <v>1.88548815244038</v>
      </c>
      <c r="E111" s="19"/>
      <c r="F111" s="19"/>
      <c r="G111" s="19"/>
      <c r="I111" s="20" t="n">
        <v>2010</v>
      </c>
      <c r="J111" s="17" t="n">
        <v>111.145417953822</v>
      </c>
      <c r="K111" s="18" t="n">
        <f aca="false">IFERROR((J111/J110-1)*100,"")</f>
        <v>1.5849048614732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102.833576443317</v>
      </c>
      <c r="C112" s="21" t="n">
        <f aca="false">IFERROR((B112/B111-1)*100,"")</f>
        <v>0.37067218559117</v>
      </c>
      <c r="D112" s="21" t="n">
        <f aca="false">IFERROR((B112/B108-1)*100,"")</f>
        <v>1.34927598838042</v>
      </c>
      <c r="E112" s="14"/>
      <c r="F112" s="14"/>
      <c r="G112" s="14"/>
      <c r="I112" s="15" t="n">
        <v>2011</v>
      </c>
      <c r="J112" s="13" t="n">
        <v>113.868814429821</v>
      </c>
      <c r="K112" s="21" t="n">
        <f aca="false">IFERROR((J112/J111-1)*100,"")</f>
        <v>2.45030026980553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103.810082551883</v>
      </c>
      <c r="C113" s="18" t="n">
        <f aca="false">IFERROR((B113/B112-1)*100,"")</f>
        <v>0.949598508911498</v>
      </c>
      <c r="D113" s="18" t="n">
        <f aca="false">IFERROR((B113/B109-1)*100,"")</f>
        <v>1.42567463718997</v>
      </c>
      <c r="E113" s="19"/>
      <c r="F113" s="19"/>
      <c r="G113" s="19"/>
      <c r="I113" s="20" t="n">
        <v>2012</v>
      </c>
      <c r="J113" s="17" t="n">
        <v>115.950758537728</v>
      </c>
      <c r="K113" s="18" t="n">
        <f aca="false">IFERROR((J113/J112-1)*100,"")</f>
        <v>1.82837076009941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103.644281829077</v>
      </c>
      <c r="C114" s="21" t="n">
        <f aca="false">IFERROR((B114/B113-1)*100,"")</f>
        <v>-0.159715432962138</v>
      </c>
      <c r="D114" s="21" t="n">
        <f aca="false">IFERROR((B114/B110-1)*100,"")</f>
        <v>2.844283225485</v>
      </c>
      <c r="E114" s="14"/>
      <c r="F114" s="14"/>
      <c r="G114" s="14"/>
      <c r="I114" s="15" t="n">
        <v>2013</v>
      </c>
      <c r="J114" s="13" t="n">
        <v>118.681315601732</v>
      </c>
      <c r="K114" s="21" t="n">
        <f aca="false">IFERROR((J114/J113-1)*100,"")</f>
        <v>2.3549281595393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104.616466045875</v>
      </c>
      <c r="C115" s="18" t="n">
        <f aca="false">IFERROR((B115/B114-1)*100,"")</f>
        <v>0.938000823240648</v>
      </c>
      <c r="D115" s="18" t="n">
        <f aca="false">IFERROR((B115/B111-1)*100,"")</f>
        <v>2.11086088689678</v>
      </c>
      <c r="E115" s="19"/>
      <c r="F115" s="19"/>
      <c r="G115" s="19"/>
      <c r="I115" s="20" t="n">
        <v>2014</v>
      </c>
      <c r="J115" s="17" t="n">
        <v>120.363345832038</v>
      </c>
      <c r="K115" s="18" t="n">
        <f aca="false">IFERROR((J115/J114-1)*100,"")</f>
        <v>1.41726624934824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105.905288695275</v>
      </c>
      <c r="C116" s="21" t="n">
        <f aca="false">IFERROR((B116/B115-1)*100,"")</f>
        <v>1.231950091714</v>
      </c>
      <c r="D116" s="21" t="n">
        <f aca="false">IFERROR((B116/B112-1)*100,"")</f>
        <v>2.98707130316709</v>
      </c>
      <c r="E116" s="14"/>
      <c r="F116" s="14"/>
      <c r="G116" s="14"/>
      <c r="I116" s="15" t="n">
        <v>2015</v>
      </c>
      <c r="J116" s="13" t="n">
        <v>122.809477262391</v>
      </c>
      <c r="K116" s="21" t="n">
        <f aca="false">IFERROR((J116/J115-1)*100,"")</f>
        <v>2.03228932649169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106.147284509432</v>
      </c>
      <c r="C117" s="18" t="n">
        <f aca="false">IFERROR((B117/B116-1)*100,"")</f>
        <v>0.228502105171535</v>
      </c>
      <c r="D117" s="18" t="n">
        <f aca="false">IFERROR((B117/B113-1)*100,"")</f>
        <v>2.25142096036886</v>
      </c>
      <c r="E117" s="19"/>
      <c r="F117" s="19"/>
      <c r="G117" s="19"/>
      <c r="I117" s="20" t="n">
        <v>2016</v>
      </c>
      <c r="J117" s="17" t="n">
        <v>125.737594104062</v>
      </c>
      <c r="K117" s="18" t="n">
        <f aca="false">IFERROR((J117/J116-1)*100,"")</f>
        <v>2.38427595894286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106.484814610122</v>
      </c>
      <c r="C118" s="21" t="n">
        <f aca="false">IFERROR((B118/B117-1)*100,"")</f>
        <v>0.317982793671945</v>
      </c>
      <c r="D118" s="21" t="n">
        <f aca="false">IFERROR((B118/B114-1)*100,"")</f>
        <v>2.74065556817675</v>
      </c>
      <c r="E118" s="14"/>
      <c r="F118" s="14"/>
      <c r="G118" s="14"/>
      <c r="I118" s="15" t="n">
        <v>2017</v>
      </c>
      <c r="J118" s="13" t="n">
        <v>127.797548047267</v>
      </c>
      <c r="K118" s="21" t="n">
        <f aca="false">IFERROR((J118/J117-1)*100,"")</f>
        <v>1.63829597494982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106.537277218559</v>
      </c>
      <c r="C119" s="18" t="n">
        <f aca="false">IFERROR((B119/B118-1)*100,"")</f>
        <v>0.0492676900727851</v>
      </c>
      <c r="D119" s="18" t="n">
        <f aca="false">IFERROR((B119/B115-1)*100,"")</f>
        <v>1.83605052367302</v>
      </c>
      <c r="E119" s="19"/>
      <c r="F119" s="19"/>
      <c r="G119" s="19"/>
      <c r="I119" s="20" t="n">
        <v>2018</v>
      </c>
      <c r="J119" s="17" t="n">
        <v>130.700555903539</v>
      </c>
      <c r="K119" s="18" t="n">
        <f aca="false">IFERROR((J119/J118-1)*100,"")</f>
        <v>2.27156772616459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107.595471059927</v>
      </c>
      <c r="C120" s="21" t="n">
        <f aca="false">IFERROR((B120/B119-1)*100,"")</f>
        <v>0.993261578477678</v>
      </c>
      <c r="D120" s="21" t="n">
        <f aca="false">IFERROR((B120/B116-1)*100,"")</f>
        <v>1.59593763963461</v>
      </c>
      <c r="E120" s="14"/>
      <c r="F120" s="14"/>
      <c r="G120" s="14"/>
      <c r="I120" s="15" t="n">
        <v>2019</v>
      </c>
      <c r="J120" s="13" t="n">
        <v>133.192182369358</v>
      </c>
      <c r="K120" s="21" t="n">
        <f aca="false">IFERROR((J120/J119-1)*100,"")</f>
        <v>1.90636256180778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107.919281308977</v>
      </c>
      <c r="C121" s="18" t="n">
        <f aca="false">IFERROR((B121/B120-1)*100,"")</f>
        <v>0.300951560376972</v>
      </c>
      <c r="D121" s="18" t="n">
        <f aca="false">IFERROR((B121/B117-1)*100,"")</f>
        <v>1.66937553582658</v>
      </c>
      <c r="E121" s="19"/>
      <c r="F121" s="19"/>
      <c r="G121" s="19"/>
      <c r="I121" s="20" t="n">
        <v>2020</v>
      </c>
      <c r="J121" s="17" t="n">
        <v>136.077601930017</v>
      </c>
      <c r="K121" s="18" t="n">
        <f aca="false">IFERROR((J121/J120-1)*100,"")</f>
        <v>2.1663580469437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108.377721600031</v>
      </c>
      <c r="C122" s="21" t="n">
        <f aca="false">IFERROR((B122/B121-1)*100,"")</f>
        <v>0.424799243929064</v>
      </c>
      <c r="D122" s="21" t="n">
        <f aca="false">IFERROR((B122/B118-1)*100,"")</f>
        <v>1.77763092027674</v>
      </c>
      <c r="E122" s="14"/>
      <c r="F122" s="14"/>
      <c r="G122" s="14"/>
      <c r="I122" s="15" t="n">
        <v>2021</v>
      </c>
      <c r="J122" s="13" t="n">
        <v>138.608041306442</v>
      </c>
      <c r="K122" s="21" t="n">
        <f aca="false">IFERROR((J122/J121-1)*100,"")</f>
        <v>1.85955612131272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108.721659313786</v>
      </c>
      <c r="C123" s="18" t="n">
        <f aca="false">IFERROR((B123/B122-1)*100,"")</f>
        <v>0.317350935854055</v>
      </c>
      <c r="D123" s="18" t="n">
        <f aca="false">IFERROR((B123/B119-1)*100,"")</f>
        <v>2.05034533663369</v>
      </c>
      <c r="E123" s="19"/>
      <c r="F123" s="19"/>
      <c r="G123" s="19"/>
      <c r="I123" s="20" t="n">
        <v>2022</v>
      </c>
      <c r="J123" s="17" t="n">
        <v>141.716243308106</v>
      </c>
      <c r="K123" s="18" t="n">
        <f aca="false">IFERROR((J123/J122-1)*100,"")</f>
        <v>2.24243988470483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109.760638674345</v>
      </c>
      <c r="C124" s="21" t="n">
        <f aca="false">IFERROR((B124/B123-1)*100,"")</f>
        <v>0.95563236168108</v>
      </c>
      <c r="D124" s="21" t="n">
        <f aca="false">IFERROR((B124/B120-1)*100,"")</f>
        <v>2.01232225956081</v>
      </c>
      <c r="E124" s="14"/>
      <c r="F124" s="14"/>
      <c r="G124" s="14"/>
      <c r="I124" s="15" t="n">
        <v>2023</v>
      </c>
      <c r="J124" s="13" t="n">
        <v>144.438031902216</v>
      </c>
      <c r="K124" s="21" t="n">
        <f aca="false">IFERROR((J124/J123-1)*100,"")</f>
        <v>1.92059042109434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110.785388872421</v>
      </c>
      <c r="C125" s="18" t="n">
        <f aca="false">IFERROR((B125/B124-1)*100,"")</f>
        <v>0.933622663327216</v>
      </c>
      <c r="D125" s="18" t="n">
        <f aca="false">IFERROR((B125/B121-1)*100,"")</f>
        <v>2.65578822308781</v>
      </c>
      <c r="E125" s="19"/>
      <c r="F125" s="19"/>
      <c r="G125" s="19"/>
      <c r="I125" s="20" t="n">
        <v>2024</v>
      </c>
      <c r="J125" s="17" t="n">
        <v>147.680414750552</v>
      </c>
      <c r="K125" s="18" t="n">
        <f aca="false">IFERROR((J125/J124-1)*100,"")</f>
        <v>2.24482624530002</v>
      </c>
      <c r="L125" s="19"/>
    </row>
    <row r="126" customFormat="false" ht="15" hidden="false" customHeight="false" outlineLevel="0" collapsed="false">
      <c r="A126" s="12" t="n">
        <v>40179</v>
      </c>
      <c r="B126" s="13" t="n">
        <v>110.42717469802</v>
      </c>
      <c r="C126" s="21" t="n">
        <f aca="false">IFERROR((B126/B125-1)*100,"")</f>
        <v>-0.323340630066393</v>
      </c>
      <c r="D126" s="21" t="n">
        <f aca="false">IFERROR((B126/B122-1)*100,"")</f>
        <v>1.89102803392798</v>
      </c>
      <c r="E126" s="14"/>
      <c r="F126" s="14"/>
      <c r="G126" s="14"/>
      <c r="I126" s="15" t="n">
        <v>2025</v>
      </c>
      <c r="J126" s="13" t="n">
        <v>150.040841725733</v>
      </c>
      <c r="K126" s="21" t="n">
        <f aca="false">IFERROR((J126/J125-1)*100,"")</f>
        <v>1.59833447053106</v>
      </c>
      <c r="L126" s="14"/>
    </row>
    <row r="127" customFormat="false" ht="15" hidden="false" customHeight="false" outlineLevel="0" collapsed="false">
      <c r="A127" s="16" t="n">
        <v>40269</v>
      </c>
      <c r="B127" s="17" t="n">
        <v>111.801745757223</v>
      </c>
      <c r="C127" s="18" t="n">
        <f aca="false">IFERROR((B127/B126-1)*100,"")</f>
        <v>1.24477608248339</v>
      </c>
      <c r="D127" s="18" t="n">
        <f aca="false">IFERROR((B127/B123-1)*100,"")</f>
        <v>2.83300168786749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151.816590911364</v>
      </c>
    </row>
    <row r="128" customFormat="false" ht="15" hidden="false" customHeight="false" outlineLevel="0" collapsed="false">
      <c r="A128" s="12" t="n">
        <v>40360</v>
      </c>
      <c r="B128" s="13" t="n">
        <v>111.022234453801</v>
      </c>
      <c r="C128" s="21" t="n">
        <f aca="false">IFERROR((B128/B127-1)*100,"")</f>
        <v>-0.697226414617003</v>
      </c>
      <c r="D128" s="21" t="n">
        <f aca="false">IFERROR((B128/B124-1)*100,"")</f>
        <v>1.14940637617709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153.23497570373</v>
      </c>
    </row>
    <row r="129" customFormat="false" ht="15" hidden="false" customHeight="false" outlineLevel="0" collapsed="false">
      <c r="A129" s="16" t="n">
        <v>40452</v>
      </c>
      <c r="B129" s="17" t="n">
        <v>111.330516906246</v>
      </c>
      <c r="C129" s="18" t="n">
        <f aca="false">IFERROR((B129/B128-1)*100,"")</f>
        <v>0.277676317687048</v>
      </c>
      <c r="D129" s="18" t="n">
        <f aca="false">IFERROR((B129/B125-1)*100,"")</f>
        <v>0.492057697655568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113.243676309187</v>
      </c>
      <c r="C130" s="21" t="n">
        <f aca="false">IFERROR((B130/B129-1)*100,"")</f>
        <v>1.71845012140948</v>
      </c>
      <c r="D130" s="21" t="n">
        <f aca="false">IFERROR((B130/B126-1)*100,"")</f>
        <v>2.55055118350112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113.925677929272</v>
      </c>
      <c r="C131" s="18" t="n">
        <f aca="false">IFERROR((B131/B130-1)*100,"")</f>
        <v>0.602242564276478</v>
      </c>
      <c r="D131" s="18" t="n">
        <f aca="false">IFERROR((B131/B127-1)*100,"")</f>
        <v>1.89973077581598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113.784878014577</v>
      </c>
      <c r="C132" s="21" t="n">
        <f aca="false">IFERROR((B132/B131-1)*100,"")</f>
        <v>-0.123589270878244</v>
      </c>
      <c r="D132" s="21" t="n">
        <f aca="false">IFERROR((B132/B128-1)*100,"")</f>
        <v>2.4883696264693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114.521025466249</v>
      </c>
      <c r="C133" s="18" t="n">
        <f aca="false">IFERROR((B133/B132-1)*100,"")</f>
        <v>0.6469642227664</v>
      </c>
      <c r="D133" s="18" t="n">
        <f aca="false">IFERROR((B133/B129-1)*100,"")</f>
        <v>2.8657987483254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116.033499609594</v>
      </c>
      <c r="C134" s="21" t="n">
        <f aca="false">IFERROR((B134/B133-1)*100,"")</f>
        <v>1.32069559907151</v>
      </c>
      <c r="D134" s="21" t="n">
        <f aca="false">IFERROR((B134/B130-1)*100,"")</f>
        <v>2.46355769375546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115.81055700146</v>
      </c>
      <c r="C135" s="18" t="n">
        <f aca="false">IFERROR((B135/B134-1)*100,"")</f>
        <v>-0.192136416538424</v>
      </c>
      <c r="D135" s="18" t="n">
        <f aca="false">IFERROR((B135/B131-1)*100,"")</f>
        <v>1.65448133067707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115.908515598897</v>
      </c>
      <c r="C136" s="21" t="n">
        <f aca="false">IFERROR((B136/B135-1)*100,"")</f>
        <v>0.084585205333787</v>
      </c>
      <c r="D136" s="21" t="n">
        <f aca="false">IFERROR((B136/B132-1)*100,"")</f>
        <v>1.86636187635483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116.050461940961</v>
      </c>
      <c r="C137" s="18" t="n">
        <f aca="false">IFERROR((B137/B136-1)*100,"")</f>
        <v>0.122464118646137</v>
      </c>
      <c r="D137" s="18" t="n">
        <f aca="false">IFERROR((B137/B133-1)*100,"")</f>
        <v>1.33550714245303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117.914979648035</v>
      </c>
      <c r="C138" s="21" t="n">
        <f aca="false">IFERROR((B138/B137-1)*100,"")</f>
        <v>1.60664393393086</v>
      </c>
      <c r="D138" s="21" t="n">
        <f aca="false">IFERROR((B138/B134-1)*100,"")</f>
        <v>1.62149727860621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118.095866191376</v>
      </c>
      <c r="C139" s="18" t="n">
        <f aca="false">IFERROR((B139/B138-1)*100,"")</f>
        <v>0.153404210288999</v>
      </c>
      <c r="D139" s="18" t="n">
        <f aca="false">IFERROR((B139/B135-1)*100,"")</f>
        <v>1.97331681073583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119.597447016752</v>
      </c>
      <c r="C140" s="21" t="n">
        <f aca="false">IFERROR((B140/B139-1)*100,"")</f>
        <v>1.27149312994814</v>
      </c>
      <c r="D140" s="21" t="n">
        <f aca="false">IFERROR((B140/B136-1)*100,"")</f>
        <v>3.18262329458208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119.116969550767</v>
      </c>
      <c r="C141" s="18" t="n">
        <f aca="false">IFERROR((B141/B140-1)*100,"")</f>
        <v>-0.401745587360491</v>
      </c>
      <c r="D141" s="18" t="n">
        <f aca="false">IFERROR((B141/B137-1)*100,"")</f>
        <v>2.64239155839399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119.42601009446</v>
      </c>
      <c r="C142" s="21" t="n">
        <f aca="false">IFERROR((B142/B141-1)*100,"")</f>
        <v>0.259442919727149</v>
      </c>
      <c r="D142" s="21" t="n">
        <f aca="false">IFERROR((B142/B138-1)*100,"")</f>
        <v>1.28145758150091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119.512820855501</v>
      </c>
      <c r="C143" s="18" t="n">
        <f aca="false">IFERROR((B143/B142-1)*100,"")</f>
        <v>0.0726899952299798</v>
      </c>
      <c r="D143" s="18" t="n">
        <f aca="false">IFERROR((B143/B139-1)*100,"")</f>
        <v>1.19983426162293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120.684143720181</v>
      </c>
      <c r="C144" s="21" t="n">
        <f aca="false">IFERROR((B144/B143-1)*100,"")</f>
        <v>0.980081347169026</v>
      </c>
      <c r="D144" s="21" t="n">
        <f aca="false">IFERROR((B144/B140-1)*100,"")</f>
        <v>0.908628679403578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121.830408658012</v>
      </c>
      <c r="C145" s="18" t="n">
        <f aca="false">IFERROR((B145/B144-1)*100,"")</f>
        <v>0.949805751191679</v>
      </c>
      <c r="D145" s="18" t="n">
        <f aca="false">IFERROR((B145/B141-1)*100,"")</f>
        <v>2.27796183656988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121.815633890514</v>
      </c>
      <c r="C146" s="21" t="n">
        <f aca="false">IFERROR((B146/B145-1)*100,"")</f>
        <v>-0.0121273232685848</v>
      </c>
      <c r="D146" s="21" t="n">
        <f aca="false">IFERROR((B146/B142-1)*100,"")</f>
        <v>2.00092408191863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122.785706787346</v>
      </c>
      <c r="C147" s="18" t="n">
        <f aca="false">IFERROR((B147/B146-1)*100,"")</f>
        <v>0.796345153614264</v>
      </c>
      <c r="D147" s="18" t="n">
        <f aca="false">IFERROR((B147/B143-1)*100,"")</f>
        <v>2.73852287011311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122.932610956704</v>
      </c>
      <c r="C148" s="21" t="n">
        <f aca="false">IFERROR((B148/B147-1)*100,"")</f>
        <v>0.119642728133096</v>
      </c>
      <c r="D148" s="21" t="n">
        <f aca="false">IFERROR((B148/B144-1)*100,"")</f>
        <v>1.86310079121588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123.703957415</v>
      </c>
      <c r="C149" s="18" t="n">
        <f aca="false">IFERROR((B149/B148-1)*100,"")</f>
        <v>0.62745471058796</v>
      </c>
      <c r="D149" s="18" t="n">
        <f aca="false">IFERROR((B149/B145-1)*100,"")</f>
        <v>1.5378334338908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125.157734123786</v>
      </c>
      <c r="C150" s="21" t="n">
        <f aca="false">IFERROR((B150/B149-1)*100,"")</f>
        <v>1.17520630638257</v>
      </c>
      <c r="D150" s="21" t="n">
        <f aca="false">IFERROR((B150/B146-1)*100,"")</f>
        <v>2.74357250094501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125.402855014513</v>
      </c>
      <c r="C151" s="18" t="n">
        <f aca="false">IFERROR((B151/B150-1)*100,"")</f>
        <v>0.19584957529255</v>
      </c>
      <c r="D151" s="18" t="n">
        <f aca="false">IFERROR((B151/B147-1)*100,"")</f>
        <v>2.13147628958172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125.593214257109</v>
      </c>
      <c r="C152" s="21" t="n">
        <f aca="false">IFERROR((B152/B151-1)*100,"")</f>
        <v>0.151798172835349</v>
      </c>
      <c r="D152" s="21" t="n">
        <f aca="false">IFERROR((B152/B148-1)*100,"")</f>
        <v>2.16427787525164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126.796573020838</v>
      </c>
      <c r="C153" s="18" t="n">
        <f aca="false">IFERROR((B153/B152-1)*100,"")</f>
        <v>0.958139952741344</v>
      </c>
      <c r="D153" s="18" t="n">
        <f aca="false">IFERROR((B153/B149-1)*100,"")</f>
        <v>2.50001347609505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127.105682719623</v>
      </c>
      <c r="C154" s="21" t="n">
        <f aca="false">IFERROR((B154/B153-1)*100,"")</f>
        <v>0.243783953635957</v>
      </c>
      <c r="D154" s="21" t="n">
        <f aca="false">IFERROR((B154/B150-1)*100,"")</f>
        <v>1.55639490397812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127.367609080267</v>
      </c>
      <c r="C155" s="18" t="n">
        <f aca="false">IFERROR((B155/B154-1)*100,"")</f>
        <v>0.206069748447879</v>
      </c>
      <c r="D155" s="18" t="n">
        <f aca="false">IFERROR((B155/B151-1)*100,"")</f>
        <v>1.56675385542522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128.430569933403</v>
      </c>
      <c r="C156" s="21" t="n">
        <f aca="false">IFERROR((B156/B155-1)*100,"")</f>
        <v>0.834561362038611</v>
      </c>
      <c r="D156" s="21" t="n">
        <f aca="false">IFERROR((B156/B152-1)*100,"")</f>
        <v>2.25916319848745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128.286330455776</v>
      </c>
      <c r="C157" s="18" t="n">
        <f aca="false">IFERROR((B157/B156-1)*100,"")</f>
        <v>-0.112309302762947</v>
      </c>
      <c r="D157" s="18" t="n">
        <f aca="false">IFERROR((B157/B153-1)*100,"")</f>
        <v>1.17491932111855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129.497138310511</v>
      </c>
      <c r="C158" s="21" t="n">
        <f aca="false">IFERROR((B158/B157-1)*100,"")</f>
        <v>0.943832324483163</v>
      </c>
      <c r="D158" s="21" t="n">
        <f aca="false">IFERROR((B158/B154-1)*100,"")</f>
        <v>1.88147023777292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130.956912540916</v>
      </c>
      <c r="C159" s="18" t="n">
        <f aca="false">IFERROR((B159/B158-1)*100,"")</f>
        <v>1.12726369821727</v>
      </c>
      <c r="D159" s="18" t="n">
        <f aca="false">IFERROR((B159/B155-1)*100,"")</f>
        <v>2.81806613672644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130.97159377258</v>
      </c>
      <c r="C160" s="21" t="n">
        <f aca="false">IFERROR((B160/B159-1)*100,"")</f>
        <v>0.0112107344156565</v>
      </c>
      <c r="D160" s="21" t="n">
        <f aca="false">IFERROR((B160/B156-1)*100,"")</f>
        <v>1.97851947592722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131.376578990148</v>
      </c>
      <c r="C161" s="18" t="n">
        <f aca="false">IFERROR((B161/B160-1)*100,"")</f>
        <v>0.309216071899909</v>
      </c>
      <c r="D161" s="18" t="n">
        <f aca="false">IFERROR((B161/B157-1)*100,"")</f>
        <v>2.40886813380088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132.274430046446</v>
      </c>
      <c r="C162" s="21" t="n">
        <f aca="false">IFERROR((B162/B161-1)*100,"")</f>
        <v>0.683417899293559</v>
      </c>
      <c r="D162" s="21" t="n">
        <f aca="false">IFERROR((B162/B158-1)*100,"")</f>
        <v>2.14467421610163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132.487692115583</v>
      </c>
      <c r="C163" s="18" t="n">
        <f aca="false">IFERROR((B163/B162-1)*100,"")</f>
        <v>0.16122698019716</v>
      </c>
      <c r="D163" s="18" t="n">
        <f aca="false">IFERROR((B163/B159-1)*100,"")</f>
        <v>1.16891849766925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134.146774406354</v>
      </c>
      <c r="C164" s="21" t="n">
        <f aca="false">IFERROR((B164/B163-1)*100,"")</f>
        <v>1.25225389942156</v>
      </c>
      <c r="D164" s="21" t="n">
        <f aca="false">IFERROR((B164/B160-1)*100,"")</f>
        <v>2.42432770520287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133.85983290905</v>
      </c>
      <c r="C165" s="18" t="n">
        <f aca="false">IFERROR((B165/B164-1)*100,"")</f>
        <v>-0.213901153101681</v>
      </c>
      <c r="D165" s="18" t="n">
        <f aca="false">IFERROR((B165/B161-1)*100,"")</f>
        <v>1.89018007470605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135.395113234852</v>
      </c>
      <c r="C166" s="21" t="n">
        <f aca="false">IFERROR((B166/B165-1)*100,"")</f>
        <v>1.14693130301806</v>
      </c>
      <c r="D166" s="21" t="n">
        <f aca="false">IFERROR((B166/B162-1)*100,"")</f>
        <v>2.35924901533109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135.489938576014</v>
      </c>
      <c r="C167" s="18" t="n">
        <f aca="false">IFERROR((B167/B166-1)*100,"")</f>
        <v>0.0700360145184487</v>
      </c>
      <c r="D167" s="18" t="n">
        <f aca="false">IFERROR((B167/B163-1)*100,"")</f>
        <v>2.26605687856041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136.5981680199</v>
      </c>
      <c r="C168" s="21" t="n">
        <f aca="false">IFERROR((B168/B167-1)*100,"")</f>
        <v>0.817942243928638</v>
      </c>
      <c r="D168" s="21" t="n">
        <f aca="false">IFERROR((B168/B164-1)*100,"")</f>
        <v>1.8273966141896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136.827187889301</v>
      </c>
      <c r="C169" s="18" t="n">
        <f aca="false">IFERROR((B169/B168-1)*100,"")</f>
        <v>0.167659546771692</v>
      </c>
      <c r="D169" s="18" t="n">
        <f aca="false">IFERROR((B169/B165-1)*100,"")</f>
        <v>2.21676280013505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137.670384968986</v>
      </c>
      <c r="C170" s="21" t="n">
        <f aca="false">IFERROR((B170/B169-1)*100,"")</f>
        <v>0.616249659656454</v>
      </c>
      <c r="D170" s="21" t="n">
        <f aca="false">IFERROR((B170/B166-1)*100,"")</f>
        <v>1.68046813490816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138.298490804089</v>
      </c>
      <c r="C171" s="18" t="n">
        <f aca="false">IFERROR((B171/B170-1)*100,"")</f>
        <v>0.456238889173211</v>
      </c>
      <c r="D171" s="18" t="n">
        <f aca="false">IFERROR((B171/B167-1)*100,"")</f>
        <v>2.0728861918403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139.249802953739</v>
      </c>
      <c r="C172" s="21" t="n">
        <f aca="false">IFERROR((B172/B171-1)*100,"")</f>
        <v>0.687868785927481</v>
      </c>
      <c r="D172" s="21" t="n">
        <f aca="false">IFERROR((B172/B168-1)*100,"")</f>
        <v>1.94119362819909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139.213486498953</v>
      </c>
      <c r="C173" s="18" t="n">
        <f aca="false">IFERROR((B173/B172-1)*100,"")</f>
        <v>-0.0260800762482805</v>
      </c>
      <c r="D173" s="18" t="n">
        <f aca="false">IFERROR((B173/B169-1)*100,"")</f>
        <v>1.74402371813935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140.593774189971</v>
      </c>
      <c r="C174" s="21" t="n">
        <f aca="false">IFERROR((B174/B173-1)*100,"")</f>
        <v>0.991489923663691</v>
      </c>
      <c r="D174" s="21" t="n">
        <f aca="false">IFERROR((B174/B170-1)*100,"")</f>
        <v>2.1234699253901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141.081187997962</v>
      </c>
      <c r="C175" s="18" t="n">
        <f aca="false">IFERROR((B175/B174-1)*100,"")</f>
        <v>0.346682355458716</v>
      </c>
      <c r="D175" s="18" t="n">
        <f aca="false">IFERROR((B175/B171-1)*100,"")</f>
        <v>2.01209512677489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142.233907285556</v>
      </c>
      <c r="C176" s="21" t="n">
        <f aca="false">IFERROR((B176/B175-1)*100,"")</f>
        <v>0.817060944801962</v>
      </c>
      <c r="D176" s="21" t="n">
        <f aca="false">IFERROR((B176/B172-1)*100,"")</f>
        <v>2.14298639460735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142.956103758935</v>
      </c>
      <c r="C177" s="18" t="n">
        <f aca="false">IFERROR((B177/B176-1)*100,"")</f>
        <v>0.50775267807921</v>
      </c>
      <c r="D177" s="18" t="n">
        <f aca="false">IFERROR((B177/B173-1)*100,"")</f>
        <v>2.68840135686808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143.378905575561</v>
      </c>
      <c r="C178" s="21" t="n">
        <f aca="false">IFERROR((B178/B177-1)*100,"")</f>
        <v>0.29575639340238</v>
      </c>
      <c r="D178" s="21" t="n">
        <f aca="false">IFERROR((B178/B174-1)*100,"")</f>
        <v>1.98097775071171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143.99797101889</v>
      </c>
      <c r="C179" s="18" t="n">
        <f aca="false">IFERROR((B179/B178-1)*100,"")</f>
        <v>0.431768844129343</v>
      </c>
      <c r="D179" s="18" t="n">
        <f aca="false">IFERROR((B179/B175-1)*100,"")</f>
        <v>2.06744999976194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144.798770332291</v>
      </c>
      <c r="C180" s="21" t="n">
        <f aca="false">IFERROR((B180/B179-1)*100,"")</f>
        <v>0.556118470097222</v>
      </c>
      <c r="D180" s="21" t="n">
        <f aca="false">IFERROR((B180/B176-1)*100,"")</f>
        <v>1.8032711718915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145.576480682123</v>
      </c>
      <c r="C181" s="18" t="n">
        <f aca="false">IFERROR((B181/B180-1)*100,"")</f>
        <v>0.537097344160786</v>
      </c>
      <c r="D181" s="18" t="n">
        <f aca="false">IFERROR((B181/B177-1)*100,"")</f>
        <v>1.83299408299984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146.960857746011</v>
      </c>
      <c r="C182" s="21" t="n">
        <f aca="false">IFERROR((B182/B181-1)*100,"")</f>
        <v>0.950962035489011</v>
      </c>
      <c r="D182" s="21" t="n">
        <f aca="false">IFERROR((B182/B178-1)*100,"")</f>
        <v>2.49824209221816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146.649058221414</v>
      </c>
      <c r="C183" s="18" t="n">
        <f aca="false">IFERROR((B183/B182-1)*100,"")</f>
        <v>-0.212165014126176</v>
      </c>
      <c r="D183" s="18" t="n">
        <f aca="false">IFERROR((B183/B179-1)*100,"")</f>
        <v>1.84105872031832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148.547044687334</v>
      </c>
      <c r="C184" s="21" t="n">
        <f aca="false">IFERROR((B184/B183-1)*100,"")</f>
        <v>1.29423706428047</v>
      </c>
      <c r="D184" s="21" t="n">
        <f aca="false">IFERROR((B184/B180-1)*100,"")</f>
        <v>2.58860924470663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148.564698347448</v>
      </c>
      <c r="C185" s="18" t="n">
        <f aca="false">IFERROR((B185/B184-1)*100,"")</f>
        <v>0.0118842216965565</v>
      </c>
      <c r="D185" s="18" t="n">
        <f aca="false">IFERROR((B185/B181-1)*100,"")</f>
        <v>2.05267887458436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149.180265777396</v>
      </c>
      <c r="C186" s="21" t="n">
        <f aca="false">IFERROR((B186/B185-1)*100,"")</f>
        <v>0.414343001261197</v>
      </c>
      <c r="D186" s="21" t="n">
        <f aca="false">IFERROR((B186/B182-1)*100,"")</f>
        <v>1.51020350957705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149.55959907069</v>
      </c>
      <c r="C187" s="18" t="n">
        <f aca="false">IFERROR((B187/B186-1)*100,"")</f>
        <v>0.254278467274305</v>
      </c>
      <c r="D187" s="18" t="n">
        <f aca="false">IFERROR((B187/B183-1)*100,"")</f>
        <v>1.98469794799616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150.069629018013</v>
      </c>
      <c r="C188" s="21" t="n">
        <f aca="false">IFERROR((B188/B187-1)*100,"")</f>
        <v>0.341021205253256</v>
      </c>
      <c r="D188" s="21" t="n">
        <f aca="false">IFERROR((B188/B184-1)*100,"")</f>
        <v>1.02498459924523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151.353873036833</v>
      </c>
      <c r="C189" s="18" t="n">
        <f aca="false">IFERROR((B189/B188-1)*100,"")</f>
        <v>0.855765438499123</v>
      </c>
      <c r="D189" s="18" t="n">
        <f aca="false">IFERROR((B189/B185-1)*100,"")</f>
        <v>1.87741416393667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152.213156085285</v>
      </c>
      <c r="F190" s="13" t="n">
        <v>151.227725520237</v>
      </c>
      <c r="G190" s="22" t="n">
        <f aca="false">152.585296-149.870155</f>
        <v>2.71514099999999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152.976956991258</v>
      </c>
      <c r="F191" s="17" t="n">
        <v>151.380989775327</v>
      </c>
      <c r="G191" s="23" t="n">
        <f aca="false">153.300884-149.461095</f>
        <v>3.839789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153.744590626536</v>
      </c>
      <c r="F192" s="13" t="n">
        <v>152.063198583935</v>
      </c>
      <c r="G192" s="22" t="n">
        <f aca="false">154.41458-149.711817</f>
        <v>4.702763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154.516076223636</v>
      </c>
      <c r="F193" s="17" t="n">
        <v>152.594449765959</v>
      </c>
      <c r="G193" s="23" t="n">
        <f aca="false">155.309591-149.879309</f>
        <v>5.43028200000001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155.291433111584</v>
      </c>
      <c r="F194" s="13" t="n">
        <v>152.757032887592</v>
      </c>
      <c r="G194" s="22" t="n">
        <f aca="false">155.792653-149.721413</f>
        <v>6.07123999999999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156.070680716397</v>
      </c>
      <c r="F195" s="17" t="n">
        <v>152.833831774313</v>
      </c>
      <c r="G195" s="23" t="n">
        <f aca="false">156.159187-149.508477</f>
        <v>6.65071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156.853838561571</v>
      </c>
      <c r="F196" s="13" t="n">
        <v>153.443398482972</v>
      </c>
      <c r="G196" s="22" t="n">
        <f aca="false">157.035192-149.851605</f>
        <v>7.18358699999999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157.640926268573</v>
      </c>
      <c r="F197" s="17" t="n">
        <v>153.905639670044</v>
      </c>
      <c r="G197" s="23" t="n">
        <f aca="false">157.745429-150.06585</f>
        <v>7.67957899999999</v>
      </c>
    </row>
    <row r="200" customFormat="false" ht="21.75" hidden="false" customHeight="true" outlineLevel="0" collapsed="false">
      <c r="A200" s="9" t="s">
        <v>134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customFormat="false" ht="15" hidden="false" customHeight="false" outlineLevel="0" collapsed="false">
      <c r="A201" s="5" t="s">
        <v>108</v>
      </c>
      <c r="B201" s="10" t="s">
        <v>109</v>
      </c>
      <c r="D201" s="5" t="s">
        <v>110</v>
      </c>
      <c r="E201" s="2" t="s">
        <v>111</v>
      </c>
      <c r="H201" s="5" t="s">
        <v>112</v>
      </c>
      <c r="I201" s="2" t="s">
        <v>113</v>
      </c>
    </row>
    <row r="202" customFormat="false" ht="18" hidden="false" customHeight="true" outlineLevel="0" collapsed="false">
      <c r="A202" s="11" t="s">
        <v>114</v>
      </c>
      <c r="B202" s="11"/>
      <c r="C202" s="11"/>
      <c r="D202" s="11"/>
      <c r="E202" s="11"/>
      <c r="F202" s="11"/>
      <c r="G202" s="11"/>
      <c r="I202" s="11" t="s">
        <v>115</v>
      </c>
      <c r="J202" s="11"/>
      <c r="K202" s="11"/>
      <c r="L202" s="11"/>
    </row>
    <row r="203" customFormat="false" ht="15" hidden="false" customHeight="false" outlineLevel="0" collapsed="false">
      <c r="A203" s="6" t="s">
        <v>116</v>
      </c>
      <c r="B203" s="6" t="s">
        <v>117</v>
      </c>
      <c r="C203" s="6" t="s">
        <v>118</v>
      </c>
      <c r="D203" s="6" t="s">
        <v>119</v>
      </c>
      <c r="E203" s="6" t="s">
        <v>120</v>
      </c>
      <c r="F203" s="6" t="s">
        <v>121</v>
      </c>
      <c r="G203" s="6" t="s">
        <v>122</v>
      </c>
      <c r="I203" s="6" t="s">
        <v>123</v>
      </c>
      <c r="J203" s="6" t="s">
        <v>117</v>
      </c>
      <c r="K203" s="6" t="s">
        <v>119</v>
      </c>
      <c r="L203" s="6" t="s">
        <v>124</v>
      </c>
    </row>
    <row r="204" customFormat="false" ht="15" hidden="false" customHeight="false" outlineLevel="0" collapsed="false">
      <c r="A204" s="12" t="n">
        <v>38353</v>
      </c>
      <c r="B204" s="13" t="n">
        <v>99.3999082619822</v>
      </c>
      <c r="C204" s="14"/>
      <c r="D204" s="14"/>
      <c r="E204" s="14"/>
      <c r="F204" s="14"/>
      <c r="G204" s="14"/>
      <c r="I204" s="15" t="n">
        <v>2005</v>
      </c>
      <c r="J204" s="13" t="n">
        <v>99.9629464339536</v>
      </c>
      <c r="K204" s="14"/>
      <c r="L204" s="14"/>
    </row>
    <row r="205" customFormat="false" ht="15" hidden="false" customHeight="false" outlineLevel="0" collapsed="false">
      <c r="A205" s="16" t="n">
        <v>38443</v>
      </c>
      <c r="B205" s="17" t="n">
        <v>99.309844083168</v>
      </c>
      <c r="C205" s="18" t="n">
        <f aca="false">IFERROR((B205/B204-1)*100,"")</f>
        <v>-0.0906079093924594</v>
      </c>
      <c r="D205" s="19"/>
      <c r="E205" s="19"/>
      <c r="F205" s="19"/>
      <c r="G205" s="19"/>
      <c r="I205" s="20" t="n">
        <v>2006</v>
      </c>
      <c r="J205" s="17" t="n">
        <v>102.857175552101</v>
      </c>
      <c r="K205" s="18" t="n">
        <f aca="false">IFERROR((J205/J204-1)*100,"")</f>
        <v>2.89530193076042</v>
      </c>
      <c r="L205" s="19"/>
    </row>
    <row r="206" customFormat="false" ht="15" hidden="false" customHeight="false" outlineLevel="0" collapsed="false">
      <c r="A206" s="12" t="n">
        <v>38534</v>
      </c>
      <c r="B206" s="13" t="n">
        <v>100.354797546938</v>
      </c>
      <c r="C206" s="21" t="n">
        <f aca="false">IFERROR((B206/B205-1)*100,"")</f>
        <v>1.05221539054547</v>
      </c>
      <c r="D206" s="14"/>
      <c r="E206" s="14"/>
      <c r="F206" s="14"/>
      <c r="G206" s="14"/>
      <c r="I206" s="15" t="n">
        <v>2007</v>
      </c>
      <c r="J206" s="13" t="n">
        <v>104.85997504331</v>
      </c>
      <c r="K206" s="21" t="n">
        <f aca="false">IFERROR((J206/J205-1)*100,"")</f>
        <v>1.94716555306802</v>
      </c>
      <c r="L206" s="14"/>
    </row>
    <row r="207" customFormat="false" ht="15" hidden="false" customHeight="false" outlineLevel="0" collapsed="false">
      <c r="A207" s="16" t="n">
        <v>38626</v>
      </c>
      <c r="B207" s="17" t="n">
        <v>100.787235843726</v>
      </c>
      <c r="C207" s="18" t="n">
        <f aca="false">IFERROR((B207/B206-1)*100,"")</f>
        <v>0.430909440663485</v>
      </c>
      <c r="D207" s="19"/>
      <c r="E207" s="19"/>
      <c r="F207" s="19"/>
      <c r="G207" s="19"/>
      <c r="I207" s="20" t="n">
        <v>2008</v>
      </c>
      <c r="J207" s="17" t="n">
        <v>107.145717984098</v>
      </c>
      <c r="K207" s="18" t="n">
        <f aca="false">IFERROR((J207/J206-1)*100,"")</f>
        <v>2.17980496356616</v>
      </c>
      <c r="L207" s="19"/>
    </row>
    <row r="208" customFormat="false" ht="15" hidden="false" customHeight="false" outlineLevel="0" collapsed="false">
      <c r="A208" s="12" t="n">
        <v>38718</v>
      </c>
      <c r="B208" s="13" t="n">
        <v>102.348479414366</v>
      </c>
      <c r="C208" s="21" t="n">
        <f aca="false">IFERROR((B208/B207-1)*100,"")</f>
        <v>1.54904890244263</v>
      </c>
      <c r="D208" s="21" t="n">
        <f aca="false">IFERROR((B208/B204-1)*100,"")</f>
        <v>2.96637210631245</v>
      </c>
      <c r="E208" s="14"/>
      <c r="F208" s="14"/>
      <c r="G208" s="14"/>
      <c r="I208" s="15" t="n">
        <v>2009</v>
      </c>
      <c r="J208" s="13" t="n">
        <v>109.230503670898</v>
      </c>
      <c r="K208" s="21" t="n">
        <f aca="false">IFERROR((J208/J207-1)*100,"")</f>
        <v>1.94574802056859</v>
      </c>
      <c r="L208" s="14"/>
    </row>
    <row r="209" customFormat="false" ht="15" hidden="false" customHeight="false" outlineLevel="0" collapsed="false">
      <c r="A209" s="16" t="n">
        <v>38808</v>
      </c>
      <c r="B209" s="17" t="n">
        <v>102.103253538495</v>
      </c>
      <c r="C209" s="18" t="n">
        <f aca="false">IFERROR((B209/B208-1)*100,"")</f>
        <v>-0.239598943993669</v>
      </c>
      <c r="D209" s="18" t="n">
        <f aca="false">IFERROR((B209/B205-1)*100,"")</f>
        <v>2.81282231496409</v>
      </c>
      <c r="E209" s="19"/>
      <c r="F209" s="19"/>
      <c r="G209" s="19"/>
      <c r="I209" s="20" t="n">
        <v>2010</v>
      </c>
      <c r="J209" s="17" t="n">
        <v>111.08920920726</v>
      </c>
      <c r="K209" s="18" t="n">
        <f aca="false">IFERROR((J209/J208-1)*100,"")</f>
        <v>1.70163596605022</v>
      </c>
      <c r="L209" s="19"/>
    </row>
    <row r="210" customFormat="false" ht="15" hidden="false" customHeight="false" outlineLevel="0" collapsed="false">
      <c r="A210" s="12" t="n">
        <v>38899</v>
      </c>
      <c r="B210" s="13" t="n">
        <v>103.402167183986</v>
      </c>
      <c r="C210" s="21" t="n">
        <f aca="false">IFERROR((B210/B209-1)*100,"")</f>
        <v>1.27215695922998</v>
      </c>
      <c r="D210" s="21" t="n">
        <f aca="false">IFERROR((B210/B206-1)*100,"")</f>
        <v>3.03659586939278</v>
      </c>
      <c r="E210" s="14"/>
      <c r="F210" s="14"/>
      <c r="G210" s="14"/>
      <c r="I210" s="15" t="n">
        <v>2011</v>
      </c>
      <c r="J210" s="13" t="n">
        <v>113.647902344157</v>
      </c>
      <c r="K210" s="21" t="n">
        <f aca="false">IFERROR((J210/J209-1)*100,"")</f>
        <v>2.30327783873565</v>
      </c>
      <c r="L210" s="14"/>
    </row>
    <row r="211" customFormat="false" ht="15" hidden="false" customHeight="false" outlineLevel="0" collapsed="false">
      <c r="A211" s="16" t="n">
        <v>38991</v>
      </c>
      <c r="B211" s="17" t="n">
        <v>103.574802071556</v>
      </c>
      <c r="C211" s="18" t="n">
        <f aca="false">IFERROR((B211/B210-1)*100,"")</f>
        <v>0.166954805950481</v>
      </c>
      <c r="D211" s="18" t="n">
        <f aca="false">IFERROR((B211/B207-1)*100,"")</f>
        <v>2.76579291464261</v>
      </c>
      <c r="E211" s="19"/>
      <c r="F211" s="19"/>
      <c r="G211" s="19"/>
      <c r="I211" s="20" t="n">
        <v>2012</v>
      </c>
      <c r="J211" s="17" t="n">
        <v>115.904208782757</v>
      </c>
      <c r="K211" s="18" t="n">
        <f aca="false">IFERROR((J211/J210-1)*100,"")</f>
        <v>1.98534807247623</v>
      </c>
      <c r="L211" s="19"/>
    </row>
    <row r="212" customFormat="false" ht="15" hidden="false" customHeight="false" outlineLevel="0" collapsed="false">
      <c r="A212" s="12" t="n">
        <v>39083</v>
      </c>
      <c r="B212" s="13" t="n">
        <v>104.924695538401</v>
      </c>
      <c r="C212" s="21" t="n">
        <f aca="false">IFERROR((B212/B211-1)*100,"")</f>
        <v>1.30330296543757</v>
      </c>
      <c r="D212" s="21" t="n">
        <f aca="false">IFERROR((B212/B208-1)*100,"")</f>
        <v>2.51710249021393</v>
      </c>
      <c r="E212" s="14"/>
      <c r="F212" s="14"/>
      <c r="G212" s="14"/>
      <c r="I212" s="15" t="n">
        <v>2013</v>
      </c>
      <c r="J212" s="13" t="n">
        <v>118.016811147114</v>
      </c>
      <c r="K212" s="21" t="n">
        <f aca="false">IFERROR((J212/J211-1)*100,"")</f>
        <v>1.82271410723034</v>
      </c>
      <c r="L212" s="14"/>
    </row>
    <row r="213" customFormat="false" ht="15" hidden="false" customHeight="false" outlineLevel="0" collapsed="false">
      <c r="A213" s="16" t="n">
        <v>39173</v>
      </c>
      <c r="B213" s="17" t="n">
        <v>104.971937666466</v>
      </c>
      <c r="C213" s="18" t="n">
        <f aca="false">IFERROR((B213/B212-1)*100,"")</f>
        <v>0.045024794041959</v>
      </c>
      <c r="D213" s="18" t="n">
        <f aca="false">IFERROR((B213/B209-1)*100,"")</f>
        <v>2.80959129954586</v>
      </c>
      <c r="E213" s="19"/>
      <c r="F213" s="19"/>
      <c r="G213" s="19"/>
      <c r="I213" s="20" t="n">
        <v>2014</v>
      </c>
      <c r="J213" s="17" t="n">
        <v>120.632999771893</v>
      </c>
      <c r="K213" s="18" t="n">
        <f aca="false">IFERROR((J213/J212-1)*100,"")</f>
        <v>2.21679318340375</v>
      </c>
      <c r="L213" s="19"/>
    </row>
    <row r="214" customFormat="false" ht="15" hidden="false" customHeight="false" outlineLevel="0" collapsed="false">
      <c r="A214" s="12" t="n">
        <v>39264</v>
      </c>
      <c r="B214" s="13" t="n">
        <v>104.465619029858</v>
      </c>
      <c r="C214" s="21" t="n">
        <f aca="false">IFERROR((B214/B213-1)*100,"")</f>
        <v>-0.482337134918154</v>
      </c>
      <c r="D214" s="21" t="n">
        <f aca="false">IFERROR((B214/B210-1)*100,"")</f>
        <v>1.02846185416974</v>
      </c>
      <c r="E214" s="14"/>
      <c r="F214" s="14"/>
      <c r="G214" s="14"/>
      <c r="I214" s="15" t="n">
        <v>2015</v>
      </c>
      <c r="J214" s="13" t="n">
        <v>123.059031341937</v>
      </c>
      <c r="K214" s="21" t="n">
        <f aca="false">IFERROR((J214/J213-1)*100,"")</f>
        <v>2.0110845080789</v>
      </c>
      <c r="L214" s="14"/>
    </row>
    <row r="215" customFormat="false" ht="15" hidden="false" customHeight="false" outlineLevel="0" collapsed="false">
      <c r="A215" s="16" t="n">
        <v>39356</v>
      </c>
      <c r="B215" s="17" t="n">
        <v>105.077647938515</v>
      </c>
      <c r="C215" s="18" t="n">
        <f aca="false">IFERROR((B215/B214-1)*100,"")</f>
        <v>0.585866349466113</v>
      </c>
      <c r="D215" s="18" t="n">
        <f aca="false">IFERROR((B215/B211-1)*100,"")</f>
        <v>1.45097633488176</v>
      </c>
      <c r="E215" s="19"/>
      <c r="F215" s="19"/>
      <c r="G215" s="19"/>
      <c r="I215" s="20" t="n">
        <v>2016</v>
      </c>
      <c r="J215" s="17" t="n">
        <v>125.845706014829</v>
      </c>
      <c r="K215" s="18" t="n">
        <f aca="false">IFERROR((J215/J214-1)*100,"")</f>
        <v>2.26450236321871</v>
      </c>
      <c r="L215" s="19"/>
    </row>
    <row r="216" customFormat="false" ht="15" hidden="false" customHeight="false" outlineLevel="0" collapsed="false">
      <c r="A216" s="12" t="n">
        <v>39448</v>
      </c>
      <c r="B216" s="13" t="n">
        <v>106.35784345563</v>
      </c>
      <c r="C216" s="21" t="n">
        <f aca="false">IFERROR((B216/B215-1)*100,"")</f>
        <v>1.21833286358246</v>
      </c>
      <c r="D216" s="21" t="n">
        <f aca="false">IFERROR((B216/B212-1)*100,"")</f>
        <v>1.36588236913597</v>
      </c>
      <c r="E216" s="14"/>
      <c r="F216" s="14"/>
      <c r="G216" s="14"/>
      <c r="I216" s="15" t="n">
        <v>2017</v>
      </c>
      <c r="J216" s="13" t="n">
        <v>128.077440270149</v>
      </c>
      <c r="K216" s="21" t="n">
        <f aca="false">IFERROR((J216/J215-1)*100,"")</f>
        <v>1.77338927643469</v>
      </c>
      <c r="L216" s="14"/>
    </row>
    <row r="217" customFormat="false" ht="15" hidden="false" customHeight="false" outlineLevel="0" collapsed="false">
      <c r="A217" s="16" t="n">
        <v>39539</v>
      </c>
      <c r="B217" s="17" t="n">
        <v>106.372627803774</v>
      </c>
      <c r="C217" s="18" t="n">
        <f aca="false">IFERROR((B217/B216-1)*100,"")</f>
        <v>0.0139005715651397</v>
      </c>
      <c r="D217" s="18" t="n">
        <f aca="false">IFERROR((B217/B213-1)*100,"")</f>
        <v>1.3343472250255</v>
      </c>
      <c r="E217" s="19"/>
      <c r="F217" s="19"/>
      <c r="G217" s="19"/>
      <c r="I217" s="20" t="n">
        <v>2018</v>
      </c>
      <c r="J217" s="17" t="n">
        <v>130.693873778265</v>
      </c>
      <c r="K217" s="18" t="n">
        <f aca="false">IFERROR((J217/J216-1)*100,"")</f>
        <v>2.0428527479911</v>
      </c>
      <c r="L217" s="19"/>
    </row>
    <row r="218" customFormat="false" ht="15" hidden="false" customHeight="false" outlineLevel="0" collapsed="false">
      <c r="A218" s="12" t="n">
        <v>39630</v>
      </c>
      <c r="B218" s="13" t="n">
        <v>107.715211448312</v>
      </c>
      <c r="C218" s="21" t="n">
        <f aca="false">IFERROR((B218/B217-1)*100,"")</f>
        <v>1.2621514314892</v>
      </c>
      <c r="D218" s="21" t="n">
        <f aca="false">IFERROR((B218/B214-1)*100,"")</f>
        <v>3.11068124482727</v>
      </c>
      <c r="E218" s="14"/>
      <c r="F218" s="14"/>
      <c r="G218" s="14"/>
      <c r="I218" s="15" t="n">
        <v>2019</v>
      </c>
      <c r="J218" s="13" t="n">
        <v>133.371345306233</v>
      </c>
      <c r="K218" s="21" t="n">
        <f aca="false">IFERROR((J218/J217-1)*100,"")</f>
        <v>2.04865878603502</v>
      </c>
      <c r="L218" s="14"/>
    </row>
    <row r="219" customFormat="false" ht="15" hidden="false" customHeight="false" outlineLevel="0" collapsed="false">
      <c r="A219" s="16" t="n">
        <v>39722</v>
      </c>
      <c r="B219" s="17" t="n">
        <v>108.137189228677</v>
      </c>
      <c r="C219" s="18" t="n">
        <f aca="false">IFERROR((B219/B218-1)*100,"")</f>
        <v>0.391753193157296</v>
      </c>
      <c r="D219" s="18" t="n">
        <f aca="false">IFERROR((B219/B215-1)*100,"")</f>
        <v>2.91169563668978</v>
      </c>
      <c r="E219" s="19"/>
      <c r="F219" s="19"/>
      <c r="G219" s="19"/>
      <c r="I219" s="20" t="n">
        <v>2020</v>
      </c>
      <c r="J219" s="17" t="n">
        <v>135.918932679468</v>
      </c>
      <c r="K219" s="18" t="n">
        <f aca="false">IFERROR((J219/J218-1)*100,"")</f>
        <v>1.91014596680072</v>
      </c>
      <c r="L219" s="19"/>
    </row>
    <row r="220" customFormat="false" ht="15" hidden="false" customHeight="false" outlineLevel="0" collapsed="false">
      <c r="A220" s="12" t="n">
        <v>39814</v>
      </c>
      <c r="B220" s="13" t="n">
        <v>108.269633872625</v>
      </c>
      <c r="C220" s="21" t="n">
        <f aca="false">IFERROR((B220/B219-1)*100,"")</f>
        <v>0.122478348931021</v>
      </c>
      <c r="D220" s="21" t="n">
        <f aca="false">IFERROR((B220/B216-1)*100,"")</f>
        <v>1.79750769184488</v>
      </c>
      <c r="E220" s="14"/>
      <c r="F220" s="14"/>
      <c r="G220" s="14"/>
      <c r="I220" s="15" t="n">
        <v>2021</v>
      </c>
      <c r="J220" s="13" t="n">
        <v>138.154327117587</v>
      </c>
      <c r="K220" s="21" t="n">
        <f aca="false">IFERROR((J220/J219-1)*100,"")</f>
        <v>1.64465273089722</v>
      </c>
      <c r="L220" s="14"/>
    </row>
    <row r="221" customFormat="false" ht="15" hidden="false" customHeight="false" outlineLevel="0" collapsed="false">
      <c r="A221" s="16" t="n">
        <v>39904</v>
      </c>
      <c r="B221" s="17" t="n">
        <v>108.676561027388</v>
      </c>
      <c r="C221" s="18" t="n">
        <f aca="false">IFERROR((B221/B220-1)*100,"")</f>
        <v>0.375846061548102</v>
      </c>
      <c r="D221" s="18" t="n">
        <f aca="false">IFERROR((B221/B217-1)*100,"")</f>
        <v>2.16590797010625</v>
      </c>
      <c r="E221" s="19"/>
      <c r="F221" s="19"/>
      <c r="G221" s="19"/>
      <c r="I221" s="20" t="n">
        <v>2022</v>
      </c>
      <c r="J221" s="17" t="n">
        <v>141.580918923322</v>
      </c>
      <c r="K221" s="18" t="n">
        <f aca="false">IFERROR((J221/J220-1)*100,"")</f>
        <v>2.48026383047599</v>
      </c>
      <c r="L221" s="19"/>
    </row>
    <row r="222" customFormat="false" ht="15" hidden="false" customHeight="false" outlineLevel="0" collapsed="false">
      <c r="A222" s="12" t="n">
        <v>39995</v>
      </c>
      <c r="B222" s="13" t="n">
        <v>109.348098867609</v>
      </c>
      <c r="C222" s="21" t="n">
        <f aca="false">IFERROR((B222/B221-1)*100,"")</f>
        <v>0.617923344162286</v>
      </c>
      <c r="D222" s="21" t="n">
        <f aca="false">IFERROR((B222/B218-1)*100,"")</f>
        <v>1.51593019903225</v>
      </c>
      <c r="E222" s="14"/>
      <c r="F222" s="14"/>
      <c r="G222" s="14"/>
      <c r="I222" s="15" t="n">
        <v>2023</v>
      </c>
      <c r="J222" s="13" t="n">
        <v>144.258947973741</v>
      </c>
      <c r="K222" s="21" t="n">
        <f aca="false">IFERROR((J222/J221-1)*100,"")</f>
        <v>1.89151834214982</v>
      </c>
      <c r="L222" s="14"/>
    </row>
    <row r="223" customFormat="false" ht="15" hidden="false" customHeight="false" outlineLevel="0" collapsed="false">
      <c r="A223" s="16" t="n">
        <v>40087</v>
      </c>
      <c r="B223" s="17" t="n">
        <v>110.627720915971</v>
      </c>
      <c r="C223" s="18" t="n">
        <f aca="false">IFERROR((B223/B222-1)*100,"")</f>
        <v>1.17022797983117</v>
      </c>
      <c r="D223" s="18" t="n">
        <f aca="false">IFERROR((B223/B219-1)*100,"")</f>
        <v>2.30312227001479</v>
      </c>
      <c r="E223" s="19"/>
      <c r="F223" s="19"/>
      <c r="G223" s="19"/>
      <c r="I223" s="20" t="n">
        <v>2024</v>
      </c>
      <c r="J223" s="17" t="n">
        <v>147.238451046746</v>
      </c>
      <c r="K223" s="18" t="n">
        <f aca="false">IFERROR((J223/J222-1)*100,"")</f>
        <v>2.06538527755482</v>
      </c>
      <c r="L223" s="19"/>
    </row>
    <row r="224" customFormat="false" ht="15" hidden="false" customHeight="false" outlineLevel="0" collapsed="false">
      <c r="A224" s="12" t="n">
        <v>40179</v>
      </c>
      <c r="B224" s="13" t="n">
        <v>110.07684484446</v>
      </c>
      <c r="C224" s="21" t="n">
        <f aca="false">IFERROR((B224/B223-1)*100,"")</f>
        <v>-0.497954822669566</v>
      </c>
      <c r="D224" s="21" t="n">
        <f aca="false">IFERROR((B224/B220-1)*100,"")</f>
        <v>1.66917621053528</v>
      </c>
      <c r="E224" s="14"/>
      <c r="F224" s="14"/>
      <c r="G224" s="14"/>
      <c r="I224" s="15" t="n">
        <v>2025</v>
      </c>
      <c r="J224" s="13" t="n">
        <v>150.059230309766</v>
      </c>
      <c r="K224" s="21" t="n">
        <f aca="false">IFERROR((J224/J223-1)*100,"")</f>
        <v>1.91578982457838</v>
      </c>
      <c r="L224" s="14"/>
    </row>
    <row r="225" customFormat="false" ht="15" hidden="false" customHeight="false" outlineLevel="0" collapsed="false">
      <c r="A225" s="16" t="n">
        <v>40269</v>
      </c>
      <c r="B225" s="17" t="n">
        <v>110.527076001889</v>
      </c>
      <c r="C225" s="18" t="n">
        <f aca="false">IFERROR((B225/B224-1)*100,"")</f>
        <v>0.409015318402961</v>
      </c>
      <c r="D225" s="18" t="n">
        <f aca="false">IFERROR((B225/B221-1)*100,"")</f>
        <v>1.70277284909195</v>
      </c>
      <c r="E225" s="19"/>
      <c r="F225" s="19"/>
      <c r="G225" s="19"/>
      <c r="I225" s="20" t="n">
        <v>2026</v>
      </c>
      <c r="J225" s="19"/>
      <c r="K225" s="18" t="n">
        <f aca="false">IFERROR((J225/J224-1)*100,"")</f>
        <v>-100</v>
      </c>
      <c r="L225" s="17" t="n">
        <v>151.781714593341</v>
      </c>
    </row>
    <row r="226" customFormat="false" ht="15" hidden="false" customHeight="false" outlineLevel="0" collapsed="false">
      <c r="A226" s="12" t="n">
        <v>40360</v>
      </c>
      <c r="B226" s="13" t="n">
        <v>111.667690788861</v>
      </c>
      <c r="C226" s="21" t="n">
        <f aca="false">IFERROR((B226/B225-1)*100,"")</f>
        <v>1.03197770920205</v>
      </c>
      <c r="D226" s="21" t="n">
        <f aca="false">IFERROR((B226/B222-1)*100,"")</f>
        <v>2.12129149502718</v>
      </c>
      <c r="E226" s="14"/>
      <c r="F226" s="14"/>
      <c r="G226" s="14"/>
      <c r="I226" s="15" t="n">
        <v>2027</v>
      </c>
      <c r="J226" s="14"/>
      <c r="K226" s="21" t="str">
        <f aca="false">IFERROR((J226/J225-1)*100,"")</f>
        <v/>
      </c>
      <c r="L226" s="13" t="n">
        <v>153.241459425173</v>
      </c>
    </row>
    <row r="227" customFormat="false" ht="15" hidden="false" customHeight="false" outlineLevel="0" collapsed="false">
      <c r="A227" s="16" t="n">
        <v>40452</v>
      </c>
      <c r="B227" s="17" t="n">
        <v>112.085225193829</v>
      </c>
      <c r="C227" s="18" t="n">
        <f aca="false">IFERROR((B227/B226-1)*100,"")</f>
        <v>0.373907978232557</v>
      </c>
      <c r="D227" s="18" t="n">
        <f aca="false">IFERROR((B227/B223-1)*100,"")</f>
        <v>1.31748558660536</v>
      </c>
      <c r="E227" s="19"/>
      <c r="F227" s="19"/>
      <c r="G227" s="19"/>
    </row>
    <row r="228" customFormat="false" ht="15" hidden="false" customHeight="false" outlineLevel="0" collapsed="false">
      <c r="A228" s="12" t="n">
        <v>40544</v>
      </c>
      <c r="B228" s="13" t="n">
        <v>113.332225566544</v>
      </c>
      <c r="C228" s="21" t="n">
        <f aca="false">IFERROR((B228/B227-1)*100,"")</f>
        <v>1.1125466095629</v>
      </c>
      <c r="D228" s="21" t="n">
        <f aca="false">IFERROR((B228/B224-1)*100,"")</f>
        <v>2.95737103173985</v>
      </c>
      <c r="E228" s="14"/>
      <c r="F228" s="14"/>
      <c r="G228" s="14"/>
    </row>
    <row r="229" customFormat="false" ht="15" hidden="false" customHeight="false" outlineLevel="0" collapsed="false">
      <c r="A229" s="16" t="n">
        <v>40634</v>
      </c>
      <c r="B229" s="17" t="n">
        <v>112.819085032058</v>
      </c>
      <c r="C229" s="18" t="n">
        <f aca="false">IFERROR((B229/B228-1)*100,"")</f>
        <v>-0.452775485455115</v>
      </c>
      <c r="D229" s="18" t="n">
        <f aca="false">IFERROR((B229/B225-1)*100,"")</f>
        <v>2.07370819266912</v>
      </c>
      <c r="E229" s="19"/>
      <c r="F229" s="19"/>
      <c r="G229" s="19"/>
    </row>
    <row r="230" customFormat="false" ht="15" hidden="false" customHeight="false" outlineLevel="0" collapsed="false">
      <c r="A230" s="12" t="n">
        <v>40725</v>
      </c>
      <c r="B230" s="13" t="n">
        <v>114.101585334851</v>
      </c>
      <c r="C230" s="21" t="n">
        <f aca="false">IFERROR((B230/B229-1)*100,"")</f>
        <v>1.13677601837399</v>
      </c>
      <c r="D230" s="21" t="n">
        <f aca="false">IFERROR((B230/B226-1)*100,"")</f>
        <v>2.17958706658656</v>
      </c>
      <c r="E230" s="14"/>
      <c r="F230" s="14"/>
      <c r="G230" s="14"/>
    </row>
    <row r="231" customFormat="false" ht="15" hidden="false" customHeight="false" outlineLevel="0" collapsed="false">
      <c r="A231" s="16" t="n">
        <v>40817</v>
      </c>
      <c r="B231" s="17" t="n">
        <v>114.338713443177</v>
      </c>
      <c r="C231" s="18" t="n">
        <f aca="false">IFERROR((B231/B230-1)*100,"")</f>
        <v>0.207821922569895</v>
      </c>
      <c r="D231" s="18" t="n">
        <f aca="false">IFERROR((B231/B227-1)*100,"")</f>
        <v>2.01051320140628</v>
      </c>
      <c r="E231" s="19"/>
      <c r="F231" s="19"/>
      <c r="G231" s="19"/>
    </row>
    <row r="232" customFormat="false" ht="15" hidden="false" customHeight="false" outlineLevel="0" collapsed="false">
      <c r="A232" s="12" t="n">
        <v>40909</v>
      </c>
      <c r="B232" s="13" t="n">
        <v>114.911706291964</v>
      </c>
      <c r="C232" s="21" t="n">
        <f aca="false">IFERROR((B232/B231-1)*100,"")</f>
        <v>0.501136344403386</v>
      </c>
      <c r="D232" s="21" t="n">
        <f aca="false">IFERROR((B232/B228-1)*100,"")</f>
        <v>1.393673085942</v>
      </c>
      <c r="E232" s="14"/>
      <c r="F232" s="14"/>
      <c r="G232" s="14"/>
    </row>
    <row r="233" customFormat="false" ht="15" hidden="false" customHeight="false" outlineLevel="0" collapsed="false">
      <c r="A233" s="16" t="n">
        <v>41000</v>
      </c>
      <c r="B233" s="17" t="n">
        <v>115.588425713206</v>
      </c>
      <c r="C233" s="18" t="n">
        <f aca="false">IFERROR((B233/B232-1)*100,"")</f>
        <v>0.58890381413641</v>
      </c>
      <c r="D233" s="18" t="n">
        <f aca="false">IFERROR((B233/B229-1)*100,"")</f>
        <v>2.45467394134751</v>
      </c>
      <c r="E233" s="19"/>
      <c r="F233" s="19"/>
      <c r="G233" s="19"/>
    </row>
    <row r="234" customFormat="false" ht="15" hidden="false" customHeight="false" outlineLevel="0" collapsed="false">
      <c r="A234" s="12" t="n">
        <v>41091</v>
      </c>
      <c r="B234" s="13" t="n">
        <v>116.736604565723</v>
      </c>
      <c r="C234" s="21" t="n">
        <f aca="false">IFERROR((B234/B233-1)*100,"")</f>
        <v>0.993333757625181</v>
      </c>
      <c r="D234" s="21" t="n">
        <f aca="false">IFERROR((B234/B230-1)*100,"")</f>
        <v>2.30936250634826</v>
      </c>
      <c r="E234" s="14"/>
      <c r="F234" s="14"/>
      <c r="G234" s="14"/>
    </row>
    <row r="235" customFormat="false" ht="15" hidden="false" customHeight="false" outlineLevel="0" collapsed="false">
      <c r="A235" s="16" t="n">
        <v>41183</v>
      </c>
      <c r="B235" s="17" t="n">
        <v>116.380098560134</v>
      </c>
      <c r="C235" s="18" t="n">
        <f aca="false">IFERROR((B235/B234-1)*100,"")</f>
        <v>-0.305393502677032</v>
      </c>
      <c r="D235" s="18" t="n">
        <f aca="false">IFERROR((B235/B231-1)*100,"")</f>
        <v>1.78538401866086</v>
      </c>
      <c r="E235" s="19"/>
      <c r="F235" s="19"/>
      <c r="G235" s="19"/>
    </row>
    <row r="236" customFormat="false" ht="15" hidden="false" customHeight="false" outlineLevel="0" collapsed="false">
      <c r="A236" s="12" t="n">
        <v>41275</v>
      </c>
      <c r="B236" s="13" t="n">
        <v>117.164796455835</v>
      </c>
      <c r="C236" s="21" t="n">
        <f aca="false">IFERROR((B236/B235-1)*100,"")</f>
        <v>0.674254366004212</v>
      </c>
      <c r="D236" s="21" t="n">
        <f aca="false">IFERROR((B236/B232-1)*100,"")</f>
        <v>1.96071421839916</v>
      </c>
      <c r="E236" s="14"/>
      <c r="F236" s="14"/>
      <c r="G236" s="14"/>
    </row>
    <row r="237" customFormat="false" ht="15" hidden="false" customHeight="false" outlineLevel="0" collapsed="false">
      <c r="A237" s="16" t="n">
        <v>41365</v>
      </c>
      <c r="B237" s="17" t="n">
        <v>117.557173963757</v>
      </c>
      <c r="C237" s="18" t="n">
        <f aca="false">IFERROR((B237/B236-1)*100,"")</f>
        <v>0.334893688027882</v>
      </c>
      <c r="D237" s="18" t="n">
        <f aca="false">IFERROR((B237/B233-1)*100,"")</f>
        <v>1.70323995538713</v>
      </c>
      <c r="E237" s="19"/>
      <c r="F237" s="19"/>
      <c r="G237" s="19"/>
    </row>
    <row r="238" customFormat="false" ht="15" hidden="false" customHeight="false" outlineLevel="0" collapsed="false">
      <c r="A238" s="12" t="n">
        <v>41456</v>
      </c>
      <c r="B238" s="13" t="n">
        <v>118.503995500966</v>
      </c>
      <c r="C238" s="21" t="n">
        <f aca="false">IFERROR((B238/B237-1)*100,"")</f>
        <v>0.805413659826249</v>
      </c>
      <c r="D238" s="21" t="n">
        <f aca="false">IFERROR((B238/B234-1)*100,"")</f>
        <v>1.5139989224616</v>
      </c>
      <c r="E238" s="14"/>
      <c r="F238" s="14"/>
      <c r="G238" s="14"/>
    </row>
    <row r="239" customFormat="false" ht="15" hidden="false" customHeight="false" outlineLevel="0" collapsed="false">
      <c r="A239" s="16" t="n">
        <v>41548</v>
      </c>
      <c r="B239" s="17" t="n">
        <v>118.841278667896</v>
      </c>
      <c r="C239" s="18" t="n">
        <f aca="false">IFERROR((B239/B238-1)*100,"")</f>
        <v>0.284617548551225</v>
      </c>
      <c r="D239" s="18" t="n">
        <f aca="false">IFERROR((B239/B235-1)*100,"")</f>
        <v>2.11477747330762</v>
      </c>
      <c r="E239" s="19"/>
      <c r="F239" s="19"/>
      <c r="G239" s="19"/>
    </row>
    <row r="240" customFormat="false" ht="15" hidden="false" customHeight="false" outlineLevel="0" collapsed="false">
      <c r="A240" s="12" t="n">
        <v>41640</v>
      </c>
      <c r="B240" s="13" t="n">
        <v>119.512018354298</v>
      </c>
      <c r="C240" s="21" t="n">
        <f aca="false">IFERROR((B240/B239-1)*100,"")</f>
        <v>0.564399587348596</v>
      </c>
      <c r="D240" s="21" t="n">
        <f aca="false">IFERROR((B240/B236-1)*100,"")</f>
        <v>2.00335080968401</v>
      </c>
      <c r="E240" s="14"/>
      <c r="F240" s="14"/>
      <c r="G240" s="14"/>
    </row>
    <row r="241" customFormat="false" ht="15" hidden="false" customHeight="false" outlineLevel="0" collapsed="false">
      <c r="A241" s="16" t="n">
        <v>41730</v>
      </c>
      <c r="B241" s="17" t="n">
        <v>121.294683247027</v>
      </c>
      <c r="C241" s="18" t="n">
        <f aca="false">IFERROR((B241/B240-1)*100,"")</f>
        <v>1.49161976952361</v>
      </c>
      <c r="D241" s="18" t="n">
        <f aca="false">IFERROR((B241/B237-1)*100,"")</f>
        <v>3.17931195285708</v>
      </c>
      <c r="E241" s="19"/>
      <c r="F241" s="19"/>
      <c r="G241" s="19"/>
    </row>
    <row r="242" customFormat="false" ht="15" hidden="false" customHeight="false" outlineLevel="0" collapsed="false">
      <c r="A242" s="12" t="n">
        <v>41821</v>
      </c>
      <c r="B242" s="13" t="n">
        <v>120.159118206209</v>
      </c>
      <c r="C242" s="21" t="n">
        <f aca="false">IFERROR((B242/B241-1)*100,"")</f>
        <v>-0.936203476046693</v>
      </c>
      <c r="D242" s="21" t="n">
        <f aca="false">IFERROR((B242/B238-1)*100,"")</f>
        <v>1.39668092898093</v>
      </c>
      <c r="E242" s="14"/>
      <c r="F242" s="14"/>
      <c r="G242" s="14"/>
    </row>
    <row r="243" customFormat="false" ht="15" hidden="false" customHeight="false" outlineLevel="0" collapsed="false">
      <c r="A243" s="16" t="n">
        <v>41913</v>
      </c>
      <c r="B243" s="17" t="n">
        <v>121.566179280039</v>
      </c>
      <c r="C243" s="18" t="n">
        <f aca="false">IFERROR((B243/B242-1)*100,"")</f>
        <v>1.17099816879149</v>
      </c>
      <c r="D243" s="18" t="n">
        <f aca="false">IFERROR((B243/B239-1)*100,"")</f>
        <v>2.29289068805612</v>
      </c>
      <c r="E243" s="19"/>
      <c r="F243" s="19"/>
      <c r="G243" s="19"/>
    </row>
    <row r="244" customFormat="false" ht="15" hidden="false" customHeight="false" outlineLevel="0" collapsed="false">
      <c r="A244" s="12" t="n">
        <v>42005</v>
      </c>
      <c r="B244" s="13" t="n">
        <v>121.500091138031</v>
      </c>
      <c r="C244" s="21" t="n">
        <f aca="false">IFERROR((B244/B243-1)*100,"")</f>
        <v>-0.0543639212809977</v>
      </c>
      <c r="D244" s="21" t="n">
        <f aca="false">IFERROR((B244/B240-1)*100,"")</f>
        <v>1.66349193253501</v>
      </c>
      <c r="E244" s="14"/>
      <c r="F244" s="14"/>
      <c r="G244" s="14"/>
    </row>
    <row r="245" customFormat="false" ht="15" hidden="false" customHeight="false" outlineLevel="0" collapsed="false">
      <c r="A245" s="16" t="n">
        <v>42095</v>
      </c>
      <c r="B245" s="17" t="n">
        <v>123.088544786473</v>
      </c>
      <c r="C245" s="18" t="n">
        <f aca="false">IFERROR((B245/B244-1)*100,"")</f>
        <v>1.30736827731053</v>
      </c>
      <c r="D245" s="18" t="n">
        <f aca="false">IFERROR((B245/B241-1)*100,"")</f>
        <v>1.47892841749111</v>
      </c>
      <c r="E245" s="19"/>
      <c r="F245" s="19"/>
      <c r="G245" s="19"/>
    </row>
    <row r="246" customFormat="false" ht="15" hidden="false" customHeight="false" outlineLevel="0" collapsed="false">
      <c r="A246" s="12" t="n">
        <v>42186</v>
      </c>
      <c r="B246" s="13" t="n">
        <v>123.099863268854</v>
      </c>
      <c r="C246" s="21" t="n">
        <f aca="false">IFERROR((B246/B245-1)*100,"")</f>
        <v>0.00919539864592256</v>
      </c>
      <c r="D246" s="21" t="n">
        <f aca="false">IFERROR((B246/B242-1)*100,"")</f>
        <v>2.44737570194089</v>
      </c>
      <c r="E246" s="14"/>
      <c r="F246" s="14"/>
      <c r="G246" s="14"/>
    </row>
    <row r="247" customFormat="false" ht="15" hidden="false" customHeight="false" outlineLevel="0" collapsed="false">
      <c r="A247" s="16" t="n">
        <v>42278</v>
      </c>
      <c r="B247" s="17" t="n">
        <v>124.547626174389</v>
      </c>
      <c r="C247" s="18" t="n">
        <f aca="false">IFERROR((B247/B246-1)*100,"")</f>
        <v>1.17608815078263</v>
      </c>
      <c r="D247" s="18" t="n">
        <f aca="false">IFERROR((B247/B243-1)*100,"")</f>
        <v>2.45252989935716</v>
      </c>
      <c r="E247" s="19"/>
      <c r="F247" s="19"/>
      <c r="G247" s="19"/>
    </row>
    <row r="248" customFormat="false" ht="15" hidden="false" customHeight="false" outlineLevel="0" collapsed="false">
      <c r="A248" s="12" t="n">
        <v>42370</v>
      </c>
      <c r="B248" s="13" t="n">
        <v>125.568645191506</v>
      </c>
      <c r="C248" s="21" t="n">
        <f aca="false">IFERROR((B248/B247-1)*100,"")</f>
        <v>0.819781997039271</v>
      </c>
      <c r="D248" s="21" t="n">
        <f aca="false">IFERROR((B248/B244-1)*100,"")</f>
        <v>3.34860164742796</v>
      </c>
      <c r="E248" s="14"/>
      <c r="F248" s="14"/>
      <c r="G248" s="14"/>
    </row>
    <row r="249" customFormat="false" ht="15" hidden="false" customHeight="false" outlineLevel="0" collapsed="false">
      <c r="A249" s="16" t="n">
        <v>42461</v>
      </c>
      <c r="B249" s="17" t="n">
        <v>125.698365084905</v>
      </c>
      <c r="C249" s="18" t="n">
        <f aca="false">IFERROR((B249/B248-1)*100,"")</f>
        <v>0.103305959223321</v>
      </c>
      <c r="D249" s="18" t="n">
        <f aca="false">IFERROR((B249/B245-1)*100,"")</f>
        <v>2.12027878220411</v>
      </c>
      <c r="E249" s="19"/>
      <c r="F249" s="19"/>
      <c r="G249" s="19"/>
    </row>
    <row r="250" customFormat="false" ht="15" hidden="false" customHeight="false" outlineLevel="0" collapsed="false">
      <c r="A250" s="12" t="n">
        <v>42552</v>
      </c>
      <c r="B250" s="13" t="n">
        <v>125.462569815631</v>
      </c>
      <c r="C250" s="21" t="n">
        <f aca="false">IFERROR((B250/B249-1)*100,"")</f>
        <v>-0.187588175163789</v>
      </c>
      <c r="D250" s="21" t="n">
        <f aca="false">IFERROR((B250/B246-1)*100,"")</f>
        <v>1.91934132503224</v>
      </c>
      <c r="E250" s="14"/>
      <c r="F250" s="14"/>
      <c r="G250" s="14"/>
    </row>
    <row r="251" customFormat="false" ht="15" hidden="false" customHeight="false" outlineLevel="0" collapsed="false">
      <c r="A251" s="16" t="n">
        <v>42644</v>
      </c>
      <c r="B251" s="17" t="n">
        <v>126.653243967274</v>
      </c>
      <c r="C251" s="18" t="n">
        <f aca="false">IFERROR((B251/B250-1)*100,"")</f>
        <v>0.949027389915891</v>
      </c>
      <c r="D251" s="18" t="n">
        <f aca="false">IFERROR((B251/B247-1)*100,"")</f>
        <v>1.690612545226</v>
      </c>
      <c r="E251" s="19"/>
      <c r="F251" s="19"/>
      <c r="G251" s="19"/>
    </row>
    <row r="252" customFormat="false" ht="15" hidden="false" customHeight="false" outlineLevel="0" collapsed="false">
      <c r="A252" s="12" t="n">
        <v>42736</v>
      </c>
      <c r="B252" s="13" t="n">
        <v>126.821406880479</v>
      </c>
      <c r="C252" s="21" t="n">
        <f aca="false">IFERROR((B252/B251-1)*100,"")</f>
        <v>0.132774264548852</v>
      </c>
      <c r="D252" s="21" t="n">
        <f aca="false">IFERROR((B252/B248-1)*100,"")</f>
        <v>0.997670785618654</v>
      </c>
      <c r="E252" s="14"/>
      <c r="F252" s="14"/>
      <c r="G252" s="14"/>
    </row>
    <row r="253" customFormat="false" ht="15" hidden="false" customHeight="false" outlineLevel="0" collapsed="false">
      <c r="A253" s="16" t="n">
        <v>42826</v>
      </c>
      <c r="B253" s="17" t="n">
        <v>128.213598004527</v>
      </c>
      <c r="C253" s="18" t="n">
        <f aca="false">IFERROR((B253/B252-1)*100,"")</f>
        <v>1.09775719911422</v>
      </c>
      <c r="D253" s="18" t="n">
        <f aca="false">IFERROR((B253/B249-1)*100,"")</f>
        <v>2.00100686904199</v>
      </c>
      <c r="E253" s="19"/>
      <c r="F253" s="19"/>
      <c r="G253" s="19"/>
    </row>
    <row r="254" customFormat="false" ht="15" hidden="false" customHeight="false" outlineLevel="0" collapsed="false">
      <c r="A254" s="12" t="n">
        <v>42917</v>
      </c>
      <c r="B254" s="13" t="n">
        <v>128.037270608805</v>
      </c>
      <c r="C254" s="21" t="n">
        <f aca="false">IFERROR((B254/B253-1)*100,"")</f>
        <v>-0.137526283067091</v>
      </c>
      <c r="D254" s="21" t="n">
        <f aca="false">IFERROR((B254/B250-1)*100,"")</f>
        <v>2.05216647240469</v>
      </c>
      <c r="E254" s="14"/>
      <c r="F254" s="14"/>
      <c r="G254" s="14"/>
    </row>
    <row r="255" customFormat="false" ht="15" hidden="false" customHeight="false" outlineLevel="0" collapsed="false">
      <c r="A255" s="16" t="n">
        <v>43009</v>
      </c>
      <c r="B255" s="17" t="n">
        <v>129.237485586787</v>
      </c>
      <c r="C255" s="18" t="n">
        <f aca="false">IFERROR((B255/B254-1)*100,"")</f>
        <v>0.937395004028896</v>
      </c>
      <c r="D255" s="18" t="n">
        <f aca="false">IFERROR((B255/B251-1)*100,"")</f>
        <v>2.04040697147927</v>
      </c>
      <c r="E255" s="19"/>
      <c r="F255" s="19"/>
      <c r="G255" s="19"/>
    </row>
    <row r="256" customFormat="false" ht="15" hidden="false" customHeight="false" outlineLevel="0" collapsed="false">
      <c r="A256" s="12" t="n">
        <v>43101</v>
      </c>
      <c r="B256" s="13" t="n">
        <v>129.796649159112</v>
      </c>
      <c r="C256" s="21" t="n">
        <f aca="false">IFERROR((B256/B255-1)*100,"")</f>
        <v>0.432663611324902</v>
      </c>
      <c r="D256" s="21" t="n">
        <f aca="false">IFERROR((B256/B252-1)*100,"")</f>
        <v>2.34600951985762</v>
      </c>
      <c r="E256" s="14"/>
      <c r="F256" s="14"/>
      <c r="G256" s="14"/>
    </row>
    <row r="257" customFormat="false" ht="15" hidden="false" customHeight="false" outlineLevel="0" collapsed="false">
      <c r="A257" s="16" t="n">
        <v>43191</v>
      </c>
      <c r="B257" s="17" t="n">
        <v>129.719488901078</v>
      </c>
      <c r="C257" s="18" t="n">
        <f aca="false">IFERROR((B257/B256-1)*100,"")</f>
        <v>-0.0594470339060238</v>
      </c>
      <c r="D257" s="18" t="n">
        <f aca="false">IFERROR((B257/B253-1)*100,"")</f>
        <v>1.17451730548683</v>
      </c>
      <c r="E257" s="19"/>
      <c r="F257" s="19"/>
      <c r="G257" s="19"/>
    </row>
    <row r="258" customFormat="false" ht="15" hidden="false" customHeight="false" outlineLevel="0" collapsed="false">
      <c r="A258" s="12" t="n">
        <v>43282</v>
      </c>
      <c r="B258" s="13" t="n">
        <v>131.551344959132</v>
      </c>
      <c r="C258" s="21" t="n">
        <f aca="false">IFERROR((B258/B257-1)*100,"")</f>
        <v>1.41216718750083</v>
      </c>
      <c r="D258" s="21" t="n">
        <f aca="false">IFERROR((B258/B254-1)*100,"")</f>
        <v>2.74457143112972</v>
      </c>
      <c r="E258" s="14"/>
      <c r="F258" s="14"/>
      <c r="G258" s="14"/>
    </row>
    <row r="259" customFormat="false" ht="15" hidden="false" customHeight="false" outlineLevel="0" collapsed="false">
      <c r="A259" s="16" t="n">
        <v>43374</v>
      </c>
      <c r="B259" s="17" t="n">
        <v>131.708012093737</v>
      </c>
      <c r="C259" s="18" t="n">
        <f aca="false">IFERROR((B259/B258-1)*100,"")</f>
        <v>0.11909200521909</v>
      </c>
      <c r="D259" s="18" t="n">
        <f aca="false">IFERROR((B259/B255-1)*100,"")</f>
        <v>1.91161758969001</v>
      </c>
      <c r="E259" s="19"/>
      <c r="F259" s="19"/>
      <c r="G259" s="19"/>
    </row>
    <row r="260" customFormat="false" ht="15" hidden="false" customHeight="false" outlineLevel="0" collapsed="false">
      <c r="A260" s="12" t="n">
        <v>43466</v>
      </c>
      <c r="B260" s="13" t="n">
        <v>132.859740470391</v>
      </c>
      <c r="C260" s="21" t="n">
        <f aca="false">IFERROR((B260/B259-1)*100,"")</f>
        <v>0.874455819615982</v>
      </c>
      <c r="D260" s="21" t="n">
        <f aca="false">IFERROR((B260/B256-1)*100,"")</f>
        <v>2.35991555338544</v>
      </c>
      <c r="E260" s="14"/>
      <c r="F260" s="14"/>
      <c r="G260" s="14"/>
    </row>
    <row r="261" customFormat="false" ht="15" hidden="false" customHeight="false" outlineLevel="0" collapsed="false">
      <c r="A261" s="16" t="n">
        <v>43556</v>
      </c>
      <c r="B261" s="17" t="n">
        <v>132.86776153388</v>
      </c>
      <c r="C261" s="18" t="n">
        <f aca="false">IFERROR((B261/B260-1)*100,"")</f>
        <v>0.00603724157581809</v>
      </c>
      <c r="D261" s="18" t="n">
        <f aca="false">IFERROR((B261/B257-1)*100,"")</f>
        <v>2.42698507330963</v>
      </c>
      <c r="E261" s="19"/>
      <c r="F261" s="19"/>
      <c r="G261" s="19"/>
    </row>
    <row r="262" customFormat="false" ht="15" hidden="false" customHeight="false" outlineLevel="0" collapsed="false">
      <c r="A262" s="12" t="n">
        <v>43647</v>
      </c>
      <c r="B262" s="13" t="n">
        <v>133.673867624274</v>
      </c>
      <c r="C262" s="21" t="n">
        <f aca="false">IFERROR((B262/B261-1)*100,"")</f>
        <v>0.606698028993624</v>
      </c>
      <c r="D262" s="21" t="n">
        <f aca="false">IFERROR((B262/B258-1)*100,"")</f>
        <v>1.61345569351745</v>
      </c>
      <c r="E262" s="14"/>
      <c r="F262" s="14"/>
      <c r="G262" s="14"/>
    </row>
    <row r="263" customFormat="false" ht="15" hidden="false" customHeight="false" outlineLevel="0" collapsed="false">
      <c r="A263" s="16" t="n">
        <v>43739</v>
      </c>
      <c r="B263" s="17" t="n">
        <v>134.084011596385</v>
      </c>
      <c r="C263" s="18" t="n">
        <f aca="false">IFERROR((B263/B262-1)*100,"")</f>
        <v>0.306824347496115</v>
      </c>
      <c r="D263" s="18" t="n">
        <f aca="false">IFERROR((B263/B259-1)*100,"")</f>
        <v>1.80399010271097</v>
      </c>
      <c r="E263" s="19"/>
      <c r="F263" s="19"/>
      <c r="G263" s="19"/>
    </row>
    <row r="264" customFormat="false" ht="15" hidden="false" customHeight="false" outlineLevel="0" collapsed="false">
      <c r="A264" s="12" t="n">
        <v>43831</v>
      </c>
      <c r="B264" s="13" t="n">
        <v>134.494408543279</v>
      </c>
      <c r="C264" s="21" t="n">
        <f aca="false">IFERROR((B264/B263-1)*100,"")</f>
        <v>0.306074484204033</v>
      </c>
      <c r="D264" s="21" t="n">
        <f aca="false">IFERROR((B264/B260-1)*100,"")</f>
        <v>1.23037126754904</v>
      </c>
      <c r="E264" s="14"/>
      <c r="F264" s="14"/>
      <c r="G264" s="14"/>
    </row>
    <row r="265" customFormat="false" ht="15" hidden="false" customHeight="false" outlineLevel="0" collapsed="false">
      <c r="A265" s="16" t="n">
        <v>43922</v>
      </c>
      <c r="B265" s="17" t="n">
        <v>134.997226610446</v>
      </c>
      <c r="C265" s="18" t="n">
        <f aca="false">IFERROR((B265/B264-1)*100,"")</f>
        <v>0.37385797120717</v>
      </c>
      <c r="D265" s="18" t="n">
        <f aca="false">IFERROR((B265/B261-1)*100,"")</f>
        <v>1.60269507966588</v>
      </c>
      <c r="E265" s="19"/>
      <c r="F265" s="19"/>
      <c r="G265" s="19"/>
    </row>
    <row r="266" customFormat="false" ht="15" hidden="false" customHeight="false" outlineLevel="0" collapsed="false">
      <c r="A266" s="12" t="n">
        <v>44013</v>
      </c>
      <c r="B266" s="13" t="n">
        <v>137.165470565972</v>
      </c>
      <c r="C266" s="21" t="n">
        <f aca="false">IFERROR((B266/B265-1)*100,"")</f>
        <v>1.60613962965563</v>
      </c>
      <c r="D266" s="21" t="n">
        <f aca="false">IFERROR((B266/B262-1)*100,"")</f>
        <v>2.61203106018613</v>
      </c>
      <c r="E266" s="14"/>
      <c r="F266" s="14"/>
      <c r="G266" s="14"/>
    </row>
    <row r="267" customFormat="false" ht="15" hidden="false" customHeight="false" outlineLevel="0" collapsed="false">
      <c r="A267" s="16" t="n">
        <v>44105</v>
      </c>
      <c r="B267" s="17" t="n">
        <v>137.018624998173</v>
      </c>
      <c r="C267" s="18" t="n">
        <f aca="false">IFERROR((B267/B266-1)*100,"")</f>
        <v>-0.107057240567476</v>
      </c>
      <c r="D267" s="18" t="n">
        <f aca="false">IFERROR((B267/B263-1)*100,"")</f>
        <v>2.18863783000576</v>
      </c>
      <c r="E267" s="19"/>
      <c r="F267" s="19"/>
      <c r="G267" s="19"/>
    </row>
    <row r="268" customFormat="false" ht="15" hidden="false" customHeight="false" outlineLevel="0" collapsed="false">
      <c r="A268" s="12" t="n">
        <v>44197</v>
      </c>
      <c r="B268" s="13" t="n">
        <v>137.578513002506</v>
      </c>
      <c r="C268" s="21" t="n">
        <f aca="false">IFERROR((B268/B267-1)*100,"")</f>
        <v>0.408621823741395</v>
      </c>
      <c r="D268" s="21" t="n">
        <f aca="false">IFERROR((B268/B264-1)*100,"")</f>
        <v>2.29310979737465</v>
      </c>
      <c r="E268" s="14"/>
      <c r="F268" s="14"/>
      <c r="G268" s="14"/>
    </row>
    <row r="269" customFormat="false" ht="15" hidden="false" customHeight="false" outlineLevel="0" collapsed="false">
      <c r="A269" s="16" t="n">
        <v>44287</v>
      </c>
      <c r="B269" s="17" t="n">
        <v>137.155383494602</v>
      </c>
      <c r="C269" s="18" t="n">
        <f aca="false">IFERROR((B269/B268-1)*100,"")</f>
        <v>-0.307554936210208</v>
      </c>
      <c r="D269" s="18" t="n">
        <f aca="false">IFERROR((B269/B265-1)*100,"")</f>
        <v>1.59866757143381</v>
      </c>
      <c r="E269" s="19"/>
      <c r="F269" s="19"/>
      <c r="G269" s="19"/>
    </row>
    <row r="270" customFormat="false" ht="15" hidden="false" customHeight="false" outlineLevel="0" collapsed="false">
      <c r="A270" s="12" t="n">
        <v>44378</v>
      </c>
      <c r="B270" s="13" t="n">
        <v>137.895113885578</v>
      </c>
      <c r="C270" s="21" t="n">
        <f aca="false">IFERROR((B270/B269-1)*100,"")</f>
        <v>0.539337481423119</v>
      </c>
      <c r="D270" s="21" t="n">
        <f aca="false">IFERROR((B270/B266-1)*100,"")</f>
        <v>0.53194387522979</v>
      </c>
      <c r="E270" s="14"/>
      <c r="F270" s="14"/>
      <c r="G270" s="14"/>
    </row>
    <row r="271" customFormat="false" ht="15" hidden="false" customHeight="false" outlineLevel="0" collapsed="false">
      <c r="A271" s="16" t="n">
        <v>44470</v>
      </c>
      <c r="B271" s="17" t="n">
        <v>139.988298087661</v>
      </c>
      <c r="C271" s="18" t="n">
        <f aca="false">IFERROR((B271/B270-1)*100,"")</f>
        <v>1.51795385862574</v>
      </c>
      <c r="D271" s="18" t="n">
        <f aca="false">IFERROR((B271/B267-1)*100,"")</f>
        <v>2.16734994204415</v>
      </c>
      <c r="E271" s="19"/>
      <c r="F271" s="19"/>
      <c r="G271" s="19"/>
    </row>
    <row r="272" customFormat="false" ht="15" hidden="false" customHeight="false" outlineLevel="0" collapsed="false">
      <c r="A272" s="12" t="n">
        <v>44562</v>
      </c>
      <c r="B272" s="13" t="n">
        <v>140.370761599222</v>
      </c>
      <c r="C272" s="21" t="n">
        <f aca="false">IFERROR((B272/B271-1)*100,"")</f>
        <v>0.273211058914313</v>
      </c>
      <c r="D272" s="21" t="n">
        <f aca="false">IFERROR((B272/B268-1)*100,"")</f>
        <v>2.02956736177635</v>
      </c>
      <c r="E272" s="14"/>
      <c r="F272" s="14"/>
      <c r="G272" s="14"/>
    </row>
    <row r="273" customFormat="false" ht="15" hidden="false" customHeight="false" outlineLevel="0" collapsed="false">
      <c r="A273" s="16" t="n">
        <v>44652</v>
      </c>
      <c r="B273" s="17" t="n">
        <v>141.05895211575</v>
      </c>
      <c r="C273" s="18" t="n">
        <f aca="false">IFERROR((B273/B272-1)*100,"")</f>
        <v>0.490266283866836</v>
      </c>
      <c r="D273" s="18" t="n">
        <f aca="false">IFERROR((B273/B269-1)*100,"")</f>
        <v>2.84609216327381</v>
      </c>
      <c r="E273" s="19"/>
      <c r="F273" s="19"/>
      <c r="G273" s="19"/>
    </row>
    <row r="274" customFormat="false" ht="15" hidden="false" customHeight="false" outlineLevel="0" collapsed="false">
      <c r="A274" s="12" t="n">
        <v>44743</v>
      </c>
      <c r="B274" s="13" t="n">
        <v>141.861753499742</v>
      </c>
      <c r="C274" s="21" t="n">
        <f aca="false">IFERROR((B274/B273-1)*100,"")</f>
        <v>0.569124732567583</v>
      </c>
      <c r="D274" s="21" t="n">
        <f aca="false">IFERROR((B274/B270-1)*100,"")</f>
        <v>2.87656284721938</v>
      </c>
      <c r="E274" s="14"/>
      <c r="F274" s="14"/>
      <c r="G274" s="14"/>
    </row>
    <row r="275" customFormat="false" ht="15" hidden="false" customHeight="false" outlineLevel="0" collapsed="false">
      <c r="A275" s="16" t="n">
        <v>44835</v>
      </c>
      <c r="B275" s="17" t="n">
        <v>143.032208478573</v>
      </c>
      <c r="C275" s="18" t="n">
        <f aca="false">IFERROR((B275/B274-1)*100,"")</f>
        <v>0.82506732784311</v>
      </c>
      <c r="D275" s="18" t="n">
        <f aca="false">IFERROR((B275/B271-1)*100,"")</f>
        <v>2.1744034554992</v>
      </c>
      <c r="E275" s="19"/>
      <c r="F275" s="19"/>
      <c r="G275" s="19"/>
    </row>
    <row r="276" customFormat="false" ht="15" hidden="false" customHeight="false" outlineLevel="0" collapsed="false">
      <c r="A276" s="12" t="n">
        <v>44927</v>
      </c>
      <c r="B276" s="13" t="n">
        <v>143.395995640038</v>
      </c>
      <c r="C276" s="21" t="n">
        <f aca="false">IFERROR((B276/B275-1)*100,"")</f>
        <v>0.254339330514441</v>
      </c>
      <c r="D276" s="21" t="n">
        <f aca="false">IFERROR((B276/B272-1)*100,"")</f>
        <v>2.15517391681115</v>
      </c>
      <c r="E276" s="14"/>
      <c r="F276" s="14"/>
      <c r="G276" s="14"/>
    </row>
    <row r="277" customFormat="false" ht="15" hidden="false" customHeight="false" outlineLevel="0" collapsed="false">
      <c r="A277" s="16" t="n">
        <v>45017</v>
      </c>
      <c r="B277" s="17" t="n">
        <v>143.900363938433</v>
      </c>
      <c r="C277" s="18" t="n">
        <f aca="false">IFERROR((B277/B276-1)*100,"")</f>
        <v>0.351731089939977</v>
      </c>
      <c r="D277" s="18" t="n">
        <f aca="false">IFERROR((B277/B273-1)*100,"")</f>
        <v>2.01434349260647</v>
      </c>
      <c r="E277" s="19"/>
      <c r="F277" s="19"/>
      <c r="G277" s="19"/>
    </row>
    <row r="278" customFormat="false" ht="15" hidden="false" customHeight="false" outlineLevel="0" collapsed="false">
      <c r="A278" s="12" t="n">
        <v>45108</v>
      </c>
      <c r="B278" s="13" t="n">
        <v>144.49091992722</v>
      </c>
      <c r="C278" s="21" t="n">
        <f aca="false">IFERROR((B278/B277-1)*100,"")</f>
        <v>0.410392282982408</v>
      </c>
      <c r="D278" s="21" t="n">
        <f aca="false">IFERROR((B278/B274-1)*100,"")</f>
        <v>1.85332999389634</v>
      </c>
      <c r="E278" s="14"/>
      <c r="F278" s="14"/>
      <c r="G278" s="14"/>
    </row>
    <row r="279" customFormat="false" ht="15" hidden="false" customHeight="false" outlineLevel="0" collapsed="false">
      <c r="A279" s="16" t="n">
        <v>45200</v>
      </c>
      <c r="B279" s="17" t="n">
        <v>145.248512389273</v>
      </c>
      <c r="C279" s="18" t="n">
        <f aca="false">IFERROR((B279/B278-1)*100,"")</f>
        <v>0.524318387919931</v>
      </c>
      <c r="D279" s="18" t="n">
        <f aca="false">IFERROR((B279/B275-1)*100,"")</f>
        <v>1.5495138712281</v>
      </c>
      <c r="E279" s="19"/>
      <c r="F279" s="19"/>
      <c r="G279" s="19"/>
    </row>
    <row r="280" customFormat="false" ht="15" hidden="false" customHeight="false" outlineLevel="0" collapsed="false">
      <c r="A280" s="12" t="n">
        <v>45292</v>
      </c>
      <c r="B280" s="13" t="n">
        <v>146.629612664705</v>
      </c>
      <c r="C280" s="21" t="n">
        <f aca="false">IFERROR((B280/B279-1)*100,"")</f>
        <v>0.95085330149951</v>
      </c>
      <c r="D280" s="21" t="n">
        <f aca="false">IFERROR((B280/B276-1)*100,"")</f>
        <v>2.25502602791261</v>
      </c>
      <c r="E280" s="14"/>
      <c r="F280" s="14"/>
      <c r="G280" s="14"/>
    </row>
    <row r="281" customFormat="false" ht="15" hidden="false" customHeight="false" outlineLevel="0" collapsed="false">
      <c r="A281" s="16" t="n">
        <v>45383</v>
      </c>
      <c r="B281" s="17" t="n">
        <v>147.422022741686</v>
      </c>
      <c r="C281" s="18" t="n">
        <f aca="false">IFERROR((B281/B280-1)*100,"")</f>
        <v>0.54041612917104</v>
      </c>
      <c r="D281" s="18" t="n">
        <f aca="false">IFERROR((B281/B277-1)*100,"")</f>
        <v>2.44728971273496</v>
      </c>
      <c r="E281" s="19"/>
      <c r="F281" s="19"/>
      <c r="G281" s="19"/>
    </row>
    <row r="282" customFormat="false" ht="15" hidden="false" customHeight="false" outlineLevel="0" collapsed="false">
      <c r="A282" s="12" t="n">
        <v>45474</v>
      </c>
      <c r="B282" s="13" t="n">
        <v>147.368487635357</v>
      </c>
      <c r="C282" s="21" t="n">
        <f aca="false">IFERROR((B282/B281-1)*100,"")</f>
        <v>-0.0363141851763227</v>
      </c>
      <c r="D282" s="21" t="n">
        <f aca="false">IFERROR((B282/B278-1)*100,"")</f>
        <v>1.99152148078705</v>
      </c>
      <c r="E282" s="14"/>
      <c r="F282" s="14"/>
      <c r="G282" s="14"/>
    </row>
    <row r="283" customFormat="false" ht="15" hidden="false" customHeight="false" outlineLevel="0" collapsed="false">
      <c r="A283" s="16" t="n">
        <v>45566</v>
      </c>
      <c r="B283" s="17" t="n">
        <v>147.533681145235</v>
      </c>
      <c r="C283" s="18" t="n">
        <f aca="false">IFERROR((B283/B282-1)*100,"")</f>
        <v>0.112095545342661</v>
      </c>
      <c r="D283" s="18" t="n">
        <f aca="false">IFERROR((B283/B279-1)*100,"")</f>
        <v>1.57328203805494</v>
      </c>
      <c r="E283" s="19"/>
      <c r="F283" s="19"/>
      <c r="G283" s="19"/>
    </row>
    <row r="284" customFormat="false" ht="15" hidden="false" customHeight="false" outlineLevel="0" collapsed="false">
      <c r="A284" s="12" t="n">
        <v>45658</v>
      </c>
      <c r="B284" s="13" t="n">
        <v>148.923150147961</v>
      </c>
      <c r="C284" s="21" t="n">
        <f aca="false">IFERROR((B284/B283-1)*100,"")</f>
        <v>0.941797826733404</v>
      </c>
      <c r="D284" s="21" t="n">
        <f aca="false">IFERROR((B284/B280-1)*100,"")</f>
        <v>1.56417073030144</v>
      </c>
      <c r="E284" s="14"/>
      <c r="F284" s="14"/>
      <c r="G284" s="14"/>
    </row>
    <row r="285" customFormat="false" ht="15" hidden="false" customHeight="false" outlineLevel="0" collapsed="false">
      <c r="A285" s="16" t="n">
        <v>45748</v>
      </c>
      <c r="B285" s="17" t="n">
        <v>149.447738355498</v>
      </c>
      <c r="C285" s="18" t="n">
        <f aca="false">IFERROR((B285/B284-1)*100,"")</f>
        <v>0.352254304999389</v>
      </c>
      <c r="D285" s="18" t="n">
        <f aca="false">IFERROR((B285/B281-1)*100,"")</f>
        <v>1.37409294496045</v>
      </c>
      <c r="E285" s="19"/>
      <c r="F285" s="19"/>
      <c r="G285" s="19"/>
    </row>
    <row r="286" customFormat="false" ht="15" hidden="false" customHeight="false" outlineLevel="0" collapsed="false">
      <c r="A286" s="12" t="n">
        <v>45839</v>
      </c>
      <c r="B286" s="13" t="n">
        <v>151.213877905649</v>
      </c>
      <c r="C286" s="21" t="n">
        <f aca="false">IFERROR((B286/B285-1)*100,"")</f>
        <v>1.18177736885547</v>
      </c>
      <c r="D286" s="21" t="n">
        <f aca="false">IFERROR((B286/B282-1)*100,"")</f>
        <v>2.60937079018351</v>
      </c>
      <c r="E286" s="14"/>
      <c r="F286" s="14"/>
      <c r="G286" s="14"/>
    </row>
    <row r="287" customFormat="false" ht="15" hidden="false" customHeight="false" outlineLevel="0" collapsed="false">
      <c r="A287" s="16" t="n">
        <v>45931</v>
      </c>
      <c r="B287" s="17" t="n">
        <v>150.652154829958</v>
      </c>
      <c r="C287" s="18" t="n">
        <f aca="false">IFERROR((B287/B286-1)*100,"")</f>
        <v>-0.371475874748872</v>
      </c>
      <c r="D287" s="18" t="n">
        <f aca="false">IFERROR((B287/B283-1)*100,"")</f>
        <v>2.11373678235041</v>
      </c>
      <c r="E287" s="19"/>
      <c r="F287" s="19"/>
      <c r="G287" s="19"/>
    </row>
    <row r="288" customFormat="false" ht="15" hidden="false" customHeight="false" outlineLevel="0" collapsed="false">
      <c r="A288" s="12" t="n">
        <v>46023</v>
      </c>
      <c r="B288" s="14"/>
      <c r="C288" s="21" t="n">
        <f aca="false">IFERROR((B288/B287-1)*100,"")</f>
        <v>-100</v>
      </c>
      <c r="D288" s="21" t="n">
        <f aca="false">IFERROR((B288/B284-1)*100,"")</f>
        <v>-100</v>
      </c>
      <c r="E288" s="13" t="n">
        <v>151.86940022928</v>
      </c>
      <c r="F288" s="13" t="n">
        <v>151.238264151739</v>
      </c>
      <c r="G288" s="22" t="n">
        <f aca="false">152.634895-149.841633</f>
        <v>2.793262</v>
      </c>
    </row>
    <row r="289" customFormat="false" ht="15" hidden="false" customHeight="false" outlineLevel="0" collapsed="false">
      <c r="A289" s="16" t="n">
        <v>46113</v>
      </c>
      <c r="B289" s="19"/>
      <c r="C289" s="18" t="str">
        <f aca="false">IFERROR((B289/B288-1)*100,"")</f>
        <v/>
      </c>
      <c r="D289" s="18" t="n">
        <f aca="false">IFERROR((B289/B285-1)*100,"")</f>
        <v>-100</v>
      </c>
      <c r="E289" s="17" t="n">
        <v>152.618526319267</v>
      </c>
      <c r="F289" s="17" t="n">
        <v>151.460707963013</v>
      </c>
      <c r="G289" s="23" t="n">
        <f aca="false">153.435843-149.485573</f>
        <v>3.95027000000002</v>
      </c>
    </row>
    <row r="290" customFormat="false" ht="15" hidden="false" customHeight="false" outlineLevel="0" collapsed="false">
      <c r="A290" s="12" t="n">
        <v>46204</v>
      </c>
      <c r="B290" s="14"/>
      <c r="C290" s="21" t="str">
        <f aca="false">IFERROR((B290/B289-1)*100,"")</f>
        <v/>
      </c>
      <c r="D290" s="21" t="n">
        <f aca="false">IFERROR((B290/B286-1)*100,"")</f>
        <v>-100</v>
      </c>
      <c r="E290" s="13" t="n">
        <v>153.371347623023</v>
      </c>
      <c r="F290" s="13" t="n">
        <v>151.946096986579</v>
      </c>
      <c r="G290" s="22" t="n">
        <f aca="false">154.365133-149.527061</f>
        <v>4.83807199999998</v>
      </c>
    </row>
    <row r="291" customFormat="false" ht="15" hidden="false" customHeight="false" outlineLevel="0" collapsed="false">
      <c r="A291" s="16" t="n">
        <v>46296</v>
      </c>
      <c r="B291" s="19"/>
      <c r="C291" s="18" t="str">
        <f aca="false">IFERROR((B291/B290-1)*100,"")</f>
        <v/>
      </c>
      <c r="D291" s="18" t="n">
        <f aca="false">IFERROR((B291/B287-1)*100,"")</f>
        <v>-100</v>
      </c>
      <c r="E291" s="17" t="n">
        <v>154.127882367926</v>
      </c>
      <c r="F291" s="17" t="n">
        <v>152.481789272032</v>
      </c>
      <c r="G291" s="23" t="n">
        <f aca="false">155.275052-149.688527</f>
        <v>5.586525</v>
      </c>
    </row>
    <row r="292" customFormat="false" ht="15" hidden="false" customHeight="false" outlineLevel="0" collapsed="false">
      <c r="A292" s="12" t="n">
        <v>46388</v>
      </c>
      <c r="B292" s="14"/>
      <c r="C292" s="21" t="str">
        <f aca="false">IFERROR((B292/B291-1)*100,"")</f>
        <v/>
      </c>
      <c r="D292" s="21" t="str">
        <f aca="false">IFERROR((B292/B288-1)*100,"")</f>
        <v/>
      </c>
      <c r="E292" s="13" t="n">
        <v>154.888148871264</v>
      </c>
      <c r="F292" s="13" t="n">
        <v>152.81216605607</v>
      </c>
      <c r="G292" s="22" t="n">
        <f aca="false">155.935128-149.689204</f>
        <v>6.245924</v>
      </c>
    </row>
    <row r="293" customFormat="false" ht="15" hidden="false" customHeight="false" outlineLevel="0" collapsed="false">
      <c r="A293" s="16" t="n">
        <v>46478</v>
      </c>
      <c r="B293" s="19"/>
      <c r="C293" s="18" t="str">
        <f aca="false">IFERROR((B293/B292-1)*100,"")</f>
        <v/>
      </c>
      <c r="D293" s="18" t="str">
        <f aca="false">IFERROR((B293/B289-1)*100,"")</f>
        <v/>
      </c>
      <c r="E293" s="17" t="n">
        <v>155.65216554068</v>
      </c>
      <c r="F293" s="17" t="n">
        <v>152.955914772128</v>
      </c>
      <c r="G293" s="23" t="n">
        <f aca="false">156.376948-149.534881</f>
        <v>6.84206699999999</v>
      </c>
    </row>
    <row r="294" customFormat="false" ht="15" hidden="false" customHeight="false" outlineLevel="0" collapsed="false">
      <c r="A294" s="12" t="n">
        <v>46569</v>
      </c>
      <c r="B294" s="14"/>
      <c r="C294" s="21" t="str">
        <f aca="false">IFERROR((B294/B293-1)*100,"")</f>
        <v/>
      </c>
      <c r="D294" s="21" t="str">
        <f aca="false">IFERROR((B294/B290-1)*100,"")</f>
        <v/>
      </c>
      <c r="E294" s="13" t="n">
        <v>156.419950874615</v>
      </c>
      <c r="F294" s="13" t="n">
        <v>153.366543455238</v>
      </c>
      <c r="G294" s="22" t="n">
        <f aca="false">157.061682-149.671405</f>
        <v>7.390277</v>
      </c>
    </row>
    <row r="295" customFormat="false" ht="15" hidden="false" customHeight="false" outlineLevel="0" collapsed="false">
      <c r="A295" s="16" t="n">
        <v>46661</v>
      </c>
      <c r="B295" s="19"/>
      <c r="C295" s="18" t="str">
        <f aca="false">IFERROR((B295/B294-1)*100,"")</f>
        <v/>
      </c>
      <c r="D295" s="18" t="str">
        <f aca="false">IFERROR((B295/B291-1)*100,"")</f>
        <v/>
      </c>
      <c r="E295" s="17" t="n">
        <v>157.191523462759</v>
      </c>
      <c r="F295" s="17" t="n">
        <v>153.831213417258</v>
      </c>
      <c r="G295" s="23" t="n">
        <f aca="false">157.781483-149.880944</f>
        <v>7.90053900000001</v>
      </c>
    </row>
  </sheetData>
  <mergeCells count="9">
    <mergeCell ref="A4:N4"/>
    <mergeCell ref="A6:G6"/>
    <mergeCell ref="I6:L6"/>
    <mergeCell ref="A102:N102"/>
    <mergeCell ref="A104:G104"/>
    <mergeCell ref="I104:L104"/>
    <mergeCell ref="A200:N200"/>
    <mergeCell ref="A202:G202"/>
    <mergeCell ref="I202:L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106</v>
      </c>
    </row>
    <row r="4" customFormat="false" ht="21.75" hidden="false" customHeight="true" outlineLevel="0" collapsed="false">
      <c r="A4" s="9" t="s">
        <v>136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108</v>
      </c>
      <c r="B5" s="10" t="s">
        <v>109</v>
      </c>
      <c r="D5" s="5" t="s">
        <v>110</v>
      </c>
      <c r="E5" s="2" t="s">
        <v>128</v>
      </c>
      <c r="H5" s="5" t="s">
        <v>112</v>
      </c>
      <c r="I5" s="2" t="s">
        <v>113</v>
      </c>
    </row>
    <row r="6" customFormat="false" ht="18" hidden="false" customHeight="true" outlineLevel="0" collapsed="false">
      <c r="A6" s="11" t="s">
        <v>114</v>
      </c>
      <c r="B6" s="11"/>
      <c r="C6" s="11"/>
      <c r="D6" s="11"/>
      <c r="E6" s="11"/>
      <c r="F6" s="11"/>
      <c r="G6" s="11"/>
      <c r="I6" s="11" t="s">
        <v>115</v>
      </c>
      <c r="J6" s="11"/>
      <c r="K6" s="11"/>
      <c r="L6" s="11"/>
    </row>
    <row r="7" customFormat="false" ht="15" hidden="false" customHeight="false" outlineLevel="0" collapsed="false">
      <c r="A7" s="6" t="s">
        <v>116</v>
      </c>
      <c r="B7" s="6" t="s">
        <v>117</v>
      </c>
      <c r="C7" s="6" t="s">
        <v>118</v>
      </c>
      <c r="D7" s="6" t="s">
        <v>119</v>
      </c>
      <c r="E7" s="6" t="s">
        <v>120</v>
      </c>
      <c r="F7" s="6" t="s">
        <v>121</v>
      </c>
      <c r="G7" s="6" t="s">
        <v>122</v>
      </c>
      <c r="I7" s="6" t="s">
        <v>123</v>
      </c>
      <c r="J7" s="6" t="s">
        <v>117</v>
      </c>
      <c r="K7" s="6" t="s">
        <v>119</v>
      </c>
      <c r="L7" s="6" t="s">
        <v>124</v>
      </c>
    </row>
    <row r="8" customFormat="false" ht="15" hidden="false" customHeight="false" outlineLevel="0" collapsed="false">
      <c r="A8" s="12" t="n">
        <v>38353</v>
      </c>
      <c r="B8" s="13" t="n">
        <v>100.982924906659</v>
      </c>
      <c r="C8" s="14"/>
      <c r="D8" s="14"/>
      <c r="E8" s="14"/>
      <c r="F8" s="14"/>
      <c r="G8" s="14"/>
      <c r="I8" s="15" t="n">
        <v>2005</v>
      </c>
      <c r="J8" s="13" t="n">
        <v>404.641343078948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100.826550727967</v>
      </c>
      <c r="C9" s="18" t="n">
        <f aca="false">IFERROR((B9/B8-1)*100,"")</f>
        <v>-0.154852098844371</v>
      </c>
      <c r="D9" s="19"/>
      <c r="E9" s="19"/>
      <c r="F9" s="19"/>
      <c r="G9" s="19"/>
      <c r="I9" s="20" t="n">
        <v>2006</v>
      </c>
      <c r="J9" s="17" t="n">
        <v>412.914678877911</v>
      </c>
      <c r="K9" s="18" t="n">
        <f aca="false">IFERROR((J9/J8-1)*100,"")</f>
        <v>2.04460961304893</v>
      </c>
      <c r="L9" s="19"/>
    </row>
    <row r="10" customFormat="false" ht="15" hidden="false" customHeight="false" outlineLevel="0" collapsed="false">
      <c r="A10" s="12" t="n">
        <v>38534</v>
      </c>
      <c r="B10" s="13" t="n">
        <v>101.211094772635</v>
      </c>
      <c r="C10" s="21" t="n">
        <f aca="false">IFERROR((B10/B9-1)*100,"")</f>
        <v>0.381391649214802</v>
      </c>
      <c r="D10" s="14"/>
      <c r="E10" s="14"/>
      <c r="F10" s="14"/>
      <c r="G10" s="14"/>
      <c r="I10" s="15" t="n">
        <v>2007</v>
      </c>
      <c r="J10" s="13" t="n">
        <v>420.73560051879</v>
      </c>
      <c r="K10" s="21" t="n">
        <f aca="false">IFERROR((J10/J9-1)*100,"")</f>
        <v>1.89407692217016</v>
      </c>
      <c r="L10" s="14"/>
    </row>
    <row r="11" customFormat="false" ht="15" hidden="false" customHeight="false" outlineLevel="0" collapsed="false">
      <c r="A11" s="16" t="n">
        <v>38626</v>
      </c>
      <c r="B11" s="17" t="n">
        <v>101.620772671687</v>
      </c>
      <c r="C11" s="18" t="n">
        <f aca="false">IFERROR((B11/B10-1)*100,"")</f>
        <v>0.404775681927982</v>
      </c>
      <c r="D11" s="19"/>
      <c r="E11" s="19"/>
      <c r="F11" s="19"/>
      <c r="G11" s="19"/>
      <c r="I11" s="20" t="n">
        <v>2008</v>
      </c>
      <c r="J11" s="17" t="n">
        <v>428.738380728871</v>
      </c>
      <c r="K11" s="18" t="n">
        <f aca="false">IFERROR((J11/J10-1)*100,"")</f>
        <v>1.90209247808186</v>
      </c>
      <c r="L11" s="19"/>
    </row>
    <row r="12" customFormat="false" ht="15" hidden="false" customHeight="false" outlineLevel="0" collapsed="false">
      <c r="A12" s="12" t="n">
        <v>38718</v>
      </c>
      <c r="B12" s="13" t="n">
        <v>103.083267970056</v>
      </c>
      <c r="C12" s="21" t="n">
        <f aca="false">IFERROR((B12/B11-1)*100,"")</f>
        <v>1.43916963030164</v>
      </c>
      <c r="D12" s="21" t="n">
        <f aca="false">IFERROR((B12/B8-1)*100,"")</f>
        <v>2.07989921596972</v>
      </c>
      <c r="E12" s="14"/>
      <c r="F12" s="14"/>
      <c r="G12" s="14"/>
      <c r="I12" s="15" t="n">
        <v>2009</v>
      </c>
      <c r="J12" s="13" t="n">
        <v>437.942106616046</v>
      </c>
      <c r="K12" s="21" t="n">
        <f aca="false">IFERROR((J12/J11-1)*100,"")</f>
        <v>2.14669978263407</v>
      </c>
      <c r="L12" s="14"/>
    </row>
    <row r="13" customFormat="false" ht="15" hidden="false" customHeight="false" outlineLevel="0" collapsed="false">
      <c r="A13" s="16" t="n">
        <v>38808</v>
      </c>
      <c r="B13" s="17" t="n">
        <v>102.004988874761</v>
      </c>
      <c r="C13" s="18" t="n">
        <f aca="false">IFERROR((B13/B12-1)*100,"")</f>
        <v>-1.04602727147545</v>
      </c>
      <c r="D13" s="18" t="n">
        <f aca="false">IFERROR((B13/B9-1)*100,"")</f>
        <v>1.16877760697562</v>
      </c>
      <c r="E13" s="19"/>
      <c r="F13" s="19"/>
      <c r="G13" s="19"/>
      <c r="I13" s="20" t="n">
        <v>2010</v>
      </c>
      <c r="J13" s="17" t="n">
        <v>446.535153021799</v>
      </c>
      <c r="K13" s="18" t="n">
        <f aca="false">IFERROR((J13/J12-1)*100,"")</f>
        <v>1.96214209045815</v>
      </c>
      <c r="L13" s="19"/>
    </row>
    <row r="14" customFormat="false" ht="15" hidden="false" customHeight="false" outlineLevel="0" collapsed="false">
      <c r="A14" s="12" t="n">
        <v>38899</v>
      </c>
      <c r="B14" s="13" t="n">
        <v>103.686855508409</v>
      </c>
      <c r="C14" s="21" t="n">
        <f aca="false">IFERROR((B14/B13-1)*100,"")</f>
        <v>1.64880821242257</v>
      </c>
      <c r="D14" s="21" t="n">
        <f aca="false">IFERROR((B14/B10-1)*100,"")</f>
        <v>2.44613571401047</v>
      </c>
      <c r="E14" s="14"/>
      <c r="F14" s="14"/>
      <c r="G14" s="14"/>
      <c r="I14" s="15" t="n">
        <v>2011</v>
      </c>
      <c r="J14" s="13" t="n">
        <v>453.369624726107</v>
      </c>
      <c r="K14" s="21" t="n">
        <f aca="false">IFERROR((J14/J13-1)*100,"")</f>
        <v>1.5305562525274</v>
      </c>
      <c r="L14" s="14"/>
    </row>
    <row r="15" customFormat="false" ht="15" hidden="false" customHeight="false" outlineLevel="0" collapsed="false">
      <c r="A15" s="16" t="n">
        <v>38991</v>
      </c>
      <c r="B15" s="17" t="n">
        <v>104.139566524684</v>
      </c>
      <c r="C15" s="18" t="n">
        <f aca="false">IFERROR((B15/B14-1)*100,"")</f>
        <v>0.436613700025346</v>
      </c>
      <c r="D15" s="18" t="n">
        <f aca="false">IFERROR((B15/B11-1)*100,"")</f>
        <v>2.47862104053718</v>
      </c>
      <c r="E15" s="19"/>
      <c r="F15" s="19"/>
      <c r="G15" s="19"/>
      <c r="I15" s="20" t="n">
        <v>2012</v>
      </c>
      <c r="J15" s="17" t="n">
        <v>463.234963255587</v>
      </c>
      <c r="K15" s="18" t="n">
        <f aca="false">IFERROR((J15/J14-1)*100,"")</f>
        <v>2.1760034178383</v>
      </c>
      <c r="L15" s="19"/>
    </row>
    <row r="16" customFormat="false" ht="15" hidden="false" customHeight="false" outlineLevel="0" collapsed="false">
      <c r="A16" s="12" t="n">
        <v>39083</v>
      </c>
      <c r="B16" s="13" t="n">
        <v>104.425846538296</v>
      </c>
      <c r="C16" s="21" t="n">
        <f aca="false">IFERROR((B16/B15-1)*100,"")</f>
        <v>0.274900331512074</v>
      </c>
      <c r="D16" s="21" t="n">
        <f aca="false">IFERROR((B16/B12-1)*100,"")</f>
        <v>1.30242142558936</v>
      </c>
      <c r="E16" s="14"/>
      <c r="F16" s="14"/>
      <c r="G16" s="14"/>
      <c r="I16" s="15" t="n">
        <v>2013</v>
      </c>
      <c r="J16" s="13" t="n">
        <v>472.376452181393</v>
      </c>
      <c r="K16" s="21" t="n">
        <f aca="false">IFERROR((J16/J15-1)*100,"")</f>
        <v>1.97340219346993</v>
      </c>
      <c r="L16" s="14"/>
    </row>
    <row r="17" customFormat="false" ht="15" hidden="false" customHeight="false" outlineLevel="0" collapsed="false">
      <c r="A17" s="16" t="n">
        <v>39173</v>
      </c>
      <c r="B17" s="17" t="n">
        <v>104.96057528534</v>
      </c>
      <c r="C17" s="18" t="n">
        <f aca="false">IFERROR((B17/B16-1)*100,"")</f>
        <v>0.512065513252313</v>
      </c>
      <c r="D17" s="18" t="n">
        <f aca="false">IFERROR((B17/B13-1)*100,"")</f>
        <v>2.89749201797158</v>
      </c>
      <c r="E17" s="19"/>
      <c r="F17" s="19"/>
      <c r="G17" s="19"/>
      <c r="I17" s="20" t="n">
        <v>2014</v>
      </c>
      <c r="J17" s="17" t="n">
        <v>482.504901632624</v>
      </c>
      <c r="K17" s="18" t="n">
        <f aca="false">IFERROR((J17/J16-1)*100,"")</f>
        <v>2.14414783049823</v>
      </c>
      <c r="L17" s="19"/>
    </row>
    <row r="18" customFormat="false" ht="15" hidden="false" customHeight="false" outlineLevel="0" collapsed="false">
      <c r="A18" s="12" t="n">
        <v>39264</v>
      </c>
      <c r="B18" s="13" t="n">
        <v>105.757559418765</v>
      </c>
      <c r="C18" s="21" t="n">
        <f aca="false">IFERROR((B18/B17-1)*100,"")</f>
        <v>0.759317611644517</v>
      </c>
      <c r="D18" s="21" t="n">
        <f aca="false">IFERROR((B18/B14-1)*100,"")</f>
        <v>1.99707465348706</v>
      </c>
      <c r="E18" s="14"/>
      <c r="F18" s="14"/>
      <c r="G18" s="14"/>
      <c r="I18" s="15" t="n">
        <v>2015</v>
      </c>
      <c r="J18" s="13" t="n">
        <v>492.30723829133</v>
      </c>
      <c r="K18" s="21" t="n">
        <f aca="false">IFERROR((J18/J17-1)*100,"")</f>
        <v>2.03155172632186</v>
      </c>
      <c r="L18" s="14"/>
    </row>
    <row r="19" customFormat="false" ht="15" hidden="false" customHeight="false" outlineLevel="0" collapsed="false">
      <c r="A19" s="16" t="n">
        <v>39356</v>
      </c>
      <c r="B19" s="17" t="n">
        <v>105.591619276389</v>
      </c>
      <c r="C19" s="18" t="n">
        <f aca="false">IFERROR((B19/B18-1)*100,"")</f>
        <v>-0.156906176058136</v>
      </c>
      <c r="D19" s="18" t="n">
        <f aca="false">IFERROR((B19/B15-1)*100,"")</f>
        <v>1.39433339331254</v>
      </c>
      <c r="E19" s="19"/>
      <c r="F19" s="19"/>
      <c r="G19" s="19"/>
      <c r="I19" s="20" t="n">
        <v>2016</v>
      </c>
      <c r="J19" s="17" t="n">
        <v>500.953473826613</v>
      </c>
      <c r="K19" s="18" t="n">
        <f aca="false">IFERROR((J19/J18-1)*100,"")</f>
        <v>1.75626821277148</v>
      </c>
      <c r="L19" s="19"/>
    </row>
    <row r="20" customFormat="false" ht="15" hidden="false" customHeight="false" outlineLevel="0" collapsed="false">
      <c r="A20" s="12" t="n">
        <v>39448</v>
      </c>
      <c r="B20" s="13" t="n">
        <v>107.034856555365</v>
      </c>
      <c r="C20" s="21" t="n">
        <f aca="false">IFERROR((B20/B19-1)*100,"")</f>
        <v>1.36681044278542</v>
      </c>
      <c r="D20" s="21" t="n">
        <f aca="false">IFERROR((B20/B16-1)*100,"")</f>
        <v>2.49843319786935</v>
      </c>
      <c r="E20" s="14"/>
      <c r="F20" s="14"/>
      <c r="G20" s="14"/>
      <c r="I20" s="15" t="n">
        <v>2017</v>
      </c>
      <c r="J20" s="13" t="n">
        <v>511.842091535899</v>
      </c>
      <c r="K20" s="21" t="n">
        <f aca="false">IFERROR((J20/J19-1)*100,"")</f>
        <v>2.17357864116832</v>
      </c>
      <c r="L20" s="14"/>
    </row>
    <row r="21" customFormat="false" ht="15" hidden="false" customHeight="false" outlineLevel="0" collapsed="false">
      <c r="A21" s="16" t="n">
        <v>39539</v>
      </c>
      <c r="B21" s="17" t="n">
        <v>106.986266355049</v>
      </c>
      <c r="C21" s="18" t="n">
        <f aca="false">IFERROR((B21/B20-1)*100,"")</f>
        <v>-0.0453966136631068</v>
      </c>
      <c r="D21" s="18" t="n">
        <f aca="false">IFERROR((B21/B17-1)*100,"")</f>
        <v>1.92995423681916</v>
      </c>
      <c r="E21" s="19"/>
      <c r="F21" s="19"/>
      <c r="G21" s="19"/>
      <c r="I21" s="20" t="n">
        <v>2018</v>
      </c>
      <c r="J21" s="17" t="n">
        <v>522.123378621432</v>
      </c>
      <c r="K21" s="18" t="n">
        <f aca="false">IFERROR((J21/J20-1)*100,"")</f>
        <v>2.00868339191893</v>
      </c>
      <c r="L21" s="19"/>
    </row>
    <row r="22" customFormat="false" ht="15" hidden="false" customHeight="false" outlineLevel="0" collapsed="false">
      <c r="A22" s="12" t="n">
        <v>39630</v>
      </c>
      <c r="B22" s="13" t="n">
        <v>106.703122076881</v>
      </c>
      <c r="C22" s="21" t="n">
        <f aca="false">IFERROR((B22/B21-1)*100,"")</f>
        <v>-0.26465478964266</v>
      </c>
      <c r="D22" s="21" t="n">
        <f aca="false">IFERROR((B22/B18-1)*100,"")</f>
        <v>0.89408517302445</v>
      </c>
      <c r="E22" s="14"/>
      <c r="F22" s="14"/>
      <c r="G22" s="14"/>
      <c r="I22" s="15" t="n">
        <v>2019</v>
      </c>
      <c r="J22" s="13" t="n">
        <v>533.195831552338</v>
      </c>
      <c r="K22" s="21" t="n">
        <f aca="false">IFERROR((J22/J21-1)*100,"")</f>
        <v>2.1206583317799</v>
      </c>
      <c r="L22" s="14"/>
    </row>
    <row r="23" customFormat="false" ht="15" hidden="false" customHeight="false" outlineLevel="0" collapsed="false">
      <c r="A23" s="16" t="n">
        <v>39722</v>
      </c>
      <c r="B23" s="17" t="n">
        <v>108.014135741576</v>
      </c>
      <c r="C23" s="18" t="n">
        <f aca="false">IFERROR((B23/B22-1)*100,"")</f>
        <v>1.22865539374752</v>
      </c>
      <c r="D23" s="18" t="n">
        <f aca="false">IFERROR((B23/B19-1)*100,"")</f>
        <v>2.29423175985748</v>
      </c>
      <c r="E23" s="19"/>
      <c r="F23" s="19"/>
      <c r="G23" s="19"/>
      <c r="I23" s="20" t="n">
        <v>2020</v>
      </c>
      <c r="J23" s="17" t="n">
        <v>547.014676535447</v>
      </c>
      <c r="K23" s="18" t="n">
        <f aca="false">IFERROR((J23/J22-1)*100,"")</f>
        <v>2.59170161606055</v>
      </c>
      <c r="L23" s="19"/>
    </row>
    <row r="24" customFormat="false" ht="15" hidden="false" customHeight="false" outlineLevel="0" collapsed="false">
      <c r="A24" s="12" t="n">
        <v>39814</v>
      </c>
      <c r="B24" s="13" t="n">
        <v>108.376290856228</v>
      </c>
      <c r="C24" s="21" t="n">
        <f aca="false">IFERROR((B24/B23-1)*100,"")</f>
        <v>0.335284925594226</v>
      </c>
      <c r="D24" s="21" t="n">
        <f aca="false">IFERROR((B24/B20-1)*100,"")</f>
        <v>1.25326864914266</v>
      </c>
      <c r="E24" s="14"/>
      <c r="F24" s="14"/>
      <c r="G24" s="14"/>
      <c r="I24" s="15" t="n">
        <v>2021</v>
      </c>
      <c r="J24" s="13" t="n">
        <v>555.381576679196</v>
      </c>
      <c r="K24" s="21" t="n">
        <f aca="false">IFERROR((J24/J23-1)*100,"")</f>
        <v>1.52955679301714</v>
      </c>
      <c r="L24" s="14"/>
    </row>
    <row r="25" customFormat="false" ht="15" hidden="false" customHeight="false" outlineLevel="0" collapsed="false">
      <c r="A25" s="16" t="n">
        <v>39904</v>
      </c>
      <c r="B25" s="17" t="n">
        <v>110.033024399151</v>
      </c>
      <c r="C25" s="18" t="n">
        <f aca="false">IFERROR((B25/B24-1)*100,"")</f>
        <v>1.52868632967014</v>
      </c>
      <c r="D25" s="18" t="n">
        <f aca="false">IFERROR((B25/B21-1)*100,"")</f>
        <v>2.84780294509026</v>
      </c>
      <c r="E25" s="19"/>
      <c r="F25" s="19"/>
      <c r="G25" s="19"/>
      <c r="I25" s="20" t="n">
        <v>2022</v>
      </c>
      <c r="J25" s="17" t="n">
        <v>566.16344516117</v>
      </c>
      <c r="K25" s="18" t="n">
        <f aca="false">IFERROR((J25/J24-1)*100,"")</f>
        <v>1.9413442819697</v>
      </c>
      <c r="L25" s="19"/>
    </row>
    <row r="26" customFormat="false" ht="15" hidden="false" customHeight="false" outlineLevel="0" collapsed="false">
      <c r="A26" s="12" t="n">
        <v>39995</v>
      </c>
      <c r="B26" s="13" t="n">
        <v>109.962864451415</v>
      </c>
      <c r="C26" s="21" t="n">
        <f aca="false">IFERROR((B26/B25-1)*100,"")</f>
        <v>-0.0637626277373737</v>
      </c>
      <c r="D26" s="21" t="n">
        <f aca="false">IFERROR((B26/B22-1)*100,"")</f>
        <v>3.05496438256532</v>
      </c>
      <c r="E26" s="14"/>
      <c r="F26" s="14"/>
      <c r="G26" s="14"/>
      <c r="I26" s="15" t="n">
        <v>2023</v>
      </c>
      <c r="J26" s="13" t="n">
        <v>578.135133330419</v>
      </c>
      <c r="K26" s="21" t="n">
        <f aca="false">IFERROR((J26/J25-1)*100,"")</f>
        <v>2.11452863507293</v>
      </c>
      <c r="L26" s="14"/>
    </row>
    <row r="27" customFormat="false" ht="15" hidden="false" customHeight="false" outlineLevel="0" collapsed="false">
      <c r="A27" s="16" t="n">
        <v>40087</v>
      </c>
      <c r="B27" s="17" t="n">
        <v>109.569926909253</v>
      </c>
      <c r="C27" s="18" t="n">
        <f aca="false">IFERROR((B27/B26-1)*100,"")</f>
        <v>-0.357336582783918</v>
      </c>
      <c r="D27" s="18" t="n">
        <f aca="false">IFERROR((B27/B23-1)*100,"")</f>
        <v>1.4403588539555</v>
      </c>
      <c r="E27" s="19"/>
      <c r="F27" s="19"/>
      <c r="G27" s="19"/>
      <c r="I27" s="20" t="n">
        <v>2024</v>
      </c>
      <c r="J27" s="17" t="n">
        <v>588.515029454154</v>
      </c>
      <c r="K27" s="18" t="n">
        <f aca="false">IFERROR((J27/J26-1)*100,"")</f>
        <v>1.79541002186472</v>
      </c>
      <c r="L27" s="19"/>
    </row>
    <row r="28" customFormat="false" ht="15" hidden="false" customHeight="false" outlineLevel="0" collapsed="false">
      <c r="A28" s="12" t="n">
        <v>40179</v>
      </c>
      <c r="B28" s="13" t="n">
        <v>110.482060659254</v>
      </c>
      <c r="C28" s="21" t="n">
        <f aca="false">IFERROR((B28/B27-1)*100,"")</f>
        <v>0.832467243276192</v>
      </c>
      <c r="D28" s="21" t="n">
        <f aca="false">IFERROR((B28/B24-1)*100,"")</f>
        <v>1.9430170440319</v>
      </c>
      <c r="E28" s="14"/>
      <c r="F28" s="14"/>
      <c r="G28" s="14"/>
      <c r="I28" s="15" t="n">
        <v>2025</v>
      </c>
      <c r="J28" s="13" t="n">
        <v>601.382275458745</v>
      </c>
      <c r="K28" s="21" t="n">
        <f aca="false">IFERROR((J28/J27-1)*100,"")</f>
        <v>2.18639208186837</v>
      </c>
      <c r="L28" s="14"/>
    </row>
    <row r="29" customFormat="false" ht="15" hidden="false" customHeight="false" outlineLevel="0" collapsed="false">
      <c r="A29" s="16" t="n">
        <v>40269</v>
      </c>
      <c r="B29" s="17" t="n">
        <v>111.936616324193</v>
      </c>
      <c r="C29" s="18" t="n">
        <f aca="false">IFERROR((B29/B28-1)*100,"")</f>
        <v>1.31655370678223</v>
      </c>
      <c r="D29" s="18" t="n">
        <f aca="false">IFERROR((B29/B25-1)*100,"")</f>
        <v>1.73001872432117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607.499524164407</v>
      </c>
    </row>
    <row r="30" customFormat="false" ht="15" hidden="false" customHeight="false" outlineLevel="0" collapsed="false">
      <c r="A30" s="12" t="n">
        <v>40360</v>
      </c>
      <c r="B30" s="13" t="n">
        <v>112.017817964197</v>
      </c>
      <c r="C30" s="21" t="n">
        <f aca="false">IFERROR((B30/B29-1)*100,"")</f>
        <v>0.0725425179632255</v>
      </c>
      <c r="D30" s="21" t="n">
        <f aca="false">IFERROR((B30/B26-1)*100,"")</f>
        <v>1.86877044630858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613.258804858741</v>
      </c>
    </row>
    <row r="31" customFormat="false" ht="15" hidden="false" customHeight="false" outlineLevel="0" collapsed="false">
      <c r="A31" s="16" t="n">
        <v>40452</v>
      </c>
      <c r="B31" s="17" t="n">
        <v>112.098658074155</v>
      </c>
      <c r="C31" s="18" t="n">
        <f aca="false">IFERROR((B31/B30-1)*100,"")</f>
        <v>0.072167188601302</v>
      </c>
      <c r="D31" s="18" t="n">
        <f aca="false">IFERROR((B31/B27-1)*100,"")</f>
        <v>2.30786971957737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112.745247816816</v>
      </c>
      <c r="C32" s="21" t="n">
        <f aca="false">IFERROR((B32/B31-1)*100,"")</f>
        <v>0.576804177471768</v>
      </c>
      <c r="D32" s="21" t="n">
        <f aca="false">IFERROR((B32/B28-1)*100,"")</f>
        <v>2.04846573648012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112.696386226997</v>
      </c>
      <c r="C33" s="18" t="n">
        <f aca="false">IFERROR((B33/B32-1)*100,"")</f>
        <v>-0.0433380481793644</v>
      </c>
      <c r="D33" s="18" t="n">
        <f aca="false">IFERROR((B33/B29-1)*100,"")</f>
        <v>0.678750106760373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114.129761305784</v>
      </c>
      <c r="C34" s="21" t="n">
        <f aca="false">IFERROR((B34/B33-1)*100,"")</f>
        <v>1.27189089799209</v>
      </c>
      <c r="D34" s="21" t="n">
        <f aca="false">IFERROR((B34/B30-1)*100,"")</f>
        <v>1.88536375727495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113.798229376509</v>
      </c>
      <c r="C35" s="18" t="n">
        <f aca="false">IFERROR((B35/B34-1)*100,"")</f>
        <v>-0.290486833129477</v>
      </c>
      <c r="D35" s="18" t="n">
        <f aca="false">IFERROR((B35/B31-1)*100,"")</f>
        <v>1.51613884729129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114.788619423725</v>
      </c>
      <c r="C36" s="21" t="n">
        <f aca="false">IFERROR((B36/B35-1)*100,"")</f>
        <v>0.870303565039765</v>
      </c>
      <c r="D36" s="21" t="n">
        <f aca="false">IFERROR((B36/B32-1)*100,"")</f>
        <v>1.81237936540695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115.560292974891</v>
      </c>
      <c r="C37" s="18" t="n">
        <f aca="false">IFERROR((B37/B36-1)*100,"")</f>
        <v>0.672256147900252</v>
      </c>
      <c r="D37" s="18" t="n">
        <f aca="false">IFERROR((B37/B33-1)*100,"")</f>
        <v>2.54125872512443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115.180038514122</v>
      </c>
      <c r="C38" s="21" t="n">
        <f aca="false">IFERROR((B38/B37-1)*100,"")</f>
        <v>-0.329052870133961</v>
      </c>
      <c r="D38" s="21" t="n">
        <f aca="false">IFERROR((B38/B34-1)*100,"")</f>
        <v>0.920248317634909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117.70601234285</v>
      </c>
      <c r="C39" s="18" t="n">
        <f aca="false">IFERROR((B39/B38-1)*100,"")</f>
        <v>2.19306562258068</v>
      </c>
      <c r="D39" s="18" t="n">
        <f aca="false">IFERROR((B39/B35-1)*100,"")</f>
        <v>3.43395761757579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117.034720399633</v>
      </c>
      <c r="C40" s="21" t="n">
        <f aca="false">IFERROR((B40/B39-1)*100,"")</f>
        <v>-0.570312365405756</v>
      </c>
      <c r="D40" s="21" t="n">
        <f aca="false">IFERROR((B40/B36-1)*100,"")</f>
        <v>1.95672792928772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117.144811985664</v>
      </c>
      <c r="C41" s="18" t="n">
        <f aca="false">IFERROR((B41/B40-1)*100,"")</f>
        <v>0.0940674576356271</v>
      </c>
      <c r="D41" s="18" t="n">
        <f aca="false">IFERROR((B41/B37-1)*100,"")</f>
        <v>1.37116216131192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119.396514907851</v>
      </c>
      <c r="C42" s="21" t="n">
        <f aca="false">IFERROR((B42/B41-1)*100,"")</f>
        <v>1.92215334509434</v>
      </c>
      <c r="D42" s="21" t="n">
        <f aca="false">IFERROR((B42/B38-1)*100,"")</f>
        <v>3.660770084924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118.800404888246</v>
      </c>
      <c r="C43" s="18" t="n">
        <f aca="false">IFERROR((B43/B42-1)*100,"")</f>
        <v>-0.499269195641838</v>
      </c>
      <c r="D43" s="18" t="n">
        <f aca="false">IFERROR((B43/B39-1)*100,"")</f>
        <v>0.929767752396526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120.262593144252</v>
      </c>
      <c r="C44" s="21" t="n">
        <f aca="false">IFERROR((B44/B43-1)*100,"")</f>
        <v>1.23079400056101</v>
      </c>
      <c r="D44" s="21" t="n">
        <f aca="false">IFERROR((B44/B40-1)*100,"")</f>
        <v>2.75804712789303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119.758837827568</v>
      </c>
      <c r="C45" s="18" t="n">
        <f aca="false">IFERROR((B45/B44-1)*100,"")</f>
        <v>-0.418879473253886</v>
      </c>
      <c r="D45" s="18" t="n">
        <f aca="false">IFERROR((B45/B41-1)*100,"")</f>
        <v>2.23144823709702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121.023884442721</v>
      </c>
      <c r="C46" s="21" t="n">
        <f aca="false">IFERROR((B46/B45-1)*100,"")</f>
        <v>1.05632839972432</v>
      </c>
      <c r="D46" s="21" t="n">
        <f aca="false">IFERROR((B46/B42-1)*100,"")</f>
        <v>1.36299584299107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121.459586218083</v>
      </c>
      <c r="C47" s="18" t="n">
        <f aca="false">IFERROR((B47/B46-1)*100,"")</f>
        <v>0.360013048142172</v>
      </c>
      <c r="D47" s="18" t="n">
        <f aca="false">IFERROR((B47/B43-1)*100,"")</f>
        <v>2.23836049408988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122.658455652215</v>
      </c>
      <c r="C48" s="21" t="n">
        <f aca="false">IFERROR((B48/B47-1)*100,"")</f>
        <v>0.987052131051569</v>
      </c>
      <c r="D48" s="21" t="n">
        <f aca="false">IFERROR((B48/B44-1)*100,"")</f>
        <v>1.99219262226351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122.823210729528</v>
      </c>
      <c r="C49" s="18" t="n">
        <f aca="false">IFERROR((B49/B48-1)*100,"")</f>
        <v>0.134320195405491</v>
      </c>
      <c r="D49" s="18" t="n">
        <f aca="false">IFERROR((B49/B45-1)*100,"")</f>
        <v>2.55878643910377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122.499822325173</v>
      </c>
      <c r="C50" s="21" t="n">
        <f aca="false">IFERROR((B50/B49-1)*100,"")</f>
        <v>-0.263295839959066</v>
      </c>
      <c r="D50" s="21" t="n">
        <f aca="false">IFERROR((B50/B46-1)*100,"")</f>
        <v>1.21954264585784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124.325749584413</v>
      </c>
      <c r="C51" s="18" t="n">
        <f aca="false">IFERROR((B51/B50-1)*100,"")</f>
        <v>1.4905550265963</v>
      </c>
      <c r="D51" s="18" t="n">
        <f aca="false">IFERROR((B51/B47-1)*100,"")</f>
        <v>2.35976710902304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124.28516204185</v>
      </c>
      <c r="C52" s="21" t="n">
        <f aca="false">IFERROR((B52/B51-1)*100,"")</f>
        <v>-0.0326461273697398</v>
      </c>
      <c r="D52" s="21" t="n">
        <f aca="false">IFERROR((B52/B48-1)*100,"")</f>
        <v>1.32620811258823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124.823555191046</v>
      </c>
      <c r="C53" s="18" t="n">
        <f aca="false">IFERROR((B53/B52-1)*100,"")</f>
        <v>0.433191814976674</v>
      </c>
      <c r="D53" s="18" t="n">
        <f aca="false">IFERROR((B53/B49-1)*100,"")</f>
        <v>1.6286371685255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125.442703561034</v>
      </c>
      <c r="C54" s="21" t="n">
        <f aca="false">IFERROR((B54/B53-1)*100,"")</f>
        <v>0.496018855608127</v>
      </c>
      <c r="D54" s="21" t="n">
        <f aca="false">IFERROR((B54/B50-1)*100,"")</f>
        <v>2.40235551366652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126.402053032684</v>
      </c>
      <c r="C55" s="18" t="n">
        <f aca="false">IFERROR((B55/B54-1)*100,"")</f>
        <v>0.764771042408885</v>
      </c>
      <c r="D55" s="18" t="n">
        <f aca="false">IFERROR((B55/B51-1)*100,"")</f>
        <v>1.67005101936744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127.252966706807</v>
      </c>
      <c r="C56" s="21" t="n">
        <f aca="false">IFERROR((B56/B55-1)*100,"")</f>
        <v>0.673180263855122</v>
      </c>
      <c r="D56" s="21" t="n">
        <f aca="false">IFERROR((B56/B52-1)*100,"")</f>
        <v>2.38789942113746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127.936332398673</v>
      </c>
      <c r="C57" s="18" t="n">
        <f aca="false">IFERROR((B57/B56-1)*100,"")</f>
        <v>0.537013564045297</v>
      </c>
      <c r="D57" s="18" t="n">
        <f aca="false">IFERROR((B57/B53-1)*100,"")</f>
        <v>2.49374182850561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127.8830903826</v>
      </c>
      <c r="C58" s="21" t="n">
        <f aca="false">IFERROR((B58/B57-1)*100,"")</f>
        <v>-0.0416160249985809</v>
      </c>
      <c r="D58" s="21" t="n">
        <f aca="false">IFERROR((B58/B54-1)*100,"")</f>
        <v>1.94541950411509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128.76970204782</v>
      </c>
      <c r="C59" s="18" t="n">
        <f aca="false">IFERROR((B59/B58-1)*100,"")</f>
        <v>0.69329859214986</v>
      </c>
      <c r="D59" s="18" t="n">
        <f aca="false">IFERROR((B59/B55-1)*100,"")</f>
        <v>1.87310961992375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129.661639171798</v>
      </c>
      <c r="C60" s="21" t="n">
        <f aca="false">IFERROR((B60/B59-1)*100,"")</f>
        <v>0.692660703406189</v>
      </c>
      <c r="D60" s="21" t="n">
        <f aca="false">IFERROR((B60/B56-1)*100,"")</f>
        <v>1.89282224794076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130.251145541022</v>
      </c>
      <c r="C61" s="18" t="n">
        <f aca="false">IFERROR((B61/B60-1)*100,"")</f>
        <v>0.454649789242678</v>
      </c>
      <c r="D61" s="18" t="n">
        <f aca="false">IFERROR((B61/B57-1)*100,"")</f>
        <v>1.8093477427001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130.800429235499</v>
      </c>
      <c r="C62" s="21" t="n">
        <f aca="false">IFERROR((B62/B61-1)*100,"")</f>
        <v>0.421711219656507</v>
      </c>
      <c r="D62" s="21" t="n">
        <f aca="false">IFERROR((B62/B58-1)*100,"")</f>
        <v>2.28125457726391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131.410164673113</v>
      </c>
      <c r="C63" s="18" t="n">
        <f aca="false">IFERROR((B63/B62-1)*100,"")</f>
        <v>0.466157061698702</v>
      </c>
      <c r="D63" s="18" t="n">
        <f aca="false">IFERROR((B63/B59-1)*100,"")</f>
        <v>2.05053097374741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131.832324845978</v>
      </c>
      <c r="C64" s="21" t="n">
        <f aca="false">IFERROR((B64/B63-1)*100,"")</f>
        <v>0.321253819227629</v>
      </c>
      <c r="D64" s="21" t="n">
        <f aca="false">IFERROR((B64/B60-1)*100,"")</f>
        <v>1.67411555803632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132.897853351572</v>
      </c>
      <c r="C65" s="18" t="n">
        <f aca="false">IFERROR((B65/B64-1)*100,"")</f>
        <v>0.808245251563822</v>
      </c>
      <c r="D65" s="18" t="n">
        <f aca="false">IFERROR((B65/B61-1)*100,"")</f>
        <v>2.03200348032031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134.193796675564</v>
      </c>
      <c r="C66" s="21" t="n">
        <f aca="false">IFERROR((B66/B65-1)*100,"")</f>
        <v>0.97514240547103</v>
      </c>
      <c r="D66" s="21" t="n">
        <f aca="false">IFERROR((B66/B62-1)*100,"")</f>
        <v>2.59430910119973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134.271856679223</v>
      </c>
      <c r="C67" s="18" t="n">
        <f aca="false">IFERROR((B67/B66-1)*100,"")</f>
        <v>0.0581696066382476</v>
      </c>
      <c r="D67" s="18" t="n">
        <f aca="false">IFERROR((B67/B63-1)*100,"")</f>
        <v>2.17767933951614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135.916669165647</v>
      </c>
      <c r="C68" s="21" t="n">
        <f aca="false">IFERROR((B68/B67-1)*100,"")</f>
        <v>1.22498677466996</v>
      </c>
      <c r="D68" s="21" t="n">
        <f aca="false">IFERROR((B68/B64-1)*100,"")</f>
        <v>3.09813569960242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135.979715976849</v>
      </c>
      <c r="C69" s="18" t="n">
        <f aca="false">IFERROR((B69/B68-1)*100,"")</f>
        <v>0.0463863715826962</v>
      </c>
      <c r="D69" s="18" t="n">
        <f aca="false">IFERROR((B69/B65-1)*100,"")</f>
        <v>2.3189709596922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137.272480121134</v>
      </c>
      <c r="C70" s="21" t="n">
        <f aca="false">IFERROR((B70/B69-1)*100,"")</f>
        <v>0.950703665614583</v>
      </c>
      <c r="D70" s="21" t="n">
        <f aca="false">IFERROR((B70/B66-1)*100,"")</f>
        <v>2.29420697665546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137.845811271817</v>
      </c>
      <c r="C71" s="18" t="n">
        <f aca="false">IFERROR((B71/B70-1)*100,"")</f>
        <v>0.417659206111209</v>
      </c>
      <c r="D71" s="18" t="n">
        <f aca="false">IFERROR((B71/B67-1)*100,"")</f>
        <v>2.66173022477212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137.394792600216</v>
      </c>
      <c r="C72" s="21" t="n">
        <f aca="false">IFERROR((B72/B71-1)*100,"")</f>
        <v>-0.327190697663893</v>
      </c>
      <c r="D72" s="21" t="n">
        <f aca="false">IFERROR((B72/B68-1)*100,"")</f>
        <v>1.08752182027589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138.834451409741</v>
      </c>
      <c r="C73" s="18" t="n">
        <f aca="false">IFERROR((B73/B72-1)*100,"")</f>
        <v>1.04782632753313</v>
      </c>
      <c r="D73" s="18" t="n">
        <f aca="false">IFERROR((B73/B69-1)*100,"")</f>
        <v>2.09938328844372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139.275082312483</v>
      </c>
      <c r="C74" s="21" t="n">
        <f aca="false">IFERROR((B74/B73-1)*100,"")</f>
        <v>0.317378646487221</v>
      </c>
      <c r="D74" s="21" t="n">
        <f aca="false">IFERROR((B74/B70-1)*100,"")</f>
        <v>1.45885190504464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139.877250356756</v>
      </c>
      <c r="C75" s="18" t="n">
        <f aca="false">IFERROR((B75/B74-1)*100,"")</f>
        <v>0.43235877823613</v>
      </c>
      <c r="D75" s="18" t="n">
        <f aca="false">IFERROR((B75/B71-1)*100,"")</f>
        <v>1.47370389146895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140.904292705433</v>
      </c>
      <c r="C76" s="21" t="n">
        <f aca="false">IFERROR((B76/B75-1)*100,"")</f>
        <v>0.734245451677751</v>
      </c>
      <c r="D76" s="21" t="n">
        <f aca="false">IFERROR((B76/B72-1)*100,"")</f>
        <v>2.55431813593443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140.472011015917</v>
      </c>
      <c r="C77" s="18" t="n">
        <f aca="false">IFERROR((B77/B76-1)*100,"")</f>
        <v>-0.306791000625584</v>
      </c>
      <c r="D77" s="18" t="n">
        <f aca="false">IFERROR((B77/B73-1)*100,"")</f>
        <v>1.17950522334249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141.839822936678</v>
      </c>
      <c r="C78" s="21" t="n">
        <f aca="false">IFERROR((B78/B77-1)*100,"")</f>
        <v>0.973725591929853</v>
      </c>
      <c r="D78" s="21" t="n">
        <f aca="false">IFERROR((B78/B74-1)*100,"")</f>
        <v>1.84149280805361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142.947318503142</v>
      </c>
      <c r="C79" s="18" t="n">
        <f aca="false">IFERROR((B79/B78-1)*100,"")</f>
        <v>0.780807211638179</v>
      </c>
      <c r="D79" s="18" t="n">
        <f aca="false">IFERROR((B79/B75-1)*100,"")</f>
        <v>2.19483020902662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143.975381855854</v>
      </c>
      <c r="C80" s="21" t="n">
        <f aca="false">IFERROR((B80/B79-1)*100,"")</f>
        <v>0.719190372702738</v>
      </c>
      <c r="D80" s="21" t="n">
        <f aca="false">IFERROR((B80/B76-1)*100,"")</f>
        <v>2.17955684064295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144.494408543661</v>
      </c>
      <c r="C81" s="18" t="n">
        <f aca="false">IFERROR((B81/B80-1)*100,"")</f>
        <v>0.360496830164436</v>
      </c>
      <c r="D81" s="18" t="n">
        <f aca="false">IFERROR((B81/B77-1)*100,"")</f>
        <v>2.86348682463722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145.023565316553</v>
      </c>
      <c r="C82" s="21" t="n">
        <f aca="false">IFERROR((B82/B81-1)*100,"")</f>
        <v>0.366212629419693</v>
      </c>
      <c r="D82" s="21" t="n">
        <f aca="false">IFERROR((B82/B78-1)*100,"")</f>
        <v>2.24460402865612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144.641777614351</v>
      </c>
      <c r="C83" s="18" t="n">
        <f aca="false">IFERROR((B83/B82-1)*100,"")</f>
        <v>-0.263259078873856</v>
      </c>
      <c r="D83" s="18" t="n">
        <f aca="false">IFERROR((B83/B79-1)*100,"")</f>
        <v>1.18537313532843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146.741572220265</v>
      </c>
      <c r="C84" s="21" t="n">
        <f aca="false">IFERROR((B84/B83-1)*100,"")</f>
        <v>1.45172068578439</v>
      </c>
      <c r="D84" s="21" t="n">
        <f aca="false">IFERROR((B84/B80-1)*100,"")</f>
        <v>1.92129399398333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146.270644291279</v>
      </c>
      <c r="C85" s="18" t="n">
        <f aca="false">IFERROR((B85/B84-1)*100,"")</f>
        <v>-0.320923322450839</v>
      </c>
      <c r="D85" s="18" t="n">
        <f aca="false">IFERROR((B85/B81-1)*100,"")</f>
        <v>1.2292764581828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147.11381004513</v>
      </c>
      <c r="C86" s="21" t="n">
        <f aca="false">IFERROR((B86/B85-1)*100,"")</f>
        <v>0.576442223206608</v>
      </c>
      <c r="D86" s="21" t="n">
        <f aca="false">IFERROR((B86/B82-1)*100,"")</f>
        <v>1.4413138471767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148.389002897481</v>
      </c>
      <c r="C87" s="18" t="n">
        <f aca="false">IFERROR((B87/B86-1)*100,"")</f>
        <v>0.866807033248085</v>
      </c>
      <c r="D87" s="18" t="n">
        <f aca="false">IFERROR((B87/B83-1)*100,"")</f>
        <v>2.59069360521869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149.071109480489</v>
      </c>
      <c r="C88" s="21" t="n">
        <f aca="false">IFERROR((B88/B87-1)*100,"")</f>
        <v>0.459674618529538</v>
      </c>
      <c r="D88" s="21" t="n">
        <f aca="false">IFERROR((B88/B84-1)*100,"")</f>
        <v>1.58751008659488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150.619233264354</v>
      </c>
      <c r="C89" s="18" t="n">
        <f aca="false">IFERROR((B89/B88-1)*100,"")</f>
        <v>1.03851362565168</v>
      </c>
      <c r="D89" s="18" t="n">
        <f aca="false">IFERROR((B89/B85-1)*100,"")</f>
        <v>2.97297451183427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151.215642980898</v>
      </c>
      <c r="C90" s="21" t="n">
        <f aca="false">IFERROR((B90/B89-1)*100,"")</f>
        <v>0.395971818218288</v>
      </c>
      <c r="D90" s="21" t="n">
        <f aca="false">IFERROR((B90/B86-1)*100,"")</f>
        <v>2.78820386373597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150.476289733004</v>
      </c>
      <c r="C91" s="18" t="n">
        <f aca="false">IFERROR((B91/B90-1)*100,"")</f>
        <v>-0.488939658172138</v>
      </c>
      <c r="D91" s="18" t="n">
        <f aca="false">IFERROR((B91/B87-1)*100,"")</f>
        <v>1.40663175489195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152.322655255928</v>
      </c>
      <c r="F92" s="13" t="n">
        <v>151.277156344882</v>
      </c>
      <c r="G92" s="22" t="n">
        <f aca="false">152.974525-149.579787</f>
        <v>3.39473799999999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153.091508046788</v>
      </c>
      <c r="F93" s="17" t="n">
        <v>151.540257739479</v>
      </c>
      <c r="G93" s="23" t="n">
        <f aca="false">153.9407-149.139815</f>
        <v>4.80088499999999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153.86424164325</v>
      </c>
      <c r="F94" s="13" t="n">
        <v>152.10241226261</v>
      </c>
      <c r="G94" s="22" t="n">
        <f aca="false">155.042342-149.162483</f>
        <v>5.87985899999998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154.640875633789</v>
      </c>
      <c r="F95" s="17" t="n">
        <v>152.579697817436</v>
      </c>
      <c r="G95" s="23" t="n">
        <f aca="false">155.974436-149.18496</f>
        <v>6.78947600000001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155.421429705751</v>
      </c>
      <c r="F96" s="13" t="n">
        <v>152.829575414078</v>
      </c>
      <c r="G96" s="22" t="n">
        <f aca="false">156.625008-149.034143</f>
        <v>7.59086500000001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156.205923645854</v>
      </c>
      <c r="F97" s="17" t="n">
        <v>153.015055855215</v>
      </c>
      <c r="G97" s="23" t="n">
        <f aca="false">157.172744-148.857368</f>
        <v>8.31537599999999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156.994377340691</v>
      </c>
      <c r="F98" s="13" t="n">
        <v>153.50347047256</v>
      </c>
      <c r="G98" s="22" t="n">
        <f aca="false">157.994287-149.012654</f>
        <v>8.98163300000002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157.786810777233</v>
      </c>
      <c r="F99" s="17" t="n">
        <v>153.910703116888</v>
      </c>
      <c r="G99" s="23" t="n">
        <f aca="false">158.711588-149.109818</f>
        <v>9.60177000000002</v>
      </c>
    </row>
    <row r="102" customFormat="false" ht="21.75" hidden="false" customHeight="true" outlineLevel="0" collapsed="false">
      <c r="A102" s="9" t="s">
        <v>137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108</v>
      </c>
      <c r="B103" s="10" t="s">
        <v>109</v>
      </c>
      <c r="D103" s="5" t="s">
        <v>110</v>
      </c>
      <c r="E103" s="2" t="s">
        <v>138</v>
      </c>
      <c r="H103" s="5" t="s">
        <v>112</v>
      </c>
      <c r="I103" s="2" t="s">
        <v>113</v>
      </c>
    </row>
    <row r="104" customFormat="false" ht="18" hidden="false" customHeight="true" outlineLevel="0" collapsed="false">
      <c r="A104" s="11" t="s">
        <v>114</v>
      </c>
      <c r="B104" s="11"/>
      <c r="C104" s="11"/>
      <c r="D104" s="11"/>
      <c r="E104" s="11"/>
      <c r="F104" s="11"/>
      <c r="G104" s="11"/>
      <c r="I104" s="11" t="s">
        <v>115</v>
      </c>
      <c r="J104" s="11"/>
      <c r="K104" s="11"/>
      <c r="L104" s="11"/>
    </row>
    <row r="105" customFormat="false" ht="15" hidden="false" customHeight="false" outlineLevel="0" collapsed="false">
      <c r="A105" s="6" t="s">
        <v>116</v>
      </c>
      <c r="B105" s="6" t="s">
        <v>117</v>
      </c>
      <c r="C105" s="6" t="s">
        <v>118</v>
      </c>
      <c r="D105" s="6" t="s">
        <v>119</v>
      </c>
      <c r="E105" s="6" t="s">
        <v>120</v>
      </c>
      <c r="F105" s="6" t="s">
        <v>121</v>
      </c>
      <c r="G105" s="6" t="s">
        <v>122</v>
      </c>
      <c r="I105" s="6" t="s">
        <v>123</v>
      </c>
      <c r="J105" s="6" t="s">
        <v>117</v>
      </c>
      <c r="K105" s="6" t="s">
        <v>119</v>
      </c>
      <c r="L105" s="6" t="s">
        <v>124</v>
      </c>
    </row>
    <row r="106" customFormat="false" ht="15" hidden="false" customHeight="false" outlineLevel="0" collapsed="false">
      <c r="A106" s="12" t="n">
        <v>38353</v>
      </c>
      <c r="B106" s="13" t="n">
        <v>100.036328812895</v>
      </c>
      <c r="C106" s="14"/>
      <c r="D106" s="14"/>
      <c r="E106" s="14"/>
      <c r="F106" s="14"/>
      <c r="G106" s="14"/>
      <c r="I106" s="15" t="n">
        <v>2005</v>
      </c>
      <c r="J106" s="13" t="n">
        <v>402.140922955536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99.8907241733551</v>
      </c>
      <c r="C107" s="18" t="n">
        <f aca="false">IFERROR((B107/B106-1)*100,"")</f>
        <v>-0.145551762312912</v>
      </c>
      <c r="D107" s="19"/>
      <c r="E107" s="19"/>
      <c r="F107" s="19"/>
      <c r="G107" s="19"/>
      <c r="I107" s="20" t="n">
        <v>2006</v>
      </c>
      <c r="J107" s="17" t="n">
        <v>409.897974537673</v>
      </c>
      <c r="K107" s="18" t="n">
        <f aca="false">IFERROR((J107/J106-1)*100,"")</f>
        <v>1.92893862308932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101.242398830545</v>
      </c>
      <c r="C108" s="21" t="n">
        <f aca="false">IFERROR((B108/B107-1)*100,"")</f>
        <v>1.35315332667321</v>
      </c>
      <c r="D108" s="14"/>
      <c r="E108" s="14"/>
      <c r="F108" s="14"/>
      <c r="G108" s="14"/>
      <c r="I108" s="15" t="n">
        <v>2007</v>
      </c>
      <c r="J108" s="13" t="n">
        <v>420.297649498943</v>
      </c>
      <c r="K108" s="21" t="n">
        <f aca="false">IFERROR((J108/J107-1)*100,"")</f>
        <v>2.53713743596795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100.97147113874</v>
      </c>
      <c r="C109" s="18" t="n">
        <f aca="false">IFERROR((B109/B108-1)*100,"")</f>
        <v>-0.267602995320049</v>
      </c>
      <c r="D109" s="19"/>
      <c r="E109" s="19"/>
      <c r="F109" s="19"/>
      <c r="G109" s="19"/>
      <c r="I109" s="20" t="n">
        <v>2008</v>
      </c>
      <c r="J109" s="17" t="n">
        <v>430.156728914187</v>
      </c>
      <c r="K109" s="18" t="n">
        <f aca="false">IFERROR((J109/J108-1)*100,"")</f>
        <v>2.34573746177218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101.981967599952</v>
      </c>
      <c r="C110" s="21" t="n">
        <f aca="false">IFERROR((B110/B109-1)*100,"")</f>
        <v>1.00077422841867</v>
      </c>
      <c r="D110" s="21" t="n">
        <f aca="false">IFERROR((B110/B106-1)*100,"")</f>
        <v>1.9449322162709</v>
      </c>
      <c r="E110" s="14"/>
      <c r="F110" s="14"/>
      <c r="G110" s="14"/>
      <c r="I110" s="15" t="n">
        <v>2009</v>
      </c>
      <c r="J110" s="13" t="n">
        <v>437.138763654502</v>
      </c>
      <c r="K110" s="21" t="n">
        <f aca="false">IFERROR((J110/J109-1)*100,"")</f>
        <v>1.62313739876596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102.005388897279</v>
      </c>
      <c r="C111" s="18" t="n">
        <f aca="false">IFERROR((B111/B110-1)*100,"")</f>
        <v>0.0229661163415384</v>
      </c>
      <c r="D111" s="18" t="n">
        <f aca="false">IFERROR((B111/B107-1)*100,"")</f>
        <v>2.11697806920841</v>
      </c>
      <c r="E111" s="19"/>
      <c r="F111" s="19"/>
      <c r="G111" s="19"/>
      <c r="I111" s="20" t="n">
        <v>2010</v>
      </c>
      <c r="J111" s="17" t="n">
        <v>447.339220478837</v>
      </c>
      <c r="K111" s="18" t="n">
        <f aca="false">IFERROR((J111/J110-1)*100,"")</f>
        <v>2.33345968658996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102.910693329578</v>
      </c>
      <c r="C112" s="21" t="n">
        <f aca="false">IFERROR((B112/B111-1)*100,"")</f>
        <v>0.887506475967914</v>
      </c>
      <c r="D112" s="21" t="n">
        <f aca="false">IFERROR((B112/B108-1)*100,"")</f>
        <v>1.64782197804856</v>
      </c>
      <c r="E112" s="14"/>
      <c r="F112" s="14"/>
      <c r="G112" s="14"/>
      <c r="I112" s="15" t="n">
        <v>2011</v>
      </c>
      <c r="J112" s="13" t="n">
        <v>454.262927283497</v>
      </c>
      <c r="K112" s="21" t="n">
        <f aca="false">IFERROR((J112/J111-1)*100,"")</f>
        <v>1.5477531340194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102.999924710864</v>
      </c>
      <c r="C113" s="18" t="n">
        <f aca="false">IFERROR((B113/B112-1)*100,"")</f>
        <v>0.0867075892691194</v>
      </c>
      <c r="D113" s="18" t="n">
        <f aca="false">IFERROR((B113/B109-1)*100,"")</f>
        <v>2.00893732580829</v>
      </c>
      <c r="E113" s="19"/>
      <c r="F113" s="19"/>
      <c r="G113" s="19"/>
      <c r="I113" s="20" t="n">
        <v>2012</v>
      </c>
      <c r="J113" s="17" t="n">
        <v>462.111616770731</v>
      </c>
      <c r="K113" s="18" t="n">
        <f aca="false">IFERROR((J113/J112-1)*100,"")</f>
        <v>1.72778560957414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104.053632109649</v>
      </c>
      <c r="C114" s="21" t="n">
        <f aca="false">IFERROR((B114/B113-1)*100,"")</f>
        <v>1.0230176398113</v>
      </c>
      <c r="D114" s="21" t="n">
        <f aca="false">IFERROR((B114/B110-1)*100,"")</f>
        <v>2.03140276506852</v>
      </c>
      <c r="E114" s="14"/>
      <c r="F114" s="14"/>
      <c r="G114" s="14"/>
      <c r="I114" s="15" t="n">
        <v>2013</v>
      </c>
      <c r="J114" s="13" t="n">
        <v>473.8433787913</v>
      </c>
      <c r="K114" s="21" t="n">
        <f aca="false">IFERROR((J114/J113-1)*100,"")</f>
        <v>2.53872908509663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105.179006851605</v>
      </c>
      <c r="C115" s="18" t="n">
        <f aca="false">IFERROR((B115/B114-1)*100,"")</f>
        <v>1.08153335846135</v>
      </c>
      <c r="D115" s="18" t="n">
        <f aca="false">IFERROR((B115/B111-1)*100,"")</f>
        <v>3.11122577800542</v>
      </c>
      <c r="E115" s="19"/>
      <c r="F115" s="19"/>
      <c r="G115" s="19"/>
      <c r="I115" s="20" t="n">
        <v>2014</v>
      </c>
      <c r="J115" s="17" t="n">
        <v>481.954121362926</v>
      </c>
      <c r="K115" s="18" t="n">
        <f aca="false">IFERROR((J115/J114-1)*100,"")</f>
        <v>1.71169271000791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104.955443679183</v>
      </c>
      <c r="C116" s="21" t="n">
        <f aca="false">IFERROR((B116/B115-1)*100,"")</f>
        <v>-0.212554937638754</v>
      </c>
      <c r="D116" s="21" t="n">
        <f aca="false">IFERROR((B116/B112-1)*100,"")</f>
        <v>1.98691728084688</v>
      </c>
      <c r="E116" s="14"/>
      <c r="F116" s="14"/>
      <c r="G116" s="14"/>
      <c r="I116" s="15" t="n">
        <v>2015</v>
      </c>
      <c r="J116" s="13" t="n">
        <v>492.127422049171</v>
      </c>
      <c r="K116" s="21" t="n">
        <f aca="false">IFERROR((J116/J115-1)*100,"")</f>
        <v>2.11084421427414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106.109566858506</v>
      </c>
      <c r="C117" s="18" t="n">
        <f aca="false">IFERROR((B117/B116-1)*100,"")</f>
        <v>1.09963155684512</v>
      </c>
      <c r="D117" s="18" t="n">
        <f aca="false">IFERROR((B117/B113-1)*100,"")</f>
        <v>3.01907225308253</v>
      </c>
      <c r="E117" s="19"/>
      <c r="F117" s="19"/>
      <c r="G117" s="19"/>
      <c r="I117" s="20" t="n">
        <v>2016</v>
      </c>
      <c r="J117" s="17" t="n">
        <v>503.559223618682</v>
      </c>
      <c r="K117" s="18" t="n">
        <f aca="false">IFERROR((J117/J116-1)*100,"")</f>
        <v>2.32293529222778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106.155004352461</v>
      </c>
      <c r="C118" s="21" t="n">
        <f aca="false">IFERROR((B118/B117-1)*100,"")</f>
        <v>0.0428212981168796</v>
      </c>
      <c r="D118" s="21" t="n">
        <f aca="false">IFERROR((B118/B114-1)*100,"")</f>
        <v>2.01950878619761</v>
      </c>
      <c r="E118" s="14"/>
      <c r="F118" s="14"/>
      <c r="G118" s="14"/>
      <c r="I118" s="15" t="n">
        <v>2017</v>
      </c>
      <c r="J118" s="13" t="n">
        <v>512.740964395453</v>
      </c>
      <c r="K118" s="21" t="n">
        <f aca="false">IFERROR((J118/J117-1)*100,"")</f>
        <v>1.82336860216556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106.639322071593</v>
      </c>
      <c r="C119" s="18" t="n">
        <f aca="false">IFERROR((B119/B118-1)*100,"")</f>
        <v>0.456236351819883</v>
      </c>
      <c r="D119" s="18" t="n">
        <f aca="false">IFERROR((B119/B115-1)*100,"")</f>
        <v>1.38840940193306</v>
      </c>
      <c r="E119" s="19"/>
      <c r="F119" s="19"/>
      <c r="G119" s="19"/>
      <c r="I119" s="20" t="n">
        <v>2018</v>
      </c>
      <c r="J119" s="17" t="n">
        <v>522.200665440526</v>
      </c>
      <c r="K119" s="18" t="n">
        <f aca="false">IFERROR((J119/J118-1)*100,"")</f>
        <v>1.84492788794943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108.610424831799</v>
      </c>
      <c r="C120" s="21" t="n">
        <f aca="false">IFERROR((B120/B119-1)*100,"")</f>
        <v>1.84838268090572</v>
      </c>
      <c r="D120" s="21" t="n">
        <f aca="false">IFERROR((B120/B116-1)*100,"")</f>
        <v>3.48241217843714</v>
      </c>
      <c r="E120" s="14"/>
      <c r="F120" s="14"/>
      <c r="G120" s="14"/>
      <c r="I120" s="15" t="n">
        <v>2019</v>
      </c>
      <c r="J120" s="13" t="n">
        <v>531.745491104247</v>
      </c>
      <c r="K120" s="21" t="n">
        <f aca="false">IFERROR((J120/J119-1)*100,"")</f>
        <v>1.82780802388844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108.751977658334</v>
      </c>
      <c r="C121" s="18" t="n">
        <f aca="false">IFERROR((B121/B120-1)*100,"")</f>
        <v>0.130330791684141</v>
      </c>
      <c r="D121" s="18" t="n">
        <f aca="false">IFERROR((B121/B117-1)*100,"")</f>
        <v>2.49026631439546</v>
      </c>
      <c r="E121" s="19"/>
      <c r="F121" s="19"/>
      <c r="G121" s="19"/>
      <c r="I121" s="20" t="n">
        <v>2020</v>
      </c>
      <c r="J121" s="17" t="n">
        <v>542.944510411187</v>
      </c>
      <c r="K121" s="18" t="n">
        <f aca="false">IFERROR((J121/J120-1)*100,"")</f>
        <v>2.10608636919203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108.28478960428</v>
      </c>
      <c r="C122" s="21" t="n">
        <f aca="false">IFERROR((B122/B121-1)*100,"")</f>
        <v>-0.429590398366886</v>
      </c>
      <c r="D122" s="21" t="n">
        <f aca="false">IFERROR((B122/B118-1)*100,"")</f>
        <v>2.00629755027617</v>
      </c>
      <c r="E122" s="14"/>
      <c r="F122" s="14"/>
      <c r="G122" s="14"/>
      <c r="I122" s="15" t="n">
        <v>2021</v>
      </c>
      <c r="J122" s="13" t="n">
        <v>555.585950144748</v>
      </c>
      <c r="K122" s="21" t="n">
        <f aca="false">IFERROR((J122/J121-1)*100,"")</f>
        <v>2.32831154770998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109.082149123267</v>
      </c>
      <c r="C123" s="18" t="n">
        <f aca="false">IFERROR((B123/B122-1)*100,"")</f>
        <v>0.736354128683359</v>
      </c>
      <c r="D123" s="18" t="n">
        <f aca="false">IFERROR((B123/B119-1)*100,"")</f>
        <v>2.29073760430913</v>
      </c>
      <c r="E123" s="19"/>
      <c r="F123" s="19"/>
      <c r="G123" s="19"/>
      <c r="I123" s="20" t="n">
        <v>2022</v>
      </c>
      <c r="J123" s="17" t="n">
        <v>563.951345346424</v>
      </c>
      <c r="K123" s="18" t="n">
        <f aca="false">IFERROR((J123/J122-1)*100,"")</f>
        <v>1.50568875967734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109.92688593689</v>
      </c>
      <c r="C124" s="21" t="n">
        <f aca="false">IFERROR((B124/B123-1)*100,"")</f>
        <v>0.774404263586637</v>
      </c>
      <c r="D124" s="21" t="n">
        <f aca="false">IFERROR((B124/B120-1)*100,"")</f>
        <v>1.21209460982126</v>
      </c>
      <c r="E124" s="14"/>
      <c r="F124" s="14"/>
      <c r="G124" s="14"/>
      <c r="I124" s="15" t="n">
        <v>2023</v>
      </c>
      <c r="J124" s="13" t="n">
        <v>577.29390333968</v>
      </c>
      <c r="K124" s="21" t="n">
        <f aca="false">IFERROR((J124/J123-1)*100,"")</f>
        <v>2.36590587173087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109.844938990065</v>
      </c>
      <c r="C125" s="18" t="n">
        <f aca="false">IFERROR((B125/B124-1)*100,"")</f>
        <v>-0.0745467736359307</v>
      </c>
      <c r="D125" s="18" t="n">
        <f aca="false">IFERROR((B125/B121-1)*100,"")</f>
        <v>1.00500363787843</v>
      </c>
      <c r="E125" s="19"/>
      <c r="F125" s="19"/>
      <c r="G125" s="19"/>
      <c r="I125" s="20" t="n">
        <v>2024</v>
      </c>
      <c r="J125" s="17" t="n">
        <v>586.977662381214</v>
      </c>
      <c r="K125" s="18" t="n">
        <f aca="false">IFERROR((J125/J124-1)*100,"")</f>
        <v>1.67744003280013</v>
      </c>
      <c r="L125" s="19"/>
    </row>
    <row r="126" customFormat="false" ht="15" hidden="false" customHeight="false" outlineLevel="0" collapsed="false">
      <c r="A126" s="12" t="n">
        <v>40179</v>
      </c>
      <c r="B126" s="13" t="n">
        <v>110.755122132395</v>
      </c>
      <c r="C126" s="21" t="n">
        <f aca="false">IFERROR((B126/B125-1)*100,"")</f>
        <v>0.828607262836312</v>
      </c>
      <c r="D126" s="21" t="n">
        <f aca="false">IFERROR((B126/B122-1)*100,"")</f>
        <v>2.28132920342994</v>
      </c>
      <c r="E126" s="14"/>
      <c r="F126" s="14"/>
      <c r="G126" s="14"/>
      <c r="I126" s="15" t="n">
        <v>2025</v>
      </c>
      <c r="J126" s="13" t="n">
        <v>601.36517791616</v>
      </c>
      <c r="K126" s="21" t="n">
        <f aca="false">IFERROR((J126/J125-1)*100,"")</f>
        <v>2.45111806752225</v>
      </c>
      <c r="L126" s="14"/>
    </row>
    <row r="127" customFormat="false" ht="15" hidden="false" customHeight="false" outlineLevel="0" collapsed="false">
      <c r="A127" s="16" t="n">
        <v>40269</v>
      </c>
      <c r="B127" s="17" t="n">
        <v>111.57943173443</v>
      </c>
      <c r="C127" s="18" t="n">
        <f aca="false">IFERROR((B127/B126-1)*100,"")</f>
        <v>0.744263187258665</v>
      </c>
      <c r="D127" s="18" t="n">
        <f aca="false">IFERROR((B127/B123-1)*100,"")</f>
        <v>2.2893595617929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608.891148388477</v>
      </c>
    </row>
    <row r="128" customFormat="false" ht="15" hidden="false" customHeight="false" outlineLevel="0" collapsed="false">
      <c r="A128" s="12" t="n">
        <v>40360</v>
      </c>
      <c r="B128" s="13" t="n">
        <v>112.029822393351</v>
      </c>
      <c r="C128" s="21" t="n">
        <f aca="false">IFERROR((B128/B127-1)*100,"")</f>
        <v>0.403650253384491</v>
      </c>
      <c r="D128" s="21" t="n">
        <f aca="false">IFERROR((B128/B124-1)*100,"")</f>
        <v>1.91303195623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615.283078500159</v>
      </c>
    </row>
    <row r="129" customFormat="false" ht="15" hidden="false" customHeight="false" outlineLevel="0" collapsed="false">
      <c r="A129" s="16" t="n">
        <v>40452</v>
      </c>
      <c r="B129" s="17" t="n">
        <v>112.974844218662</v>
      </c>
      <c r="C129" s="18" t="n">
        <f aca="false">IFERROR((B129/B128-1)*100,"")</f>
        <v>0.843544875035795</v>
      </c>
      <c r="D129" s="18" t="n">
        <f aca="false">IFERROR((B129/B125-1)*100,"")</f>
        <v>2.84938501252159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112.502372238218</v>
      </c>
      <c r="C130" s="21" t="n">
        <f aca="false">IFERROR((B130/B129-1)*100,"")</f>
        <v>-0.41820989770921</v>
      </c>
      <c r="D130" s="21" t="n">
        <f aca="false">IFERROR((B130/B126-1)*100,"")</f>
        <v>1.57757950348696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112.61003206639</v>
      </c>
      <c r="C131" s="18" t="n">
        <f aca="false">IFERROR((B131/B130-1)*100,"")</f>
        <v>0.095695607150792</v>
      </c>
      <c r="D131" s="18" t="n">
        <f aca="false">IFERROR((B131/B127-1)*100,"")</f>
        <v>0.923647231340219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114.630331988702</v>
      </c>
      <c r="C132" s="21" t="n">
        <f aca="false">IFERROR((B132/B131-1)*100,"")</f>
        <v>1.794067442518</v>
      </c>
      <c r="D132" s="21" t="n">
        <f aca="false">IFERROR((B132/B128-1)*100,"")</f>
        <v>2.32126548074019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114.520190990187</v>
      </c>
      <c r="C133" s="18" t="n">
        <f aca="false">IFERROR((B133/B132-1)*100,"")</f>
        <v>-0.0960836426142864</v>
      </c>
      <c r="D133" s="18" t="n">
        <f aca="false">IFERROR((B133/B129-1)*100,"")</f>
        <v>1.36786802603064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113.728922047885</v>
      </c>
      <c r="C134" s="21" t="n">
        <f aca="false">IFERROR((B134/B133-1)*100,"")</f>
        <v>-0.69094273722432</v>
      </c>
      <c r="D134" s="21" t="n">
        <f aca="false">IFERROR((B134/B130-1)*100,"")</f>
        <v>1.09024350799443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115.148768412037</v>
      </c>
      <c r="C135" s="18" t="n">
        <f aca="false">IFERROR((B135/B134-1)*100,"")</f>
        <v>1.24844792211676</v>
      </c>
      <c r="D135" s="18" t="n">
        <f aca="false">IFERROR((B135/B131-1)*100,"")</f>
        <v>2.25444953621039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116.26028610477</v>
      </c>
      <c r="C136" s="21" t="n">
        <f aca="false">IFERROR((B136/B135-1)*100,"")</f>
        <v>0.965288390020169</v>
      </c>
      <c r="D136" s="21" t="n">
        <f aca="false">IFERROR((B136/B132-1)*100,"")</f>
        <v>1.4219221804471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116.97364020604</v>
      </c>
      <c r="C137" s="18" t="n">
        <f aca="false">IFERROR((B137/B136-1)*100,"")</f>
        <v>0.613583645086813</v>
      </c>
      <c r="D137" s="18" t="n">
        <f aca="false">IFERROR((B137/B133-1)*100,"")</f>
        <v>2.1423726197447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117.771890593322</v>
      </c>
      <c r="C138" s="21" t="n">
        <f aca="false">IFERROR((B138/B137-1)*100,"")</f>
        <v>0.682419035499304</v>
      </c>
      <c r="D138" s="21" t="n">
        <f aca="false">IFERROR((B138/B134-1)*100,"")</f>
        <v>3.55491679041453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118.08092550858</v>
      </c>
      <c r="C139" s="18" t="n">
        <f aca="false">IFERROR((B139/B138-1)*100,"")</f>
        <v>0.262401251861055</v>
      </c>
      <c r="D139" s="18" t="n">
        <f aca="false">IFERROR((B139/B135-1)*100,"")</f>
        <v>2.54640769239516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118.736316351353</v>
      </c>
      <c r="C140" s="21" t="n">
        <f aca="false">IFERROR((B140/B139-1)*100,"")</f>
        <v>0.555035320014818</v>
      </c>
      <c r="D140" s="21" t="n">
        <f aca="false">IFERROR((B140/B136-1)*100,"")</f>
        <v>2.12973004758605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119.254246338046</v>
      </c>
      <c r="C141" s="18" t="n">
        <f aca="false">IFERROR((B141/B140-1)*100,"")</f>
        <v>0.436201831594985</v>
      </c>
      <c r="D141" s="18" t="n">
        <f aca="false">IFERROR((B141/B137-1)*100,"")</f>
        <v>1.94967526699921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119.457649835174</v>
      </c>
      <c r="C142" s="21" t="n">
        <f aca="false">IFERROR((B142/B141-1)*100,"")</f>
        <v>0.170562896814097</v>
      </c>
      <c r="D142" s="21" t="n">
        <f aca="false">IFERROR((B142/B138-1)*100,"")</f>
        <v>1.43137656478012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119.46490549808</v>
      </c>
      <c r="C143" s="18" t="n">
        <f aca="false">IFERROR((B143/B142-1)*100,"")</f>
        <v>0.00607383697579511</v>
      </c>
      <c r="D143" s="18" t="n">
        <f aca="false">IFERROR((B143/B139-1)*100,"")</f>
        <v>1.17206058771917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120.925386633777</v>
      </c>
      <c r="C144" s="21" t="n">
        <f aca="false">IFERROR((B144/B143-1)*100,"")</f>
        <v>1.22251897292194</v>
      </c>
      <c r="D144" s="21" t="n">
        <f aca="false">IFERROR((B144/B140-1)*100,"")</f>
        <v>1.84364005023259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122.106179395896</v>
      </c>
      <c r="C145" s="18" t="n">
        <f aca="false">IFERROR((B145/B144-1)*100,"")</f>
        <v>0.976463912986958</v>
      </c>
      <c r="D145" s="18" t="n">
        <f aca="false">IFERROR((B145/B141-1)*100,"")</f>
        <v>2.39147296253579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122.993542322107</v>
      </c>
      <c r="C146" s="21" t="n">
        <f aca="false">IFERROR((B146/B145-1)*100,"")</f>
        <v>0.726714184819421</v>
      </c>
      <c r="D146" s="21" t="n">
        <f aca="false">IFERROR((B146/B142-1)*100,"")</f>
        <v>2.95995483906808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121.830933354924</v>
      </c>
      <c r="C147" s="18" t="n">
        <f aca="false">IFERROR((B147/B146-1)*100,"")</f>
        <v>-0.945260169950846</v>
      </c>
      <c r="D147" s="18" t="n">
        <f aca="false">IFERROR((B147/B143-1)*100,"")</f>
        <v>1.98052126436632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123.823547403316</v>
      </c>
      <c r="C148" s="21" t="n">
        <f aca="false">IFERROR((B148/B147-1)*100,"")</f>
        <v>1.63555674533544</v>
      </c>
      <c r="D148" s="21" t="n">
        <f aca="false">IFERROR((B148/B144-1)*100,"")</f>
        <v>2.3966520597664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123.479398968824</v>
      </c>
      <c r="C149" s="18" t="n">
        <f aca="false">IFERROR((B149/B148-1)*100,"")</f>
        <v>-0.277934562293669</v>
      </c>
      <c r="D149" s="18" t="n">
        <f aca="false">IFERROR((B149/B145-1)*100,"")</f>
        <v>1.12461103911532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125.367745172727</v>
      </c>
      <c r="C150" s="21" t="n">
        <f aca="false">IFERROR((B150/B149-1)*100,"")</f>
        <v>1.52928036552904</v>
      </c>
      <c r="D150" s="21" t="n">
        <f aca="false">IFERROR((B150/B146-1)*100,"")</f>
        <v>1.93034756605588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125.448498221277</v>
      </c>
      <c r="C151" s="18" t="n">
        <f aca="false">IFERROR((B151/B150-1)*100,"")</f>
        <v>0.064412938462155</v>
      </c>
      <c r="D151" s="18" t="n">
        <f aca="false">IFERROR((B151/B147-1)*100,"")</f>
        <v>2.9693319805848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126.145678924613</v>
      </c>
      <c r="C152" s="21" t="n">
        <f aca="false">IFERROR((B152/B151-1)*100,"")</f>
        <v>0.555750537647692</v>
      </c>
      <c r="D152" s="21" t="n">
        <f aca="false">IFERROR((B152/B148-1)*100,"")</f>
        <v>1.87535535041101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126.597301300065</v>
      </c>
      <c r="C153" s="18" t="n">
        <f aca="false">IFERROR((B153/B152-1)*100,"")</f>
        <v>0.358016524467786</v>
      </c>
      <c r="D153" s="18" t="n">
        <f aca="false">IFERROR((B153/B149-1)*100,"")</f>
        <v>2.52503847384948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127.275109801553</v>
      </c>
      <c r="C154" s="21" t="n">
        <f aca="false">IFERROR((B154/B153-1)*100,"")</f>
        <v>0.535405174144454</v>
      </c>
      <c r="D154" s="21" t="n">
        <f aca="false">IFERROR((B154/B150-1)*100,"")</f>
        <v>1.52141575665838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128.121149867618</v>
      </c>
      <c r="C155" s="18" t="n">
        <f aca="false">IFERROR((B155/B154-1)*100,"")</f>
        <v>0.664733322473277</v>
      </c>
      <c r="D155" s="18" t="n">
        <f aca="false">IFERROR((B155/B151-1)*100,"")</f>
        <v>2.13047719521267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128.715916891064</v>
      </c>
      <c r="C156" s="21" t="n">
        <f aca="false">IFERROR((B156/B155-1)*100,"")</f>
        <v>0.46422235833854</v>
      </c>
      <c r="D156" s="21" t="n">
        <f aca="false">IFERROR((B156/B152-1)*100,"")</f>
        <v>2.03751566313051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128.628787835219</v>
      </c>
      <c r="C157" s="18" t="n">
        <f aca="false">IFERROR((B157/B156-1)*100,"")</f>
        <v>-0.0676909724527164</v>
      </c>
      <c r="D157" s="18" t="n">
        <f aca="false">IFERROR((B157/B153-1)*100,"")</f>
        <v>1.60468391845021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129.866882968999</v>
      </c>
      <c r="C158" s="21" t="n">
        <f aca="false">IFERROR((B158/B157-1)*100,"")</f>
        <v>0.962533469075799</v>
      </c>
      <c r="D158" s="21" t="n">
        <f aca="false">IFERROR((B158/B154-1)*100,"")</f>
        <v>2.03635508269282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130.059876120063</v>
      </c>
      <c r="C159" s="18" t="n">
        <f aca="false">IFERROR((B159/B158-1)*100,"")</f>
        <v>0.148608441699549</v>
      </c>
      <c r="D159" s="18" t="n">
        <f aca="false">IFERROR((B159/B155-1)*100,"")</f>
        <v>1.5131976683386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130.952170383993</v>
      </c>
      <c r="C160" s="21" t="n">
        <f aca="false">IFERROR((B160/B159-1)*100,"")</f>
        <v>0.686064211768356</v>
      </c>
      <c r="D160" s="21" t="n">
        <f aca="false">IFERROR((B160/B156-1)*100,"")</f>
        <v>1.73735583519334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131.32173596747</v>
      </c>
      <c r="C161" s="18" t="n">
        <f aca="false">IFERROR((B161/B160-1)*100,"")</f>
        <v>0.282214172084827</v>
      </c>
      <c r="D161" s="18" t="n">
        <f aca="false">IFERROR((B161/B157-1)*100,"")</f>
        <v>2.0935812095972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132.136236932526</v>
      </c>
      <c r="C162" s="21" t="n">
        <f aca="false">IFERROR((B162/B161-1)*100,"")</f>
        <v>0.620233169364859</v>
      </c>
      <c r="D162" s="21" t="n">
        <f aca="false">IFERROR((B162/B158-1)*100,"")</f>
        <v>1.74744624006107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132.774924333089</v>
      </c>
      <c r="C163" s="18" t="n">
        <f aca="false">IFERROR((B163/B162-1)*100,"")</f>
        <v>0.483355221391357</v>
      </c>
      <c r="D163" s="18" t="n">
        <f aca="false">IFERROR((B163/B159-1)*100,"")</f>
        <v>2.08753713598753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133.087387331609</v>
      </c>
      <c r="C164" s="21" t="n">
        <f aca="false">IFERROR((B164/B163-1)*100,"")</f>
        <v>0.235332838703894</v>
      </c>
      <c r="D164" s="21" t="n">
        <f aca="false">IFERROR((B164/B160-1)*100,"")</f>
        <v>1.63053192730946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133.746942507023</v>
      </c>
      <c r="C165" s="18" t="n">
        <f aca="false">IFERROR((B165/B164-1)*100,"")</f>
        <v>0.495580526928818</v>
      </c>
      <c r="D165" s="18" t="n">
        <f aca="false">IFERROR((B165/B161-1)*100,"")</f>
        <v>1.84676704255111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134.905797605763</v>
      </c>
      <c r="C166" s="21" t="n">
        <f aca="false">IFERROR((B166/B165-1)*100,"")</f>
        <v>0.866453525604483</v>
      </c>
      <c r="D166" s="21" t="n">
        <f aca="false">IFERROR((B166/B162-1)*100,"")</f>
        <v>2.09598875942847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135.344858472984</v>
      </c>
      <c r="C167" s="18" t="n">
        <f aca="false">IFERROR((B167/B166-1)*100,"")</f>
        <v>0.325457374710725</v>
      </c>
      <c r="D167" s="18" t="n">
        <f aca="false">IFERROR((B167/B163-1)*100,"")</f>
        <v>1.93555684765241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136.707458343996</v>
      </c>
      <c r="C168" s="21" t="n">
        <f aca="false">IFERROR((B168/B167-1)*100,"")</f>
        <v>1.00676145838581</v>
      </c>
      <c r="D168" s="21" t="n">
        <f aca="false">IFERROR((B168/B164-1)*100,"")</f>
        <v>2.72007068811653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135.986395988444</v>
      </c>
      <c r="C169" s="18" t="n">
        <f aca="false">IFERROR((B169/B168-1)*100,"")</f>
        <v>-0.527449170869965</v>
      </c>
      <c r="D169" s="18" t="n">
        <f aca="false">IFERROR((B169/B165-1)*100,"")</f>
        <v>1.67439601941031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138.096859488663</v>
      </c>
      <c r="C170" s="21" t="n">
        <f aca="false">IFERROR((B170/B169-1)*100,"")</f>
        <v>1.55196663966237</v>
      </c>
      <c r="D170" s="21" t="n">
        <f aca="false">IFERROR((B170/B166-1)*100,"")</f>
        <v>2.36540010847079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138.58357156954</v>
      </c>
      <c r="C171" s="18" t="n">
        <f aca="false">IFERROR((B171/B170-1)*100,"")</f>
        <v>0.352442541183295</v>
      </c>
      <c r="D171" s="18" t="n">
        <f aca="false">IFERROR((B171/B167-1)*100,"")</f>
        <v>2.39293397111384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139.263240537222</v>
      </c>
      <c r="C172" s="21" t="n">
        <f aca="false">IFERROR((B172/B171-1)*100,"")</f>
        <v>0.490439783002383</v>
      </c>
      <c r="D172" s="21" t="n">
        <f aca="false">IFERROR((B172/B168-1)*100,"")</f>
        <v>1.86952652341372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139.642278549323</v>
      </c>
      <c r="C173" s="18" t="n">
        <f aca="false">IFERROR((B173/B172-1)*100,"")</f>
        <v>0.272173770076267</v>
      </c>
      <c r="D173" s="18" t="n">
        <f aca="false">IFERROR((B173/B169-1)*100,"")</f>
        <v>2.68841786290874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140.001526404199</v>
      </c>
      <c r="C174" s="21" t="n">
        <f aca="false">IFERROR((B174/B173-1)*100,"")</f>
        <v>0.25726295689863</v>
      </c>
      <c r="D174" s="21" t="n">
        <f aca="false">IFERROR((B174/B170-1)*100,"")</f>
        <v>1.37922536586885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140.032836841254</v>
      </c>
      <c r="C175" s="18" t="n">
        <f aca="false">IFERROR((B175/B174-1)*100,"")</f>
        <v>0.0223643540599783</v>
      </c>
      <c r="D175" s="18" t="n">
        <f aca="false">IFERROR((B175/B171-1)*100,"")</f>
        <v>1.04576989559466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141.666331072641</v>
      </c>
      <c r="C176" s="21" t="n">
        <f aca="false">IFERROR((B176/B175-1)*100,"")</f>
        <v>1.16650799072169</v>
      </c>
      <c r="D176" s="21" t="n">
        <f aca="false">IFERROR((B176/B172-1)*100,"")</f>
        <v>1.72557419039572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142.25065102833</v>
      </c>
      <c r="C177" s="18" t="n">
        <f aca="false">IFERROR((B177/B176-1)*100,"")</f>
        <v>0.412462122273083</v>
      </c>
      <c r="D177" s="18" t="n">
        <f aca="false">IFERROR((B177/B173-1)*100,"")</f>
        <v>1.86789595966512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143.182877350606</v>
      </c>
      <c r="C178" s="21" t="n">
        <f aca="false">IFERROR((B178/B177-1)*100,"")</f>
        <v>0.655340636782564</v>
      </c>
      <c r="D178" s="21" t="n">
        <f aca="false">IFERROR((B178/B174-1)*100,"")</f>
        <v>2.27236875776768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143.964302500172</v>
      </c>
      <c r="C179" s="18" t="n">
        <f aca="false">IFERROR((B179/B178-1)*100,"")</f>
        <v>0.545753210177469</v>
      </c>
      <c r="D179" s="18" t="n">
        <f aca="false">IFERROR((B179/B175-1)*100,"")</f>
        <v>2.80753125309798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145.154178056679</v>
      </c>
      <c r="C180" s="21" t="n">
        <f aca="false">IFERROR((B180/B179-1)*100,"")</f>
        <v>0.826507360396622</v>
      </c>
      <c r="D180" s="21" t="n">
        <f aca="false">IFERROR((B180/B176-1)*100,"")</f>
        <v>2.46201546805751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144.992545432223</v>
      </c>
      <c r="C181" s="18" t="n">
        <f aca="false">IFERROR((B181/B180-1)*100,"")</f>
        <v>-0.111352374847218</v>
      </c>
      <c r="D181" s="18" t="n">
        <f aca="false">IFERROR((B181/B177-1)*100,"")</f>
        <v>1.92750921283815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146.310224546428</v>
      </c>
      <c r="C182" s="21" t="n">
        <f aca="false">IFERROR((B182/B181-1)*100,"")</f>
        <v>0.908790938373683</v>
      </c>
      <c r="D182" s="21" t="n">
        <f aca="false">IFERROR((B182/B178-1)*100,"")</f>
        <v>2.1841628368485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145.657298559109</v>
      </c>
      <c r="C183" s="18" t="n">
        <f aca="false">IFERROR((B183/B182-1)*100,"")</f>
        <v>-0.446261352782018</v>
      </c>
      <c r="D183" s="18" t="n">
        <f aca="false">IFERROR((B183/B179-1)*100,"")</f>
        <v>1.17598323302097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147.012520551675</v>
      </c>
      <c r="C184" s="21" t="n">
        <f aca="false">IFERROR((B184/B183-1)*100,"")</f>
        <v>0.930418184308302</v>
      </c>
      <c r="D184" s="21" t="n">
        <f aca="false">IFERROR((B184/B180-1)*100,"")</f>
        <v>1.280254223389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147.997618724001</v>
      </c>
      <c r="C185" s="18" t="n">
        <f aca="false">IFERROR((B185/B184-1)*100,"")</f>
        <v>0.670077738024788</v>
      </c>
      <c r="D185" s="18" t="n">
        <f aca="false">IFERROR((B185/B181-1)*100,"")</f>
        <v>2.07257089171038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148.945118810225</v>
      </c>
      <c r="C186" s="21" t="n">
        <f aca="false">IFERROR((B186/B185-1)*100,"")</f>
        <v>0.640213061799599</v>
      </c>
      <c r="D186" s="21" t="n">
        <f aca="false">IFERROR((B186/B182-1)*100,"")</f>
        <v>1.80089550950016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150.323369575851</v>
      </c>
      <c r="C187" s="18" t="n">
        <f aca="false">IFERROR((B187/B186-1)*100,"")</f>
        <v>0.925341344943287</v>
      </c>
      <c r="D187" s="18" t="n">
        <f aca="false">IFERROR((B187/B183-1)*100,"")</f>
        <v>3.20345843490146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150.671213298755</v>
      </c>
      <c r="C188" s="21" t="n">
        <f aca="false">IFERROR((B188/B187-1)*100,"")</f>
        <v>0.231396970335318</v>
      </c>
      <c r="D188" s="21" t="n">
        <f aca="false">IFERROR((B188/B184-1)*100,"")</f>
        <v>2.48869465903325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151.42547623133</v>
      </c>
      <c r="C189" s="18" t="n">
        <f aca="false">IFERROR((B189/B188-1)*100,"")</f>
        <v>0.500601884103125</v>
      </c>
      <c r="D189" s="18" t="n">
        <f aca="false">IFERROR((B189/B185-1)*100,"")</f>
        <v>2.31615720366487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151.770095776885</v>
      </c>
      <c r="F190" s="13" t="n">
        <v>151.58562877152</v>
      </c>
      <c r="G190" s="22" t="n">
        <f aca="false">152.848848-150.322409</f>
        <v>2.52643900000001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152.517096909102</v>
      </c>
      <c r="F191" s="17" t="n">
        <v>151.798423485171</v>
      </c>
      <c r="G191" s="23" t="n">
        <f aca="false">153.584886-150.011961</f>
        <v>3.572925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153.267774725376</v>
      </c>
      <c r="F192" s="13" t="n">
        <v>152.572647589944</v>
      </c>
      <c r="G192" s="22" t="n">
        <f aca="false">154.760608-150.384687</f>
        <v>4.37592099999998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154.022147322074</v>
      </c>
      <c r="F193" s="17" t="n">
        <v>152.934448541842</v>
      </c>
      <c r="G193" s="23" t="n">
        <f aca="false">155.460887-150.40801</f>
        <v>5.05287700000002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154.780232884629</v>
      </c>
      <c r="F194" s="13" t="n">
        <v>153.308579035797</v>
      </c>
      <c r="G194" s="22" t="n">
        <f aca="false">156.133223-150.483935</f>
        <v>5.64928799999998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155.542049687984</v>
      </c>
      <c r="F195" s="17" t="n">
        <v>153.435226236234</v>
      </c>
      <c r="G195" s="23" t="n">
        <f aca="false">156.529469-150.340983</f>
        <v>6.18848600000001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156.307616097028</v>
      </c>
      <c r="F196" s="13" t="n">
        <v>154.127610203453</v>
      </c>
      <c r="G196" s="22" t="n">
        <f aca="false">157.469775-150.785446</f>
        <v>6.68432899999999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157.076950567043</v>
      </c>
      <c r="F197" s="17" t="n">
        <v>154.411663024676</v>
      </c>
      <c r="G197" s="23" t="n">
        <f aca="false">157.984587-150.838739</f>
        <v>7.145848</v>
      </c>
    </row>
    <row r="200" customFormat="false" ht="21.75" hidden="false" customHeight="true" outlineLevel="0" collapsed="false">
      <c r="A200" s="9" t="s">
        <v>139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customFormat="false" ht="15" hidden="false" customHeight="false" outlineLevel="0" collapsed="false">
      <c r="A201" s="5" t="s">
        <v>108</v>
      </c>
      <c r="B201" s="10" t="s">
        <v>109</v>
      </c>
      <c r="D201" s="5" t="s">
        <v>110</v>
      </c>
      <c r="E201" s="2" t="s">
        <v>140</v>
      </c>
      <c r="H201" s="5" t="s">
        <v>112</v>
      </c>
      <c r="I201" s="2" t="s">
        <v>113</v>
      </c>
    </row>
    <row r="202" customFormat="false" ht="18" hidden="false" customHeight="true" outlineLevel="0" collapsed="false">
      <c r="A202" s="11" t="s">
        <v>114</v>
      </c>
      <c r="B202" s="11"/>
      <c r="C202" s="11"/>
      <c r="D202" s="11"/>
      <c r="E202" s="11"/>
      <c r="F202" s="11"/>
      <c r="G202" s="11"/>
      <c r="I202" s="11" t="s">
        <v>115</v>
      </c>
      <c r="J202" s="11"/>
      <c r="K202" s="11"/>
      <c r="L202" s="11"/>
    </row>
    <row r="203" customFormat="false" ht="15" hidden="false" customHeight="false" outlineLevel="0" collapsed="false">
      <c r="A203" s="6" t="s">
        <v>116</v>
      </c>
      <c r="B203" s="6" t="s">
        <v>117</v>
      </c>
      <c r="C203" s="6" t="s">
        <v>118</v>
      </c>
      <c r="D203" s="6" t="s">
        <v>119</v>
      </c>
      <c r="E203" s="6" t="s">
        <v>120</v>
      </c>
      <c r="F203" s="6" t="s">
        <v>121</v>
      </c>
      <c r="G203" s="6" t="s">
        <v>122</v>
      </c>
      <c r="I203" s="6" t="s">
        <v>123</v>
      </c>
      <c r="J203" s="6" t="s">
        <v>117</v>
      </c>
      <c r="K203" s="6" t="s">
        <v>119</v>
      </c>
      <c r="L203" s="6" t="s">
        <v>124</v>
      </c>
    </row>
    <row r="204" customFormat="false" ht="15" hidden="false" customHeight="false" outlineLevel="0" collapsed="false">
      <c r="A204" s="12" t="n">
        <v>38353</v>
      </c>
      <c r="B204" s="13" t="n">
        <v>100.102143277978</v>
      </c>
      <c r="C204" s="14"/>
      <c r="D204" s="14"/>
      <c r="E204" s="14"/>
      <c r="F204" s="14"/>
      <c r="G204" s="14"/>
      <c r="I204" s="15" t="n">
        <v>2005</v>
      </c>
      <c r="J204" s="13" t="n">
        <v>100.267947745663</v>
      </c>
      <c r="K204" s="14"/>
      <c r="L204" s="14"/>
    </row>
    <row r="205" customFormat="false" ht="15" hidden="false" customHeight="false" outlineLevel="0" collapsed="false">
      <c r="A205" s="16" t="n">
        <v>38443</v>
      </c>
      <c r="B205" s="17" t="n">
        <v>99.7563457570186</v>
      </c>
      <c r="C205" s="18" t="n">
        <f aca="false">IFERROR((B205/B204-1)*100,"")</f>
        <v>-0.345444672447526</v>
      </c>
      <c r="D205" s="19"/>
      <c r="E205" s="19"/>
      <c r="F205" s="19"/>
      <c r="G205" s="19"/>
      <c r="I205" s="20" t="n">
        <v>2006</v>
      </c>
      <c r="J205" s="17" t="n">
        <v>102.577017662624</v>
      </c>
      <c r="K205" s="18" t="n">
        <f aca="false">IFERROR((J205/J204-1)*100,"")</f>
        <v>2.30289935006791</v>
      </c>
      <c r="L205" s="19"/>
    </row>
    <row r="206" customFormat="false" ht="15" hidden="false" customHeight="false" outlineLevel="0" collapsed="false">
      <c r="A206" s="12" t="n">
        <v>38534</v>
      </c>
      <c r="B206" s="13" t="n">
        <v>100.93175363561</v>
      </c>
      <c r="C206" s="21" t="n">
        <f aca="false">IFERROR((B206/B205-1)*100,"")</f>
        <v>1.17827880489343</v>
      </c>
      <c r="D206" s="14"/>
      <c r="E206" s="14"/>
      <c r="F206" s="14"/>
      <c r="G206" s="14"/>
      <c r="I206" s="15" t="n">
        <v>2007</v>
      </c>
      <c r="J206" s="13" t="n">
        <v>106.036877622803</v>
      </c>
      <c r="K206" s="21" t="n">
        <f aca="false">IFERROR((J206/J205-1)*100,"")</f>
        <v>3.37293873327305</v>
      </c>
      <c r="L206" s="14"/>
    </row>
    <row r="207" customFormat="false" ht="15" hidden="false" customHeight="false" outlineLevel="0" collapsed="false">
      <c r="A207" s="16" t="n">
        <v>38626</v>
      </c>
      <c r="B207" s="17" t="n">
        <v>100.267947745663</v>
      </c>
      <c r="C207" s="18" t="n">
        <f aca="false">IFERROR((B207/B206-1)*100,"")</f>
        <v>-0.657677951720936</v>
      </c>
      <c r="D207" s="19"/>
      <c r="E207" s="19"/>
      <c r="F207" s="19"/>
      <c r="G207" s="19"/>
      <c r="I207" s="20" t="n">
        <v>2008</v>
      </c>
      <c r="J207" s="17" t="n">
        <v>107.857252509054</v>
      </c>
      <c r="K207" s="18" t="n">
        <f aca="false">IFERROR((J207/J206-1)*100,"")</f>
        <v>1.71673754175021</v>
      </c>
      <c r="L207" s="19"/>
    </row>
    <row r="208" customFormat="false" ht="15" hidden="false" customHeight="false" outlineLevel="0" collapsed="false">
      <c r="A208" s="12" t="n">
        <v>38718</v>
      </c>
      <c r="B208" s="13" t="n">
        <v>103.206666425209</v>
      </c>
      <c r="C208" s="21" t="n">
        <f aca="false">IFERROR((B208/B207-1)*100,"")</f>
        <v>2.93086549153314</v>
      </c>
      <c r="D208" s="21" t="n">
        <f aca="false">IFERROR((B208/B204-1)*100,"")</f>
        <v>3.10135532124414</v>
      </c>
      <c r="E208" s="14"/>
      <c r="F208" s="14"/>
      <c r="G208" s="14"/>
      <c r="I208" s="15" t="n">
        <v>2009</v>
      </c>
      <c r="J208" s="13" t="n">
        <v>109.147312701067</v>
      </c>
      <c r="K208" s="21" t="n">
        <f aca="false">IFERROR((J208/J207-1)*100,"")</f>
        <v>1.19608108124654</v>
      </c>
      <c r="L208" s="14"/>
    </row>
    <row r="209" customFormat="false" ht="15" hidden="false" customHeight="false" outlineLevel="0" collapsed="false">
      <c r="A209" s="16" t="n">
        <v>38808</v>
      </c>
      <c r="B209" s="17" t="n">
        <v>102.360920392153</v>
      </c>
      <c r="C209" s="18" t="n">
        <f aca="false">IFERROR((B209/B208-1)*100,"")</f>
        <v>-0.819468414541702</v>
      </c>
      <c r="D209" s="18" t="n">
        <f aca="false">IFERROR((B209/B205-1)*100,"")</f>
        <v>2.61093629219205</v>
      </c>
      <c r="E209" s="19"/>
      <c r="F209" s="19"/>
      <c r="G209" s="19"/>
      <c r="I209" s="20" t="n">
        <v>2010</v>
      </c>
      <c r="J209" s="17" t="n">
        <v>112.143479707989</v>
      </c>
      <c r="K209" s="18" t="n">
        <f aca="false">IFERROR((J209/J208-1)*100,"")</f>
        <v>2.74506713246181</v>
      </c>
      <c r="L209" s="19"/>
    </row>
    <row r="210" customFormat="false" ht="15" hidden="false" customHeight="false" outlineLevel="0" collapsed="false">
      <c r="A210" s="12" t="n">
        <v>38899</v>
      </c>
      <c r="B210" s="13" t="n">
        <v>102.927981900028</v>
      </c>
      <c r="C210" s="21" t="n">
        <f aca="false">IFERROR((B210/B209-1)*100,"")</f>
        <v>0.553982423860622</v>
      </c>
      <c r="D210" s="21" t="n">
        <f aca="false">IFERROR((B210/B206-1)*100,"")</f>
        <v>1.97780004063421</v>
      </c>
      <c r="E210" s="14"/>
      <c r="F210" s="14"/>
      <c r="G210" s="14"/>
      <c r="I210" s="15" t="n">
        <v>2011</v>
      </c>
      <c r="J210" s="13" t="n">
        <v>114.38378497081</v>
      </c>
      <c r="K210" s="21" t="n">
        <f aca="false">IFERROR((J210/J209-1)*100,"")</f>
        <v>1.99771334780634</v>
      </c>
      <c r="L210" s="14"/>
    </row>
    <row r="211" customFormat="false" ht="15" hidden="false" customHeight="false" outlineLevel="0" collapsed="false">
      <c r="A211" s="16" t="n">
        <v>38991</v>
      </c>
      <c r="B211" s="17" t="n">
        <v>102.577017662624</v>
      </c>
      <c r="C211" s="18" t="n">
        <f aca="false">IFERROR((B211/B210-1)*100,"")</f>
        <v>-0.340980393207546</v>
      </c>
      <c r="D211" s="18" t="n">
        <f aca="false">IFERROR((B211/B207-1)*100,"")</f>
        <v>2.30289935006791</v>
      </c>
      <c r="E211" s="19"/>
      <c r="F211" s="19"/>
      <c r="G211" s="19"/>
      <c r="I211" s="20" t="n">
        <v>2012</v>
      </c>
      <c r="J211" s="17" t="n">
        <v>116.542012657591</v>
      </c>
      <c r="K211" s="18" t="n">
        <f aca="false">IFERROR((J211/J210-1)*100,"")</f>
        <v>1.88683010212669</v>
      </c>
      <c r="L211" s="19"/>
    </row>
    <row r="212" customFormat="false" ht="15" hidden="false" customHeight="false" outlineLevel="0" collapsed="false">
      <c r="A212" s="12" t="n">
        <v>39083</v>
      </c>
      <c r="B212" s="13" t="n">
        <v>104.051168967385</v>
      </c>
      <c r="C212" s="21" t="n">
        <f aca="false">IFERROR((B212/B211-1)*100,"")</f>
        <v>1.43711655724752</v>
      </c>
      <c r="D212" s="21" t="n">
        <f aca="false">IFERROR((B212/B208-1)*100,"")</f>
        <v>0.818263559348154</v>
      </c>
      <c r="E212" s="14"/>
      <c r="F212" s="14"/>
      <c r="G212" s="14"/>
      <c r="I212" s="15" t="n">
        <v>2013</v>
      </c>
      <c r="J212" s="13" t="n">
        <v>118.271263878048</v>
      </c>
      <c r="K212" s="21" t="n">
        <f aca="false">IFERROR((J212/J211-1)*100,"")</f>
        <v>1.48380071788949</v>
      </c>
      <c r="L212" s="14"/>
    </row>
    <row r="213" customFormat="false" ht="15" hidden="false" customHeight="false" outlineLevel="0" collapsed="false">
      <c r="A213" s="16" t="n">
        <v>39173</v>
      </c>
      <c r="B213" s="17" t="n">
        <v>104.448102890096</v>
      </c>
      <c r="C213" s="18" t="n">
        <f aca="false">IFERROR((B213/B212-1)*100,"")</f>
        <v>0.381479541893204</v>
      </c>
      <c r="D213" s="18" t="n">
        <f aca="false">IFERROR((B213/B209-1)*100,"")</f>
        <v>2.03904233172838</v>
      </c>
      <c r="E213" s="19"/>
      <c r="F213" s="19"/>
      <c r="G213" s="19"/>
      <c r="I213" s="20" t="n">
        <v>2014</v>
      </c>
      <c r="J213" s="17" t="n">
        <v>122.036227752203</v>
      </c>
      <c r="K213" s="18" t="n">
        <f aca="false">IFERROR((J213/J212-1)*100,"")</f>
        <v>3.18332936565009</v>
      </c>
      <c r="L213" s="19"/>
    </row>
    <row r="214" customFormat="false" ht="15" hidden="false" customHeight="false" outlineLevel="0" collapsed="false">
      <c r="A214" s="12" t="n">
        <v>39264</v>
      </c>
      <c r="B214" s="13" t="n">
        <v>105.823245813573</v>
      </c>
      <c r="C214" s="21" t="n">
        <f aca="false">IFERROR((B214/B213-1)*100,"")</f>
        <v>1.31658008659474</v>
      </c>
      <c r="D214" s="21" t="n">
        <f aca="false">IFERROR((B214/B210-1)*100,"")</f>
        <v>2.81290263356899</v>
      </c>
      <c r="E214" s="14"/>
      <c r="F214" s="14"/>
      <c r="G214" s="14"/>
      <c r="I214" s="15" t="n">
        <v>2015</v>
      </c>
      <c r="J214" s="13" t="n">
        <v>123.627185869128</v>
      </c>
      <c r="K214" s="21" t="n">
        <f aca="false">IFERROR((J214/J213-1)*100,"")</f>
        <v>1.3036769049888</v>
      </c>
      <c r="L214" s="14"/>
    </row>
    <row r="215" customFormat="false" ht="15" hidden="false" customHeight="false" outlineLevel="0" collapsed="false">
      <c r="A215" s="16" t="n">
        <v>39356</v>
      </c>
      <c r="B215" s="17" t="n">
        <v>106.036877622803</v>
      </c>
      <c r="C215" s="18" t="n">
        <f aca="false">IFERROR((B215/B214-1)*100,"")</f>
        <v>0.201876069466578</v>
      </c>
      <c r="D215" s="18" t="n">
        <f aca="false">IFERROR((B215/B211-1)*100,"")</f>
        <v>3.37293873327305</v>
      </c>
      <c r="E215" s="19"/>
      <c r="F215" s="19"/>
      <c r="G215" s="19"/>
      <c r="I215" s="20" t="n">
        <v>2016</v>
      </c>
      <c r="J215" s="17" t="n">
        <v>126.223214311058</v>
      </c>
      <c r="K215" s="18" t="n">
        <f aca="false">IFERROR((J215/J214-1)*100,"")</f>
        <v>2.0998847653773</v>
      </c>
      <c r="L215" s="19"/>
    </row>
    <row r="216" customFormat="false" ht="15" hidden="false" customHeight="false" outlineLevel="0" collapsed="false">
      <c r="A216" s="12" t="n">
        <v>39448</v>
      </c>
      <c r="B216" s="13" t="n">
        <v>106.349772956318</v>
      </c>
      <c r="C216" s="21" t="n">
        <f aca="false">IFERROR((B216/B215-1)*100,"")</f>
        <v>0.295081617385451</v>
      </c>
      <c r="D216" s="21" t="n">
        <f aca="false">IFERROR((B216/B212-1)*100,"")</f>
        <v>2.20910924090976</v>
      </c>
      <c r="E216" s="14"/>
      <c r="F216" s="14"/>
      <c r="G216" s="14"/>
      <c r="I216" s="15" t="n">
        <v>2017</v>
      </c>
      <c r="J216" s="13" t="n">
        <v>129.408117751329</v>
      </c>
      <c r="K216" s="21" t="n">
        <f aca="false">IFERROR((J216/J215-1)*100,"")</f>
        <v>2.523231132763</v>
      </c>
      <c r="L216" s="14"/>
    </row>
    <row r="217" customFormat="false" ht="15" hidden="false" customHeight="false" outlineLevel="0" collapsed="false">
      <c r="A217" s="16" t="n">
        <v>39539</v>
      </c>
      <c r="B217" s="17" t="n">
        <v>106.644074146251</v>
      </c>
      <c r="C217" s="18" t="n">
        <f aca="false">IFERROR((B217/B216-1)*100,"")</f>
        <v>0.276729495280148</v>
      </c>
      <c r="D217" s="18" t="n">
        <f aca="false">IFERROR((B217/B213-1)*100,"")</f>
        <v>2.10245202678891</v>
      </c>
      <c r="E217" s="19"/>
      <c r="F217" s="19"/>
      <c r="G217" s="19"/>
      <c r="I217" s="20" t="n">
        <v>2018</v>
      </c>
      <c r="J217" s="17" t="n">
        <v>132.455432537915</v>
      </c>
      <c r="K217" s="18" t="n">
        <f aca="false">IFERROR((J217/J216-1)*100,"")</f>
        <v>2.35480960509897</v>
      </c>
      <c r="L217" s="19"/>
    </row>
    <row r="218" customFormat="false" ht="15" hidden="false" customHeight="false" outlineLevel="0" collapsed="false">
      <c r="A218" s="12" t="n">
        <v>39630</v>
      </c>
      <c r="B218" s="13" t="n">
        <v>106.529468305096</v>
      </c>
      <c r="C218" s="21" t="n">
        <f aca="false">IFERROR((B218/B217-1)*100,"")</f>
        <v>-0.107465737850676</v>
      </c>
      <c r="D218" s="21" t="n">
        <f aca="false">IFERROR((B218/B214-1)*100,"")</f>
        <v>0.667360451943844</v>
      </c>
      <c r="E218" s="14"/>
      <c r="F218" s="14"/>
      <c r="G218" s="14"/>
      <c r="I218" s="15" t="n">
        <v>2019</v>
      </c>
      <c r="J218" s="13" t="n">
        <v>132.984813531099</v>
      </c>
      <c r="K218" s="21" t="n">
        <f aca="false">IFERROR((J218/J217-1)*100,"")</f>
        <v>0.399667256405256</v>
      </c>
      <c r="L218" s="14"/>
    </row>
    <row r="219" customFormat="false" ht="15" hidden="false" customHeight="false" outlineLevel="0" collapsed="false">
      <c r="A219" s="16" t="n">
        <v>39722</v>
      </c>
      <c r="B219" s="17" t="n">
        <v>107.857252509054</v>
      </c>
      <c r="C219" s="18" t="n">
        <f aca="false">IFERROR((B219/B218-1)*100,"")</f>
        <v>1.24640085516523</v>
      </c>
      <c r="D219" s="18" t="n">
        <f aca="false">IFERROR((B219/B215-1)*100,"")</f>
        <v>1.71673754175021</v>
      </c>
      <c r="E219" s="19"/>
      <c r="F219" s="19"/>
      <c r="G219" s="19"/>
      <c r="I219" s="20" t="n">
        <v>2020</v>
      </c>
      <c r="J219" s="17" t="n">
        <v>136.691615939191</v>
      </c>
      <c r="K219" s="18" t="n">
        <f aca="false">IFERROR((J219/J218-1)*100,"")</f>
        <v>2.78738775478693</v>
      </c>
      <c r="L219" s="19"/>
    </row>
    <row r="220" customFormat="false" ht="15" hidden="false" customHeight="false" outlineLevel="0" collapsed="false">
      <c r="A220" s="12" t="n">
        <v>39814</v>
      </c>
      <c r="B220" s="13" t="n">
        <v>108.237585532261</v>
      </c>
      <c r="C220" s="21" t="n">
        <f aca="false">IFERROR((B220/B219-1)*100,"")</f>
        <v>0.352626285539182</v>
      </c>
      <c r="D220" s="21" t="n">
        <f aca="false">IFERROR((B220/B216-1)*100,"")</f>
        <v>1.77509789016539</v>
      </c>
      <c r="E220" s="14"/>
      <c r="F220" s="14"/>
      <c r="G220" s="14"/>
      <c r="I220" s="15" t="n">
        <v>2021</v>
      </c>
      <c r="J220" s="13" t="n">
        <v>139.641596784898</v>
      </c>
      <c r="K220" s="21" t="n">
        <f aca="false">IFERROR((J220/J219-1)*100,"")</f>
        <v>2.15812859145585</v>
      </c>
      <c r="L220" s="14"/>
    </row>
    <row r="221" customFormat="false" ht="15" hidden="false" customHeight="false" outlineLevel="0" collapsed="false">
      <c r="A221" s="16" t="n">
        <v>39904</v>
      </c>
      <c r="B221" s="17" t="n">
        <v>109.077351452329</v>
      </c>
      <c r="C221" s="18" t="n">
        <f aca="false">IFERROR((B221/B220-1)*100,"")</f>
        <v>0.775854261658404</v>
      </c>
      <c r="D221" s="18" t="n">
        <f aca="false">IFERROR((B221/B217-1)*100,"")</f>
        <v>2.28168074556201</v>
      </c>
      <c r="E221" s="19"/>
      <c r="F221" s="19"/>
      <c r="G221" s="19"/>
      <c r="I221" s="20" t="n">
        <v>2022</v>
      </c>
      <c r="J221" s="17" t="n">
        <v>142.382904684234</v>
      </c>
      <c r="K221" s="18" t="n">
        <f aca="false">IFERROR((J221/J220-1)*100,"")</f>
        <v>1.96310265884345</v>
      </c>
      <c r="L221" s="19"/>
    </row>
    <row r="222" customFormat="false" ht="15" hidden="false" customHeight="false" outlineLevel="0" collapsed="false">
      <c r="A222" s="12" t="n">
        <v>39995</v>
      </c>
      <c r="B222" s="13" t="n">
        <v>109.00302838188</v>
      </c>
      <c r="C222" s="21" t="n">
        <f aca="false">IFERROR((B222/B221-1)*100,"")</f>
        <v>-0.0681379493178036</v>
      </c>
      <c r="D222" s="21" t="n">
        <f aca="false">IFERROR((B222/B218-1)*100,"")</f>
        <v>2.32194914340436</v>
      </c>
      <c r="E222" s="14"/>
      <c r="F222" s="14"/>
      <c r="G222" s="14"/>
      <c r="I222" s="15" t="n">
        <v>2023</v>
      </c>
      <c r="J222" s="13" t="n">
        <v>145.783491543905</v>
      </c>
      <c r="K222" s="21" t="n">
        <f aca="false">IFERROR((J222/J221-1)*100,"")</f>
        <v>2.38833929340896</v>
      </c>
      <c r="L222" s="14"/>
    </row>
    <row r="223" customFormat="false" ht="15" hidden="false" customHeight="false" outlineLevel="0" collapsed="false">
      <c r="A223" s="16" t="n">
        <v>40087</v>
      </c>
      <c r="B223" s="17" t="n">
        <v>109.147312701067</v>
      </c>
      <c r="C223" s="18" t="n">
        <f aca="false">IFERROR((B223/B222-1)*100,"")</f>
        <v>0.132367257432442</v>
      </c>
      <c r="D223" s="18" t="n">
        <f aca="false">IFERROR((B223/B219-1)*100,"")</f>
        <v>1.19608108124654</v>
      </c>
      <c r="E223" s="19"/>
      <c r="F223" s="19"/>
      <c r="G223" s="19"/>
      <c r="I223" s="20" t="n">
        <v>2024</v>
      </c>
      <c r="J223" s="17" t="n">
        <v>147.556768478671</v>
      </c>
      <c r="K223" s="18" t="n">
        <f aca="false">IFERROR((J223/J222-1)*100,"")</f>
        <v>1.21637705064346</v>
      </c>
      <c r="L223" s="19"/>
    </row>
    <row r="224" customFormat="false" ht="15" hidden="false" customHeight="false" outlineLevel="0" collapsed="false">
      <c r="A224" s="12" t="n">
        <v>40179</v>
      </c>
      <c r="B224" s="13" t="n">
        <v>109.85342968885</v>
      </c>
      <c r="C224" s="21" t="n">
        <f aca="false">IFERROR((B224/B223-1)*100,"")</f>
        <v>0.646939416380166</v>
      </c>
      <c r="D224" s="21" t="n">
        <f aca="false">IFERROR((B224/B220-1)*100,"")</f>
        <v>1.49286788747436</v>
      </c>
      <c r="E224" s="14"/>
      <c r="F224" s="14"/>
      <c r="G224" s="14"/>
      <c r="I224" s="15" t="n">
        <v>2025</v>
      </c>
      <c r="J224" s="13" t="n">
        <v>151.218459818152</v>
      </c>
      <c r="K224" s="21" t="n">
        <f aca="false">IFERROR((J224/J223-1)*100,"")</f>
        <v>2.48154752725558</v>
      </c>
      <c r="L224" s="14"/>
    </row>
    <row r="225" customFormat="false" ht="15" hidden="false" customHeight="false" outlineLevel="0" collapsed="false">
      <c r="A225" s="16" t="n">
        <v>40269</v>
      </c>
      <c r="B225" s="17" t="n">
        <v>111.985726144319</v>
      </c>
      <c r="C225" s="18" t="n">
        <f aca="false">IFERROR((B225/B224-1)*100,"")</f>
        <v>1.94103767311493</v>
      </c>
      <c r="D225" s="18" t="n">
        <f aca="false">IFERROR((B225/B221-1)*100,"")</f>
        <v>2.66634150285632</v>
      </c>
      <c r="E225" s="19"/>
      <c r="F225" s="19"/>
      <c r="G225" s="19"/>
      <c r="I225" s="20" t="n">
        <v>2026</v>
      </c>
      <c r="J225" s="19"/>
      <c r="K225" s="18" t="n">
        <f aca="false">IFERROR((J225/J224-1)*100,"")</f>
        <v>-100</v>
      </c>
      <c r="L225" s="17" t="n">
        <v>152.846014238779</v>
      </c>
    </row>
    <row r="226" customFormat="false" ht="15" hidden="false" customHeight="false" outlineLevel="0" collapsed="false">
      <c r="A226" s="12" t="n">
        <v>40360</v>
      </c>
      <c r="B226" s="13" t="n">
        <v>111.469525711838</v>
      </c>
      <c r="C226" s="21" t="n">
        <f aca="false">IFERROR((B226/B225-1)*100,"")</f>
        <v>-0.460951989377434</v>
      </c>
      <c r="D226" s="21" t="n">
        <f aca="false">IFERROR((B226/B222-1)*100,"")</f>
        <v>2.26277871961282</v>
      </c>
      <c r="E226" s="14"/>
      <c r="F226" s="14"/>
      <c r="G226" s="14"/>
      <c r="I226" s="15" t="n">
        <v>2027</v>
      </c>
      <c r="J226" s="14"/>
      <c r="K226" s="21" t="str">
        <f aca="false">IFERROR((J226/J225-1)*100,"")</f>
        <v/>
      </c>
      <c r="L226" s="13" t="n">
        <v>154.259917117566</v>
      </c>
    </row>
    <row r="227" customFormat="false" ht="15" hidden="false" customHeight="false" outlineLevel="0" collapsed="false">
      <c r="A227" s="16" t="n">
        <v>40452</v>
      </c>
      <c r="B227" s="17" t="n">
        <v>112.143479707989</v>
      </c>
      <c r="C227" s="18" t="n">
        <f aca="false">IFERROR((B227/B226-1)*100,"")</f>
        <v>0.604608292577868</v>
      </c>
      <c r="D227" s="18" t="n">
        <f aca="false">IFERROR((B227/B223-1)*100,"")</f>
        <v>2.74506713246181</v>
      </c>
      <c r="E227" s="19"/>
      <c r="F227" s="19"/>
      <c r="G227" s="19"/>
    </row>
    <row r="228" customFormat="false" ht="15" hidden="false" customHeight="false" outlineLevel="0" collapsed="false">
      <c r="A228" s="12" t="n">
        <v>40544</v>
      </c>
      <c r="B228" s="13" t="n">
        <v>113.054837445536</v>
      </c>
      <c r="C228" s="21" t="n">
        <f aca="false">IFERROR((B228/B227-1)*100,"")</f>
        <v>0.812671177958446</v>
      </c>
      <c r="D228" s="21" t="n">
        <f aca="false">IFERROR((B228/B224-1)*100,"")</f>
        <v>2.9142538068712</v>
      </c>
      <c r="E228" s="14"/>
      <c r="F228" s="14"/>
      <c r="G228" s="14"/>
    </row>
    <row r="229" customFormat="false" ht="15" hidden="false" customHeight="false" outlineLevel="0" collapsed="false">
      <c r="A229" s="16" t="n">
        <v>40634</v>
      </c>
      <c r="B229" s="17" t="n">
        <v>112.458050511223</v>
      </c>
      <c r="C229" s="18" t="n">
        <f aca="false">IFERROR((B229/B228-1)*100,"")</f>
        <v>-0.527873859975525</v>
      </c>
      <c r="D229" s="18" t="n">
        <f aca="false">IFERROR((B229/B225-1)*100,"")</f>
        <v>0.421771937519067</v>
      </c>
      <c r="E229" s="19"/>
      <c r="F229" s="19"/>
      <c r="G229" s="19"/>
    </row>
    <row r="230" customFormat="false" ht="15" hidden="false" customHeight="false" outlineLevel="0" collapsed="false">
      <c r="A230" s="12" t="n">
        <v>40725</v>
      </c>
      <c r="B230" s="13" t="n">
        <v>114.833477727983</v>
      </c>
      <c r="C230" s="21" t="n">
        <f aca="false">IFERROR((B230/B229-1)*100,"")</f>
        <v>2.11227849492424</v>
      </c>
      <c r="D230" s="21" t="n">
        <f aca="false">IFERROR((B230/B226-1)*100,"")</f>
        <v>3.01782213090285</v>
      </c>
      <c r="E230" s="14"/>
      <c r="F230" s="14"/>
      <c r="G230" s="14"/>
    </row>
    <row r="231" customFormat="false" ht="15" hidden="false" customHeight="false" outlineLevel="0" collapsed="false">
      <c r="A231" s="16" t="n">
        <v>40817</v>
      </c>
      <c r="B231" s="17" t="n">
        <v>114.38378497081</v>
      </c>
      <c r="C231" s="18" t="n">
        <f aca="false">IFERROR((B231/B230-1)*100,"")</f>
        <v>-0.391604230812836</v>
      </c>
      <c r="D231" s="18" t="n">
        <f aca="false">IFERROR((B231/B227-1)*100,"")</f>
        <v>1.99771334780634</v>
      </c>
      <c r="E231" s="19"/>
      <c r="F231" s="19"/>
      <c r="G231" s="19"/>
    </row>
    <row r="232" customFormat="false" ht="15" hidden="false" customHeight="false" outlineLevel="0" collapsed="false">
      <c r="A232" s="12" t="n">
        <v>40909</v>
      </c>
      <c r="B232" s="13" t="n">
        <v>115.173489814809</v>
      </c>
      <c r="C232" s="21" t="n">
        <f aca="false">IFERROR((B232/B231-1)*100,"")</f>
        <v>0.690399294095778</v>
      </c>
      <c r="D232" s="21" t="n">
        <f aca="false">IFERROR((B232/B228-1)*100,"")</f>
        <v>1.87400417102335</v>
      </c>
      <c r="E232" s="14"/>
      <c r="F232" s="14"/>
      <c r="G232" s="14"/>
    </row>
    <row r="233" customFormat="false" ht="15" hidden="false" customHeight="false" outlineLevel="0" collapsed="false">
      <c r="A233" s="16" t="n">
        <v>41000</v>
      </c>
      <c r="B233" s="17" t="n">
        <v>115.479983590492</v>
      </c>
      <c r="C233" s="18" t="n">
        <f aca="false">IFERROR((B233/B232-1)*100,"")</f>
        <v>0.266114863912192</v>
      </c>
      <c r="D233" s="18" t="n">
        <f aca="false">IFERROR((B233/B229-1)*100,"")</f>
        <v>2.68716473879105</v>
      </c>
      <c r="E233" s="19"/>
      <c r="F233" s="19"/>
      <c r="G233" s="19"/>
    </row>
    <row r="234" customFormat="false" ht="15" hidden="false" customHeight="false" outlineLevel="0" collapsed="false">
      <c r="A234" s="12" t="n">
        <v>41091</v>
      </c>
      <c r="B234" s="13" t="n">
        <v>115.767721513676</v>
      </c>
      <c r="C234" s="21" t="n">
        <f aca="false">IFERROR((B234/B233-1)*100,"")</f>
        <v>0.249166924203892</v>
      </c>
      <c r="D234" s="21" t="n">
        <f aca="false">IFERROR((B234/B230-1)*100,"")</f>
        <v>0.813563957286423</v>
      </c>
      <c r="E234" s="14"/>
      <c r="F234" s="14"/>
      <c r="G234" s="14"/>
    </row>
    <row r="235" customFormat="false" ht="15" hidden="false" customHeight="false" outlineLevel="0" collapsed="false">
      <c r="A235" s="16" t="n">
        <v>41183</v>
      </c>
      <c r="B235" s="17" t="n">
        <v>116.542012657591</v>
      </c>
      <c r="C235" s="18" t="n">
        <f aca="false">IFERROR((B235/B234-1)*100,"")</f>
        <v>0.668831634406786</v>
      </c>
      <c r="D235" s="18" t="n">
        <f aca="false">IFERROR((B235/B231-1)*100,"")</f>
        <v>1.88683010212669</v>
      </c>
      <c r="E235" s="19"/>
      <c r="F235" s="19"/>
      <c r="G235" s="19"/>
    </row>
    <row r="236" customFormat="false" ht="15" hidden="false" customHeight="false" outlineLevel="0" collapsed="false">
      <c r="A236" s="12" t="n">
        <v>41275</v>
      </c>
      <c r="B236" s="13" t="n">
        <v>117.184324082673</v>
      </c>
      <c r="C236" s="21" t="n">
        <f aca="false">IFERROR((B236/B235-1)*100,"")</f>
        <v>0.551141524360532</v>
      </c>
      <c r="D236" s="21" t="n">
        <f aca="false">IFERROR((B236/B232-1)*100,"")</f>
        <v>1.7459176335608</v>
      </c>
      <c r="E236" s="14"/>
      <c r="F236" s="14"/>
      <c r="G236" s="14"/>
    </row>
    <row r="237" customFormat="false" ht="15" hidden="false" customHeight="false" outlineLevel="0" collapsed="false">
      <c r="A237" s="16" t="n">
        <v>41365</v>
      </c>
      <c r="B237" s="17" t="n">
        <v>118.680306758684</v>
      </c>
      <c r="C237" s="18" t="n">
        <f aca="false">IFERROR((B237/B236-1)*100,"")</f>
        <v>1.27660648104757</v>
      </c>
      <c r="D237" s="18" t="n">
        <f aca="false">IFERROR((B237/B233-1)*100,"")</f>
        <v>2.77132284633888</v>
      </c>
      <c r="E237" s="19"/>
      <c r="F237" s="19"/>
      <c r="G237" s="19"/>
    </row>
    <row r="238" customFormat="false" ht="15" hidden="false" customHeight="false" outlineLevel="0" collapsed="false">
      <c r="A238" s="12" t="n">
        <v>41456</v>
      </c>
      <c r="B238" s="13" t="n">
        <v>118.761098317523</v>
      </c>
      <c r="C238" s="21" t="n">
        <f aca="false">IFERROR((B238/B237-1)*100,"")</f>
        <v>0.0680749494549771</v>
      </c>
      <c r="D238" s="21" t="n">
        <f aca="false">IFERROR((B238/B234-1)*100,"")</f>
        <v>2.58567480184317</v>
      </c>
      <c r="E238" s="14"/>
      <c r="F238" s="14"/>
      <c r="G238" s="14"/>
    </row>
    <row r="239" customFormat="false" ht="15" hidden="false" customHeight="false" outlineLevel="0" collapsed="false">
      <c r="A239" s="16" t="n">
        <v>41548</v>
      </c>
      <c r="B239" s="17" t="n">
        <v>118.271263878048</v>
      </c>
      <c r="C239" s="18" t="n">
        <f aca="false">IFERROR((B239/B238-1)*100,"")</f>
        <v>-0.412453611843378</v>
      </c>
      <c r="D239" s="18" t="n">
        <f aca="false">IFERROR((B239/B235-1)*100,"")</f>
        <v>1.48380071788949</v>
      </c>
      <c r="E239" s="19"/>
      <c r="F239" s="19"/>
      <c r="G239" s="19"/>
    </row>
    <row r="240" customFormat="false" ht="15" hidden="false" customHeight="false" outlineLevel="0" collapsed="false">
      <c r="A240" s="12" t="n">
        <v>41640</v>
      </c>
      <c r="B240" s="13" t="n">
        <v>119.759982802244</v>
      </c>
      <c r="C240" s="21" t="n">
        <f aca="false">IFERROR((B240/B239-1)*100,"")</f>
        <v>1.25873257406901</v>
      </c>
      <c r="D240" s="21" t="n">
        <f aca="false">IFERROR((B240/B236-1)*100,"")</f>
        <v>2.19795500783337</v>
      </c>
      <c r="E240" s="14"/>
      <c r="F240" s="14"/>
      <c r="G240" s="14"/>
    </row>
    <row r="241" customFormat="false" ht="15" hidden="false" customHeight="false" outlineLevel="0" collapsed="false">
      <c r="A241" s="16" t="n">
        <v>41730</v>
      </c>
      <c r="B241" s="17" t="n">
        <v>120.104632483596</v>
      </c>
      <c r="C241" s="18" t="n">
        <f aca="false">IFERROR((B241/B240-1)*100,"")</f>
        <v>0.287783676389974</v>
      </c>
      <c r="D241" s="18" t="n">
        <f aca="false">IFERROR((B241/B237-1)*100,"")</f>
        <v>1.20013653807622</v>
      </c>
      <c r="E241" s="19"/>
      <c r="F241" s="19"/>
      <c r="G241" s="19"/>
    </row>
    <row r="242" customFormat="false" ht="15" hidden="false" customHeight="false" outlineLevel="0" collapsed="false">
      <c r="A242" s="12" t="n">
        <v>41821</v>
      </c>
      <c r="B242" s="13" t="n">
        <v>121.038058184254</v>
      </c>
      <c r="C242" s="21" t="n">
        <f aca="false">IFERROR((B242/B241-1)*100,"")</f>
        <v>0.777177100796656</v>
      </c>
      <c r="D242" s="21" t="n">
        <f aca="false">IFERROR((B242/B238-1)*100,"")</f>
        <v>1.91726070151663</v>
      </c>
      <c r="E242" s="14"/>
      <c r="F242" s="14"/>
      <c r="G242" s="14"/>
    </row>
    <row r="243" customFormat="false" ht="15" hidden="false" customHeight="false" outlineLevel="0" collapsed="false">
      <c r="A243" s="16" t="n">
        <v>41913</v>
      </c>
      <c r="B243" s="17" t="n">
        <v>122.036227752203</v>
      </c>
      <c r="C243" s="18" t="n">
        <f aca="false">IFERROR((B243/B242-1)*100,"")</f>
        <v>0.824674142102477</v>
      </c>
      <c r="D243" s="18" t="n">
        <f aca="false">IFERROR((B243/B239-1)*100,"")</f>
        <v>3.18332936565009</v>
      </c>
      <c r="E243" s="19"/>
      <c r="F243" s="19"/>
      <c r="G243" s="19"/>
    </row>
    <row r="244" customFormat="false" ht="15" hidden="false" customHeight="false" outlineLevel="0" collapsed="false">
      <c r="A244" s="12" t="n">
        <v>42005</v>
      </c>
      <c r="B244" s="13" t="n">
        <v>121.71235801715</v>
      </c>
      <c r="C244" s="21" t="n">
        <f aca="false">IFERROR((B244/B243-1)*100,"")</f>
        <v>-0.265388189243632</v>
      </c>
      <c r="D244" s="21" t="n">
        <f aca="false">IFERROR((B244/B240-1)*100,"")</f>
        <v>1.63024005951169</v>
      </c>
      <c r="E244" s="14"/>
      <c r="F244" s="14"/>
      <c r="G244" s="14"/>
    </row>
    <row r="245" customFormat="false" ht="15" hidden="false" customHeight="false" outlineLevel="0" collapsed="false">
      <c r="A245" s="16" t="n">
        <v>42095</v>
      </c>
      <c r="B245" s="17" t="n">
        <v>122.570019996683</v>
      </c>
      <c r="C245" s="18" t="n">
        <f aca="false">IFERROR((B245/B244-1)*100,"")</f>
        <v>0.704663021491681</v>
      </c>
      <c r="D245" s="18" t="n">
        <f aca="false">IFERROR((B245/B241-1)*100,"")</f>
        <v>2.05269976861493</v>
      </c>
      <c r="E245" s="19"/>
      <c r="F245" s="19"/>
      <c r="G245" s="19"/>
    </row>
    <row r="246" customFormat="false" ht="15" hidden="false" customHeight="false" outlineLevel="0" collapsed="false">
      <c r="A246" s="12" t="n">
        <v>42186</v>
      </c>
      <c r="B246" s="13" t="n">
        <v>122.994647465312</v>
      </c>
      <c r="C246" s="21" t="n">
        <f aca="false">IFERROR((B246/B245-1)*100,"")</f>
        <v>0.346436647918713</v>
      </c>
      <c r="D246" s="21" t="n">
        <f aca="false">IFERROR((B246/B242-1)*100,"")</f>
        <v>1.61650749393172</v>
      </c>
      <c r="E246" s="14"/>
      <c r="F246" s="14"/>
      <c r="G246" s="14"/>
    </row>
    <row r="247" customFormat="false" ht="15" hidden="false" customHeight="false" outlineLevel="0" collapsed="false">
      <c r="A247" s="16" t="n">
        <v>42278</v>
      </c>
      <c r="B247" s="17" t="n">
        <v>123.627185869128</v>
      </c>
      <c r="C247" s="18" t="n">
        <f aca="false">IFERROR((B247/B246-1)*100,"")</f>
        <v>0.514281244632198</v>
      </c>
      <c r="D247" s="18" t="n">
        <f aca="false">IFERROR((B247/B243-1)*100,"")</f>
        <v>1.3036769049888</v>
      </c>
      <c r="E247" s="19"/>
      <c r="F247" s="19"/>
      <c r="G247" s="19"/>
    </row>
    <row r="248" customFormat="false" ht="15" hidden="false" customHeight="false" outlineLevel="0" collapsed="false">
      <c r="A248" s="12" t="n">
        <v>42370</v>
      </c>
      <c r="B248" s="13" t="n">
        <v>124.405153717815</v>
      </c>
      <c r="C248" s="21" t="n">
        <f aca="false">IFERROR((B248/B247-1)*100,"")</f>
        <v>0.62928541422147</v>
      </c>
      <c r="D248" s="21" t="n">
        <f aca="false">IFERROR((B248/B244-1)*100,"")</f>
        <v>2.21242587403103</v>
      </c>
      <c r="E248" s="14"/>
      <c r="F248" s="14"/>
      <c r="G248" s="14"/>
    </row>
    <row r="249" customFormat="false" ht="15" hidden="false" customHeight="false" outlineLevel="0" collapsed="false">
      <c r="A249" s="16" t="n">
        <v>42461</v>
      </c>
      <c r="B249" s="17" t="n">
        <v>124.570631751614</v>
      </c>
      <c r="C249" s="18" t="n">
        <f aca="false">IFERROR((B249/B248-1)*100,"")</f>
        <v>0.133015416849092</v>
      </c>
      <c r="D249" s="18" t="n">
        <f aca="false">IFERROR((B249/B245-1)*100,"")</f>
        <v>1.63221948971368</v>
      </c>
      <c r="E249" s="19"/>
      <c r="F249" s="19"/>
      <c r="G249" s="19"/>
    </row>
    <row r="250" customFormat="false" ht="15" hidden="false" customHeight="false" outlineLevel="0" collapsed="false">
      <c r="A250" s="12" t="n">
        <v>42552</v>
      </c>
      <c r="B250" s="13" t="n">
        <v>125.849887158045</v>
      </c>
      <c r="C250" s="21" t="n">
        <f aca="false">IFERROR((B250/B249-1)*100,"")</f>
        <v>1.02693178034246</v>
      </c>
      <c r="D250" s="21" t="n">
        <f aca="false">IFERROR((B250/B246-1)*100,"")</f>
        <v>2.32143410430763</v>
      </c>
      <c r="E250" s="14"/>
      <c r="F250" s="14"/>
      <c r="G250" s="14"/>
    </row>
    <row r="251" customFormat="false" ht="15" hidden="false" customHeight="false" outlineLevel="0" collapsed="false">
      <c r="A251" s="16" t="n">
        <v>42644</v>
      </c>
      <c r="B251" s="17" t="n">
        <v>126.223214311058</v>
      </c>
      <c r="C251" s="18" t="n">
        <f aca="false">IFERROR((B251/B250-1)*100,"")</f>
        <v>0.296644805525004</v>
      </c>
      <c r="D251" s="18" t="n">
        <f aca="false">IFERROR((B251/B247-1)*100,"")</f>
        <v>2.0998847653773</v>
      </c>
      <c r="E251" s="19"/>
      <c r="F251" s="19"/>
      <c r="G251" s="19"/>
    </row>
    <row r="252" customFormat="false" ht="15" hidden="false" customHeight="false" outlineLevel="0" collapsed="false">
      <c r="A252" s="12" t="n">
        <v>42736</v>
      </c>
      <c r="B252" s="13" t="n">
        <v>127.833679894884</v>
      </c>
      <c r="C252" s="21" t="n">
        <f aca="false">IFERROR((B252/B251-1)*100,"")</f>
        <v>1.27588700114778</v>
      </c>
      <c r="D252" s="21" t="n">
        <f aca="false">IFERROR((B252/B248-1)*100,"")</f>
        <v>2.75593580700535</v>
      </c>
      <c r="E252" s="14"/>
      <c r="F252" s="14"/>
      <c r="G252" s="14"/>
    </row>
    <row r="253" customFormat="false" ht="15" hidden="false" customHeight="false" outlineLevel="0" collapsed="false">
      <c r="A253" s="16" t="n">
        <v>42826</v>
      </c>
      <c r="B253" s="17" t="n">
        <v>127.685706567289</v>
      </c>
      <c r="C253" s="18" t="n">
        <f aca="false">IFERROR((B253/B252-1)*100,"")</f>
        <v>-0.115754570874571</v>
      </c>
      <c r="D253" s="18" t="n">
        <f aca="false">IFERROR((B253/B249-1)*100,"")</f>
        <v>2.50064944832709</v>
      </c>
      <c r="E253" s="19"/>
      <c r="F253" s="19"/>
      <c r="G253" s="19"/>
    </row>
    <row r="254" customFormat="false" ht="15" hidden="false" customHeight="false" outlineLevel="0" collapsed="false">
      <c r="A254" s="12" t="n">
        <v>42917</v>
      </c>
      <c r="B254" s="13" t="n">
        <v>129.348779284251</v>
      </c>
      <c r="C254" s="21" t="n">
        <f aca="false">IFERROR((B254/B253-1)*100,"")</f>
        <v>1.30247367671201</v>
      </c>
      <c r="D254" s="21" t="n">
        <f aca="false">IFERROR((B254/B250-1)*100,"")</f>
        <v>2.78021077747357</v>
      </c>
      <c r="E254" s="14"/>
      <c r="F254" s="14"/>
      <c r="G254" s="14"/>
    </row>
    <row r="255" customFormat="false" ht="15" hidden="false" customHeight="false" outlineLevel="0" collapsed="false">
      <c r="A255" s="16" t="n">
        <v>43009</v>
      </c>
      <c r="B255" s="17" t="n">
        <v>129.408117751329</v>
      </c>
      <c r="C255" s="18" t="n">
        <f aca="false">IFERROR((B255/B254-1)*100,"")</f>
        <v>0.045874779341748</v>
      </c>
      <c r="D255" s="18" t="n">
        <f aca="false">IFERROR((B255/B251-1)*100,"")</f>
        <v>2.523231132763</v>
      </c>
      <c r="E255" s="19"/>
      <c r="F255" s="19"/>
      <c r="G255" s="19"/>
    </row>
    <row r="256" customFormat="false" ht="15" hidden="false" customHeight="false" outlineLevel="0" collapsed="false">
      <c r="A256" s="12" t="n">
        <v>43101</v>
      </c>
      <c r="B256" s="13" t="n">
        <v>129.836339233923</v>
      </c>
      <c r="C256" s="21" t="n">
        <f aca="false">IFERROR((B256/B255-1)*100,"")</f>
        <v>0.330907743683029</v>
      </c>
      <c r="D256" s="21" t="n">
        <f aca="false">IFERROR((B256/B252-1)*100,"")</f>
        <v>1.56661322797362</v>
      </c>
      <c r="E256" s="14"/>
      <c r="F256" s="14"/>
      <c r="G256" s="14"/>
    </row>
    <row r="257" customFormat="false" ht="15" hidden="false" customHeight="false" outlineLevel="0" collapsed="false">
      <c r="A257" s="16" t="n">
        <v>43191</v>
      </c>
      <c r="B257" s="17" t="n">
        <v>129.971662592608</v>
      </c>
      <c r="C257" s="18" t="n">
        <f aca="false">IFERROR((B257/B256-1)*100,"")</f>
        <v>0.104226104558824</v>
      </c>
      <c r="D257" s="18" t="n">
        <f aca="false">IFERROR((B257/B253-1)*100,"")</f>
        <v>1.79029907636126</v>
      </c>
      <c r="E257" s="19"/>
      <c r="F257" s="19"/>
      <c r="G257" s="19"/>
    </row>
    <row r="258" customFormat="false" ht="15" hidden="false" customHeight="false" outlineLevel="0" collapsed="false">
      <c r="A258" s="12" t="n">
        <v>43282</v>
      </c>
      <c r="B258" s="13" t="n">
        <v>130.15699391137</v>
      </c>
      <c r="C258" s="21" t="n">
        <f aca="false">IFERROR((B258/B257-1)*100,"")</f>
        <v>0.142593635462762</v>
      </c>
      <c r="D258" s="21" t="n">
        <f aca="false">IFERROR((B258/B254-1)*100,"")</f>
        <v>0.62483359455825</v>
      </c>
      <c r="E258" s="14"/>
      <c r="F258" s="14"/>
      <c r="G258" s="14"/>
    </row>
    <row r="259" customFormat="false" ht="15" hidden="false" customHeight="false" outlineLevel="0" collapsed="false">
      <c r="A259" s="16" t="n">
        <v>43374</v>
      </c>
      <c r="B259" s="17" t="n">
        <v>132.455432537915</v>
      </c>
      <c r="C259" s="18" t="n">
        <f aca="false">IFERROR((B259/B258-1)*100,"")</f>
        <v>1.76589713504762</v>
      </c>
      <c r="D259" s="18" t="n">
        <f aca="false">IFERROR((B259/B255-1)*100,"")</f>
        <v>2.35480960509897</v>
      </c>
      <c r="E259" s="19"/>
      <c r="F259" s="19"/>
      <c r="G259" s="19"/>
    </row>
    <row r="260" customFormat="false" ht="15" hidden="false" customHeight="false" outlineLevel="0" collapsed="false">
      <c r="A260" s="12" t="n">
        <v>43466</v>
      </c>
      <c r="B260" s="13" t="n">
        <v>131.847185073459</v>
      </c>
      <c r="C260" s="21" t="n">
        <f aca="false">IFERROR((B260/B259-1)*100,"")</f>
        <v>-0.459209148920414</v>
      </c>
      <c r="D260" s="21" t="n">
        <f aca="false">IFERROR((B260/B256-1)*100,"")</f>
        <v>1.54875426356051</v>
      </c>
      <c r="E260" s="14"/>
      <c r="F260" s="14"/>
      <c r="G260" s="14"/>
    </row>
    <row r="261" customFormat="false" ht="15" hidden="false" customHeight="false" outlineLevel="0" collapsed="false">
      <c r="A261" s="16" t="n">
        <v>43556</v>
      </c>
      <c r="B261" s="17" t="n">
        <v>132.836245342559</v>
      </c>
      <c r="C261" s="18" t="n">
        <f aca="false">IFERROR((B261/B260-1)*100,"")</f>
        <v>0.75015653049304</v>
      </c>
      <c r="D261" s="18" t="n">
        <f aca="false">IFERROR((B261/B257-1)*100,"")</f>
        <v>2.20400562154053</v>
      </c>
      <c r="E261" s="19"/>
      <c r="F261" s="19"/>
      <c r="G261" s="19"/>
    </row>
    <row r="262" customFormat="false" ht="15" hidden="false" customHeight="false" outlineLevel="0" collapsed="false">
      <c r="A262" s="12" t="n">
        <v>43647</v>
      </c>
      <c r="B262" s="13" t="n">
        <v>133.117723111297</v>
      </c>
      <c r="C262" s="21" t="n">
        <f aca="false">IFERROR((B262/B261-1)*100,"")</f>
        <v>0.211898317370118</v>
      </c>
      <c r="D262" s="21" t="n">
        <f aca="false">IFERROR((B262/B258-1)*100,"")</f>
        <v>2.27473692419724</v>
      </c>
      <c r="E262" s="14"/>
      <c r="F262" s="14"/>
      <c r="G262" s="14"/>
    </row>
    <row r="263" customFormat="false" ht="15" hidden="false" customHeight="false" outlineLevel="0" collapsed="false">
      <c r="A263" s="16" t="n">
        <v>43739</v>
      </c>
      <c r="B263" s="17" t="n">
        <v>132.984813531099</v>
      </c>
      <c r="C263" s="18" t="n">
        <f aca="false">IFERROR((B263/B262-1)*100,"")</f>
        <v>-0.0998436399689551</v>
      </c>
      <c r="D263" s="18" t="n">
        <f aca="false">IFERROR((B263/B259-1)*100,"")</f>
        <v>0.399667256405256</v>
      </c>
      <c r="E263" s="19"/>
      <c r="F263" s="19"/>
      <c r="G263" s="19"/>
    </row>
    <row r="264" customFormat="false" ht="15" hidden="false" customHeight="false" outlineLevel="0" collapsed="false">
      <c r="A264" s="12" t="n">
        <v>43831</v>
      </c>
      <c r="B264" s="13" t="n">
        <v>134.888136039209</v>
      </c>
      <c r="C264" s="21" t="n">
        <f aca="false">IFERROR((B264/B263-1)*100,"")</f>
        <v>1.43123297884302</v>
      </c>
      <c r="D264" s="21" t="n">
        <f aca="false">IFERROR((B264/B260-1)*100,"")</f>
        <v>2.30642084930059</v>
      </c>
      <c r="E264" s="14"/>
      <c r="F264" s="14"/>
      <c r="G264" s="14"/>
    </row>
    <row r="265" customFormat="false" ht="15" hidden="false" customHeight="false" outlineLevel="0" collapsed="false">
      <c r="A265" s="16" t="n">
        <v>43922</v>
      </c>
      <c r="B265" s="17" t="n">
        <v>134.350180623897</v>
      </c>
      <c r="C265" s="18" t="n">
        <f aca="false">IFERROR((B265/B264-1)*100,"")</f>
        <v>-0.398815960475285</v>
      </c>
      <c r="D265" s="18" t="n">
        <f aca="false">IFERROR((B265/B261-1)*100,"")</f>
        <v>1.13970044654172</v>
      </c>
      <c r="E265" s="19"/>
      <c r="F265" s="19"/>
      <c r="G265" s="19"/>
    </row>
    <row r="266" customFormat="false" ht="15" hidden="false" customHeight="false" outlineLevel="0" collapsed="false">
      <c r="A266" s="12" t="n">
        <v>44013</v>
      </c>
      <c r="B266" s="13" t="n">
        <v>136.757763163299</v>
      </c>
      <c r="C266" s="21" t="n">
        <f aca="false">IFERROR((B266/B265-1)*100,"")</f>
        <v>1.79202032198313</v>
      </c>
      <c r="D266" s="21" t="n">
        <f aca="false">IFERROR((B266/B262-1)*100,"")</f>
        <v>2.73445185729162</v>
      </c>
      <c r="E266" s="14"/>
      <c r="F266" s="14"/>
      <c r="G266" s="14"/>
    </row>
    <row r="267" customFormat="false" ht="15" hidden="false" customHeight="false" outlineLevel="0" collapsed="false">
      <c r="A267" s="16" t="n">
        <v>44105</v>
      </c>
      <c r="B267" s="17" t="n">
        <v>136.691615939191</v>
      </c>
      <c r="C267" s="18" t="n">
        <f aca="false">IFERROR((B267/B266-1)*100,"")</f>
        <v>-0.0483681676105019</v>
      </c>
      <c r="D267" s="18" t="n">
        <f aca="false">IFERROR((B267/B263-1)*100,"")</f>
        <v>2.78738775478693</v>
      </c>
      <c r="E267" s="19"/>
      <c r="F267" s="19"/>
      <c r="G267" s="19"/>
    </row>
    <row r="268" customFormat="false" ht="15" hidden="false" customHeight="false" outlineLevel="0" collapsed="false">
      <c r="A268" s="12" t="n">
        <v>44197</v>
      </c>
      <c r="B268" s="13" t="n">
        <v>137.983892743618</v>
      </c>
      <c r="C268" s="21" t="n">
        <f aca="false">IFERROR((B268/B267-1)*100,"")</f>
        <v>0.945395806134664</v>
      </c>
      <c r="D268" s="21" t="n">
        <f aca="false">IFERROR((B268/B264-1)*100,"")</f>
        <v>2.29505484715797</v>
      </c>
      <c r="E268" s="14"/>
      <c r="F268" s="14"/>
      <c r="G268" s="14"/>
    </row>
    <row r="269" customFormat="false" ht="15" hidden="false" customHeight="false" outlineLevel="0" collapsed="false">
      <c r="A269" s="16" t="n">
        <v>44287</v>
      </c>
      <c r="B269" s="17" t="n">
        <v>138.807767840768</v>
      </c>
      <c r="C269" s="18" t="n">
        <f aca="false">IFERROR((B269/B268-1)*100,"")</f>
        <v>0.597080630766222</v>
      </c>
      <c r="D269" s="18" t="n">
        <f aca="false">IFERROR((B269/B265-1)*100,"")</f>
        <v>3.31788702938105</v>
      </c>
      <c r="E269" s="19"/>
      <c r="F269" s="19"/>
      <c r="G269" s="19"/>
    </row>
    <row r="270" customFormat="false" ht="15" hidden="false" customHeight="false" outlineLevel="0" collapsed="false">
      <c r="A270" s="12" t="n">
        <v>44378</v>
      </c>
      <c r="B270" s="13" t="n">
        <v>139.051093612308</v>
      </c>
      <c r="C270" s="21" t="n">
        <f aca="false">IFERROR((B270/B269-1)*100,"")</f>
        <v>0.17529694146492</v>
      </c>
      <c r="D270" s="21" t="n">
        <f aca="false">IFERROR((B270/B266-1)*100,"")</f>
        <v>1.67692889673194</v>
      </c>
      <c r="E270" s="14"/>
      <c r="F270" s="14"/>
      <c r="G270" s="14"/>
    </row>
    <row r="271" customFormat="false" ht="15" hidden="false" customHeight="false" outlineLevel="0" collapsed="false">
      <c r="A271" s="16" t="n">
        <v>44470</v>
      </c>
      <c r="B271" s="17" t="n">
        <v>139.641596784898</v>
      </c>
      <c r="C271" s="18" t="n">
        <f aca="false">IFERROR((B271/B270-1)*100,"")</f>
        <v>0.424666327498513</v>
      </c>
      <c r="D271" s="18" t="n">
        <f aca="false">IFERROR((B271/B267-1)*100,"")</f>
        <v>2.15812859145585</v>
      </c>
      <c r="E271" s="19"/>
      <c r="F271" s="19"/>
      <c r="G271" s="19"/>
    </row>
    <row r="272" customFormat="false" ht="15" hidden="false" customHeight="false" outlineLevel="0" collapsed="false">
      <c r="A272" s="12" t="n">
        <v>44562</v>
      </c>
      <c r="B272" s="13" t="n">
        <v>140.919633883237</v>
      </c>
      <c r="C272" s="21" t="n">
        <f aca="false">IFERROR((B272/B271-1)*100,"")</f>
        <v>0.915226642894274</v>
      </c>
      <c r="D272" s="21" t="n">
        <f aca="false">IFERROR((B272/B268-1)*100,"")</f>
        <v>2.12759698341969</v>
      </c>
      <c r="E272" s="14"/>
      <c r="F272" s="14"/>
      <c r="G272" s="14"/>
    </row>
    <row r="273" customFormat="false" ht="15" hidden="false" customHeight="false" outlineLevel="0" collapsed="false">
      <c r="A273" s="16" t="n">
        <v>44652</v>
      </c>
      <c r="B273" s="17" t="n">
        <v>140.947820163024</v>
      </c>
      <c r="C273" s="18" t="n">
        <f aca="false">IFERROR((B273/B272-1)*100,"")</f>
        <v>0.0200016697537553</v>
      </c>
      <c r="D273" s="18" t="n">
        <f aca="false">IFERROR((B273/B269-1)*100,"")</f>
        <v>1.54173815741445</v>
      </c>
      <c r="E273" s="19"/>
      <c r="F273" s="19"/>
      <c r="G273" s="19"/>
    </row>
    <row r="274" customFormat="false" ht="15" hidden="false" customHeight="false" outlineLevel="0" collapsed="false">
      <c r="A274" s="12" t="n">
        <v>44743</v>
      </c>
      <c r="B274" s="13" t="n">
        <v>141.044032017804</v>
      </c>
      <c r="C274" s="21" t="n">
        <f aca="false">IFERROR((B274/B273-1)*100,"")</f>
        <v>0.0682606191914292</v>
      </c>
      <c r="D274" s="21" t="n">
        <f aca="false">IFERROR((B274/B270-1)*100,"")</f>
        <v>1.43324180610365</v>
      </c>
      <c r="E274" s="14"/>
      <c r="F274" s="14"/>
      <c r="G274" s="14"/>
    </row>
    <row r="275" customFormat="false" ht="15" hidden="false" customHeight="false" outlineLevel="0" collapsed="false">
      <c r="A275" s="16" t="n">
        <v>44835</v>
      </c>
      <c r="B275" s="17" t="n">
        <v>142.382904684234</v>
      </c>
      <c r="C275" s="18" t="n">
        <f aca="false">IFERROR((B275/B274-1)*100,"")</f>
        <v>0.949258644464135</v>
      </c>
      <c r="D275" s="18" t="n">
        <f aca="false">IFERROR((B275/B271-1)*100,"")</f>
        <v>1.96310265884345</v>
      </c>
      <c r="E275" s="19"/>
      <c r="F275" s="19"/>
      <c r="G275" s="19"/>
    </row>
    <row r="276" customFormat="false" ht="15" hidden="false" customHeight="false" outlineLevel="0" collapsed="false">
      <c r="A276" s="12" t="n">
        <v>44927</v>
      </c>
      <c r="B276" s="13" t="n">
        <v>142.387795318267</v>
      </c>
      <c r="C276" s="21" t="n">
        <f aca="false">IFERROR((B276/B275-1)*100,"")</f>
        <v>0.00343484637030933</v>
      </c>
      <c r="D276" s="21" t="n">
        <f aca="false">IFERROR((B276/B272-1)*100,"")</f>
        <v>1.04184306655764</v>
      </c>
      <c r="E276" s="14"/>
      <c r="F276" s="14"/>
      <c r="G276" s="14"/>
    </row>
    <row r="277" customFormat="false" ht="15" hidden="false" customHeight="false" outlineLevel="0" collapsed="false">
      <c r="A277" s="16" t="n">
        <v>45017</v>
      </c>
      <c r="B277" s="17" t="n">
        <v>143.329241597633</v>
      </c>
      <c r="C277" s="18" t="n">
        <f aca="false">IFERROR((B277/B276-1)*100,"")</f>
        <v>0.661184673349813</v>
      </c>
      <c r="D277" s="18" t="n">
        <f aca="false">IFERROR((B277/B273-1)*100,"")</f>
        <v>1.68957663329172</v>
      </c>
      <c r="E277" s="19"/>
      <c r="F277" s="19"/>
      <c r="G277" s="19"/>
    </row>
    <row r="278" customFormat="false" ht="15" hidden="false" customHeight="false" outlineLevel="0" collapsed="false">
      <c r="A278" s="12" t="n">
        <v>45108</v>
      </c>
      <c r="B278" s="13" t="n">
        <v>144.201438701391</v>
      </c>
      <c r="C278" s="21" t="n">
        <f aca="false">IFERROR((B278/B277-1)*100,"")</f>
        <v>0.608526978888757</v>
      </c>
      <c r="D278" s="21" t="n">
        <f aca="false">IFERROR((B278/B274-1)*100,"")</f>
        <v>2.23859644283853</v>
      </c>
      <c r="E278" s="14"/>
      <c r="F278" s="14"/>
      <c r="G278" s="14"/>
    </row>
    <row r="279" customFormat="false" ht="15" hidden="false" customHeight="false" outlineLevel="0" collapsed="false">
      <c r="A279" s="16" t="n">
        <v>45200</v>
      </c>
      <c r="B279" s="17" t="n">
        <v>145.783491543905</v>
      </c>
      <c r="C279" s="18" t="n">
        <f aca="false">IFERROR((B279/B278-1)*100,"")</f>
        <v>1.09711307790059</v>
      </c>
      <c r="D279" s="18" t="n">
        <f aca="false">IFERROR((B279/B275-1)*100,"")</f>
        <v>2.38833929340896</v>
      </c>
      <c r="E279" s="19"/>
      <c r="F279" s="19"/>
      <c r="G279" s="19"/>
    </row>
    <row r="280" customFormat="false" ht="15" hidden="false" customHeight="false" outlineLevel="0" collapsed="false">
      <c r="A280" s="12" t="n">
        <v>45292</v>
      </c>
      <c r="B280" s="13" t="n">
        <v>145.670340100797</v>
      </c>
      <c r="C280" s="21" t="n">
        <f aca="false">IFERROR((B280/B279-1)*100,"")</f>
        <v>-0.0776160880144095</v>
      </c>
      <c r="D280" s="21" t="n">
        <f aca="false">IFERROR((B280/B276-1)*100,"")</f>
        <v>2.30535543807859</v>
      </c>
      <c r="E280" s="14"/>
      <c r="F280" s="14"/>
      <c r="G280" s="14"/>
    </row>
    <row r="281" customFormat="false" ht="15" hidden="false" customHeight="false" outlineLevel="0" collapsed="false">
      <c r="A281" s="16" t="n">
        <v>45383</v>
      </c>
      <c r="B281" s="17" t="n">
        <v>147.148086805159</v>
      </c>
      <c r="C281" s="18" t="n">
        <f aca="false">IFERROR((B281/B280-1)*100,"")</f>
        <v>1.01444583937924</v>
      </c>
      <c r="D281" s="18" t="n">
        <f aca="false">IFERROR((B281/B277-1)*100,"")</f>
        <v>2.66438667013083</v>
      </c>
      <c r="E281" s="19"/>
      <c r="F281" s="19"/>
      <c r="G281" s="19"/>
    </row>
    <row r="282" customFormat="false" ht="15" hidden="false" customHeight="false" outlineLevel="0" collapsed="false">
      <c r="A282" s="12" t="n">
        <v>45474</v>
      </c>
      <c r="B282" s="13" t="n">
        <v>147.776749831581</v>
      </c>
      <c r="C282" s="21" t="n">
        <f aca="false">IFERROR((B282/B281-1)*100,"")</f>
        <v>0.427231532581196</v>
      </c>
      <c r="D282" s="21" t="n">
        <f aca="false">IFERROR((B282/B278-1)*100,"")</f>
        <v>2.47938658753186</v>
      </c>
      <c r="E282" s="14"/>
      <c r="F282" s="14"/>
      <c r="G282" s="14"/>
    </row>
    <row r="283" customFormat="false" ht="15" hidden="false" customHeight="false" outlineLevel="0" collapsed="false">
      <c r="A283" s="16" t="n">
        <v>45566</v>
      </c>
      <c r="B283" s="17" t="n">
        <v>147.556768478671</v>
      </c>
      <c r="C283" s="18" t="n">
        <f aca="false">IFERROR((B283/B282-1)*100,"")</f>
        <v>-0.148860597597655</v>
      </c>
      <c r="D283" s="18" t="n">
        <f aca="false">IFERROR((B283/B279-1)*100,"")</f>
        <v>1.21637705064346</v>
      </c>
      <c r="E283" s="19"/>
      <c r="F283" s="19"/>
      <c r="G283" s="19"/>
    </row>
    <row r="284" customFormat="false" ht="15" hidden="false" customHeight="false" outlineLevel="0" collapsed="false">
      <c r="A284" s="12" t="n">
        <v>45658</v>
      </c>
      <c r="B284" s="13" t="n">
        <v>149.330412168003</v>
      </c>
      <c r="C284" s="21" t="n">
        <f aca="false">IFERROR((B284/B283-1)*100,"")</f>
        <v>1.20200767990359</v>
      </c>
      <c r="D284" s="21" t="n">
        <f aca="false">IFERROR((B284/B280-1)*100,"")</f>
        <v>2.51257192416288</v>
      </c>
      <c r="E284" s="14"/>
      <c r="F284" s="14"/>
      <c r="G284" s="14"/>
    </row>
    <row r="285" customFormat="false" ht="15" hidden="false" customHeight="false" outlineLevel="0" collapsed="false">
      <c r="A285" s="16" t="n">
        <v>45748</v>
      </c>
      <c r="B285" s="17" t="n">
        <v>149.584065818121</v>
      </c>
      <c r="C285" s="18" t="n">
        <f aca="false">IFERROR((B285/B284-1)*100,"")</f>
        <v>0.169860677698663</v>
      </c>
      <c r="D285" s="18" t="n">
        <f aca="false">IFERROR((B285/B281-1)*100,"")</f>
        <v>1.65546088015904</v>
      </c>
      <c r="E285" s="19"/>
      <c r="F285" s="19"/>
      <c r="G285" s="19"/>
    </row>
    <row r="286" customFormat="false" ht="15" hidden="false" customHeight="false" outlineLevel="0" collapsed="false">
      <c r="A286" s="12" t="n">
        <v>45839</v>
      </c>
      <c r="B286" s="13" t="n">
        <v>150.802234455996</v>
      </c>
      <c r="C286" s="21" t="n">
        <f aca="false">IFERROR((B286/B285-1)*100,"")</f>
        <v>0.81437058901459</v>
      </c>
      <c r="D286" s="21" t="n">
        <f aca="false">IFERROR((B286/B282-1)*100,"")</f>
        <v>2.04733466385167</v>
      </c>
      <c r="E286" s="14"/>
      <c r="F286" s="14"/>
      <c r="G286" s="14"/>
    </row>
    <row r="287" customFormat="false" ht="15" hidden="false" customHeight="false" outlineLevel="0" collapsed="false">
      <c r="A287" s="16" t="n">
        <v>45931</v>
      </c>
      <c r="B287" s="17" t="n">
        <v>151.218459818152</v>
      </c>
      <c r="C287" s="18" t="n">
        <f aca="false">IFERROR((B287/B286-1)*100,"")</f>
        <v>0.276007423667957</v>
      </c>
      <c r="D287" s="18" t="n">
        <f aca="false">IFERROR((B287/B283-1)*100,"")</f>
        <v>2.48154752725558</v>
      </c>
      <c r="E287" s="19"/>
      <c r="F287" s="19"/>
      <c r="G287" s="19"/>
    </row>
    <row r="288" customFormat="false" ht="15" hidden="false" customHeight="false" outlineLevel="0" collapsed="false">
      <c r="A288" s="12" t="n">
        <v>46023</v>
      </c>
      <c r="B288" s="14"/>
      <c r="C288" s="21" t="n">
        <f aca="false">IFERROR((B288/B287-1)*100,"")</f>
        <v>-100</v>
      </c>
      <c r="D288" s="21" t="n">
        <f aca="false">IFERROR((B288/B284-1)*100,"")</f>
        <v>-100</v>
      </c>
      <c r="E288" s="13" t="n">
        <v>151.87399987705</v>
      </c>
      <c r="F288" s="13" t="n">
        <v>151.300144530966</v>
      </c>
      <c r="G288" s="22" t="n">
        <f aca="false">152.995474-149.604815</f>
        <v>3.390659</v>
      </c>
    </row>
    <row r="289" customFormat="false" ht="15" hidden="false" customHeight="false" outlineLevel="0" collapsed="false">
      <c r="A289" s="16" t="n">
        <v>46113</v>
      </c>
      <c r="B289" s="19"/>
      <c r="C289" s="18" t="str">
        <f aca="false">IFERROR((B289/B288-1)*100,"")</f>
        <v/>
      </c>
      <c r="D289" s="18" t="n">
        <f aca="false">IFERROR((B289/B285-1)*100,"")</f>
        <v>-100</v>
      </c>
      <c r="E289" s="17" t="n">
        <v>152.628997833999</v>
      </c>
      <c r="F289" s="17" t="n">
        <v>151.50518034641</v>
      </c>
      <c r="G289" s="23" t="n">
        <f aca="false">153.902739-149.107622</f>
        <v>4.79511700000001</v>
      </c>
    </row>
    <row r="290" customFormat="false" ht="15" hidden="false" customHeight="false" outlineLevel="0" collapsed="false">
      <c r="A290" s="12" t="n">
        <v>46204</v>
      </c>
      <c r="B290" s="14"/>
      <c r="C290" s="21" t="str">
        <f aca="false">IFERROR((B290/B289-1)*100,"")</f>
        <v/>
      </c>
      <c r="D290" s="21" t="n">
        <f aca="false">IFERROR((B290/B286-1)*100,"")</f>
        <v>-100</v>
      </c>
      <c r="E290" s="13" t="n">
        <v>153.387749046379</v>
      </c>
      <c r="F290" s="13" t="n">
        <v>152.29068117685</v>
      </c>
      <c r="G290" s="22" t="n">
        <f aca="false">155.227079-149.354284</f>
        <v>5.872795</v>
      </c>
    </row>
    <row r="291" customFormat="false" ht="15" hidden="false" customHeight="false" outlineLevel="0" collapsed="false">
      <c r="A291" s="16" t="n">
        <v>46296</v>
      </c>
      <c r="B291" s="19"/>
      <c r="C291" s="18" t="str">
        <f aca="false">IFERROR((B291/B290-1)*100,"")</f>
        <v/>
      </c>
      <c r="D291" s="18" t="n">
        <f aca="false">IFERROR((B291/B287-1)*100,"")</f>
        <v>-100</v>
      </c>
      <c r="E291" s="17" t="n">
        <v>154.150272172422</v>
      </c>
      <c r="F291" s="17" t="n">
        <v>152.846014238779</v>
      </c>
      <c r="G291" s="23" t="n">
        <f aca="false">156.236674-149.455355</f>
        <v>6.781319</v>
      </c>
    </row>
    <row r="292" customFormat="false" ht="15" hidden="false" customHeight="false" outlineLevel="0" collapsed="false">
      <c r="A292" s="12" t="n">
        <v>46388</v>
      </c>
      <c r="B292" s="14"/>
      <c r="C292" s="21" t="str">
        <f aca="false">IFERROR((B292/B291-1)*100,"")</f>
        <v/>
      </c>
      <c r="D292" s="21" t="str">
        <f aca="false">IFERROR((B292/B288-1)*100,"")</f>
        <v/>
      </c>
      <c r="E292" s="13" t="n">
        <v>154.916585963114</v>
      </c>
      <c r="F292" s="13" t="n">
        <v>152.949251256479</v>
      </c>
      <c r="G292" s="22" t="n">
        <f aca="false">156.740124-149.158378</f>
        <v>7.58174600000001</v>
      </c>
    </row>
    <row r="293" customFormat="false" ht="15" hidden="false" customHeight="false" outlineLevel="0" collapsed="false">
      <c r="A293" s="16" t="n">
        <v>46478</v>
      </c>
      <c r="B293" s="19"/>
      <c r="C293" s="18" t="str">
        <f aca="false">IFERROR((B293/B292-1)*100,"")</f>
        <v/>
      </c>
      <c r="D293" s="18" t="str">
        <f aca="false">IFERROR((B293/B289-1)*100,"")</f>
        <v/>
      </c>
      <c r="E293" s="17" t="n">
        <v>155.686709262653</v>
      </c>
      <c r="F293" s="17" t="n">
        <v>153.071831735648</v>
      </c>
      <c r="G293" s="23" t="n">
        <f aca="false">157.224525-148.919139</f>
        <v>8.305386</v>
      </c>
    </row>
    <row r="294" customFormat="false" ht="15" hidden="false" customHeight="false" outlineLevel="0" collapsed="false">
      <c r="A294" s="12" t="n">
        <v>46569</v>
      </c>
      <c r="B294" s="14"/>
      <c r="C294" s="21" t="str">
        <f aca="false">IFERROR((B294/B293-1)*100,"")</f>
        <v/>
      </c>
      <c r="D294" s="21" t="str">
        <f aca="false">IFERROR((B294/B290-1)*100,"")</f>
        <v/>
      </c>
      <c r="E294" s="13" t="n">
        <v>156.46066100892</v>
      </c>
      <c r="F294" s="13" t="n">
        <v>153.778999996626</v>
      </c>
      <c r="G294" s="22" t="n">
        <f aca="false">158.264421-149.293579</f>
        <v>8.97084200000001</v>
      </c>
    </row>
    <row r="295" customFormat="false" ht="15" hidden="false" customHeight="false" outlineLevel="0" collapsed="false">
      <c r="A295" s="16" t="n">
        <v>46661</v>
      </c>
      <c r="B295" s="19"/>
      <c r="C295" s="18" t="str">
        <f aca="false">IFERROR((B295/B294-1)*100,"")</f>
        <v/>
      </c>
      <c r="D295" s="18" t="str">
        <f aca="false">IFERROR((B295/B291-1)*100,"")</f>
        <v/>
      </c>
      <c r="E295" s="17" t="n">
        <v>157.238460233936</v>
      </c>
      <c r="F295" s="17" t="n">
        <v>154.259917117566</v>
      </c>
      <c r="G295" s="23" t="n">
        <f aca="false">159.055034-149.4648</f>
        <v>9.59023400000001</v>
      </c>
    </row>
  </sheetData>
  <mergeCells count="9">
    <mergeCell ref="A4:N4"/>
    <mergeCell ref="A6:G6"/>
    <mergeCell ref="I6:L6"/>
    <mergeCell ref="A102:N102"/>
    <mergeCell ref="A104:G104"/>
    <mergeCell ref="I104:L104"/>
    <mergeCell ref="A200:N200"/>
    <mergeCell ref="A202:G202"/>
    <mergeCell ref="I202:L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106</v>
      </c>
    </row>
    <row r="4" customFormat="false" ht="21.75" hidden="false" customHeight="true" outlineLevel="0" collapsed="false">
      <c r="A4" s="9" t="s">
        <v>142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108</v>
      </c>
      <c r="B5" s="10" t="s">
        <v>109</v>
      </c>
      <c r="D5" s="5" t="s">
        <v>110</v>
      </c>
      <c r="E5" s="2" t="s">
        <v>133</v>
      </c>
      <c r="H5" s="5" t="s">
        <v>112</v>
      </c>
      <c r="I5" s="2" t="s">
        <v>113</v>
      </c>
    </row>
    <row r="6" customFormat="false" ht="18" hidden="false" customHeight="true" outlineLevel="0" collapsed="false">
      <c r="A6" s="11" t="s">
        <v>114</v>
      </c>
      <c r="B6" s="11"/>
      <c r="C6" s="11"/>
      <c r="D6" s="11"/>
      <c r="E6" s="11"/>
      <c r="F6" s="11"/>
      <c r="G6" s="11"/>
      <c r="I6" s="11" t="s">
        <v>115</v>
      </c>
      <c r="J6" s="11"/>
      <c r="K6" s="11"/>
      <c r="L6" s="11"/>
    </row>
    <row r="7" customFormat="false" ht="15" hidden="false" customHeight="false" outlineLevel="0" collapsed="false">
      <c r="A7" s="6" t="s">
        <v>116</v>
      </c>
      <c r="B7" s="6" t="s">
        <v>117</v>
      </c>
      <c r="C7" s="6" t="s">
        <v>118</v>
      </c>
      <c r="D7" s="6" t="s">
        <v>119</v>
      </c>
      <c r="E7" s="6" t="s">
        <v>120</v>
      </c>
      <c r="F7" s="6" t="s">
        <v>121</v>
      </c>
      <c r="G7" s="6" t="s">
        <v>122</v>
      </c>
      <c r="I7" s="6" t="s">
        <v>123</v>
      </c>
      <c r="J7" s="6" t="s">
        <v>117</v>
      </c>
      <c r="K7" s="6" t="s">
        <v>119</v>
      </c>
      <c r="L7" s="6" t="s">
        <v>124</v>
      </c>
    </row>
    <row r="8" customFormat="false" ht="15" hidden="false" customHeight="false" outlineLevel="0" collapsed="false">
      <c r="A8" s="12" t="n">
        <v>38353</v>
      </c>
      <c r="B8" s="13" t="n">
        <v>100.073257747659</v>
      </c>
      <c r="C8" s="14"/>
      <c r="D8" s="14"/>
      <c r="E8" s="14"/>
      <c r="F8" s="14"/>
      <c r="G8" s="14"/>
      <c r="I8" s="15" t="n">
        <v>2005</v>
      </c>
      <c r="J8" s="13" t="n">
        <v>402.69065458919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100.675360648398</v>
      </c>
      <c r="C9" s="18" t="n">
        <f aca="false">IFERROR((B9/B8-1)*100,"")</f>
        <v>0.601662136609393</v>
      </c>
      <c r="D9" s="19"/>
      <c r="E9" s="19"/>
      <c r="F9" s="19"/>
      <c r="G9" s="19"/>
      <c r="I9" s="20" t="n">
        <v>2006</v>
      </c>
      <c r="J9" s="17" t="n">
        <v>410.757405325809</v>
      </c>
      <c r="K9" s="18" t="n">
        <f aca="false">IFERROR((J9/J8-1)*100,"")</f>
        <v>2.0032127998721</v>
      </c>
      <c r="L9" s="19"/>
    </row>
    <row r="10" customFormat="false" ht="15" hidden="false" customHeight="false" outlineLevel="0" collapsed="false">
      <c r="A10" s="12" t="n">
        <v>38534</v>
      </c>
      <c r="B10" s="13" t="n">
        <v>100.664439410703</v>
      </c>
      <c r="C10" s="21" t="n">
        <f aca="false">IFERROR((B10/B9-1)*100,"")</f>
        <v>-0.0108479747430335</v>
      </c>
      <c r="D10" s="14"/>
      <c r="E10" s="14"/>
      <c r="F10" s="14"/>
      <c r="G10" s="14"/>
      <c r="I10" s="15" t="n">
        <v>2007</v>
      </c>
      <c r="J10" s="13" t="n">
        <v>419.765409070107</v>
      </c>
      <c r="K10" s="21" t="n">
        <f aca="false">IFERROR((J10/J9-1)*100,"")</f>
        <v>2.19302284694114</v>
      </c>
      <c r="L10" s="14"/>
    </row>
    <row r="11" customFormat="false" ht="15" hidden="false" customHeight="false" outlineLevel="0" collapsed="false">
      <c r="A11" s="16" t="n">
        <v>38626</v>
      </c>
      <c r="B11" s="17" t="n">
        <v>101.277596782429</v>
      </c>
      <c r="C11" s="18" t="n">
        <f aca="false">IFERROR((B11/B10-1)*100,"")</f>
        <v>0.609110203479779</v>
      </c>
      <c r="D11" s="19"/>
      <c r="E11" s="19"/>
      <c r="F11" s="19"/>
      <c r="G11" s="19"/>
      <c r="I11" s="20" t="n">
        <v>2008</v>
      </c>
      <c r="J11" s="17" t="n">
        <v>426.834188704026</v>
      </c>
      <c r="K11" s="18" t="n">
        <f aca="false">IFERROR((J11/J10-1)*100,"")</f>
        <v>1.68398335860462</v>
      </c>
      <c r="L11" s="19"/>
    </row>
    <row r="12" customFormat="false" ht="15" hidden="false" customHeight="false" outlineLevel="0" collapsed="false">
      <c r="A12" s="12" t="n">
        <v>38718</v>
      </c>
      <c r="B12" s="13" t="n">
        <v>102.322709646913</v>
      </c>
      <c r="C12" s="21" t="n">
        <f aca="false">IFERROR((B12/B11-1)*100,"")</f>
        <v>1.03192897312667</v>
      </c>
      <c r="D12" s="21" t="n">
        <f aca="false">IFERROR((B12/B8-1)*100,"")</f>
        <v>2.2478052077872</v>
      </c>
      <c r="E12" s="14"/>
      <c r="F12" s="14"/>
      <c r="G12" s="14"/>
      <c r="I12" s="15" t="n">
        <v>2009</v>
      </c>
      <c r="J12" s="13" t="n">
        <v>434.748572658889</v>
      </c>
      <c r="K12" s="21" t="n">
        <f aca="false">IFERROR((J12/J11-1)*100,"")</f>
        <v>1.854205723045</v>
      </c>
      <c r="L12" s="14"/>
    </row>
    <row r="13" customFormat="false" ht="15" hidden="false" customHeight="false" outlineLevel="0" collapsed="false">
      <c r="A13" s="16" t="n">
        <v>38808</v>
      </c>
      <c r="B13" s="17" t="n">
        <v>102.538094980532</v>
      </c>
      <c r="C13" s="18" t="n">
        <f aca="false">IFERROR((B13/B12-1)*100,"")</f>
        <v>0.210496119934511</v>
      </c>
      <c r="D13" s="18" t="n">
        <f aca="false">IFERROR((B13/B9-1)*100,"")</f>
        <v>1.85023854907167</v>
      </c>
      <c r="E13" s="19"/>
      <c r="F13" s="19"/>
      <c r="G13" s="19"/>
      <c r="I13" s="20" t="n">
        <v>2010</v>
      </c>
      <c r="J13" s="17" t="n">
        <v>445.97231459191</v>
      </c>
      <c r="K13" s="18" t="n">
        <f aca="false">IFERROR((J13/J12-1)*100,"")</f>
        <v>2.5816627446015</v>
      </c>
      <c r="L13" s="19"/>
    </row>
    <row r="14" customFormat="false" ht="15" hidden="false" customHeight="false" outlineLevel="0" collapsed="false">
      <c r="A14" s="12" t="n">
        <v>38899</v>
      </c>
      <c r="B14" s="13" t="n">
        <v>102.703284017673</v>
      </c>
      <c r="C14" s="21" t="n">
        <f aca="false">IFERROR((B14/B13-1)*100,"")</f>
        <v>0.161100162015471</v>
      </c>
      <c r="D14" s="21" t="n">
        <f aca="false">IFERROR((B14/B10-1)*100,"")</f>
        <v>2.02538713661542</v>
      </c>
      <c r="E14" s="14"/>
      <c r="F14" s="14"/>
      <c r="G14" s="14"/>
      <c r="I14" s="15" t="n">
        <v>2011</v>
      </c>
      <c r="J14" s="13" t="n">
        <v>454.693222785592</v>
      </c>
      <c r="K14" s="21" t="n">
        <f aca="false">IFERROR((J14/J13-1)*100,"")</f>
        <v>1.95548196790245</v>
      </c>
      <c r="L14" s="14"/>
    </row>
    <row r="15" customFormat="false" ht="15" hidden="false" customHeight="false" outlineLevel="0" collapsed="false">
      <c r="A15" s="16" t="n">
        <v>38991</v>
      </c>
      <c r="B15" s="17" t="n">
        <v>103.19331668069</v>
      </c>
      <c r="C15" s="18" t="n">
        <f aca="false">IFERROR((B15/B14-1)*100,"")</f>
        <v>0.477134365959397</v>
      </c>
      <c r="D15" s="18" t="n">
        <f aca="false">IFERROR((B15/B11-1)*100,"")</f>
        <v>1.89155347196555</v>
      </c>
      <c r="E15" s="19"/>
      <c r="F15" s="19"/>
      <c r="G15" s="19"/>
      <c r="I15" s="20" t="n">
        <v>2012</v>
      </c>
      <c r="J15" s="17" t="n">
        <v>463.044420370133</v>
      </c>
      <c r="K15" s="18" t="n">
        <f aca="false">IFERROR((J15/J14-1)*100,"")</f>
        <v>1.83666638648781</v>
      </c>
      <c r="L15" s="19"/>
    </row>
    <row r="16" customFormat="false" ht="15" hidden="false" customHeight="false" outlineLevel="0" collapsed="false">
      <c r="A16" s="12" t="n">
        <v>39083</v>
      </c>
      <c r="B16" s="13" t="n">
        <v>104.139208398884</v>
      </c>
      <c r="C16" s="21" t="n">
        <f aca="false">IFERROR((B16/B15-1)*100,"")</f>
        <v>0.916621103593429</v>
      </c>
      <c r="D16" s="21" t="n">
        <f aca="false">IFERROR((B16/B12-1)*100,"")</f>
        <v>1.7752645118942</v>
      </c>
      <c r="E16" s="14"/>
      <c r="F16" s="14"/>
      <c r="G16" s="14"/>
      <c r="I16" s="15" t="n">
        <v>2013</v>
      </c>
      <c r="J16" s="13" t="n">
        <v>473.314220043912</v>
      </c>
      <c r="K16" s="21" t="n">
        <f aca="false">IFERROR((J16/J15-1)*100,"")</f>
        <v>2.21788649684407</v>
      </c>
      <c r="L16" s="14"/>
    </row>
    <row r="17" customFormat="false" ht="15" hidden="false" customHeight="false" outlineLevel="0" collapsed="false">
      <c r="A17" s="16" t="n">
        <v>39173</v>
      </c>
      <c r="B17" s="17" t="n">
        <v>104.820344577647</v>
      </c>
      <c r="C17" s="18" t="n">
        <f aca="false">IFERROR((B17/B16-1)*100,"")</f>
        <v>0.654063142245676</v>
      </c>
      <c r="D17" s="18" t="n">
        <f aca="false">IFERROR((B17/B13-1)*100,"")</f>
        <v>2.22575775134932</v>
      </c>
      <c r="E17" s="19"/>
      <c r="F17" s="19"/>
      <c r="G17" s="19"/>
      <c r="I17" s="20" t="n">
        <v>2014</v>
      </c>
      <c r="J17" s="17" t="n">
        <v>482.891214210482</v>
      </c>
      <c r="K17" s="18" t="n">
        <f aca="false">IFERROR((J17/J16-1)*100,"")</f>
        <v>2.02339033162393</v>
      </c>
      <c r="L17" s="19"/>
    </row>
    <row r="18" customFormat="false" ht="15" hidden="false" customHeight="false" outlineLevel="0" collapsed="false">
      <c r="A18" s="12" t="n">
        <v>39264</v>
      </c>
      <c r="B18" s="13" t="n">
        <v>105.427582085084</v>
      </c>
      <c r="C18" s="21" t="n">
        <f aca="false">IFERROR((B18/B17-1)*100,"")</f>
        <v>0.579312641914354</v>
      </c>
      <c r="D18" s="21" t="n">
        <f aca="false">IFERROR((B18/B14-1)*100,"")</f>
        <v>2.65259099888335</v>
      </c>
      <c r="E18" s="14"/>
      <c r="F18" s="14"/>
      <c r="G18" s="14"/>
      <c r="I18" s="15" t="n">
        <v>2015</v>
      </c>
      <c r="J18" s="13" t="n">
        <v>491.079755197183</v>
      </c>
      <c r="K18" s="21" t="n">
        <f aca="false">IFERROR((J18/J17-1)*100,"")</f>
        <v>1.69573202943645</v>
      </c>
      <c r="L18" s="14"/>
    </row>
    <row r="19" customFormat="false" ht="15" hidden="false" customHeight="false" outlineLevel="0" collapsed="false">
      <c r="A19" s="16" t="n">
        <v>39356</v>
      </c>
      <c r="B19" s="17" t="n">
        <v>105.378274008492</v>
      </c>
      <c r="C19" s="18" t="n">
        <f aca="false">IFERROR((B19/B18-1)*100,"")</f>
        <v>-0.0467696172255061</v>
      </c>
      <c r="D19" s="18" t="n">
        <f aca="false">IFERROR((B19/B15-1)*100,"")</f>
        <v>2.11734383396434</v>
      </c>
      <c r="E19" s="19"/>
      <c r="F19" s="19"/>
      <c r="G19" s="19"/>
      <c r="I19" s="20" t="n">
        <v>2016</v>
      </c>
      <c r="J19" s="17" t="n">
        <v>501.174254043182</v>
      </c>
      <c r="K19" s="18" t="n">
        <f aca="false">IFERROR((J19/J18-1)*100,"")</f>
        <v>2.05557218337085</v>
      </c>
      <c r="L19" s="19"/>
    </row>
    <row r="20" customFormat="false" ht="15" hidden="false" customHeight="false" outlineLevel="0" collapsed="false">
      <c r="A20" s="12" t="n">
        <v>39448</v>
      </c>
      <c r="B20" s="13" t="n">
        <v>106.178953950219</v>
      </c>
      <c r="C20" s="21" t="n">
        <f aca="false">IFERROR((B20/B19-1)*100,"")</f>
        <v>0.759815008605735</v>
      </c>
      <c r="D20" s="21" t="n">
        <f aca="false">IFERROR((B20/B16-1)*100,"")</f>
        <v>1.95867203399711</v>
      </c>
      <c r="E20" s="14"/>
      <c r="F20" s="14"/>
      <c r="G20" s="14"/>
      <c r="I20" s="15" t="n">
        <v>2017</v>
      </c>
      <c r="J20" s="13" t="n">
        <v>513.027165795652</v>
      </c>
      <c r="K20" s="21" t="n">
        <f aca="false">IFERROR((J20/J19-1)*100,"")</f>
        <v>2.36502806296366</v>
      </c>
      <c r="L20" s="14"/>
    </row>
    <row r="21" customFormat="false" ht="15" hidden="false" customHeight="false" outlineLevel="0" collapsed="false">
      <c r="A21" s="16" t="n">
        <v>39539</v>
      </c>
      <c r="B21" s="17" t="n">
        <v>106.452239297029</v>
      </c>
      <c r="C21" s="18" t="n">
        <f aca="false">IFERROR((B21/B20-1)*100,"")</f>
        <v>0.25738184135673</v>
      </c>
      <c r="D21" s="18" t="n">
        <f aca="false">IFERROR((B21/B17-1)*100,"")</f>
        <v>1.55684922231194</v>
      </c>
      <c r="E21" s="19"/>
      <c r="F21" s="19"/>
      <c r="G21" s="19"/>
      <c r="I21" s="20" t="n">
        <v>2018</v>
      </c>
      <c r="J21" s="17" t="n">
        <v>521.371056138496</v>
      </c>
      <c r="K21" s="18" t="n">
        <f aca="false">IFERROR((J21/J20-1)*100,"")</f>
        <v>1.62640321977943</v>
      </c>
      <c r="L21" s="19"/>
    </row>
    <row r="22" customFormat="false" ht="15" hidden="false" customHeight="false" outlineLevel="0" collapsed="false">
      <c r="A22" s="12" t="n">
        <v>39630</v>
      </c>
      <c r="B22" s="13" t="n">
        <v>106.713282391994</v>
      </c>
      <c r="C22" s="21" t="n">
        <f aca="false">IFERROR((B22/B21-1)*100,"")</f>
        <v>0.245220858376793</v>
      </c>
      <c r="D22" s="21" t="n">
        <f aca="false">IFERROR((B22/B18-1)*100,"")</f>
        <v>1.21951038000017</v>
      </c>
      <c r="E22" s="14"/>
      <c r="F22" s="14"/>
      <c r="G22" s="14"/>
      <c r="I22" s="15" t="n">
        <v>2019</v>
      </c>
      <c r="J22" s="13" t="n">
        <v>533.911898409058</v>
      </c>
      <c r="K22" s="21" t="n">
        <f aca="false">IFERROR((J22/J21-1)*100,"")</f>
        <v>2.40535835714497</v>
      </c>
      <c r="L22" s="14"/>
    </row>
    <row r="23" customFormat="false" ht="15" hidden="false" customHeight="false" outlineLevel="0" collapsed="false">
      <c r="A23" s="16" t="n">
        <v>39722</v>
      </c>
      <c r="B23" s="17" t="n">
        <v>107.489713064784</v>
      </c>
      <c r="C23" s="18" t="n">
        <f aca="false">IFERROR((B23/B22-1)*100,"")</f>
        <v>0.727585784436369</v>
      </c>
      <c r="D23" s="18" t="n">
        <f aca="false">IFERROR((B23/B19-1)*100,"")</f>
        <v>2.00367587736494</v>
      </c>
      <c r="E23" s="19"/>
      <c r="F23" s="19"/>
      <c r="G23" s="19"/>
      <c r="I23" s="20" t="n">
        <v>2020</v>
      </c>
      <c r="J23" s="17" t="n">
        <v>544.842368472705</v>
      </c>
      <c r="K23" s="18" t="n">
        <f aca="false">IFERROR((J23/J22-1)*100,"")</f>
        <v>2.04724226903668</v>
      </c>
      <c r="L23" s="19"/>
    </row>
    <row r="24" customFormat="false" ht="15" hidden="false" customHeight="false" outlineLevel="0" collapsed="false">
      <c r="A24" s="12" t="n">
        <v>39814</v>
      </c>
      <c r="B24" s="13" t="n">
        <v>107.495549787603</v>
      </c>
      <c r="C24" s="21" t="n">
        <f aca="false">IFERROR((B24/B23-1)*100,"")</f>
        <v>0.00543002921133962</v>
      </c>
      <c r="D24" s="21" t="n">
        <f aca="false">IFERROR((B24/B20-1)*100,"")</f>
        <v>1.23997815800803</v>
      </c>
      <c r="E24" s="14"/>
      <c r="F24" s="14"/>
      <c r="G24" s="14"/>
      <c r="I24" s="15" t="n">
        <v>2021</v>
      </c>
      <c r="J24" s="13" t="n">
        <v>554.980482273365</v>
      </c>
      <c r="K24" s="21" t="n">
        <f aca="false">IFERROR((J24/J23-1)*100,"")</f>
        <v>1.86074255368194</v>
      </c>
      <c r="L24" s="14"/>
    </row>
    <row r="25" customFormat="false" ht="15" hidden="false" customHeight="false" outlineLevel="0" collapsed="false">
      <c r="A25" s="16" t="n">
        <v>39904</v>
      </c>
      <c r="B25" s="17" t="n">
        <v>108.035852375282</v>
      </c>
      <c r="C25" s="18" t="n">
        <f aca="false">IFERROR((B25/B24-1)*100,"")</f>
        <v>0.502627865755168</v>
      </c>
      <c r="D25" s="18" t="n">
        <f aca="false">IFERROR((B25/B21-1)*100,"")</f>
        <v>1.48762777439959</v>
      </c>
      <c r="E25" s="19"/>
      <c r="F25" s="19"/>
      <c r="G25" s="19"/>
      <c r="I25" s="20" t="n">
        <v>2022</v>
      </c>
      <c r="J25" s="17" t="n">
        <v>566.768131939825</v>
      </c>
      <c r="K25" s="18" t="n">
        <f aca="false">IFERROR((J25/J24-1)*100,"")</f>
        <v>2.12397553481063</v>
      </c>
      <c r="L25" s="19"/>
    </row>
    <row r="26" customFormat="false" ht="15" hidden="false" customHeight="false" outlineLevel="0" collapsed="false">
      <c r="A26" s="12" t="n">
        <v>39995</v>
      </c>
      <c r="B26" s="13" t="n">
        <v>109.707385184089</v>
      </c>
      <c r="C26" s="21" t="n">
        <f aca="false">IFERROR((B26/B25-1)*100,"")</f>
        <v>1.54720194459237</v>
      </c>
      <c r="D26" s="21" t="n">
        <f aca="false">IFERROR((B26/B22-1)*100,"")</f>
        <v>2.8057451940203</v>
      </c>
      <c r="E26" s="14"/>
      <c r="F26" s="14"/>
      <c r="G26" s="14"/>
      <c r="I26" s="15" t="n">
        <v>2023</v>
      </c>
      <c r="J26" s="13" t="n">
        <v>576.903311647394</v>
      </c>
      <c r="K26" s="21" t="n">
        <f aca="false">IFERROR((J26/J25-1)*100,"")</f>
        <v>1.78824092894569</v>
      </c>
      <c r="L26" s="14"/>
    </row>
    <row r="27" customFormat="false" ht="15" hidden="false" customHeight="false" outlineLevel="0" collapsed="false">
      <c r="A27" s="16" t="n">
        <v>40087</v>
      </c>
      <c r="B27" s="17" t="n">
        <v>109.509785311915</v>
      </c>
      <c r="C27" s="18" t="n">
        <f aca="false">IFERROR((B27/B26-1)*100,"")</f>
        <v>-0.180115378597923</v>
      </c>
      <c r="D27" s="18" t="n">
        <f aca="false">IFERROR((B27/B23-1)*100,"")</f>
        <v>1.87931681044995</v>
      </c>
      <c r="E27" s="19"/>
      <c r="F27" s="19"/>
      <c r="G27" s="19"/>
      <c r="I27" s="20" t="n">
        <v>2024</v>
      </c>
      <c r="J27" s="17" t="n">
        <v>586.722635154455</v>
      </c>
      <c r="K27" s="18" t="n">
        <f aca="false">IFERROR((J27/J26-1)*100,"")</f>
        <v>1.70207438730436</v>
      </c>
      <c r="L27" s="19"/>
    </row>
    <row r="28" customFormat="false" ht="15" hidden="false" customHeight="false" outlineLevel="0" collapsed="false">
      <c r="A28" s="12" t="n">
        <v>40179</v>
      </c>
      <c r="B28" s="13" t="n">
        <v>110.982959964136</v>
      </c>
      <c r="C28" s="21" t="n">
        <f aca="false">IFERROR((B28/B27-1)*100,"")</f>
        <v>1.34524476331086</v>
      </c>
      <c r="D28" s="21" t="n">
        <f aca="false">IFERROR((B28/B24-1)*100,"")</f>
        <v>3.24423679252255</v>
      </c>
      <c r="E28" s="14"/>
      <c r="F28" s="14"/>
      <c r="G28" s="14"/>
      <c r="I28" s="15" t="n">
        <v>2025</v>
      </c>
      <c r="J28" s="13" t="n">
        <v>601.87430896051</v>
      </c>
      <c r="K28" s="21" t="n">
        <f aca="false">IFERROR((J28/J27-1)*100,"")</f>
        <v>2.58242530596531</v>
      </c>
      <c r="L28" s="14"/>
    </row>
    <row r="29" customFormat="false" ht="15" hidden="false" customHeight="false" outlineLevel="0" collapsed="false">
      <c r="A29" s="16" t="n">
        <v>40269</v>
      </c>
      <c r="B29" s="17" t="n">
        <v>111.567060308019</v>
      </c>
      <c r="C29" s="18" t="n">
        <f aca="false">IFERROR((B29/B28-1)*100,"")</f>
        <v>0.526297319941516</v>
      </c>
      <c r="D29" s="18" t="n">
        <f aca="false">IFERROR((B29/B25-1)*100,"")</f>
        <v>3.26855192521767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609.101266562985</v>
      </c>
    </row>
    <row r="30" customFormat="false" ht="15" hidden="false" customHeight="false" outlineLevel="0" collapsed="false">
      <c r="A30" s="12" t="n">
        <v>40360</v>
      </c>
      <c r="B30" s="13" t="n">
        <v>111.037290243756</v>
      </c>
      <c r="C30" s="21" t="n">
        <f aca="false">IFERROR((B30/B29-1)*100,"")</f>
        <v>-0.474844513067829</v>
      </c>
      <c r="D30" s="21" t="n">
        <f aca="false">IFERROR((B30/B26-1)*100,"")</f>
        <v>1.21222929289129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615.490753400626</v>
      </c>
    </row>
    <row r="31" customFormat="false" ht="15" hidden="false" customHeight="false" outlineLevel="0" collapsed="false">
      <c r="A31" s="16" t="n">
        <v>40452</v>
      </c>
      <c r="B31" s="17" t="n">
        <v>112.385004075999</v>
      </c>
      <c r="C31" s="18" t="n">
        <f aca="false">IFERROR((B31/B30-1)*100,"")</f>
        <v>1.21374884895353</v>
      </c>
      <c r="D31" s="18" t="n">
        <f aca="false">IFERROR((B31/B27-1)*100,"")</f>
        <v>2.62553593351877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112.545674208425</v>
      </c>
      <c r="C32" s="21" t="n">
        <f aca="false">IFERROR((B32/B31-1)*100,"")</f>
        <v>0.142964031320192</v>
      </c>
      <c r="D32" s="21" t="n">
        <f aca="false">IFERROR((B32/B28-1)*100,"")</f>
        <v>1.40806682827119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114.417772269007</v>
      </c>
      <c r="C33" s="18" t="n">
        <f aca="false">IFERROR((B33/B32-1)*100,"")</f>
        <v>1.66341183146208</v>
      </c>
      <c r="D33" s="18" t="n">
        <f aca="false">IFERROR((B33/B29-1)*100,"")</f>
        <v>2.55515557469814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113.756208391297</v>
      </c>
      <c r="C34" s="21" t="n">
        <f aca="false">IFERROR((B34/B33-1)*100,"")</f>
        <v>-0.57820027832215</v>
      </c>
      <c r="D34" s="21" t="n">
        <f aca="false">IFERROR((B34/B30-1)*100,"")</f>
        <v>2.44865318810714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113.973567916863</v>
      </c>
      <c r="C35" s="18" t="n">
        <f aca="false">IFERROR((B35/B34-1)*100,"")</f>
        <v>0.191074868475072</v>
      </c>
      <c r="D35" s="18" t="n">
        <f aca="false">IFERROR((B35/B31-1)*100,"")</f>
        <v>1.41350160897833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114.809878857858</v>
      </c>
      <c r="C36" s="21" t="n">
        <f aca="false">IFERROR((B36/B35-1)*100,"")</f>
        <v>0.733776222224725</v>
      </c>
      <c r="D36" s="21" t="n">
        <f aca="false">IFERROR((B36/B32-1)*100,"")</f>
        <v>2.0118095745201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115.443387067471</v>
      </c>
      <c r="C37" s="18" t="n">
        <f aca="false">IFERROR((B37/B36-1)*100,"")</f>
        <v>0.551788936557207</v>
      </c>
      <c r="D37" s="18" t="n">
        <f aca="false">IFERROR((B37/B33-1)*100,"")</f>
        <v>0.896377178234764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116.061234349243</v>
      </c>
      <c r="C38" s="21" t="n">
        <f aca="false">IFERROR((B38/B37-1)*100,"")</f>
        <v>0.535195040155667</v>
      </c>
      <c r="D38" s="21" t="n">
        <f aca="false">IFERROR((B38/B34-1)*100,"")</f>
        <v>2.02628585335527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116.729920095561</v>
      </c>
      <c r="C39" s="18" t="n">
        <f aca="false">IFERROR((B39/B38-1)*100,"")</f>
        <v>0.576149090664524</v>
      </c>
      <c r="D39" s="18" t="n">
        <f aca="false">IFERROR((B39/B35-1)*100,"")</f>
        <v>2.41841352260561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117.96503169097</v>
      </c>
      <c r="C40" s="21" t="n">
        <f aca="false">IFERROR((B40/B39-1)*100,"")</f>
        <v>1.05809341289576</v>
      </c>
      <c r="D40" s="21" t="n">
        <f aca="false">IFERROR((B40/B36-1)*100,"")</f>
        <v>2.74815448330739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118.249947713402</v>
      </c>
      <c r="C41" s="18" t="n">
        <f aca="false">IFERROR((B41/B40-1)*100,"")</f>
        <v>0.241525830449896</v>
      </c>
      <c r="D41" s="18" t="n">
        <f aca="false">IFERROR((B41/B37-1)*100,"")</f>
        <v>2.4311142606128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118.824532887462</v>
      </c>
      <c r="C42" s="21" t="n">
        <f aca="false">IFERROR((B42/B41-1)*100,"")</f>
        <v>0.485907338793923</v>
      </c>
      <c r="D42" s="21" t="n">
        <f aca="false">IFERROR((B42/B38-1)*100,"")</f>
        <v>2.380897078781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118.274707752078</v>
      </c>
      <c r="C43" s="18" t="n">
        <f aca="false">IFERROR((B43/B42-1)*100,"")</f>
        <v>-0.462720216122903</v>
      </c>
      <c r="D43" s="18" t="n">
        <f aca="false">IFERROR((B43/B39-1)*100,"")</f>
        <v>1.32338620231434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120.071616251943</v>
      </c>
      <c r="C44" s="21" t="n">
        <f aca="false">IFERROR((B44/B43-1)*100,"")</f>
        <v>1.51926691176569</v>
      </c>
      <c r="D44" s="21" t="n">
        <f aca="false">IFERROR((B44/B40-1)*100,"")</f>
        <v>1.78577035141316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120.586422156499</v>
      </c>
      <c r="C45" s="18" t="n">
        <f aca="false">IFERROR((B45/B44-1)*100,"")</f>
        <v>0.428749042135146</v>
      </c>
      <c r="D45" s="18" t="n">
        <f aca="false">IFERROR((B45/B41-1)*100,"")</f>
        <v>1.97587778115522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120.098472404924</v>
      </c>
      <c r="C46" s="21" t="n">
        <f aca="false">IFERROR((B46/B45-1)*100,"")</f>
        <v>-0.404647341590358</v>
      </c>
      <c r="D46" s="21" t="n">
        <f aca="false">IFERROR((B46/B42-1)*100,"")</f>
        <v>1.07211826253821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122.134703397116</v>
      </c>
      <c r="C47" s="18" t="n">
        <f aca="false">IFERROR((B47/B46-1)*100,"")</f>
        <v>1.69546785351835</v>
      </c>
      <c r="D47" s="18" t="n">
        <f aca="false">IFERROR((B47/B43-1)*100,"")</f>
        <v>3.26358502033195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122.147550480131</v>
      </c>
      <c r="C48" s="21" t="n">
        <f aca="false">IFERROR((B48/B47-1)*100,"")</f>
        <v>0.0105187818509878</v>
      </c>
      <c r="D48" s="21" t="n">
        <f aca="false">IFERROR((B48/B44-1)*100,"")</f>
        <v>1.72891337102694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122.512351146556</v>
      </c>
      <c r="C49" s="18" t="n">
        <f aca="false">IFERROR((B49/B48-1)*100,"")</f>
        <v>0.298655736436504</v>
      </c>
      <c r="D49" s="18" t="n">
        <f aca="false">IFERROR((B49/B45-1)*100,"")</f>
        <v>1.59713585958932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123.194731815785</v>
      </c>
      <c r="C50" s="21" t="n">
        <f aca="false">IFERROR((B50/B49-1)*100,"")</f>
        <v>0.556989285441101</v>
      </c>
      <c r="D50" s="21" t="n">
        <f aca="false">IFERROR((B50/B46-1)*100,"")</f>
        <v>2.57810057768375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123.225121754712</v>
      </c>
      <c r="C51" s="18" t="n">
        <f aca="false">IFERROR((B51/B50-1)*100,"")</f>
        <v>0.0246682130634834</v>
      </c>
      <c r="D51" s="18" t="n">
        <f aca="false">IFERROR((B51/B47-1)*100,"")</f>
        <v>0.892799775384434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123.979932292072</v>
      </c>
      <c r="C52" s="21" t="n">
        <f aca="false">IFERROR((B52/B51-1)*100,"")</f>
        <v>0.612545986250201</v>
      </c>
      <c r="D52" s="21" t="n">
        <f aca="false">IFERROR((B52/B48-1)*100,"")</f>
        <v>1.50013799273008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125.010165136539</v>
      </c>
      <c r="C53" s="18" t="n">
        <f aca="false">IFERROR((B53/B52-1)*100,"")</f>
        <v>0.830967419823847</v>
      </c>
      <c r="D53" s="18" t="n">
        <f aca="false">IFERROR((B53/B49-1)*100,"")</f>
        <v>2.03882626250049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125.760982368506</v>
      </c>
      <c r="C54" s="21" t="n">
        <f aca="false">IFERROR((B54/B53-1)*100,"")</f>
        <v>0.600604943723204</v>
      </c>
      <c r="D54" s="21" t="n">
        <f aca="false">IFERROR((B54/B50-1)*100,"")</f>
        <v>2.08308465378084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126.423174246065</v>
      </c>
      <c r="C55" s="18" t="n">
        <f aca="false">IFERROR((B55/B54-1)*100,"")</f>
        <v>0.526547952384182</v>
      </c>
      <c r="D55" s="18" t="n">
        <f aca="false">IFERROR((B55/B51-1)*100,"")</f>
        <v>2.59529262037925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127.692448261336</v>
      </c>
      <c r="C56" s="21" t="n">
        <f aca="false">IFERROR((B56/B55-1)*100,"")</f>
        <v>1.0039884086444</v>
      </c>
      <c r="D56" s="21" t="n">
        <f aca="false">IFERROR((B56/B52-1)*100,"")</f>
        <v>2.99444910206745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127.628139314677</v>
      </c>
      <c r="C57" s="18" t="n">
        <f aca="false">IFERROR((B57/B56-1)*100,"")</f>
        <v>-0.0503623726655911</v>
      </c>
      <c r="D57" s="18" t="n">
        <f aca="false">IFERROR((B57/B53-1)*100,"")</f>
        <v>2.09420903914364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128.850288689019</v>
      </c>
      <c r="C58" s="21" t="n">
        <f aca="false">IFERROR((B58/B57-1)*100,"")</f>
        <v>0.957586141194788</v>
      </c>
      <c r="D58" s="21" t="n">
        <f aca="false">IFERROR((B58/B54-1)*100,"")</f>
        <v>2.45649029001778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128.85628953062</v>
      </c>
      <c r="C59" s="18" t="n">
        <f aca="false">IFERROR((B59/B58-1)*100,"")</f>
        <v>0.00465722014466596</v>
      </c>
      <c r="D59" s="18" t="n">
        <f aca="false">IFERROR((B59/B55-1)*100,"")</f>
        <v>1.92458012470029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128.867533582573</v>
      </c>
      <c r="C60" s="21" t="n">
        <f aca="false">IFERROR((B60/B59-1)*100,"")</f>
        <v>0.00872604045456527</v>
      </c>
      <c r="D60" s="21" t="n">
        <f aca="false">IFERROR((B60/B56-1)*100,"")</f>
        <v>0.920246527681856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130.441538701393</v>
      </c>
      <c r="C61" s="18" t="n">
        <f aca="false">IFERROR((B61/B60-1)*100,"")</f>
        <v>1.221413241227</v>
      </c>
      <c r="D61" s="18" t="n">
        <f aca="false">IFERROR((B61/B57-1)*100,"")</f>
        <v>2.20437232872261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130.632498698178</v>
      </c>
      <c r="C62" s="21" t="n">
        <f aca="false">IFERROR((B62/B61-1)*100,"")</f>
        <v>0.146395081417716</v>
      </c>
      <c r="D62" s="21" t="n">
        <f aca="false">IFERROR((B62/B58-1)*100,"")</f>
        <v>1.38316338076663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131.429485156352</v>
      </c>
      <c r="C63" s="18" t="n">
        <f aca="false">IFERROR((B63/B62-1)*100,"")</f>
        <v>0.610098150243599</v>
      </c>
      <c r="D63" s="18" t="n">
        <f aca="false">IFERROR((B63/B59-1)*100,"")</f>
        <v>1.99694996271054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132.588591898912</v>
      </c>
      <c r="C64" s="21" t="n">
        <f aca="false">IFERROR((B64/B63-1)*100,"")</f>
        <v>0.881922911880162</v>
      </c>
      <c r="D64" s="21" t="n">
        <f aca="false">IFERROR((B64/B60-1)*100,"")</f>
        <v>2.88750642841698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133.355456209366</v>
      </c>
      <c r="C65" s="18" t="n">
        <f aca="false">IFERROR((B65/B64-1)*100,"")</f>
        <v>0.578378802784685</v>
      </c>
      <c r="D65" s="18" t="n">
        <f aca="false">IFERROR((B65/B61-1)*100,"")</f>
        <v>2.23388771474364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133.394500716181</v>
      </c>
      <c r="C66" s="21" t="n">
        <f aca="false">IFERROR((B66/B65-1)*100,"")</f>
        <v>0.029278522172338</v>
      </c>
      <c r="D66" s="21" t="n">
        <f aca="false">IFERROR((B66/B62-1)*100,"")</f>
        <v>2.114329929786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134.573349584599</v>
      </c>
      <c r="C67" s="18" t="n">
        <f aca="false">IFERROR((B67/B66-1)*100,"")</f>
        <v>0.883731234863361</v>
      </c>
      <c r="D67" s="18" t="n">
        <f aca="false">IFERROR((B67/B63-1)*100,"")</f>
        <v>2.39205413040093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135.193554901635</v>
      </c>
      <c r="C68" s="21" t="n">
        <f aca="false">IFERROR((B68/B67-1)*100,"")</f>
        <v>0.460867860501679</v>
      </c>
      <c r="D68" s="21" t="n">
        <f aca="false">IFERROR((B68/B64-1)*100,"")</f>
        <v>1.96469618193793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135.398248542784</v>
      </c>
      <c r="C69" s="18" t="n">
        <f aca="false">IFERROR((B69/B68-1)*100,"")</f>
        <v>0.151407839891426</v>
      </c>
      <c r="D69" s="18" t="n">
        <f aca="false">IFERROR((B69/B65-1)*100,"")</f>
        <v>1.53184008475142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136.692519807634</v>
      </c>
      <c r="C70" s="21" t="n">
        <f aca="false">IFERROR((B70/B69-1)*100,"")</f>
        <v>0.955899562053886</v>
      </c>
      <c r="D70" s="21" t="n">
        <f aca="false">IFERROR((B70/B66-1)*100,"")</f>
        <v>2.47238010093842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137.558045220651</v>
      </c>
      <c r="C71" s="18" t="n">
        <f aca="false">IFERROR((B71/B70-1)*100,"")</f>
        <v>0.633191497410368</v>
      </c>
      <c r="D71" s="18" t="n">
        <f aca="false">IFERROR((B71/B67-1)*100,"")</f>
        <v>2.21789503290595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137.465052404296</v>
      </c>
      <c r="C72" s="21" t="n">
        <f aca="false">IFERROR((B72/B71-1)*100,"")</f>
        <v>-0.0676026009283848</v>
      </c>
      <c r="D72" s="21" t="n">
        <f aca="false">IFERROR((B72/B68-1)*100,"")</f>
        <v>1.68018179883893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139.002509123952</v>
      </c>
      <c r="C73" s="18" t="n">
        <f aca="false">IFERROR((B73/B72-1)*100,"")</f>
        <v>1.11843460775369</v>
      </c>
      <c r="D73" s="18" t="n">
        <f aca="false">IFERROR((B73/B69-1)*100,"")</f>
        <v>2.66196987033336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138.299137834105</v>
      </c>
      <c r="C74" s="21" t="n">
        <f aca="false">IFERROR((B74/B73-1)*100,"")</f>
        <v>-0.506013376506875</v>
      </c>
      <c r="D74" s="21" t="n">
        <f aca="false">IFERROR((B74/B70-1)*100,"")</f>
        <v>1.17535182520045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140.213782911011</v>
      </c>
      <c r="C75" s="18" t="n">
        <f aca="false">IFERROR((B75/B74-1)*100,"")</f>
        <v>1.38442300284112</v>
      </c>
      <c r="D75" s="18" t="n">
        <f aca="false">IFERROR((B75/B71-1)*100,"")</f>
        <v>1.93063058296585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141.028242798485</v>
      </c>
      <c r="C76" s="21" t="n">
        <f aca="false">IFERROR((B76/B75-1)*100,"")</f>
        <v>0.580870061818484</v>
      </c>
      <c r="D76" s="21" t="n">
        <f aca="false">IFERROR((B76/B72-1)*100,"")</f>
        <v>2.59207000751645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141.073250507832</v>
      </c>
      <c r="C77" s="18" t="n">
        <f aca="false">IFERROR((B77/B76-1)*100,"")</f>
        <v>0.0319139687587233</v>
      </c>
      <c r="D77" s="18" t="n">
        <f aca="false">IFERROR((B77/B73-1)*100,"")</f>
        <v>1.48971511156915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141.70960084006</v>
      </c>
      <c r="C78" s="21" t="n">
        <f aca="false">IFERROR((B78/B77-1)*100,"")</f>
        <v>0.451077954138501</v>
      </c>
      <c r="D78" s="21" t="n">
        <f aca="false">IFERROR((B78/B74-1)*100,"")</f>
        <v>2.46600453145671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142.957037793449</v>
      </c>
      <c r="C79" s="18" t="n">
        <f aca="false">IFERROR((B79/B78-1)*100,"")</f>
        <v>0.880276950886971</v>
      </c>
      <c r="D79" s="18" t="n">
        <f aca="false">IFERROR((B79/B75-1)*100,"")</f>
        <v>1.95648018724262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143.462129492055</v>
      </c>
      <c r="C80" s="21" t="n">
        <f aca="false">IFERROR((B80/B79-1)*100,"")</f>
        <v>0.353317126881514</v>
      </c>
      <c r="D80" s="21" t="n">
        <f aca="false">IFERROR((B80/B76-1)*100,"")</f>
        <v>1.7258150887185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143.838406139418</v>
      </c>
      <c r="C81" s="18" t="n">
        <f aca="false">IFERROR((B81/B80-1)*100,"")</f>
        <v>0.262282909569889</v>
      </c>
      <c r="D81" s="18" t="n">
        <f aca="false">IFERROR((B81/B77-1)*100,"")</f>
        <v>1.96008500664149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144.106148300277</v>
      </c>
      <c r="C82" s="21" t="n">
        <f aca="false">IFERROR((B82/B81-1)*100,"")</f>
        <v>0.186140939714652</v>
      </c>
      <c r="D82" s="21" t="n">
        <f aca="false">IFERROR((B82/B78-1)*100,"")</f>
        <v>1.69116802673217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145.496627715644</v>
      </c>
      <c r="C83" s="18" t="n">
        <f aca="false">IFERROR((B83/B82-1)*100,"")</f>
        <v>0.964899438204636</v>
      </c>
      <c r="D83" s="18" t="n">
        <f aca="false">IFERROR((B83/B79-1)*100,"")</f>
        <v>1.7764707225292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145.30977102163</v>
      </c>
      <c r="C84" s="21" t="n">
        <f aca="false">IFERROR((B84/B83-1)*100,"")</f>
        <v>-0.128426821258687</v>
      </c>
      <c r="D84" s="21" t="n">
        <f aca="false">IFERROR((B84/B80-1)*100,"")</f>
        <v>1.28789495605348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146.717564028874</v>
      </c>
      <c r="C85" s="18" t="n">
        <f aca="false">IFERROR((B85/B84-1)*100,"")</f>
        <v>0.968821984472013</v>
      </c>
      <c r="D85" s="18" t="n">
        <f aca="false">IFERROR((B85/B81-1)*100,"")</f>
        <v>2.00166142460256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146.716766807571</v>
      </c>
      <c r="C86" s="21" t="n">
        <f aca="false">IFERROR((B86/B85-1)*100,"")</f>
        <v>-0.000543371414651883</v>
      </c>
      <c r="D86" s="21" t="n">
        <f aca="false">IFERROR((B86/B82-1)*100,"")</f>
        <v>1.81159411870091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147.97853329638</v>
      </c>
      <c r="C87" s="18" t="n">
        <f aca="false">IFERROR((B87/B86-1)*100,"")</f>
        <v>0.860001563736867</v>
      </c>
      <c r="D87" s="18" t="n">
        <f aca="false">IFERROR((B87/B83-1)*100,"")</f>
        <v>1.70581656750588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149.521332571559</v>
      </c>
      <c r="C88" s="21" t="n">
        <f aca="false">IFERROR((B88/B87-1)*100,"")</f>
        <v>1.04258316447103</v>
      </c>
      <c r="D88" s="21" t="n">
        <f aca="false">IFERROR((B88/B84-1)*100,"")</f>
        <v>2.89833334697216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149.861167169281</v>
      </c>
      <c r="C89" s="18" t="n">
        <f aca="false">IFERROR((B89/B88-1)*100,"")</f>
        <v>0.227281680731961</v>
      </c>
      <c r="D89" s="18" t="n">
        <f aca="false">IFERROR((B89/B85-1)*100,"")</f>
        <v>2.14262222877972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150.472857155832</v>
      </c>
      <c r="C90" s="21" t="n">
        <f aca="false">IFERROR((B90/B89-1)*100,"")</f>
        <v>0.408171108036437</v>
      </c>
      <c r="D90" s="21" t="n">
        <f aca="false">IFERROR((B90/B86-1)*100,"")</f>
        <v>2.56009618395392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152.018952063838</v>
      </c>
      <c r="C91" s="18" t="n">
        <f aca="false">IFERROR((B91/B90-1)*100,"")</f>
        <v>1.02749089585317</v>
      </c>
      <c r="D91" s="18" t="n">
        <f aca="false">IFERROR((B91/B87-1)*100,"")</f>
        <v>2.73040871365162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152.096375763087</v>
      </c>
      <c r="F92" s="13" t="n">
        <v>151.414385195976</v>
      </c>
      <c r="G92" s="22" t="n">
        <f aca="false">153.19226-149.636511</f>
        <v>3.55574899999999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152.857013430334</v>
      </c>
      <c r="F93" s="17" t="n">
        <v>151.925210027864</v>
      </c>
      <c r="G93" s="23" t="n">
        <f aca="false">154.439504-149.410916</f>
        <v>5.02858800000001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153.621455065019</v>
      </c>
      <c r="F94" s="13" t="n">
        <v>152.309058699964</v>
      </c>
      <c r="G94" s="22" t="n">
        <f aca="false">155.388427-149.22969</f>
        <v>6.158737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154.389719690875</v>
      </c>
      <c r="F95" s="17" t="n">
        <v>153.452612639182</v>
      </c>
      <c r="G95" s="23" t="n">
        <f aca="false">157.008361-149.896864</f>
        <v>7.11149700000001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155.161826426774</v>
      </c>
      <c r="F96" s="13" t="n">
        <v>153.136676873631</v>
      </c>
      <c r="G96" s="22" t="n">
        <f aca="false">157.112125-149.161229</f>
        <v>7.950896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155.937794487202</v>
      </c>
      <c r="F97" s="17" t="n">
        <v>153.561387121636</v>
      </c>
      <c r="G97" s="23" t="n">
        <f aca="false">157.916272-149.206502</f>
        <v>8.70976999999999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156.717643182737</v>
      </c>
      <c r="F98" s="13" t="n">
        <v>153.863426939048</v>
      </c>
      <c r="G98" s="22" t="n">
        <f aca="false">158.56724-149.159613</f>
        <v>9.40762699999999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157.501391920528</v>
      </c>
      <c r="F99" s="17" t="n">
        <v>154.929262466311</v>
      </c>
      <c r="G99" s="23" t="n">
        <f aca="false">159.957851-149.900674</f>
        <v>10.057177</v>
      </c>
    </row>
    <row r="102" customFormat="false" ht="21.75" hidden="false" customHeight="true" outlineLevel="0" collapsed="false">
      <c r="A102" s="9" t="s">
        <v>143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108</v>
      </c>
      <c r="B103" s="10" t="s">
        <v>109</v>
      </c>
      <c r="D103" s="5" t="s">
        <v>110</v>
      </c>
      <c r="E103" s="2" t="s">
        <v>131</v>
      </c>
      <c r="H103" s="5" t="s">
        <v>112</v>
      </c>
      <c r="I103" s="2" t="s">
        <v>113</v>
      </c>
    </row>
    <row r="104" customFormat="false" ht="18" hidden="false" customHeight="true" outlineLevel="0" collapsed="false">
      <c r="A104" s="11" t="s">
        <v>114</v>
      </c>
      <c r="B104" s="11"/>
      <c r="C104" s="11"/>
      <c r="D104" s="11"/>
      <c r="E104" s="11"/>
      <c r="F104" s="11"/>
      <c r="G104" s="11"/>
      <c r="I104" s="11" t="s">
        <v>115</v>
      </c>
      <c r="J104" s="11"/>
      <c r="K104" s="11"/>
      <c r="L104" s="11"/>
    </row>
    <row r="105" customFormat="false" ht="15" hidden="false" customHeight="false" outlineLevel="0" collapsed="false">
      <c r="A105" s="6" t="s">
        <v>116</v>
      </c>
      <c r="B105" s="6" t="s">
        <v>117</v>
      </c>
      <c r="C105" s="6" t="s">
        <v>118</v>
      </c>
      <c r="D105" s="6" t="s">
        <v>119</v>
      </c>
      <c r="E105" s="6" t="s">
        <v>120</v>
      </c>
      <c r="F105" s="6" t="s">
        <v>121</v>
      </c>
      <c r="G105" s="6" t="s">
        <v>122</v>
      </c>
      <c r="I105" s="6" t="s">
        <v>123</v>
      </c>
      <c r="J105" s="6" t="s">
        <v>117</v>
      </c>
      <c r="K105" s="6" t="s">
        <v>119</v>
      </c>
      <c r="L105" s="6" t="s">
        <v>124</v>
      </c>
    </row>
    <row r="106" customFormat="false" ht="15" hidden="false" customHeight="false" outlineLevel="0" collapsed="false">
      <c r="A106" s="12" t="n">
        <v>38353</v>
      </c>
      <c r="B106" s="13" t="n">
        <v>99.758194781775</v>
      </c>
      <c r="C106" s="14"/>
      <c r="D106" s="14"/>
      <c r="E106" s="14"/>
      <c r="F106" s="14"/>
      <c r="G106" s="14"/>
      <c r="I106" s="15" t="n">
        <v>2005</v>
      </c>
      <c r="J106" s="13" t="n">
        <v>402.522383966652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100.638442927676</v>
      </c>
      <c r="C107" s="18" t="n">
        <f aca="false">IFERROR((B107/B106-1)*100,"")</f>
        <v>0.882381791116815</v>
      </c>
      <c r="D107" s="19"/>
      <c r="E107" s="19"/>
      <c r="F107" s="19"/>
      <c r="G107" s="19"/>
      <c r="I107" s="20" t="n">
        <v>2006</v>
      </c>
      <c r="J107" s="17" t="n">
        <v>411.785386095261</v>
      </c>
      <c r="K107" s="18" t="n">
        <f aca="false">IFERROR((J107/J106-1)*100,"")</f>
        <v>2.30123901118917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100.491500518169</v>
      </c>
      <c r="C108" s="21" t="n">
        <f aca="false">IFERROR((B108/B107-1)*100,"")</f>
        <v>-0.146010217599046</v>
      </c>
      <c r="D108" s="14"/>
      <c r="E108" s="14"/>
      <c r="F108" s="14"/>
      <c r="G108" s="14"/>
      <c r="I108" s="15" t="n">
        <v>2007</v>
      </c>
      <c r="J108" s="13" t="n">
        <v>419.35061584182</v>
      </c>
      <c r="K108" s="21" t="n">
        <f aca="false">IFERROR((J108/J107-1)*100,"")</f>
        <v>1.8371778120386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101.634245739031</v>
      </c>
      <c r="C109" s="18" t="n">
        <f aca="false">IFERROR((B109/B108-1)*100,"")</f>
        <v>1.13715609277363</v>
      </c>
      <c r="D109" s="19"/>
      <c r="E109" s="19"/>
      <c r="F109" s="19"/>
      <c r="G109" s="19"/>
      <c r="I109" s="20" t="n">
        <v>2008</v>
      </c>
      <c r="J109" s="17" t="n">
        <v>427.172239451235</v>
      </c>
      <c r="K109" s="18" t="n">
        <f aca="false">IFERROR((J109/J108-1)*100,"")</f>
        <v>1.86517518132496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101.600304270866</v>
      </c>
      <c r="C110" s="21" t="n">
        <f aca="false">IFERROR((B110/B109-1)*100,"")</f>
        <v>-0.033395700355221</v>
      </c>
      <c r="D110" s="21" t="n">
        <f aca="false">IFERROR((B110/B106-1)*100,"")</f>
        <v>1.84657460283901</v>
      </c>
      <c r="E110" s="14"/>
      <c r="F110" s="14"/>
      <c r="G110" s="14"/>
      <c r="I110" s="15" t="n">
        <v>2009</v>
      </c>
      <c r="J110" s="13" t="n">
        <v>437.075249788878</v>
      </c>
      <c r="K110" s="21" t="n">
        <f aca="false">IFERROR((J110/J109-1)*100,"")</f>
        <v>2.31827104457083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103.296215607401</v>
      </c>
      <c r="C111" s="18" t="n">
        <f aca="false">IFERROR((B111/B110-1)*100,"")</f>
        <v>1.6691990724891</v>
      </c>
      <c r="D111" s="18" t="n">
        <f aca="false">IFERROR((B111/B107-1)*100,"")</f>
        <v>2.64091196406437</v>
      </c>
      <c r="E111" s="19"/>
      <c r="F111" s="19"/>
      <c r="G111" s="19"/>
      <c r="I111" s="20" t="n">
        <v>2010</v>
      </c>
      <c r="J111" s="17" t="n">
        <v>444.60754671513</v>
      </c>
      <c r="K111" s="18" t="n">
        <f aca="false">IFERROR((J111/J110-1)*100,"")</f>
        <v>1.72334098759666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103.257081095226</v>
      </c>
      <c r="C112" s="21" t="n">
        <f aca="false">IFERROR((B112/B111-1)*100,"")</f>
        <v>-0.0378857172506075</v>
      </c>
      <c r="D112" s="21" t="n">
        <f aca="false">IFERROR((B112/B108-1)*100,"")</f>
        <v>2.75205421632296</v>
      </c>
      <c r="E112" s="14"/>
      <c r="F112" s="14"/>
      <c r="G112" s="14"/>
      <c r="I112" s="15" t="n">
        <v>2011</v>
      </c>
      <c r="J112" s="13" t="n">
        <v>455.13812187219</v>
      </c>
      <c r="K112" s="21" t="n">
        <f aca="false">IFERROR((J112/J111-1)*100,"")</f>
        <v>2.36851021420166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103.631785121768</v>
      </c>
      <c r="C113" s="18" t="n">
        <f aca="false">IFERROR((B113/B112-1)*100,"")</f>
        <v>0.362884581442557</v>
      </c>
      <c r="D113" s="18" t="n">
        <f aca="false">IFERROR((B113/B109-1)*100,"")</f>
        <v>1.96541959672316</v>
      </c>
      <c r="E113" s="19"/>
      <c r="F113" s="19"/>
      <c r="G113" s="19"/>
      <c r="I113" s="20" t="n">
        <v>2012</v>
      </c>
      <c r="J113" s="17" t="n">
        <v>462.775838244465</v>
      </c>
      <c r="K113" s="18" t="n">
        <f aca="false">IFERROR((J113/J112-1)*100,"")</f>
        <v>1.67810956833447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103.973685628009</v>
      </c>
      <c r="C114" s="21" t="n">
        <f aca="false">IFERROR((B114/B113-1)*100,"")</f>
        <v>0.329918572607002</v>
      </c>
      <c r="D114" s="21" t="n">
        <f aca="false">IFERROR((B114/B110-1)*100,"")</f>
        <v>2.3359982769495</v>
      </c>
      <c r="E114" s="14"/>
      <c r="F114" s="14"/>
      <c r="G114" s="14"/>
      <c r="I114" s="15" t="n">
        <v>2013</v>
      </c>
      <c r="J114" s="13" t="n">
        <v>473.245637249174</v>
      </c>
      <c r="K114" s="21" t="n">
        <f aca="false">IFERROR((J114/J113-1)*100,"")</f>
        <v>2.26239101946768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103.986660276744</v>
      </c>
      <c r="C115" s="18" t="n">
        <f aca="false">IFERROR((B115/B114-1)*100,"")</f>
        <v>0.0124787811996319</v>
      </c>
      <c r="D115" s="18" t="n">
        <f aca="false">IFERROR((B115/B111-1)*100,"")</f>
        <v>0.668412356911885</v>
      </c>
      <c r="E115" s="19"/>
      <c r="F115" s="19"/>
      <c r="G115" s="19"/>
      <c r="I115" s="20" t="n">
        <v>2014</v>
      </c>
      <c r="J115" s="17" t="n">
        <v>482.263837074505</v>
      </c>
      <c r="K115" s="18" t="n">
        <f aca="false">IFERROR((J115/J114-1)*100,"")</f>
        <v>1.90560654246088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105.589029099673</v>
      </c>
      <c r="C116" s="21" t="n">
        <f aca="false">IFERROR((B116/B115-1)*100,"")</f>
        <v>1.54093690350796</v>
      </c>
      <c r="D116" s="21" t="n">
        <f aca="false">IFERROR((B116/B112-1)*100,"")</f>
        <v>2.2583903977462</v>
      </c>
      <c r="E116" s="14"/>
      <c r="F116" s="14"/>
      <c r="G116" s="14"/>
      <c r="I116" s="15" t="n">
        <v>2015</v>
      </c>
      <c r="J116" s="13" t="n">
        <v>491.708806564069</v>
      </c>
      <c r="K116" s="21" t="n">
        <f aca="false">IFERROR((J116/J115-1)*100,"")</f>
        <v>1.95846521415735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105.801240837395</v>
      </c>
      <c r="C117" s="18" t="n">
        <f aca="false">IFERROR((B117/B116-1)*100,"")</f>
        <v>0.200978964889598</v>
      </c>
      <c r="D117" s="18" t="n">
        <f aca="false">IFERROR((B117/B113-1)*100,"")</f>
        <v>2.09342694722259</v>
      </c>
      <c r="E117" s="19"/>
      <c r="F117" s="19"/>
      <c r="G117" s="19"/>
      <c r="I117" s="20" t="n">
        <v>2016</v>
      </c>
      <c r="J117" s="17" t="n">
        <v>503.453108773496</v>
      </c>
      <c r="K117" s="18" t="n">
        <f aca="false">IFERROR((J117/J116-1)*100,"")</f>
        <v>2.38846692445736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106.453654355907</v>
      </c>
      <c r="C118" s="21" t="n">
        <f aca="false">IFERROR((B118/B117-1)*100,"")</f>
        <v>0.616640706052762</v>
      </c>
      <c r="D118" s="21" t="n">
        <f aca="false">IFERROR((B118/B114-1)*100,"")</f>
        <v>2.38518882245937</v>
      </c>
      <c r="E118" s="14"/>
      <c r="F118" s="14"/>
      <c r="G118" s="14"/>
      <c r="I118" s="15" t="n">
        <v>2017</v>
      </c>
      <c r="J118" s="13" t="n">
        <v>511.824903471595</v>
      </c>
      <c r="K118" s="21" t="n">
        <f aca="false">IFERROR((J118/J117-1)*100,"")</f>
        <v>1.66287476474098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106.284510977677</v>
      </c>
      <c r="C119" s="18" t="n">
        <f aca="false">IFERROR((B119/B118-1)*100,"")</f>
        <v>-0.158889217334524</v>
      </c>
      <c r="D119" s="18" t="n">
        <f aca="false">IFERROR((B119/B115-1)*100,"")</f>
        <v>2.20975526554863</v>
      </c>
      <c r="E119" s="19"/>
      <c r="F119" s="19"/>
      <c r="G119" s="19"/>
      <c r="I119" s="20" t="n">
        <v>2018</v>
      </c>
      <c r="J119" s="17" t="n">
        <v>522.802220557201</v>
      </c>
      <c r="K119" s="18" t="n">
        <f aca="false">IFERROR((J119/J118-1)*100,"")</f>
        <v>2.14474071330832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106.953978341569</v>
      </c>
      <c r="C120" s="21" t="n">
        <f aca="false">IFERROR((B120/B119-1)*100,"")</f>
        <v>0.62988233914234</v>
      </c>
      <c r="D120" s="21" t="n">
        <f aca="false">IFERROR((B120/B116-1)*100,"")</f>
        <v>1.29269986999068</v>
      </c>
      <c r="E120" s="14"/>
      <c r="F120" s="14"/>
      <c r="G120" s="14"/>
      <c r="I120" s="15" t="n">
        <v>2019</v>
      </c>
      <c r="J120" s="13" t="n">
        <v>530.398242438652</v>
      </c>
      <c r="K120" s="21" t="n">
        <f aca="false">IFERROR((J120/J119-1)*100,"")</f>
        <v>1.45294369127873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107.480095776082</v>
      </c>
      <c r="C121" s="18" t="n">
        <f aca="false">IFERROR((B121/B120-1)*100,"")</f>
        <v>0.491910111873239</v>
      </c>
      <c r="D121" s="18" t="n">
        <f aca="false">IFERROR((B121/B117-1)*100,"")</f>
        <v>1.5868008025232</v>
      </c>
      <c r="E121" s="19"/>
      <c r="F121" s="19"/>
      <c r="G121" s="19"/>
      <c r="I121" s="20" t="n">
        <v>2020</v>
      </c>
      <c r="J121" s="17" t="n">
        <v>544.572880098675</v>
      </c>
      <c r="K121" s="18" t="n">
        <f aca="false">IFERROR((J121/J120-1)*100,"")</f>
        <v>2.67245185331899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108.942553612746</v>
      </c>
      <c r="C122" s="21" t="n">
        <f aca="false">IFERROR((B122/B121-1)*100,"")</f>
        <v>1.36067783165201</v>
      </c>
      <c r="D122" s="21" t="n">
        <f aca="false">IFERROR((B122/B118-1)*100,"")</f>
        <v>2.33801204091815</v>
      </c>
      <c r="E122" s="14"/>
      <c r="F122" s="14"/>
      <c r="G122" s="14"/>
      <c r="I122" s="15" t="n">
        <v>2021</v>
      </c>
      <c r="J122" s="13" t="n">
        <v>554.359272047098</v>
      </c>
      <c r="K122" s="21" t="n">
        <f aca="false">IFERROR((J122/J121-1)*100,"")</f>
        <v>1.79707662758553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108.849815486972</v>
      </c>
      <c r="C123" s="18" t="n">
        <f aca="false">IFERROR((B123/B122-1)*100,"")</f>
        <v>-0.0851257132296057</v>
      </c>
      <c r="D123" s="18" t="n">
        <f aca="false">IFERROR((B123/B119-1)*100,"")</f>
        <v>2.41362027796694</v>
      </c>
      <c r="E123" s="19"/>
      <c r="F123" s="19"/>
      <c r="G123" s="19"/>
      <c r="I123" s="20" t="n">
        <v>2022</v>
      </c>
      <c r="J123" s="17" t="n">
        <v>564.443309945862</v>
      </c>
      <c r="K123" s="18" t="n">
        <f aca="false">IFERROR((J123/J122-1)*100,"")</f>
        <v>1.81904378752911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109.10699508284</v>
      </c>
      <c r="C124" s="21" t="n">
        <f aca="false">IFERROR((B124/B123-1)*100,"")</f>
        <v>0.236270125692761</v>
      </c>
      <c r="D124" s="21" t="n">
        <f aca="false">IFERROR((B124/B120-1)*100,"")</f>
        <v>2.01303100142243</v>
      </c>
      <c r="E124" s="14"/>
      <c r="F124" s="14"/>
      <c r="G124" s="14"/>
      <c r="I124" s="15" t="n">
        <v>2023</v>
      </c>
      <c r="J124" s="13" t="n">
        <v>576.307087213436</v>
      </c>
      <c r="K124" s="21" t="n">
        <f aca="false">IFERROR((J124/J123-1)*100,"")</f>
        <v>2.10185452790861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110.175885606321</v>
      </c>
      <c r="C125" s="18" t="n">
        <f aca="false">IFERROR((B125/B124-1)*100,"")</f>
        <v>0.979671855749986</v>
      </c>
      <c r="D125" s="18" t="n">
        <f aca="false">IFERROR((B125/B121-1)*100,"")</f>
        <v>2.50817587272612</v>
      </c>
      <c r="E125" s="19"/>
      <c r="F125" s="19"/>
      <c r="G125" s="19"/>
      <c r="I125" s="20" t="n">
        <v>2024</v>
      </c>
      <c r="J125" s="17" t="n">
        <v>587.170382433221</v>
      </c>
      <c r="K125" s="18" t="n">
        <f aca="false">IFERROR((J125/J124-1)*100,"")</f>
        <v>1.8849837978413</v>
      </c>
      <c r="L125" s="19"/>
    </row>
    <row r="126" customFormat="false" ht="15" hidden="false" customHeight="false" outlineLevel="0" collapsed="false">
      <c r="A126" s="12" t="n">
        <v>40179</v>
      </c>
      <c r="B126" s="13" t="n">
        <v>111.06608081784</v>
      </c>
      <c r="C126" s="21" t="n">
        <f aca="false">IFERROR((B126/B125-1)*100,"")</f>
        <v>0.807976452034542</v>
      </c>
      <c r="D126" s="21" t="n">
        <f aca="false">IFERROR((B126/B122-1)*100,"")</f>
        <v>1.94921739455745</v>
      </c>
      <c r="E126" s="14"/>
      <c r="F126" s="14"/>
      <c r="G126" s="14"/>
      <c r="I126" s="15" t="n">
        <v>2025</v>
      </c>
      <c r="J126" s="13" t="n">
        <v>599.521685111178</v>
      </c>
      <c r="K126" s="21" t="n">
        <f aca="false">IFERROR((J126/J125-1)*100,"")</f>
        <v>2.1035295797404</v>
      </c>
      <c r="L126" s="14"/>
    </row>
    <row r="127" customFormat="false" ht="15" hidden="false" customHeight="false" outlineLevel="0" collapsed="false">
      <c r="A127" s="16" t="n">
        <v>40269</v>
      </c>
      <c r="B127" s="17" t="n">
        <v>110.573711427723</v>
      </c>
      <c r="C127" s="18" t="n">
        <f aca="false">IFERROR((B127/B126-1)*100,"")</f>
        <v>-0.443312113376038</v>
      </c>
      <c r="D127" s="18" t="n">
        <f aca="false">IFERROR((B127/B123-1)*100,"")</f>
        <v>1.58373804589216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607.118254819037</v>
      </c>
    </row>
    <row r="128" customFormat="false" ht="15" hidden="false" customHeight="false" outlineLevel="0" collapsed="false">
      <c r="A128" s="12" t="n">
        <v>40360</v>
      </c>
      <c r="B128" s="13" t="n">
        <v>111.285456062973</v>
      </c>
      <c r="C128" s="21" t="n">
        <f aca="false">IFERROR((B128/B127-1)*100,"")</f>
        <v>0.643683409067664</v>
      </c>
      <c r="D128" s="21" t="n">
        <f aca="false">IFERROR((B128/B124-1)*100,"")</f>
        <v>1.99662815246611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613.257416658136</v>
      </c>
    </row>
    <row r="129" customFormat="false" ht="15" hidden="false" customHeight="false" outlineLevel="0" collapsed="false">
      <c r="A129" s="16" t="n">
        <v>40452</v>
      </c>
      <c r="B129" s="17" t="n">
        <v>111.682298406594</v>
      </c>
      <c r="C129" s="18" t="n">
        <f aca="false">IFERROR((B129/B128-1)*100,"")</f>
        <v>0.356598568815625</v>
      </c>
      <c r="D129" s="18" t="n">
        <f aca="false">IFERROR((B129/B125-1)*100,"")</f>
        <v>1.36727995602948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112.635652981618</v>
      </c>
      <c r="C130" s="21" t="n">
        <f aca="false">IFERROR((B130/B129-1)*100,"")</f>
        <v>0.853630869552569</v>
      </c>
      <c r="D130" s="21" t="n">
        <f aca="false">IFERROR((B130/B126-1)*100,"")</f>
        <v>1.41318767369882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113.187688266229</v>
      </c>
      <c r="C131" s="18" t="n">
        <f aca="false">IFERROR((B131/B130-1)*100,"")</f>
        <v>0.490107057576861</v>
      </c>
      <c r="D131" s="18" t="n">
        <f aca="false">IFERROR((B131/B127-1)*100,"")</f>
        <v>2.36401293287052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114.084802787041</v>
      </c>
      <c r="C132" s="21" t="n">
        <f aca="false">IFERROR((B132/B131-1)*100,"")</f>
        <v>0.792590196472776</v>
      </c>
      <c r="D132" s="21" t="n">
        <f aca="false">IFERROR((B132/B128-1)*100,"")</f>
        <v>2.5154650240045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115.229977837301</v>
      </c>
      <c r="C133" s="18" t="n">
        <f aca="false">IFERROR((B133/B132-1)*100,"")</f>
        <v>1.00379281226173</v>
      </c>
      <c r="D133" s="18" t="n">
        <f aca="false">IFERROR((B133/B129-1)*100,"")</f>
        <v>3.17658167974928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114.422145305072</v>
      </c>
      <c r="C134" s="21" t="n">
        <f aca="false">IFERROR((B134/B133-1)*100,"")</f>
        <v>-0.701061084441856</v>
      </c>
      <c r="D134" s="21" t="n">
        <f aca="false">IFERROR((B134/B130-1)*100,"")</f>
        <v>1.58608067353732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115.469940133305</v>
      </c>
      <c r="C135" s="18" t="n">
        <f aca="false">IFERROR((B135/B134-1)*100,"")</f>
        <v>0.915727305618219</v>
      </c>
      <c r="D135" s="18" t="n">
        <f aca="false">IFERROR((B135/B131-1)*100,"")</f>
        <v>2.0163428567495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116.26793716169</v>
      </c>
      <c r="C136" s="21" t="n">
        <f aca="false">IFERROR((B136/B135-1)*100,"")</f>
        <v>0.691086379245842</v>
      </c>
      <c r="D136" s="21" t="n">
        <f aca="false">IFERROR((B136/B132-1)*100,"")</f>
        <v>1.91360665164448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116.615815644397</v>
      </c>
      <c r="C137" s="18" t="n">
        <f aca="false">IFERROR((B137/B136-1)*100,"")</f>
        <v>0.299204141055598</v>
      </c>
      <c r="D137" s="18" t="n">
        <f aca="false">IFERROR((B137/B133-1)*100,"")</f>
        <v>1.2026712432883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116.605335052797</v>
      </c>
      <c r="C138" s="21" t="n">
        <f aca="false">IFERROR((B138/B137-1)*100,"")</f>
        <v>-0.00898728147883388</v>
      </c>
      <c r="D138" s="21" t="n">
        <f aca="false">IFERROR((B138/B134-1)*100,"")</f>
        <v>1.90801329751629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118.177972818929</v>
      </c>
      <c r="C139" s="18" t="n">
        <f aca="false">IFERROR((B139/B138-1)*100,"")</f>
        <v>1.34868423080328</v>
      </c>
      <c r="D139" s="18" t="n">
        <f aca="false">IFERROR((B139/B135-1)*100,"")</f>
        <v>2.34522740939989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119.395849148406</v>
      </c>
      <c r="C140" s="21" t="n">
        <f aca="false">IFERROR((B140/B139-1)*100,"")</f>
        <v>1.03054427185234</v>
      </c>
      <c r="D140" s="21" t="n">
        <f aca="false">IFERROR((B140/B136-1)*100,"")</f>
        <v>2.69026187534929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119.066480229042</v>
      </c>
      <c r="C141" s="18" t="n">
        <f aca="false">IFERROR((B141/B140-1)*100,"")</f>
        <v>-0.275862956470208</v>
      </c>
      <c r="D141" s="18" t="n">
        <f aca="false">IFERROR((B141/B137-1)*100,"")</f>
        <v>2.10148560990882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119.959917422314</v>
      </c>
      <c r="C142" s="21" t="n">
        <f aca="false">IFERROR((B142/B141-1)*100,"")</f>
        <v>0.750368358545117</v>
      </c>
      <c r="D142" s="21" t="n">
        <f aca="false">IFERROR((B142/B138-1)*100,"")</f>
        <v>2.87686868529542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119.905754545581</v>
      </c>
      <c r="C143" s="18" t="n">
        <f aca="false">IFERROR((B143/B142-1)*100,"")</f>
        <v>-0.0451508119522326</v>
      </c>
      <c r="D143" s="18" t="n">
        <f aca="false">IFERROR((B143/B139-1)*100,"")</f>
        <v>1.46201672396191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120.883240817494</v>
      </c>
      <c r="C144" s="21" t="n">
        <f aca="false">IFERROR((B144/B143-1)*100,"")</f>
        <v>0.815212143584998</v>
      </c>
      <c r="D144" s="21" t="n">
        <f aca="false">IFERROR((B144/B140-1)*100,"")</f>
        <v>1.24576497398934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121.514924289116</v>
      </c>
      <c r="C145" s="18" t="n">
        <f aca="false">IFERROR((B145/B144-1)*100,"")</f>
        <v>0.522556697975696</v>
      </c>
      <c r="D145" s="18" t="n">
        <f aca="false">IFERROR((B145/B141-1)*100,"")</f>
        <v>2.05636721213514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121.716817163943</v>
      </c>
      <c r="C146" s="21" t="n">
        <f aca="false">IFERROR((B146/B145-1)*100,"")</f>
        <v>0.166146566776404</v>
      </c>
      <c r="D146" s="21" t="n">
        <f aca="false">IFERROR((B146/B142-1)*100,"")</f>
        <v>1.46457231663766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122.863413008001</v>
      </c>
      <c r="C147" s="18" t="n">
        <f aca="false">IFERROR((B147/B146-1)*100,"")</f>
        <v>0.942019246620385</v>
      </c>
      <c r="D147" s="18" t="n">
        <f aca="false">IFERROR((B147/B143-1)*100,"")</f>
        <v>2.46665264200958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123.709919689399</v>
      </c>
      <c r="C148" s="21" t="n">
        <f aca="false">IFERROR((B148/B147-1)*100,"")</f>
        <v>0.688981903297181</v>
      </c>
      <c r="D148" s="21" t="n">
        <f aca="false">IFERROR((B148/B144-1)*100,"")</f>
        <v>2.3383546410485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123.418656702726</v>
      </c>
      <c r="C149" s="18" t="n">
        <f aca="false">IFERROR((B149/B148-1)*100,"")</f>
        <v>-0.235440284339994</v>
      </c>
      <c r="D149" s="18" t="n">
        <f aca="false">IFERROR((B149/B145-1)*100,"")</f>
        <v>1.56666551433702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125.54011354057</v>
      </c>
      <c r="C150" s="21" t="n">
        <f aca="false">IFERROR((B150/B149-1)*100,"")</f>
        <v>1.71891097709351</v>
      </c>
      <c r="D150" s="21" t="n">
        <f aca="false">IFERROR((B150/B146-1)*100,"")</f>
        <v>3.1411406128685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125.711767665231</v>
      </c>
      <c r="C151" s="18" t="n">
        <f aca="false">IFERROR((B151/B150-1)*100,"")</f>
        <v>0.136732491169322</v>
      </c>
      <c r="D151" s="18" t="n">
        <f aca="false">IFERROR((B151/B147-1)*100,"")</f>
        <v>2.31830989185098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126.157547736432</v>
      </c>
      <c r="C152" s="21" t="n">
        <f aca="false">IFERROR((B152/B151-1)*100,"")</f>
        <v>0.354604886623111</v>
      </c>
      <c r="D152" s="21" t="n">
        <f aca="false">IFERROR((B152/B148-1)*100,"")</f>
        <v>1.978522056419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126.043679831262</v>
      </c>
      <c r="C153" s="18" t="n">
        <f aca="false">IFERROR((B153/B152-1)*100,"")</f>
        <v>-0.0902584959944663</v>
      </c>
      <c r="D153" s="18" t="n">
        <f aca="false">IFERROR((B153/B149-1)*100,"")</f>
        <v>2.12692570043029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126.778669709643</v>
      </c>
      <c r="C154" s="21" t="n">
        <f aca="false">IFERROR((B154/B153-1)*100,"")</f>
        <v>0.583123151724263</v>
      </c>
      <c r="D154" s="21" t="n">
        <f aca="false">IFERROR((B154/B150-1)*100,"")</f>
        <v>0.986582004860659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127.379770442047</v>
      </c>
      <c r="C155" s="18" t="n">
        <f aca="false">IFERROR((B155/B154-1)*100,"")</f>
        <v>0.474133964159806</v>
      </c>
      <c r="D155" s="18" t="n">
        <f aca="false">IFERROR((B155/B151-1)*100,"")</f>
        <v>1.32684696730807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128.819104354721</v>
      </c>
      <c r="C156" s="21" t="n">
        <f aca="false">IFERROR((B156/B155-1)*100,"")</f>
        <v>1.12995486463798</v>
      </c>
      <c r="D156" s="21" t="n">
        <f aca="false">IFERROR((B156/B152-1)*100,"")</f>
        <v>2.1097085874318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128.847358965183</v>
      </c>
      <c r="C157" s="18" t="n">
        <f aca="false">IFERROR((B157/B156-1)*100,"")</f>
        <v>0.0219335560539768</v>
      </c>
      <c r="D157" s="18" t="n">
        <f aca="false">IFERROR((B157/B153-1)*100,"")</f>
        <v>2.22437105745765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130.011451248317</v>
      </c>
      <c r="C158" s="21" t="n">
        <f aca="false">IFERROR((B158/B157-1)*100,"")</f>
        <v>0.903466157539068</v>
      </c>
      <c r="D158" s="21" t="n">
        <f aca="false">IFERROR((B158/B154-1)*100,"")</f>
        <v>2.54994120547023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129.673051968998</v>
      </c>
      <c r="C159" s="18" t="n">
        <f aca="false">IFERROR((B159/B158-1)*100,"")</f>
        <v>-0.260284210405337</v>
      </c>
      <c r="D159" s="18" t="n">
        <f aca="false">IFERROR((B159/B155-1)*100,"")</f>
        <v>1.8003498663824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131.357670062376</v>
      </c>
      <c r="C160" s="21" t="n">
        <f aca="false">IFERROR((B160/B159-1)*100,"")</f>
        <v>1.29912735745594</v>
      </c>
      <c r="D160" s="21" t="n">
        <f aca="false">IFERROR((B160/B156-1)*100,"")</f>
        <v>1.97064381123471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131.76004727751</v>
      </c>
      <c r="C161" s="18" t="n">
        <f aca="false">IFERROR((B161/B160-1)*100,"")</f>
        <v>0.306321827224654</v>
      </c>
      <c r="D161" s="18" t="n">
        <f aca="false">IFERROR((B161/B157-1)*100,"")</f>
        <v>2.26057277054028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131.661748714638</v>
      </c>
      <c r="C162" s="21" t="n">
        <f aca="false">IFERROR((B162/B161-1)*100,"")</f>
        <v>-0.0746042255625246</v>
      </c>
      <c r="D162" s="21" t="n">
        <f aca="false">IFERROR((B162/B158-1)*100,"")</f>
        <v>1.26934777704291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131.968574473842</v>
      </c>
      <c r="C163" s="18" t="n">
        <f aca="false">IFERROR((B163/B162-1)*100,"")</f>
        <v>0.233040926616135</v>
      </c>
      <c r="D163" s="18" t="n">
        <f aca="false">IFERROR((B163/B159-1)*100,"")</f>
        <v>1.77023866561907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132.930854836943</v>
      </c>
      <c r="C164" s="21" t="n">
        <f aca="false">IFERROR((B164/B163-1)*100,"")</f>
        <v>0.729173871080979</v>
      </c>
      <c r="D164" s="21" t="n">
        <f aca="false">IFERROR((B164/B160-1)*100,"")</f>
        <v>1.19763449962265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133.837064413229</v>
      </c>
      <c r="C165" s="18" t="n">
        <f aca="false">IFERROR((B165/B164-1)*100,"")</f>
        <v>0.68171499942371</v>
      </c>
      <c r="D165" s="18" t="n">
        <f aca="false">IFERROR((B165/B161-1)*100,"")</f>
        <v>1.57636338073233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135.203476877517</v>
      </c>
      <c r="C166" s="21" t="n">
        <f aca="false">IFERROR((B166/B165-1)*100,"")</f>
        <v>1.02095220802911</v>
      </c>
      <c r="D166" s="21" t="n">
        <f aca="false">IFERROR((B166/B162-1)*100,"")</f>
        <v>2.69002060010228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135.652046499082</v>
      </c>
      <c r="C167" s="18" t="n">
        <f aca="false">IFERROR((B167/B166-1)*100,"")</f>
        <v>0.331773732395635</v>
      </c>
      <c r="D167" s="18" t="n">
        <f aca="false">IFERROR((B167/B163-1)*100,"")</f>
        <v>2.79117361078294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136.534127938442</v>
      </c>
      <c r="C168" s="21" t="n">
        <f aca="false">IFERROR((B168/B167-1)*100,"")</f>
        <v>0.650252953880481</v>
      </c>
      <c r="D168" s="21" t="n">
        <f aca="false">IFERROR((B168/B164-1)*100,"")</f>
        <v>2.71063712478077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137.183228783634</v>
      </c>
      <c r="C169" s="18" t="n">
        <f aca="false">IFERROR((B169/B168-1)*100,"")</f>
        <v>0.475412891262716</v>
      </c>
      <c r="D169" s="18" t="n">
        <f aca="false">IFERROR((B169/B165-1)*100,"")</f>
        <v>2.50017764890156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138.037931062088</v>
      </c>
      <c r="C170" s="21" t="n">
        <f aca="false">IFERROR((B170/B169-1)*100,"")</f>
        <v>0.623037003890414</v>
      </c>
      <c r="D170" s="21" t="n">
        <f aca="false">IFERROR((B170/B166-1)*100,"")</f>
        <v>2.09643586839026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137.916368006487</v>
      </c>
      <c r="C171" s="18" t="n">
        <f aca="false">IFERROR((B171/B170-1)*100,"")</f>
        <v>-0.0880649649455556</v>
      </c>
      <c r="D171" s="18" t="n">
        <f aca="false">IFERROR((B171/B167-1)*100,"")</f>
        <v>1.66921293547879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138.803920663534</v>
      </c>
      <c r="C172" s="21" t="n">
        <f aca="false">IFERROR((B172/B171-1)*100,"")</f>
        <v>0.64354410566132</v>
      </c>
      <c r="D172" s="21" t="n">
        <f aca="false">IFERROR((B172/B168-1)*100,"")</f>
        <v>1.66243616842527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139.601052314989</v>
      </c>
      <c r="C173" s="18" t="n">
        <f aca="false">IFERROR((B173/B172-1)*100,"")</f>
        <v>0.574286120769374</v>
      </c>
      <c r="D173" s="18" t="n">
        <f aca="false">IFERROR((B173/B169-1)*100,"")</f>
        <v>1.76247749290694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140.347610858114</v>
      </c>
      <c r="C174" s="21" t="n">
        <f aca="false">IFERROR((B174/B173-1)*100,"")</f>
        <v>0.534780025468939</v>
      </c>
      <c r="D174" s="21" t="n">
        <f aca="false">IFERROR((B174/B170-1)*100,"")</f>
        <v>1.6732211054272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140.296081113171</v>
      </c>
      <c r="C175" s="18" t="n">
        <f aca="false">IFERROR((B175/B174-1)*100,"")</f>
        <v>-0.0367157977451349</v>
      </c>
      <c r="D175" s="18" t="n">
        <f aca="false">IFERROR((B175/B171-1)*100,"")</f>
        <v>1.72547547552337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141.30807062685</v>
      </c>
      <c r="C176" s="21" t="n">
        <f aca="false">IFERROR((B176/B175-1)*100,"")</f>
        <v>0.721324149363078</v>
      </c>
      <c r="D176" s="21" t="n">
        <f aca="false">IFERROR((B176/B172-1)*100,"")</f>
        <v>1.80409166495092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142.491547347727</v>
      </c>
      <c r="C177" s="18" t="n">
        <f aca="false">IFERROR((B177/B176-1)*100,"")</f>
        <v>0.837515306540126</v>
      </c>
      <c r="D177" s="18" t="n">
        <f aca="false">IFERROR((B177/B173-1)*100,"")</f>
        <v>2.07053957316592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143.571753092764</v>
      </c>
      <c r="C178" s="21" t="n">
        <f aca="false">IFERROR((B178/B177-1)*100,"")</f>
        <v>0.758084086490518</v>
      </c>
      <c r="D178" s="21" t="n">
        <f aca="false">IFERROR((B178/B174-1)*100,"")</f>
        <v>2.29725480536296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143.675607665014</v>
      </c>
      <c r="C179" s="18" t="n">
        <f aca="false">IFERROR((B179/B178-1)*100,"")</f>
        <v>0.0723363544798295</v>
      </c>
      <c r="D179" s="18" t="n">
        <f aca="false">IFERROR((B179/B175-1)*100,"")</f>
        <v>2.40885313761323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144.161344281826</v>
      </c>
      <c r="C180" s="21" t="n">
        <f aca="false">IFERROR((B180/B179-1)*100,"")</f>
        <v>0.338078693179633</v>
      </c>
      <c r="D180" s="21" t="n">
        <f aca="false">IFERROR((B180/B176-1)*100,"")</f>
        <v>2.01918661992779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144.898382173833</v>
      </c>
      <c r="C181" s="18" t="n">
        <f aca="false">IFERROR((B181/B180-1)*100,"")</f>
        <v>0.511259031107425</v>
      </c>
      <c r="D181" s="18" t="n">
        <f aca="false">IFERROR((B181/B177-1)*100,"")</f>
        <v>1.68910708803822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146.18681023601</v>
      </c>
      <c r="C182" s="21" t="n">
        <f aca="false">IFERROR((B182/B181-1)*100,"")</f>
        <v>0.889194235882851</v>
      </c>
      <c r="D182" s="21" t="n">
        <f aca="false">IFERROR((B182/B178-1)*100,"")</f>
        <v>1.82142871902955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146.014717869493</v>
      </c>
      <c r="C183" s="18" t="n">
        <f aca="false">IFERROR((B183/B182-1)*100,"")</f>
        <v>-0.117720857469061</v>
      </c>
      <c r="D183" s="18" t="n">
        <f aca="false">IFERROR((B183/B179-1)*100,"")</f>
        <v>1.62804963382019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146.913472582403</v>
      </c>
      <c r="C184" s="21" t="n">
        <f aca="false">IFERROR((B184/B183-1)*100,"")</f>
        <v>0.615523370536431</v>
      </c>
      <c r="D184" s="21" t="n">
        <f aca="false">IFERROR((B184/B180-1)*100,"")</f>
        <v>1.90906120797318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148.055381745315</v>
      </c>
      <c r="C185" s="18" t="n">
        <f aca="false">IFERROR((B185/B184-1)*100,"")</f>
        <v>0.777266470419602</v>
      </c>
      <c r="D185" s="18" t="n">
        <f aca="false">IFERROR((B185/B181-1)*100,"")</f>
        <v>2.17876799182961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148.937546105832</v>
      </c>
      <c r="C186" s="21" t="n">
        <f aca="false">IFERROR((B186/B185-1)*100,"")</f>
        <v>0.595834038666765</v>
      </c>
      <c r="D186" s="21" t="n">
        <f aca="false">IFERROR((B186/B182-1)*100,"")</f>
        <v>1.88165804109202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149.464865541465</v>
      </c>
      <c r="C187" s="18" t="n">
        <f aca="false">IFERROR((B187/B186-1)*100,"")</f>
        <v>0.354054064553</v>
      </c>
      <c r="D187" s="18" t="n">
        <f aca="false">IFERROR((B187/B183-1)*100,"")</f>
        <v>2.36287664854113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149.543645844004</v>
      </c>
      <c r="C188" s="21" t="n">
        <f aca="false">IFERROR((B188/B187-1)*100,"")</f>
        <v>0.052708241668431</v>
      </c>
      <c r="D188" s="21" t="n">
        <f aca="false">IFERROR((B188/B184-1)*100,"")</f>
        <v>1.79028731359248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151.575627619878</v>
      </c>
      <c r="C189" s="18" t="n">
        <f aca="false">IFERROR((B189/B188-1)*100,"")</f>
        <v>1.35878844226807</v>
      </c>
      <c r="D189" s="18" t="n">
        <f aca="false">IFERROR((B189/B185-1)*100,"")</f>
        <v>2.37765478908356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151.592052725288</v>
      </c>
      <c r="F190" s="13" t="n">
        <v>151.257044082754</v>
      </c>
      <c r="G190" s="22" t="n">
        <f aca="false">152.283505-150.230584</f>
        <v>2.052921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152.334067523009</v>
      </c>
      <c r="F191" s="17" t="n">
        <v>151.270799791448</v>
      </c>
      <c r="G191" s="23" t="n">
        <f aca="false">152.722434-149.819165</f>
        <v>2.90326899999999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153.079714344639</v>
      </c>
      <c r="F192" s="13" t="n">
        <v>151.93847285782</v>
      </c>
      <c r="G192" s="22" t="n">
        <f aca="false">153.716355-150.160591</f>
        <v>3.55576399999998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153.829010968258</v>
      </c>
      <c r="F193" s="17" t="n">
        <v>152.651938087014</v>
      </c>
      <c r="G193" s="23" t="n">
        <f aca="false">154.704859-150.599017</f>
        <v>4.105842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154.581975258965</v>
      </c>
      <c r="F194" s="13" t="n">
        <v>152.911860441553</v>
      </c>
      <c r="G194" s="22" t="n">
        <f aca="false">155.207096-150.616625</f>
        <v>4.59047100000001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155.338625169306</v>
      </c>
      <c r="F195" s="17" t="n">
        <v>152.842875332307</v>
      </c>
      <c r="G195" s="23" t="n">
        <f aca="false">155.35718-150.328571</f>
        <v>5.02860899999999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156.098978739701</v>
      </c>
      <c r="F196" s="13" t="n">
        <v>153.431944621636</v>
      </c>
      <c r="G196" s="22" t="n">
        <f aca="false">156.147704-150.716185</f>
        <v>5.43151900000001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156.863054098874</v>
      </c>
      <c r="F197" s="17" t="n">
        <v>154.07073626264</v>
      </c>
      <c r="G197" s="23" t="n">
        <f aca="false">156.974005-151.167467</f>
        <v>5.80653800000002</v>
      </c>
    </row>
    <row r="200" customFormat="false" ht="21.75" hidden="false" customHeight="true" outlineLevel="0" collapsed="false">
      <c r="A200" s="9" t="s">
        <v>144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customFormat="false" ht="15" hidden="false" customHeight="false" outlineLevel="0" collapsed="false">
      <c r="A201" s="5" t="s">
        <v>108</v>
      </c>
      <c r="B201" s="10" t="s">
        <v>109</v>
      </c>
      <c r="D201" s="5" t="s">
        <v>110</v>
      </c>
      <c r="E201" s="2" t="s">
        <v>133</v>
      </c>
      <c r="H201" s="5" t="s">
        <v>112</v>
      </c>
      <c r="I201" s="2" t="s">
        <v>113</v>
      </c>
    </row>
    <row r="202" customFormat="false" ht="18" hidden="false" customHeight="true" outlineLevel="0" collapsed="false">
      <c r="A202" s="11" t="s">
        <v>114</v>
      </c>
      <c r="B202" s="11"/>
      <c r="C202" s="11"/>
      <c r="D202" s="11"/>
      <c r="E202" s="11"/>
      <c r="F202" s="11"/>
      <c r="G202" s="11"/>
      <c r="I202" s="11" t="s">
        <v>115</v>
      </c>
      <c r="J202" s="11"/>
      <c r="K202" s="11"/>
      <c r="L202" s="11"/>
    </row>
    <row r="203" customFormat="false" ht="15" hidden="false" customHeight="false" outlineLevel="0" collapsed="false">
      <c r="A203" s="6" t="s">
        <v>116</v>
      </c>
      <c r="B203" s="6" t="s">
        <v>117</v>
      </c>
      <c r="C203" s="6" t="s">
        <v>118</v>
      </c>
      <c r="D203" s="6" t="s">
        <v>119</v>
      </c>
      <c r="E203" s="6" t="s">
        <v>120</v>
      </c>
      <c r="F203" s="6" t="s">
        <v>121</v>
      </c>
      <c r="G203" s="6" t="s">
        <v>122</v>
      </c>
      <c r="I203" s="6" t="s">
        <v>123</v>
      </c>
      <c r="J203" s="6" t="s">
        <v>117</v>
      </c>
      <c r="K203" s="6" t="s">
        <v>119</v>
      </c>
      <c r="L203" s="6" t="s">
        <v>124</v>
      </c>
    </row>
    <row r="204" customFormat="false" ht="15" hidden="false" customHeight="false" outlineLevel="0" collapsed="false">
      <c r="A204" s="12" t="n">
        <v>38353</v>
      </c>
      <c r="B204" s="13" t="n">
        <v>99.9728755411891</v>
      </c>
      <c r="C204" s="14"/>
      <c r="D204" s="14"/>
      <c r="E204" s="14"/>
      <c r="F204" s="14"/>
      <c r="G204" s="14"/>
      <c r="I204" s="15" t="n">
        <v>2005</v>
      </c>
      <c r="J204" s="13" t="n">
        <v>401.154799469073</v>
      </c>
      <c r="K204" s="14"/>
      <c r="L204" s="14"/>
    </row>
    <row r="205" customFormat="false" ht="15" hidden="false" customHeight="false" outlineLevel="0" collapsed="false">
      <c r="A205" s="16" t="n">
        <v>38443</v>
      </c>
      <c r="B205" s="17" t="n">
        <v>99.2244055543828</v>
      </c>
      <c r="C205" s="18" t="n">
        <f aca="false">IFERROR((B205/B204-1)*100,"")</f>
        <v>-0.748673060322158</v>
      </c>
      <c r="D205" s="19"/>
      <c r="E205" s="19"/>
      <c r="F205" s="19"/>
      <c r="G205" s="19"/>
      <c r="I205" s="20" t="n">
        <v>2006</v>
      </c>
      <c r="J205" s="17" t="n">
        <v>411.393838479945</v>
      </c>
      <c r="K205" s="18" t="n">
        <f aca="false">IFERROR((J205/J204-1)*100,"")</f>
        <v>2.55239100327946</v>
      </c>
      <c r="L205" s="19"/>
    </row>
    <row r="206" customFormat="false" ht="15" hidden="false" customHeight="false" outlineLevel="0" collapsed="false">
      <c r="A206" s="12" t="n">
        <v>38534</v>
      </c>
      <c r="B206" s="13" t="n">
        <v>100.592142112693</v>
      </c>
      <c r="C206" s="21" t="n">
        <f aca="false">IFERROR((B206/B205-1)*100,"")</f>
        <v>1.37842756594855</v>
      </c>
      <c r="D206" s="14"/>
      <c r="E206" s="14"/>
      <c r="F206" s="14"/>
      <c r="G206" s="14"/>
      <c r="I206" s="15" t="n">
        <v>2007</v>
      </c>
      <c r="J206" s="13" t="n">
        <v>419.19313424642</v>
      </c>
      <c r="K206" s="21" t="n">
        <f aca="false">IFERROR((J206/J205-1)*100,"")</f>
        <v>1.89582221145854</v>
      </c>
      <c r="L206" s="14"/>
    </row>
    <row r="207" customFormat="false" ht="15" hidden="false" customHeight="false" outlineLevel="0" collapsed="false">
      <c r="A207" s="16" t="n">
        <v>38626</v>
      </c>
      <c r="B207" s="17" t="n">
        <v>101.365376260808</v>
      </c>
      <c r="C207" s="18" t="n">
        <f aca="false">IFERROR((B207/B206-1)*100,"")</f>
        <v>0.768682455582415</v>
      </c>
      <c r="D207" s="19"/>
      <c r="E207" s="19"/>
      <c r="F207" s="19"/>
      <c r="G207" s="19"/>
      <c r="I207" s="20" t="n">
        <v>2008</v>
      </c>
      <c r="J207" s="17" t="n">
        <v>425.961537083258</v>
      </c>
      <c r="K207" s="18" t="n">
        <f aca="false">IFERROR((J207/J206-1)*100,"")</f>
        <v>1.61462635808802</v>
      </c>
      <c r="L207" s="19"/>
    </row>
    <row r="208" customFormat="false" ht="15" hidden="false" customHeight="false" outlineLevel="0" collapsed="false">
      <c r="A208" s="12" t="n">
        <v>38718</v>
      </c>
      <c r="B208" s="13" t="n">
        <v>101.995207120289</v>
      </c>
      <c r="C208" s="21" t="n">
        <f aca="false">IFERROR((B208/B207-1)*100,"")</f>
        <v>0.62134713322699</v>
      </c>
      <c r="D208" s="21" t="n">
        <f aca="false">IFERROR((B208/B204-1)*100,"")</f>
        <v>2.02288027442683</v>
      </c>
      <c r="E208" s="14"/>
      <c r="F208" s="14"/>
      <c r="G208" s="14"/>
      <c r="I208" s="15" t="n">
        <v>2009</v>
      </c>
      <c r="J208" s="13" t="n">
        <v>435.70719234439</v>
      </c>
      <c r="K208" s="21" t="n">
        <f aca="false">IFERROR((J208/J207-1)*100,"")</f>
        <v>2.28791907547921</v>
      </c>
      <c r="L208" s="14"/>
    </row>
    <row r="209" customFormat="false" ht="15" hidden="false" customHeight="false" outlineLevel="0" collapsed="false">
      <c r="A209" s="16" t="n">
        <v>38808</v>
      </c>
      <c r="B209" s="17" t="n">
        <v>102.250606809259</v>
      </c>
      <c r="C209" s="18" t="n">
        <f aca="false">IFERROR((B209/B208-1)*100,"")</f>
        <v>0.250403618150985</v>
      </c>
      <c r="D209" s="18" t="n">
        <f aca="false">IFERROR((B209/B205-1)*100,"")</f>
        <v>3.04985576680275</v>
      </c>
      <c r="E209" s="19"/>
      <c r="F209" s="19"/>
      <c r="G209" s="19"/>
      <c r="I209" s="20" t="n">
        <v>2010</v>
      </c>
      <c r="J209" s="17" t="n">
        <v>446.621180042369</v>
      </c>
      <c r="K209" s="18" t="n">
        <f aca="false">IFERROR((J209/J208-1)*100,"")</f>
        <v>2.50489041488031</v>
      </c>
      <c r="L209" s="19"/>
    </row>
    <row r="210" customFormat="false" ht="15" hidden="false" customHeight="false" outlineLevel="0" collapsed="false">
      <c r="A210" s="12" t="n">
        <v>38899</v>
      </c>
      <c r="B210" s="13" t="n">
        <v>102.868946661817</v>
      </c>
      <c r="C210" s="21" t="n">
        <f aca="false">IFERROR((B210/B209-1)*100,"")</f>
        <v>0.60472976332675</v>
      </c>
      <c r="D210" s="21" t="n">
        <f aca="false">IFERROR((B210/B206-1)*100,"")</f>
        <v>2.26340199274513</v>
      </c>
      <c r="E210" s="14"/>
      <c r="F210" s="14"/>
      <c r="G210" s="14"/>
      <c r="I210" s="15" t="n">
        <v>2011</v>
      </c>
      <c r="J210" s="13" t="n">
        <v>453.814499185569</v>
      </c>
      <c r="K210" s="21" t="n">
        <f aca="false">IFERROR((J210/J209-1)*100,"")</f>
        <v>1.61060860179485</v>
      </c>
      <c r="L210" s="14"/>
    </row>
    <row r="211" customFormat="false" ht="15" hidden="false" customHeight="false" outlineLevel="0" collapsed="false">
      <c r="A211" s="16" t="n">
        <v>38991</v>
      </c>
      <c r="B211" s="17" t="n">
        <v>104.279077888581</v>
      </c>
      <c r="C211" s="18" t="n">
        <f aca="false">IFERROR((B211/B210-1)*100,"")</f>
        <v>1.37080360256787</v>
      </c>
      <c r="D211" s="18" t="n">
        <f aca="false">IFERROR((B211/B207-1)*100,"")</f>
        <v>2.8744545082888</v>
      </c>
      <c r="E211" s="19"/>
      <c r="F211" s="19"/>
      <c r="G211" s="19"/>
      <c r="I211" s="20" t="n">
        <v>2012</v>
      </c>
      <c r="J211" s="17" t="n">
        <v>464.473427791813</v>
      </c>
      <c r="K211" s="18" t="n">
        <f aca="false">IFERROR((J211/J210-1)*100,"")</f>
        <v>2.34874130848015</v>
      </c>
      <c r="L211" s="19"/>
    </row>
    <row r="212" customFormat="false" ht="15" hidden="false" customHeight="false" outlineLevel="0" collapsed="false">
      <c r="A212" s="12" t="n">
        <v>39083</v>
      </c>
      <c r="B212" s="13" t="n">
        <v>103.698850789514</v>
      </c>
      <c r="C212" s="21" t="n">
        <f aca="false">IFERROR((B212/B211-1)*100,"")</f>
        <v>-0.556417558359079</v>
      </c>
      <c r="D212" s="21" t="n">
        <f aca="false">IFERROR((B212/B208-1)*100,"")</f>
        <v>1.67031737796777</v>
      </c>
      <c r="E212" s="14"/>
      <c r="F212" s="14"/>
      <c r="G212" s="14"/>
      <c r="I212" s="15" t="n">
        <v>2013</v>
      </c>
      <c r="J212" s="13" t="n">
        <v>471.186054745134</v>
      </c>
      <c r="K212" s="21" t="n">
        <f aca="false">IFERROR((J212/J211-1)*100,"")</f>
        <v>1.44521226655183</v>
      </c>
      <c r="L212" s="14"/>
    </row>
    <row r="213" customFormat="false" ht="15" hidden="false" customHeight="false" outlineLevel="0" collapsed="false">
      <c r="A213" s="16" t="n">
        <v>39173</v>
      </c>
      <c r="B213" s="17" t="n">
        <v>104.920791844775</v>
      </c>
      <c r="C213" s="18" t="n">
        <f aca="false">IFERROR((B213/B212-1)*100,"")</f>
        <v>1.17835544556031</v>
      </c>
      <c r="D213" s="18" t="n">
        <f aca="false">IFERROR((B213/B209-1)*100,"")</f>
        <v>2.61141240999903</v>
      </c>
      <c r="E213" s="19"/>
      <c r="F213" s="19"/>
      <c r="G213" s="19"/>
      <c r="I213" s="20" t="n">
        <v>2014</v>
      </c>
      <c r="J213" s="17" t="n">
        <v>481.317698042673</v>
      </c>
      <c r="K213" s="18" t="n">
        <f aca="false">IFERROR((J213/J212-1)*100,"")</f>
        <v>2.15024260491308</v>
      </c>
      <c r="L213" s="19"/>
    </row>
    <row r="214" customFormat="false" ht="15" hidden="false" customHeight="false" outlineLevel="0" collapsed="false">
      <c r="A214" s="12" t="n">
        <v>39264</v>
      </c>
      <c r="B214" s="13" t="n">
        <v>105.167430508061</v>
      </c>
      <c r="C214" s="21" t="n">
        <f aca="false">IFERROR((B214/B213-1)*100,"")</f>
        <v>0.235071294210876</v>
      </c>
      <c r="D214" s="21" t="n">
        <f aca="false">IFERROR((B214/B210-1)*100,"")</f>
        <v>2.23438065697379</v>
      </c>
      <c r="E214" s="14"/>
      <c r="F214" s="14"/>
      <c r="G214" s="14"/>
      <c r="I214" s="15" t="n">
        <v>2015</v>
      </c>
      <c r="J214" s="13" t="n">
        <v>492.834318455858</v>
      </c>
      <c r="K214" s="21" t="n">
        <f aca="false">IFERROR((J214/J213-1)*100,"")</f>
        <v>2.39272739398924</v>
      </c>
      <c r="L214" s="14"/>
    </row>
    <row r="215" customFormat="false" ht="15" hidden="false" customHeight="false" outlineLevel="0" collapsed="false">
      <c r="A215" s="16" t="n">
        <v>39356</v>
      </c>
      <c r="B215" s="17" t="n">
        <v>105.40606110407</v>
      </c>
      <c r="C215" s="18" t="n">
        <f aca="false">IFERROR((B215/B214-1)*100,"")</f>
        <v>0.226905416302725</v>
      </c>
      <c r="D215" s="18" t="n">
        <f aca="false">IFERROR((B215/B211-1)*100,"")</f>
        <v>1.08073761132972</v>
      </c>
      <c r="E215" s="19"/>
      <c r="F215" s="19"/>
      <c r="G215" s="19"/>
      <c r="I215" s="20" t="n">
        <v>2016</v>
      </c>
      <c r="J215" s="17" t="n">
        <v>500.201619291889</v>
      </c>
      <c r="K215" s="18" t="n">
        <f aca="false">IFERROR((J215/J214-1)*100,"")</f>
        <v>1.49488389102319</v>
      </c>
      <c r="L215" s="19"/>
    </row>
    <row r="216" customFormat="false" ht="15" hidden="false" customHeight="false" outlineLevel="0" collapsed="false">
      <c r="A216" s="12" t="n">
        <v>39448</v>
      </c>
      <c r="B216" s="13" t="n">
        <v>105.905594461092</v>
      </c>
      <c r="C216" s="21" t="n">
        <f aca="false">IFERROR((B216/B215-1)*100,"")</f>
        <v>0.473913313702901</v>
      </c>
      <c r="D216" s="21" t="n">
        <f aca="false">IFERROR((B216/B212-1)*100,"")</f>
        <v>2.12803098084271</v>
      </c>
      <c r="E216" s="14"/>
      <c r="F216" s="14"/>
      <c r="G216" s="14"/>
      <c r="I216" s="15" t="n">
        <v>2017</v>
      </c>
      <c r="J216" s="13" t="n">
        <v>512.856568524483</v>
      </c>
      <c r="K216" s="21" t="n">
        <f aca="false">IFERROR((J216/J215-1)*100,"")</f>
        <v>2.52996966513415</v>
      </c>
      <c r="L216" s="14"/>
    </row>
    <row r="217" customFormat="false" ht="15" hidden="false" customHeight="false" outlineLevel="0" collapsed="false">
      <c r="A217" s="16" t="n">
        <v>39539</v>
      </c>
      <c r="B217" s="17" t="n">
        <v>106.443785725106</v>
      </c>
      <c r="C217" s="18" t="n">
        <f aca="false">IFERROR((B217/B216-1)*100,"")</f>
        <v>0.508180202143449</v>
      </c>
      <c r="D217" s="18" t="n">
        <f aca="false">IFERROR((B217/B213-1)*100,"")</f>
        <v>1.4515653699829</v>
      </c>
      <c r="E217" s="19"/>
      <c r="F217" s="19"/>
      <c r="G217" s="19"/>
      <c r="I217" s="20" t="n">
        <v>2018</v>
      </c>
      <c r="J217" s="17" t="n">
        <v>522.512911174073</v>
      </c>
      <c r="K217" s="18" t="n">
        <f aca="false">IFERROR((J217/J216-1)*100,"")</f>
        <v>1.88285443576774</v>
      </c>
      <c r="L217" s="19"/>
    </row>
    <row r="218" customFormat="false" ht="15" hidden="false" customHeight="false" outlineLevel="0" collapsed="false">
      <c r="A218" s="12" t="n">
        <v>39630</v>
      </c>
      <c r="B218" s="13" t="n">
        <v>106.600944396216</v>
      </c>
      <c r="C218" s="21" t="n">
        <f aca="false">IFERROR((B218/B217-1)*100,"")</f>
        <v>0.147644759193333</v>
      </c>
      <c r="D218" s="21" t="n">
        <f aca="false">IFERROR((B218/B214-1)*100,"")</f>
        <v>1.36307779055704</v>
      </c>
      <c r="E218" s="14"/>
      <c r="F218" s="14"/>
      <c r="G218" s="14"/>
      <c r="I218" s="15" t="n">
        <v>2019</v>
      </c>
      <c r="J218" s="13" t="n">
        <v>532.706458043608</v>
      </c>
      <c r="K218" s="21" t="n">
        <f aca="false">IFERROR((J218/J217-1)*100,"")</f>
        <v>1.95086985441777</v>
      </c>
      <c r="L218" s="14"/>
    </row>
    <row r="219" customFormat="false" ht="15" hidden="false" customHeight="false" outlineLevel="0" collapsed="false">
      <c r="A219" s="16" t="n">
        <v>39722</v>
      </c>
      <c r="B219" s="17" t="n">
        <v>107.011212500844</v>
      </c>
      <c r="C219" s="18" t="n">
        <f aca="false">IFERROR((B219/B218-1)*100,"")</f>
        <v>0.384863480292652</v>
      </c>
      <c r="D219" s="18" t="n">
        <f aca="false">IFERROR((B219/B215-1)*100,"")</f>
        <v>1.52282646743529</v>
      </c>
      <c r="E219" s="19"/>
      <c r="F219" s="19"/>
      <c r="G219" s="19"/>
      <c r="I219" s="20" t="n">
        <v>2020</v>
      </c>
      <c r="J219" s="17" t="n">
        <v>543.219616222775</v>
      </c>
      <c r="K219" s="18" t="n">
        <f aca="false">IFERROR((J219/J218-1)*100,"")</f>
        <v>1.97353683636132</v>
      </c>
      <c r="L219" s="19"/>
    </row>
    <row r="220" customFormat="false" ht="15" hidden="false" customHeight="false" outlineLevel="0" collapsed="false">
      <c r="A220" s="12" t="n">
        <v>39814</v>
      </c>
      <c r="B220" s="13" t="n">
        <v>107.931445691088</v>
      </c>
      <c r="C220" s="21" t="n">
        <f aca="false">IFERROR((B220/B219-1)*100,"")</f>
        <v>0.85994090594641</v>
      </c>
      <c r="D220" s="21" t="n">
        <f aca="false">IFERROR((B220/B216-1)*100,"")</f>
        <v>1.91288405518564</v>
      </c>
      <c r="E220" s="14"/>
      <c r="F220" s="14"/>
      <c r="G220" s="14"/>
      <c r="I220" s="15" t="n">
        <v>2021</v>
      </c>
      <c r="J220" s="13" t="n">
        <v>554.36140560748</v>
      </c>
      <c r="K220" s="21" t="n">
        <f aca="false">IFERROR((J220/J219-1)*100,"")</f>
        <v>2.05106536140558</v>
      </c>
      <c r="L220" s="14"/>
    </row>
    <row r="221" customFormat="false" ht="15" hidden="false" customHeight="false" outlineLevel="0" collapsed="false">
      <c r="A221" s="16" t="n">
        <v>39904</v>
      </c>
      <c r="B221" s="17" t="n">
        <v>109.088227092303</v>
      </c>
      <c r="C221" s="18" t="n">
        <f aca="false">IFERROR((B221/B220-1)*100,"")</f>
        <v>1.07177421168454</v>
      </c>
      <c r="D221" s="18" t="n">
        <f aca="false">IFERROR((B221/B217-1)*100,"")</f>
        <v>2.48435486316407</v>
      </c>
      <c r="E221" s="19"/>
      <c r="F221" s="19"/>
      <c r="G221" s="19"/>
      <c r="I221" s="20" t="n">
        <v>2022</v>
      </c>
      <c r="J221" s="17" t="n">
        <v>564.704791454895</v>
      </c>
      <c r="K221" s="18" t="n">
        <f aca="false">IFERROR((J221/J220-1)*100,"")</f>
        <v>1.86581997642492</v>
      </c>
      <c r="L221" s="19"/>
    </row>
    <row r="222" customFormat="false" ht="15" hidden="false" customHeight="false" outlineLevel="0" collapsed="false">
      <c r="A222" s="12" t="n">
        <v>39995</v>
      </c>
      <c r="B222" s="13" t="n">
        <v>108.154185555234</v>
      </c>
      <c r="C222" s="21" t="n">
        <f aca="false">IFERROR((B222/B221-1)*100,"")</f>
        <v>-0.856225792614063</v>
      </c>
      <c r="D222" s="21" t="n">
        <f aca="false">IFERROR((B222/B218-1)*100,"")</f>
        <v>1.4570613495174</v>
      </c>
      <c r="E222" s="14"/>
      <c r="F222" s="14"/>
      <c r="G222" s="14"/>
      <c r="I222" s="15" t="n">
        <v>2023</v>
      </c>
      <c r="J222" s="13" t="n">
        <v>575.911342689522</v>
      </c>
      <c r="K222" s="21" t="n">
        <f aca="false">IFERROR((J222/J221-1)*100,"")</f>
        <v>1.98449728144769</v>
      </c>
      <c r="L222" s="14"/>
    </row>
    <row r="223" customFormat="false" ht="15" hidden="false" customHeight="false" outlineLevel="0" collapsed="false">
      <c r="A223" s="16" t="n">
        <v>40087</v>
      </c>
      <c r="B223" s="17" t="n">
        <v>110.533334005765</v>
      </c>
      <c r="C223" s="18" t="n">
        <f aca="false">IFERROR((B223/B222-1)*100,"")</f>
        <v>2.19977473670336</v>
      </c>
      <c r="D223" s="18" t="n">
        <f aca="false">IFERROR((B223/B219-1)*100,"")</f>
        <v>3.29135744059832</v>
      </c>
      <c r="E223" s="19"/>
      <c r="F223" s="19"/>
      <c r="G223" s="19"/>
      <c r="I223" s="20" t="n">
        <v>2024</v>
      </c>
      <c r="J223" s="17" t="n">
        <v>587.915451934242</v>
      </c>
      <c r="K223" s="18" t="n">
        <f aca="false">IFERROR((J223/J222-1)*100,"")</f>
        <v>2.08436756752535</v>
      </c>
      <c r="L223" s="19"/>
    </row>
    <row r="224" customFormat="false" ht="15" hidden="false" customHeight="false" outlineLevel="0" collapsed="false">
      <c r="A224" s="12" t="n">
        <v>40179</v>
      </c>
      <c r="B224" s="13" t="n">
        <v>111.613932657079</v>
      </c>
      <c r="C224" s="21" t="n">
        <f aca="false">IFERROR((B224/B223-1)*100,"")</f>
        <v>0.977622416833324</v>
      </c>
      <c r="D224" s="21" t="n">
        <f aca="false">IFERROR((B224/B220-1)*100,"")</f>
        <v>3.41187588326233</v>
      </c>
      <c r="E224" s="14"/>
      <c r="F224" s="14"/>
      <c r="G224" s="14"/>
      <c r="I224" s="15" t="n">
        <v>2025</v>
      </c>
      <c r="J224" s="13" t="n">
        <v>601.576900556687</v>
      </c>
      <c r="K224" s="21" t="n">
        <f aca="false">IFERROR((J224/J223-1)*100,"")</f>
        <v>2.32370974049048</v>
      </c>
      <c r="L224" s="14"/>
    </row>
    <row r="225" customFormat="false" ht="15" hidden="false" customHeight="false" outlineLevel="0" collapsed="false">
      <c r="A225" s="16" t="n">
        <v>40269</v>
      </c>
      <c r="B225" s="17" t="n">
        <v>111.080319296135</v>
      </c>
      <c r="C225" s="18" t="n">
        <f aca="false">IFERROR((B225/B224-1)*100,"")</f>
        <v>-0.478088486124018</v>
      </c>
      <c r="D225" s="18" t="n">
        <f aca="false">IFERROR((B225/B221-1)*100,"")</f>
        <v>1.82612941554723</v>
      </c>
      <c r="E225" s="19"/>
      <c r="F225" s="19"/>
      <c r="G225" s="19"/>
      <c r="I225" s="20" t="n">
        <v>2026</v>
      </c>
      <c r="J225" s="19"/>
      <c r="K225" s="18" t="n">
        <f aca="false">IFERROR((J225/J224-1)*100,"")</f>
        <v>-100</v>
      </c>
      <c r="L225" s="17" t="n">
        <v>609.008634046011</v>
      </c>
    </row>
    <row r="226" customFormat="false" ht="15" hidden="false" customHeight="false" outlineLevel="0" collapsed="false">
      <c r="A226" s="12" t="n">
        <v>40360</v>
      </c>
      <c r="B226" s="13" t="n">
        <v>111.033955606193</v>
      </c>
      <c r="C226" s="21" t="n">
        <f aca="false">IFERROR((B226/B225-1)*100,"")</f>
        <v>-0.0417388878927283</v>
      </c>
      <c r="D226" s="21" t="n">
        <f aca="false">IFERROR((B226/B222-1)*100,"")</f>
        <v>2.66265243104127</v>
      </c>
      <c r="E226" s="14"/>
      <c r="F226" s="14"/>
      <c r="G226" s="14"/>
      <c r="I226" s="15" t="n">
        <v>2027</v>
      </c>
      <c r="J226" s="14"/>
      <c r="K226" s="21" t="str">
        <f aca="false">IFERROR((J226/J225-1)*100,"")</f>
        <v/>
      </c>
      <c r="L226" s="13" t="n">
        <v>615.374019924753</v>
      </c>
    </row>
    <row r="227" customFormat="false" ht="15" hidden="false" customHeight="false" outlineLevel="0" collapsed="false">
      <c r="A227" s="16" t="n">
        <v>40452</v>
      </c>
      <c r="B227" s="17" t="n">
        <v>112.892972482962</v>
      </c>
      <c r="C227" s="18" t="n">
        <f aca="false">IFERROR((B227/B226-1)*100,"")</f>
        <v>1.67427780683851</v>
      </c>
      <c r="D227" s="18" t="n">
        <f aca="false">IFERROR((B227/B223-1)*100,"")</f>
        <v>2.13477544889249</v>
      </c>
      <c r="E227" s="19"/>
      <c r="F227" s="19"/>
      <c r="G227" s="19"/>
    </row>
    <row r="228" customFormat="false" ht="15" hidden="false" customHeight="false" outlineLevel="0" collapsed="false">
      <c r="A228" s="12" t="n">
        <v>40544</v>
      </c>
      <c r="B228" s="13" t="n">
        <v>112.366136463519</v>
      </c>
      <c r="C228" s="21" t="n">
        <f aca="false">IFERROR((B228/B227-1)*100,"")</f>
        <v>-0.466668569226769</v>
      </c>
      <c r="D228" s="21" t="n">
        <f aca="false">IFERROR((B228/B224-1)*100,"")</f>
        <v>0.673933610735733</v>
      </c>
      <c r="E228" s="14"/>
      <c r="F228" s="14"/>
      <c r="G228" s="14"/>
    </row>
    <row r="229" customFormat="false" ht="15" hidden="false" customHeight="false" outlineLevel="0" collapsed="false">
      <c r="A229" s="16" t="n">
        <v>40634</v>
      </c>
      <c r="B229" s="17" t="n">
        <v>113.017702789557</v>
      </c>
      <c r="C229" s="18" t="n">
        <f aca="false">IFERROR((B229/B228-1)*100,"")</f>
        <v>0.579860041953162</v>
      </c>
      <c r="D229" s="18" t="n">
        <f aca="false">IFERROR((B229/B225-1)*100,"")</f>
        <v>1.74412848801526</v>
      </c>
      <c r="E229" s="19"/>
      <c r="F229" s="19"/>
      <c r="G229" s="19"/>
    </row>
    <row r="230" customFormat="false" ht="15" hidden="false" customHeight="false" outlineLevel="0" collapsed="false">
      <c r="A230" s="12" t="n">
        <v>40725</v>
      </c>
      <c r="B230" s="13" t="n">
        <v>114.595585034826</v>
      </c>
      <c r="C230" s="21" t="n">
        <f aca="false">IFERROR((B230/B229-1)*100,"")</f>
        <v>1.39613724781416</v>
      </c>
      <c r="D230" s="21" t="n">
        <f aca="false">IFERROR((B230/B226-1)*100,"")</f>
        <v>3.20769390695683</v>
      </c>
      <c r="E230" s="14"/>
      <c r="F230" s="14"/>
      <c r="G230" s="14"/>
    </row>
    <row r="231" customFormat="false" ht="15" hidden="false" customHeight="false" outlineLevel="0" collapsed="false">
      <c r="A231" s="16" t="n">
        <v>40817</v>
      </c>
      <c r="B231" s="17" t="n">
        <v>113.835074897667</v>
      </c>
      <c r="C231" s="18" t="n">
        <f aca="false">IFERROR((B231/B230-1)*100,"")</f>
        <v>-0.663646978134347</v>
      </c>
      <c r="D231" s="18" t="n">
        <f aca="false">IFERROR((B231/B227-1)*100,"")</f>
        <v>0.834509353402635</v>
      </c>
      <c r="E231" s="19"/>
      <c r="F231" s="19"/>
      <c r="G231" s="19"/>
    </row>
    <row r="232" customFormat="false" ht="15" hidden="false" customHeight="false" outlineLevel="0" collapsed="false">
      <c r="A232" s="12" t="n">
        <v>40909</v>
      </c>
      <c r="B232" s="13" t="n">
        <v>115.039863863722</v>
      </c>
      <c r="C232" s="21" t="n">
        <f aca="false">IFERROR((B232/B231-1)*100,"")</f>
        <v>1.05836357303621</v>
      </c>
      <c r="D232" s="21" t="n">
        <f aca="false">IFERROR((B232/B228-1)*100,"")</f>
        <v>2.37947791421294</v>
      </c>
      <c r="E232" s="14"/>
      <c r="F232" s="14"/>
      <c r="G232" s="14"/>
    </row>
    <row r="233" customFormat="false" ht="15" hidden="false" customHeight="false" outlineLevel="0" collapsed="false">
      <c r="A233" s="16" t="n">
        <v>41000</v>
      </c>
      <c r="B233" s="17" t="n">
        <v>116.894822053938</v>
      </c>
      <c r="C233" s="18" t="n">
        <f aca="false">IFERROR((B233/B232-1)*100,"")</f>
        <v>1.61244817919162</v>
      </c>
      <c r="D233" s="18" t="n">
        <f aca="false">IFERROR((B233/B229-1)*100,"")</f>
        <v>3.4305415600242</v>
      </c>
      <c r="E233" s="19"/>
      <c r="F233" s="19"/>
      <c r="G233" s="19"/>
    </row>
    <row r="234" customFormat="false" ht="15" hidden="false" customHeight="false" outlineLevel="0" collapsed="false">
      <c r="A234" s="12" t="n">
        <v>41091</v>
      </c>
      <c r="B234" s="13" t="n">
        <v>116.306131692131</v>
      </c>
      <c r="C234" s="21" t="n">
        <f aca="false">IFERROR((B234/B233-1)*100,"")</f>
        <v>-0.503606876218232</v>
      </c>
      <c r="D234" s="21" t="n">
        <f aca="false">IFERROR((B234/B230-1)*100,"")</f>
        <v>1.49268111575587</v>
      </c>
      <c r="E234" s="14"/>
      <c r="F234" s="14"/>
      <c r="G234" s="14"/>
    </row>
    <row r="235" customFormat="false" ht="15" hidden="false" customHeight="false" outlineLevel="0" collapsed="false">
      <c r="A235" s="16" t="n">
        <v>41183</v>
      </c>
      <c r="B235" s="17" t="n">
        <v>116.232610182022</v>
      </c>
      <c r="C235" s="18" t="n">
        <f aca="false">IFERROR((B235/B234-1)*100,"")</f>
        <v>-0.0632137867877192</v>
      </c>
      <c r="D235" s="18" t="n">
        <f aca="false">IFERROR((B235/B231-1)*100,"")</f>
        <v>2.1061481151659</v>
      </c>
      <c r="E235" s="19"/>
      <c r="F235" s="19"/>
      <c r="G235" s="19"/>
    </row>
    <row r="236" customFormat="false" ht="15" hidden="false" customHeight="false" outlineLevel="0" collapsed="false">
      <c r="A236" s="12" t="n">
        <v>41275</v>
      </c>
      <c r="B236" s="13" t="n">
        <v>116.397345291924</v>
      </c>
      <c r="C236" s="21" t="n">
        <f aca="false">IFERROR((B236/B235-1)*100,"")</f>
        <v>0.141728822611764</v>
      </c>
      <c r="D236" s="21" t="n">
        <f aca="false">IFERROR((B236/B232-1)*100,"")</f>
        <v>1.18000959198759</v>
      </c>
      <c r="E236" s="14"/>
      <c r="F236" s="14"/>
      <c r="G236" s="14"/>
    </row>
    <row r="237" customFormat="false" ht="15" hidden="false" customHeight="false" outlineLevel="0" collapsed="false">
      <c r="A237" s="16" t="n">
        <v>41365</v>
      </c>
      <c r="B237" s="17" t="n">
        <v>117.503593399664</v>
      </c>
      <c r="C237" s="18" t="n">
        <f aca="false">IFERROR((B237/B236-1)*100,"")</f>
        <v>0.95040664799162</v>
      </c>
      <c r="D237" s="18" t="n">
        <f aca="false">IFERROR((B237/B233-1)*100,"")</f>
        <v>0.5207855532263</v>
      </c>
      <c r="E237" s="19"/>
      <c r="F237" s="19"/>
      <c r="G237" s="19"/>
    </row>
    <row r="238" customFormat="false" ht="15" hidden="false" customHeight="false" outlineLevel="0" collapsed="false">
      <c r="A238" s="12" t="n">
        <v>41456</v>
      </c>
      <c r="B238" s="13" t="n">
        <v>118.593600234769</v>
      </c>
      <c r="C238" s="21" t="n">
        <f aca="false">IFERROR((B238/B237-1)*100,"")</f>
        <v>0.927637022467698</v>
      </c>
      <c r="D238" s="21" t="n">
        <f aca="false">IFERROR((B238/B234-1)*100,"")</f>
        <v>1.9667652163804</v>
      </c>
      <c r="E238" s="14"/>
      <c r="F238" s="14"/>
      <c r="G238" s="14"/>
    </row>
    <row r="239" customFormat="false" ht="15" hidden="false" customHeight="false" outlineLevel="0" collapsed="false">
      <c r="A239" s="16" t="n">
        <v>41548</v>
      </c>
      <c r="B239" s="17" t="n">
        <v>118.691515818777</v>
      </c>
      <c r="C239" s="18" t="n">
        <f aca="false">IFERROR((B239/B238-1)*100,"")</f>
        <v>0.0825639695680502</v>
      </c>
      <c r="D239" s="18" t="n">
        <f aca="false">IFERROR((B239/B235-1)*100,"")</f>
        <v>2.11550410242367</v>
      </c>
      <c r="E239" s="19"/>
      <c r="F239" s="19"/>
      <c r="G239" s="19"/>
    </row>
    <row r="240" customFormat="false" ht="15" hidden="false" customHeight="false" outlineLevel="0" collapsed="false">
      <c r="A240" s="12" t="n">
        <v>41640</v>
      </c>
      <c r="B240" s="13" t="n">
        <v>119.784299703467</v>
      </c>
      <c r="C240" s="21" t="n">
        <f aca="false">IFERROR((B240/B239-1)*100,"")</f>
        <v>0.92069250034621</v>
      </c>
      <c r="D240" s="21" t="n">
        <f aca="false">IFERROR((B240/B236-1)*100,"")</f>
        <v>2.90982101271222</v>
      </c>
      <c r="E240" s="14"/>
      <c r="F240" s="14"/>
      <c r="G240" s="14"/>
    </row>
    <row r="241" customFormat="false" ht="15" hidden="false" customHeight="false" outlineLevel="0" collapsed="false">
      <c r="A241" s="16" t="n">
        <v>41730</v>
      </c>
      <c r="B241" s="17" t="n">
        <v>120.353985699991</v>
      </c>
      <c r="C241" s="18" t="n">
        <f aca="false">IFERROR((B241/B240-1)*100,"")</f>
        <v>0.475593210406955</v>
      </c>
      <c r="D241" s="18" t="n">
        <f aca="false">IFERROR((B241/B237-1)*100,"")</f>
        <v>2.42579160165051</v>
      </c>
      <c r="E241" s="19"/>
      <c r="F241" s="19"/>
      <c r="G241" s="19"/>
    </row>
    <row r="242" customFormat="false" ht="15" hidden="false" customHeight="false" outlineLevel="0" collapsed="false">
      <c r="A242" s="12" t="n">
        <v>41821</v>
      </c>
      <c r="B242" s="13" t="n">
        <v>120.682856607756</v>
      </c>
      <c r="C242" s="21" t="n">
        <f aca="false">IFERROR((B242/B241-1)*100,"")</f>
        <v>0.273253025940989</v>
      </c>
      <c r="D242" s="21" t="n">
        <f aca="false">IFERROR((B242/B238-1)*100,"")</f>
        <v>1.76169402805151</v>
      </c>
      <c r="E242" s="14"/>
      <c r="F242" s="14"/>
      <c r="G242" s="14"/>
    </row>
    <row r="243" customFormat="false" ht="15" hidden="false" customHeight="false" outlineLevel="0" collapsed="false">
      <c r="A243" s="16" t="n">
        <v>41913</v>
      </c>
      <c r="B243" s="17" t="n">
        <v>120.496556031458</v>
      </c>
      <c r="C243" s="18" t="n">
        <f aca="false">IFERROR((B243/B242-1)*100,"")</f>
        <v>-0.154372030572436</v>
      </c>
      <c r="D243" s="18" t="n">
        <f aca="false">IFERROR((B243/B239-1)*100,"")</f>
        <v>1.52078284638097</v>
      </c>
      <c r="E243" s="19"/>
      <c r="F243" s="19"/>
      <c r="G243" s="19"/>
    </row>
    <row r="244" customFormat="false" ht="15" hidden="false" customHeight="false" outlineLevel="0" collapsed="false">
      <c r="A244" s="12" t="n">
        <v>42005</v>
      </c>
      <c r="B244" s="13" t="n">
        <v>122.38572931454</v>
      </c>
      <c r="C244" s="21" t="n">
        <f aca="false">IFERROR((B244/B243-1)*100,"")</f>
        <v>1.56782346757587</v>
      </c>
      <c r="D244" s="21" t="n">
        <f aca="false">IFERROR((B244/B240-1)*100,"")</f>
        <v>2.17176175635094</v>
      </c>
      <c r="E244" s="14"/>
      <c r="F244" s="14"/>
      <c r="G244" s="14"/>
    </row>
    <row r="245" customFormat="false" ht="15" hidden="false" customHeight="false" outlineLevel="0" collapsed="false">
      <c r="A245" s="16" t="n">
        <v>42095</v>
      </c>
      <c r="B245" s="17" t="n">
        <v>123.125101699234</v>
      </c>
      <c r="C245" s="18" t="n">
        <f aca="false">IFERROR((B245/B244-1)*100,"")</f>
        <v>0.604132841986549</v>
      </c>
      <c r="D245" s="18" t="n">
        <f aca="false">IFERROR((B245/B241-1)*100,"")</f>
        <v>2.30247131669659</v>
      </c>
      <c r="E245" s="19"/>
      <c r="F245" s="19"/>
      <c r="G245" s="19"/>
    </row>
    <row r="246" customFormat="false" ht="15" hidden="false" customHeight="false" outlineLevel="0" collapsed="false">
      <c r="A246" s="12" t="n">
        <v>42186</v>
      </c>
      <c r="B246" s="13" t="n">
        <v>123.16382849361</v>
      </c>
      <c r="C246" s="21" t="n">
        <f aca="false">IFERROR((B246/B245-1)*100,"")</f>
        <v>0.0314532080308849</v>
      </c>
      <c r="D246" s="21" t="n">
        <f aca="false">IFERROR((B246/B242-1)*100,"")</f>
        <v>2.05577822367675</v>
      </c>
      <c r="E246" s="14"/>
      <c r="F246" s="14"/>
      <c r="G246" s="14"/>
    </row>
    <row r="247" customFormat="false" ht="15" hidden="false" customHeight="false" outlineLevel="0" collapsed="false">
      <c r="A247" s="16" t="n">
        <v>42278</v>
      </c>
      <c r="B247" s="17" t="n">
        <v>124.159658948474</v>
      </c>
      <c r="C247" s="18" t="n">
        <f aca="false">IFERROR((B247/B246-1)*100,"")</f>
        <v>0.80854132828152</v>
      </c>
      <c r="D247" s="18" t="n">
        <f aca="false">IFERROR((B247/B243-1)*100,"")</f>
        <v>3.04000631857044</v>
      </c>
      <c r="E247" s="19"/>
      <c r="F247" s="19"/>
      <c r="G247" s="19"/>
    </row>
    <row r="248" customFormat="false" ht="15" hidden="false" customHeight="false" outlineLevel="0" collapsed="false">
      <c r="A248" s="12" t="n">
        <v>42370</v>
      </c>
      <c r="B248" s="13" t="n">
        <v>124.54121911044</v>
      </c>
      <c r="C248" s="21" t="n">
        <f aca="false">IFERROR((B248/B247-1)*100,"")</f>
        <v>0.307314118931279</v>
      </c>
      <c r="D248" s="21" t="n">
        <f aca="false">IFERROR((B248/B244-1)*100,"")</f>
        <v>1.76122641746901</v>
      </c>
      <c r="E248" s="14"/>
      <c r="F248" s="14"/>
      <c r="G248" s="14"/>
    </row>
    <row r="249" customFormat="false" ht="15" hidden="false" customHeight="false" outlineLevel="0" collapsed="false">
      <c r="A249" s="16" t="n">
        <v>42461</v>
      </c>
      <c r="B249" s="17" t="n">
        <v>124.676315604566</v>
      </c>
      <c r="C249" s="18" t="n">
        <f aca="false">IFERROR((B249/B248-1)*100,"")</f>
        <v>0.10847532655569</v>
      </c>
      <c r="D249" s="18" t="n">
        <f aca="false">IFERROR((B249/B245-1)*100,"")</f>
        <v>1.25986812106085</v>
      </c>
      <c r="E249" s="19"/>
      <c r="F249" s="19"/>
      <c r="G249" s="19"/>
    </row>
    <row r="250" customFormat="false" ht="15" hidden="false" customHeight="false" outlineLevel="0" collapsed="false">
      <c r="A250" s="12" t="n">
        <v>42552</v>
      </c>
      <c r="B250" s="13" t="n">
        <v>124.852274324428</v>
      </c>
      <c r="C250" s="21" t="n">
        <f aca="false">IFERROR((B250/B249-1)*100,"")</f>
        <v>0.141132434823854</v>
      </c>
      <c r="D250" s="21" t="n">
        <f aca="false">IFERROR((B250/B246-1)*100,"")</f>
        <v>1.37089424019139</v>
      </c>
      <c r="E250" s="14"/>
      <c r="F250" s="14"/>
      <c r="G250" s="14"/>
    </row>
    <row r="251" customFormat="false" ht="15" hidden="false" customHeight="false" outlineLevel="0" collapsed="false">
      <c r="A251" s="16" t="n">
        <v>42644</v>
      </c>
      <c r="B251" s="17" t="n">
        <v>126.131810252455</v>
      </c>
      <c r="C251" s="18" t="n">
        <f aca="false">IFERROR((B251/B250-1)*100,"")</f>
        <v>1.02483990375852</v>
      </c>
      <c r="D251" s="18" t="n">
        <f aca="false">IFERROR((B251/B247-1)*100,"")</f>
        <v>1.5883994211024</v>
      </c>
      <c r="E251" s="19"/>
      <c r="F251" s="19"/>
      <c r="G251" s="19"/>
    </row>
    <row r="252" customFormat="false" ht="15" hidden="false" customHeight="false" outlineLevel="0" collapsed="false">
      <c r="A252" s="12" t="n">
        <v>42736</v>
      </c>
      <c r="B252" s="13" t="n">
        <v>127.049548784688</v>
      </c>
      <c r="C252" s="21" t="n">
        <f aca="false">IFERROR((B252/B251-1)*100,"")</f>
        <v>0.727602759681911</v>
      </c>
      <c r="D252" s="21" t="n">
        <f aca="false">IFERROR((B252/B248-1)*100,"")</f>
        <v>2.01405582197167</v>
      </c>
      <c r="E252" s="14"/>
      <c r="F252" s="14"/>
      <c r="G252" s="14"/>
    </row>
    <row r="253" customFormat="false" ht="15" hidden="false" customHeight="false" outlineLevel="0" collapsed="false">
      <c r="A253" s="16" t="n">
        <v>42826</v>
      </c>
      <c r="B253" s="17" t="n">
        <v>127.673024690642</v>
      </c>
      <c r="C253" s="18" t="n">
        <f aca="false">IFERROR((B253/B252-1)*100,"")</f>
        <v>0.49073445117882</v>
      </c>
      <c r="D253" s="18" t="n">
        <f aca="false">IFERROR((B253/B249-1)*100,"")</f>
        <v>2.40359130885781</v>
      </c>
      <c r="E253" s="19"/>
      <c r="F253" s="19"/>
      <c r="G253" s="19"/>
    </row>
    <row r="254" customFormat="false" ht="15" hidden="false" customHeight="false" outlineLevel="0" collapsed="false">
      <c r="A254" s="12" t="n">
        <v>42917</v>
      </c>
      <c r="B254" s="13" t="n">
        <v>128.413531538017</v>
      </c>
      <c r="C254" s="21" t="n">
        <f aca="false">IFERROR((B254/B253-1)*100,"")</f>
        <v>0.580002587993578</v>
      </c>
      <c r="D254" s="21" t="n">
        <f aca="false">IFERROR((B254/B250-1)*100,"")</f>
        <v>2.85237672510124</v>
      </c>
      <c r="E254" s="14"/>
      <c r="F254" s="14"/>
      <c r="G254" s="14"/>
    </row>
    <row r="255" customFormat="false" ht="15" hidden="false" customHeight="false" outlineLevel="0" collapsed="false">
      <c r="A255" s="16" t="n">
        <v>43009</v>
      </c>
      <c r="B255" s="17" t="n">
        <v>129.720463511136</v>
      </c>
      <c r="C255" s="18" t="n">
        <f aca="false">IFERROR((B255/B254-1)*100,"")</f>
        <v>1.01775253547292</v>
      </c>
      <c r="D255" s="18" t="n">
        <f aca="false">IFERROR((B255/B251-1)*100,"")</f>
        <v>2.845161146501</v>
      </c>
      <c r="E255" s="19"/>
      <c r="F255" s="19"/>
      <c r="G255" s="19"/>
    </row>
    <row r="256" customFormat="false" ht="15" hidden="false" customHeight="false" outlineLevel="0" collapsed="false">
      <c r="A256" s="12" t="n">
        <v>43101</v>
      </c>
      <c r="B256" s="13" t="n">
        <v>128.638010075904</v>
      </c>
      <c r="C256" s="21" t="n">
        <f aca="false">IFERROR((B256/B255-1)*100,"")</f>
        <v>-0.834450792059549</v>
      </c>
      <c r="D256" s="21" t="n">
        <f aca="false">IFERROR((B256/B252-1)*100,"")</f>
        <v>1.25026913232693</v>
      </c>
      <c r="E256" s="14"/>
      <c r="F256" s="14"/>
      <c r="G256" s="14"/>
    </row>
    <row r="257" customFormat="false" ht="15" hidden="false" customHeight="false" outlineLevel="0" collapsed="false">
      <c r="A257" s="16" t="n">
        <v>43191</v>
      </c>
      <c r="B257" s="17" t="n">
        <v>130.431725329078</v>
      </c>
      <c r="C257" s="18" t="n">
        <f aca="false">IFERROR((B257/B256-1)*100,"")</f>
        <v>1.3943897702672</v>
      </c>
      <c r="D257" s="18" t="n">
        <f aca="false">IFERROR((B257/B253-1)*100,"")</f>
        <v>2.16075450951372</v>
      </c>
      <c r="E257" s="19"/>
      <c r="F257" s="19"/>
      <c r="G257" s="19"/>
    </row>
    <row r="258" customFormat="false" ht="15" hidden="false" customHeight="false" outlineLevel="0" collapsed="false">
      <c r="A258" s="12" t="n">
        <v>43282</v>
      </c>
      <c r="B258" s="13" t="n">
        <v>131.613036744149</v>
      </c>
      <c r="C258" s="21" t="n">
        <f aca="false">IFERROR((B258/B257-1)*100,"")</f>
        <v>0.905693313564138</v>
      </c>
      <c r="D258" s="21" t="n">
        <f aca="false">IFERROR((B258/B254-1)*100,"")</f>
        <v>2.49156390904548</v>
      </c>
      <c r="E258" s="14"/>
      <c r="F258" s="14"/>
      <c r="G258" s="14"/>
    </row>
    <row r="259" customFormat="false" ht="15" hidden="false" customHeight="false" outlineLevel="0" collapsed="false">
      <c r="A259" s="16" t="n">
        <v>43374</v>
      </c>
      <c r="B259" s="17" t="n">
        <v>131.830139024942</v>
      </c>
      <c r="C259" s="18" t="n">
        <f aca="false">IFERROR((B259/B258-1)*100,"")</f>
        <v>0.164954996984723</v>
      </c>
      <c r="D259" s="18" t="n">
        <f aca="false">IFERROR((B259/B255-1)*100,"")</f>
        <v>1.6263243721953</v>
      </c>
      <c r="E259" s="19"/>
      <c r="F259" s="19"/>
      <c r="G259" s="19"/>
    </row>
    <row r="260" customFormat="false" ht="15" hidden="false" customHeight="false" outlineLevel="0" collapsed="false">
      <c r="A260" s="12" t="n">
        <v>43466</v>
      </c>
      <c r="B260" s="13" t="n">
        <v>132.542236770059</v>
      </c>
      <c r="C260" s="21" t="n">
        <f aca="false">IFERROR((B260/B259-1)*100,"")</f>
        <v>0.540163084393219</v>
      </c>
      <c r="D260" s="21" t="n">
        <f aca="false">IFERROR((B260/B256-1)*100,"")</f>
        <v>3.03504904332055</v>
      </c>
      <c r="E260" s="14"/>
      <c r="F260" s="14"/>
      <c r="G260" s="14"/>
    </row>
    <row r="261" customFormat="false" ht="15" hidden="false" customHeight="false" outlineLevel="0" collapsed="false">
      <c r="A261" s="16" t="n">
        <v>43556</v>
      </c>
      <c r="B261" s="17" t="n">
        <v>133.255884026522</v>
      </c>
      <c r="C261" s="18" t="n">
        <f aca="false">IFERROR((B261/B260-1)*100,"")</f>
        <v>0.538430068674023</v>
      </c>
      <c r="D261" s="18" t="n">
        <f aca="false">IFERROR((B261/B257-1)*100,"")</f>
        <v>2.16523908605779</v>
      </c>
      <c r="E261" s="19"/>
      <c r="F261" s="19"/>
      <c r="G261" s="19"/>
    </row>
    <row r="262" customFormat="false" ht="15" hidden="false" customHeight="false" outlineLevel="0" collapsed="false">
      <c r="A262" s="12" t="n">
        <v>43647</v>
      </c>
      <c r="B262" s="13" t="n">
        <v>133.128165832912</v>
      </c>
      <c r="C262" s="21" t="n">
        <f aca="false">IFERROR((B262/B261-1)*100,"")</f>
        <v>-0.0958443182778379</v>
      </c>
      <c r="D262" s="21" t="n">
        <f aca="false">IFERROR((B262/B258-1)*100,"")</f>
        <v>1.15119985545804</v>
      </c>
      <c r="E262" s="14"/>
      <c r="F262" s="14"/>
      <c r="G262" s="14"/>
    </row>
    <row r="263" customFormat="false" ht="15" hidden="false" customHeight="false" outlineLevel="0" collapsed="false">
      <c r="A263" s="16" t="n">
        <v>43739</v>
      </c>
      <c r="B263" s="17" t="n">
        <v>133.780171414115</v>
      </c>
      <c r="C263" s="18" t="n">
        <f aca="false">IFERROR((B263/B262-1)*100,"")</f>
        <v>0.489757803785529</v>
      </c>
      <c r="D263" s="18" t="n">
        <f aca="false">IFERROR((B263/B259-1)*100,"")</f>
        <v>1.47920073785559</v>
      </c>
      <c r="E263" s="19"/>
      <c r="F263" s="19"/>
      <c r="G263" s="19"/>
    </row>
    <row r="264" customFormat="false" ht="15" hidden="false" customHeight="false" outlineLevel="0" collapsed="false">
      <c r="A264" s="12" t="n">
        <v>43831</v>
      </c>
      <c r="B264" s="13" t="n">
        <v>134.788946242179</v>
      </c>
      <c r="C264" s="21" t="n">
        <f aca="false">IFERROR((B264/B263-1)*100,"")</f>
        <v>0.754054070495425</v>
      </c>
      <c r="D264" s="21" t="n">
        <f aca="false">IFERROR((B264/B260-1)*100,"")</f>
        <v>1.69508944987673</v>
      </c>
      <c r="E264" s="14"/>
      <c r="F264" s="14"/>
      <c r="G264" s="14"/>
    </row>
    <row r="265" customFormat="false" ht="15" hidden="false" customHeight="false" outlineLevel="0" collapsed="false">
      <c r="A265" s="16" t="n">
        <v>43922</v>
      </c>
      <c r="B265" s="17" t="n">
        <v>134.72386946358</v>
      </c>
      <c r="C265" s="18" t="n">
        <f aca="false">IFERROR((B265/B264-1)*100,"")</f>
        <v>-0.0482805010453835</v>
      </c>
      <c r="D265" s="18" t="n">
        <f aca="false">IFERROR((B265/B261-1)*100,"")</f>
        <v>1.10162898079991</v>
      </c>
      <c r="E265" s="19"/>
      <c r="F265" s="19"/>
      <c r="G265" s="19"/>
    </row>
    <row r="266" customFormat="false" ht="15" hidden="false" customHeight="false" outlineLevel="0" collapsed="false">
      <c r="A266" s="12" t="n">
        <v>44013</v>
      </c>
      <c r="B266" s="13" t="n">
        <v>136.506935521336</v>
      </c>
      <c r="C266" s="21" t="n">
        <f aca="false">IFERROR((B266/B265-1)*100,"")</f>
        <v>1.3234967677638</v>
      </c>
      <c r="D266" s="21" t="n">
        <f aca="false">IFERROR((B266/B262-1)*100,"")</f>
        <v>2.53798260291895</v>
      </c>
      <c r="E266" s="14"/>
      <c r="F266" s="14"/>
      <c r="G266" s="14"/>
    </row>
    <row r="267" customFormat="false" ht="15" hidden="false" customHeight="false" outlineLevel="0" collapsed="false">
      <c r="A267" s="16" t="n">
        <v>44105</v>
      </c>
      <c r="B267" s="17" t="n">
        <v>137.19986499568</v>
      </c>
      <c r="C267" s="18" t="n">
        <f aca="false">IFERROR((B267/B266-1)*100,"")</f>
        <v>0.507614848796467</v>
      </c>
      <c r="D267" s="18" t="n">
        <f aca="false">IFERROR((B267/B263-1)*100,"")</f>
        <v>2.55620361778344</v>
      </c>
      <c r="E267" s="19"/>
      <c r="F267" s="19"/>
      <c r="G267" s="19"/>
    </row>
    <row r="268" customFormat="false" ht="15" hidden="false" customHeight="false" outlineLevel="0" collapsed="false">
      <c r="A268" s="12" t="n">
        <v>44197</v>
      </c>
      <c r="B268" s="13" t="n">
        <v>137.111851364144</v>
      </c>
      <c r="C268" s="21" t="n">
        <f aca="false">IFERROR((B268/B267-1)*100,"")</f>
        <v>-0.0641499403358559</v>
      </c>
      <c r="D268" s="21" t="n">
        <f aca="false">IFERROR((B268/B264-1)*100,"")</f>
        <v>1.72336470217029</v>
      </c>
      <c r="E268" s="14"/>
      <c r="F268" s="14"/>
      <c r="G268" s="14"/>
    </row>
    <row r="269" customFormat="false" ht="15" hidden="false" customHeight="false" outlineLevel="0" collapsed="false">
      <c r="A269" s="16" t="n">
        <v>44287</v>
      </c>
      <c r="B269" s="17" t="n">
        <v>137.742779692034</v>
      </c>
      <c r="C269" s="18" t="n">
        <f aca="false">IFERROR((B269/B268-1)*100,"")</f>
        <v>0.460155939557749</v>
      </c>
      <c r="D269" s="18" t="n">
        <f aca="false">IFERROR((B269/B265-1)*100,"")</f>
        <v>2.24081318364326</v>
      </c>
      <c r="E269" s="19"/>
      <c r="F269" s="19"/>
      <c r="G269" s="19"/>
    </row>
    <row r="270" customFormat="false" ht="15" hidden="false" customHeight="false" outlineLevel="0" collapsed="false">
      <c r="A270" s="12" t="n">
        <v>44378</v>
      </c>
      <c r="B270" s="13" t="n">
        <v>139.011288890351</v>
      </c>
      <c r="C270" s="21" t="n">
        <f aca="false">IFERROR((B270/B269-1)*100,"")</f>
        <v>0.920926092208196</v>
      </c>
      <c r="D270" s="21" t="n">
        <f aca="false">IFERROR((B270/B266-1)*100,"")</f>
        <v>1.8345978974986</v>
      </c>
      <c r="E270" s="14"/>
      <c r="F270" s="14"/>
      <c r="G270" s="14"/>
    </row>
    <row r="271" customFormat="false" ht="15" hidden="false" customHeight="false" outlineLevel="0" collapsed="false">
      <c r="A271" s="16" t="n">
        <v>44470</v>
      </c>
      <c r="B271" s="17" t="n">
        <v>140.495485660952</v>
      </c>
      <c r="C271" s="18" t="n">
        <f aca="false">IFERROR((B271/B270-1)*100,"")</f>
        <v>1.06768074913133</v>
      </c>
      <c r="D271" s="18" t="n">
        <f aca="false">IFERROR((B271/B267-1)*100,"")</f>
        <v>2.40205824209543</v>
      </c>
      <c r="E271" s="19"/>
      <c r="F271" s="19"/>
      <c r="G271" s="19"/>
    </row>
    <row r="272" customFormat="false" ht="15" hidden="false" customHeight="false" outlineLevel="0" collapsed="false">
      <c r="A272" s="12" t="n">
        <v>44562</v>
      </c>
      <c r="B272" s="13" t="n">
        <v>140.400937694085</v>
      </c>
      <c r="C272" s="21" t="n">
        <f aca="false">IFERROR((B272/B271-1)*100,"")</f>
        <v>-0.0672960888543295</v>
      </c>
      <c r="D272" s="21" t="n">
        <f aca="false">IFERROR((B272/B268-1)*100,"")</f>
        <v>2.39883445319851</v>
      </c>
      <c r="E272" s="14"/>
      <c r="F272" s="14"/>
      <c r="G272" s="14"/>
    </row>
    <row r="273" customFormat="false" ht="15" hidden="false" customHeight="false" outlineLevel="0" collapsed="false">
      <c r="A273" s="16" t="n">
        <v>44652</v>
      </c>
      <c r="B273" s="17" t="n">
        <v>140.165101338016</v>
      </c>
      <c r="C273" s="18" t="n">
        <f aca="false">IFERROR((B273/B272-1)*100,"")</f>
        <v>-0.167973490735207</v>
      </c>
      <c r="D273" s="18" t="n">
        <f aca="false">IFERROR((B273/B269-1)*100,"")</f>
        <v>1.75858339101174</v>
      </c>
      <c r="E273" s="19"/>
      <c r="F273" s="19"/>
      <c r="G273" s="19"/>
    </row>
    <row r="274" customFormat="false" ht="15" hidden="false" customHeight="false" outlineLevel="0" collapsed="false">
      <c r="A274" s="12" t="n">
        <v>44743</v>
      </c>
      <c r="B274" s="13" t="n">
        <v>141.085803708076</v>
      </c>
      <c r="C274" s="21" t="n">
        <f aca="false">IFERROR((B274/B273-1)*100,"")</f>
        <v>0.656869906468383</v>
      </c>
      <c r="D274" s="21" t="n">
        <f aca="false">IFERROR((B274/B270-1)*100,"")</f>
        <v>1.49233550331431</v>
      </c>
      <c r="E274" s="14"/>
      <c r="F274" s="14"/>
      <c r="G274" s="14"/>
    </row>
    <row r="275" customFormat="false" ht="15" hidden="false" customHeight="false" outlineLevel="0" collapsed="false">
      <c r="A275" s="16" t="n">
        <v>44835</v>
      </c>
      <c r="B275" s="17" t="n">
        <v>143.052948714717</v>
      </c>
      <c r="C275" s="18" t="n">
        <f aca="false">IFERROR((B275/B274-1)*100,"")</f>
        <v>1.39428982572305</v>
      </c>
      <c r="D275" s="18" t="n">
        <f aca="false">IFERROR((B275/B271-1)*100,"")</f>
        <v>1.82031688899738</v>
      </c>
      <c r="E275" s="19"/>
      <c r="F275" s="19"/>
      <c r="G275" s="19"/>
    </row>
    <row r="276" customFormat="false" ht="15" hidden="false" customHeight="false" outlineLevel="0" collapsed="false">
      <c r="A276" s="12" t="n">
        <v>44927</v>
      </c>
      <c r="B276" s="13" t="n">
        <v>142.104129749192</v>
      </c>
      <c r="C276" s="21" t="n">
        <f aca="false">IFERROR((B276/B275-1)*100,"")</f>
        <v>-0.663264178788492</v>
      </c>
      <c r="D276" s="21" t="n">
        <f aca="false">IFERROR((B276/B272-1)*100,"")</f>
        <v>1.21309165243435</v>
      </c>
      <c r="E276" s="14"/>
      <c r="F276" s="14"/>
      <c r="G276" s="14"/>
    </row>
    <row r="277" customFormat="false" ht="15" hidden="false" customHeight="false" outlineLevel="0" collapsed="false">
      <c r="A277" s="16" t="n">
        <v>45017</v>
      </c>
      <c r="B277" s="17" t="n">
        <v>144.279881744918</v>
      </c>
      <c r="C277" s="18" t="n">
        <f aca="false">IFERROR((B277/B276-1)*100,"")</f>
        <v>1.53109694951568</v>
      </c>
      <c r="D277" s="18" t="n">
        <f aca="false">IFERROR((B277/B273-1)*100,"")</f>
        <v>2.93566684404478</v>
      </c>
      <c r="E277" s="19"/>
      <c r="F277" s="19"/>
      <c r="G277" s="19"/>
    </row>
    <row r="278" customFormat="false" ht="15" hidden="false" customHeight="false" outlineLevel="0" collapsed="false">
      <c r="A278" s="12" t="n">
        <v>45108</v>
      </c>
      <c r="B278" s="13" t="n">
        <v>144.565719543133</v>
      </c>
      <c r="C278" s="21" t="n">
        <f aca="false">IFERROR((B278/B277-1)*100,"")</f>
        <v>0.198113413151013</v>
      </c>
      <c r="D278" s="21" t="n">
        <f aca="false">IFERROR((B278/B274-1)*100,"")</f>
        <v>2.46652444370452</v>
      </c>
      <c r="E278" s="14"/>
      <c r="F278" s="14"/>
      <c r="G278" s="14"/>
    </row>
    <row r="279" customFormat="false" ht="15" hidden="false" customHeight="false" outlineLevel="0" collapsed="false">
      <c r="A279" s="16" t="n">
        <v>45200</v>
      </c>
      <c r="B279" s="17" t="n">
        <v>144.96161165228</v>
      </c>
      <c r="C279" s="18" t="n">
        <f aca="false">IFERROR((B279/B278-1)*100,"")</f>
        <v>0.27384922953928</v>
      </c>
      <c r="D279" s="18" t="n">
        <f aca="false">IFERROR((B279/B275-1)*100,"")</f>
        <v>1.33423529868548</v>
      </c>
      <c r="E279" s="19"/>
      <c r="F279" s="19"/>
      <c r="G279" s="19"/>
    </row>
    <row r="280" customFormat="false" ht="15" hidden="false" customHeight="false" outlineLevel="0" collapsed="false">
      <c r="A280" s="12" t="n">
        <v>45292</v>
      </c>
      <c r="B280" s="13" t="n">
        <v>145.803607138131</v>
      </c>
      <c r="C280" s="21" t="n">
        <f aca="false">IFERROR((B280/B279-1)*100,"")</f>
        <v>0.580840317829456</v>
      </c>
      <c r="D280" s="21" t="n">
        <f aca="false">IFERROR((B280/B276-1)*100,"")</f>
        <v>2.60335670431873</v>
      </c>
      <c r="E280" s="14"/>
      <c r="F280" s="14"/>
      <c r="G280" s="14"/>
    </row>
    <row r="281" customFormat="false" ht="15" hidden="false" customHeight="false" outlineLevel="0" collapsed="false">
      <c r="A281" s="16" t="n">
        <v>45383</v>
      </c>
      <c r="B281" s="17" t="n">
        <v>146.264888731662</v>
      </c>
      <c r="C281" s="18" t="n">
        <f aca="false">IFERROR((B281/B280-1)*100,"")</f>
        <v>0.316371866639753</v>
      </c>
      <c r="D281" s="18" t="n">
        <f aca="false">IFERROR((B281/B277-1)*100,"")</f>
        <v>1.37580303139848</v>
      </c>
      <c r="E281" s="19"/>
      <c r="F281" s="19"/>
      <c r="G281" s="19"/>
    </row>
    <row r="282" customFormat="false" ht="15" hidden="false" customHeight="false" outlineLevel="0" collapsed="false">
      <c r="A282" s="12" t="n">
        <v>45474</v>
      </c>
      <c r="B282" s="13" t="n">
        <v>147.472866059166</v>
      </c>
      <c r="C282" s="21" t="n">
        <f aca="false">IFERROR((B282/B281-1)*100,"")</f>
        <v>0.825883325778798</v>
      </c>
      <c r="D282" s="21" t="n">
        <f aca="false">IFERROR((B282/B278-1)*100,"")</f>
        <v>2.01095150719042</v>
      </c>
      <c r="E282" s="14"/>
      <c r="F282" s="14"/>
      <c r="G282" s="14"/>
    </row>
    <row r="283" customFormat="false" ht="15" hidden="false" customHeight="false" outlineLevel="0" collapsed="false">
      <c r="A283" s="16" t="n">
        <v>45566</v>
      </c>
      <c r="B283" s="17" t="n">
        <v>148.374090005282</v>
      </c>
      <c r="C283" s="18" t="n">
        <f aca="false">IFERROR((B283/B282-1)*100,"")</f>
        <v>0.611111704952383</v>
      </c>
      <c r="D283" s="18" t="n">
        <f aca="false">IFERROR((B283/B279-1)*100,"")</f>
        <v>2.35405657684626</v>
      </c>
      <c r="E283" s="19"/>
      <c r="F283" s="19"/>
      <c r="G283" s="19"/>
    </row>
    <row r="284" customFormat="false" ht="15" hidden="false" customHeight="false" outlineLevel="0" collapsed="false">
      <c r="A284" s="12" t="n">
        <v>45658</v>
      </c>
      <c r="B284" s="13" t="n">
        <v>148.625082972387</v>
      </c>
      <c r="C284" s="21" t="n">
        <f aca="false">IFERROR((B284/B283-1)*100,"")</f>
        <v>0.169162262155176</v>
      </c>
      <c r="D284" s="21" t="n">
        <f aca="false">IFERROR((B284/B280-1)*100,"")</f>
        <v>1.93512073510163</v>
      </c>
      <c r="E284" s="14"/>
      <c r="F284" s="14"/>
      <c r="G284" s="14"/>
    </row>
    <row r="285" customFormat="false" ht="15" hidden="false" customHeight="false" outlineLevel="0" collapsed="false">
      <c r="A285" s="16" t="n">
        <v>45748</v>
      </c>
      <c r="B285" s="17" t="n">
        <v>150.443652593925</v>
      </c>
      <c r="C285" s="18" t="n">
        <f aca="false">IFERROR((B285/B284-1)*100,"")</f>
        <v>1.22359536167618</v>
      </c>
      <c r="D285" s="18" t="n">
        <f aca="false">IFERROR((B285/B281-1)*100,"")</f>
        <v>2.85698358539688</v>
      </c>
      <c r="E285" s="19"/>
      <c r="F285" s="19"/>
      <c r="G285" s="19"/>
    </row>
    <row r="286" customFormat="false" ht="15" hidden="false" customHeight="false" outlineLevel="0" collapsed="false">
      <c r="A286" s="12" t="n">
        <v>45839</v>
      </c>
      <c r="B286" s="13" t="n">
        <v>150.948532786548</v>
      </c>
      <c r="C286" s="21" t="n">
        <f aca="false">IFERROR((B286/B285-1)*100,"")</f>
        <v>0.3355942134603</v>
      </c>
      <c r="D286" s="21" t="n">
        <f aca="false">IFERROR((B286/B282-1)*100,"")</f>
        <v>2.3568177796097</v>
      </c>
      <c r="E286" s="14"/>
      <c r="F286" s="14"/>
      <c r="G286" s="14"/>
    </row>
    <row r="287" customFormat="false" ht="15" hidden="false" customHeight="false" outlineLevel="0" collapsed="false">
      <c r="A287" s="16" t="n">
        <v>45931</v>
      </c>
      <c r="B287" s="17" t="n">
        <v>151.559632203826</v>
      </c>
      <c r="C287" s="18" t="n">
        <f aca="false">IFERROR((B287/B286-1)*100,"")</f>
        <v>0.40483958737223</v>
      </c>
      <c r="D287" s="18" t="n">
        <f aca="false">IFERROR((B287/B283-1)*100,"")</f>
        <v>2.1469666290322</v>
      </c>
      <c r="E287" s="19"/>
      <c r="F287" s="19"/>
      <c r="G287" s="19"/>
    </row>
    <row r="288" customFormat="false" ht="15" hidden="false" customHeight="false" outlineLevel="0" collapsed="false">
      <c r="A288" s="12" t="n">
        <v>46023</v>
      </c>
      <c r="B288" s="14"/>
      <c r="C288" s="21" t="n">
        <f aca="false">IFERROR((B288/B287-1)*100,"")</f>
        <v>-100</v>
      </c>
      <c r="D288" s="21" t="n">
        <f aca="false">IFERROR((B288/B284-1)*100,"")</f>
        <v>-100</v>
      </c>
      <c r="E288" s="13" t="n">
        <v>152.001542555269</v>
      </c>
      <c r="F288" s="13" t="n">
        <v>151.304603066506</v>
      </c>
      <c r="G288" s="22" t="n">
        <f aca="false">152.689343-149.919863</f>
        <v>2.76948000000002</v>
      </c>
    </row>
    <row r="289" customFormat="false" ht="15" hidden="false" customHeight="false" outlineLevel="0" collapsed="false">
      <c r="A289" s="16" t="n">
        <v>46113</v>
      </c>
      <c r="B289" s="19"/>
      <c r="C289" s="18" t="str">
        <f aca="false">IFERROR((B289/B288-1)*100,"")</f>
        <v/>
      </c>
      <c r="D289" s="18" t="n">
        <f aca="false">IFERROR((B289/B285-1)*100,"")</f>
        <v>-100</v>
      </c>
      <c r="E289" s="17" t="n">
        <v>152.764780188504</v>
      </c>
      <c r="F289" s="17" t="n">
        <v>151.933248589903</v>
      </c>
      <c r="G289" s="23" t="n">
        <f aca="false">153.891567-149.97493</f>
        <v>3.91663700000001</v>
      </c>
    </row>
    <row r="290" customFormat="false" ht="15" hidden="false" customHeight="false" outlineLevel="0" collapsed="false">
      <c r="A290" s="12" t="n">
        <v>46204</v>
      </c>
      <c r="B290" s="14"/>
      <c r="C290" s="21" t="str">
        <f aca="false">IFERROR((B290/B289-1)*100,"")</f>
        <v/>
      </c>
      <c r="D290" s="21" t="n">
        <f aca="false">IFERROR((B290/B286-1)*100,"")</f>
        <v>-100</v>
      </c>
      <c r="E290" s="13" t="n">
        <v>153.53185022814</v>
      </c>
      <c r="F290" s="13" t="n">
        <v>152.434134221609</v>
      </c>
      <c r="G290" s="22" t="n">
        <f aca="false">154.832575-150.035694</f>
        <v>4.79688099999999</v>
      </c>
    </row>
    <row r="291" customFormat="false" ht="15" hidden="false" customHeight="false" outlineLevel="0" collapsed="false">
      <c r="A291" s="16" t="n">
        <v>46296</v>
      </c>
      <c r="B291" s="19"/>
      <c r="C291" s="18" t="str">
        <f aca="false">IFERROR((B291/B290-1)*100,"")</f>
        <v/>
      </c>
      <c r="D291" s="18" t="n">
        <f aca="false">IFERROR((B291/B287-1)*100,"")</f>
        <v>-100</v>
      </c>
      <c r="E291" s="17" t="n">
        <v>154.302771917646</v>
      </c>
      <c r="F291" s="17" t="n">
        <v>153.336648167993</v>
      </c>
      <c r="G291" s="23" t="n">
        <f aca="false">156.106129-150.567168</f>
        <v>5.538961</v>
      </c>
    </row>
    <row r="292" customFormat="false" ht="15" hidden="false" customHeight="false" outlineLevel="0" collapsed="false">
      <c r="A292" s="12" t="n">
        <v>46388</v>
      </c>
      <c r="B292" s="14"/>
      <c r="C292" s="21" t="str">
        <f aca="false">IFERROR((B292/B291-1)*100,"")</f>
        <v/>
      </c>
      <c r="D292" s="21" t="str">
        <f aca="false">IFERROR((B292/B288-1)*100,"")</f>
        <v/>
      </c>
      <c r="E292" s="13" t="n">
        <v>155.077564597117</v>
      </c>
      <c r="F292" s="13" t="n">
        <v>153.020398309942</v>
      </c>
      <c r="G292" s="22" t="n">
        <f aca="false">156.116772-149.924025</f>
        <v>6.192747</v>
      </c>
    </row>
    <row r="293" customFormat="false" ht="15" hidden="false" customHeight="false" outlineLevel="0" collapsed="false">
      <c r="A293" s="16" t="n">
        <v>46478</v>
      </c>
      <c r="B293" s="19"/>
      <c r="C293" s="18" t="str">
        <f aca="false">IFERROR((B293/B292-1)*100,"")</f>
        <v/>
      </c>
      <c r="D293" s="18" t="str">
        <f aca="false">IFERROR((B293/B289-1)*100,"")</f>
        <v/>
      </c>
      <c r="E293" s="17" t="n">
        <v>155.856247703756</v>
      </c>
      <c r="F293" s="17" t="n">
        <v>153.563254071167</v>
      </c>
      <c r="G293" s="23" t="n">
        <f aca="false">156.955161-150.171347</f>
        <v>6.78381400000001</v>
      </c>
    </row>
    <row r="294" customFormat="false" ht="15" hidden="false" customHeight="false" outlineLevel="0" collapsed="false">
      <c r="A294" s="12" t="n">
        <v>46569</v>
      </c>
      <c r="B294" s="14"/>
      <c r="C294" s="21" t="str">
        <f aca="false">IFERROR((B294/B293-1)*100,"")</f>
        <v/>
      </c>
      <c r="D294" s="21" t="str">
        <f aca="false">IFERROR((B294/B290-1)*100,"")</f>
        <v/>
      </c>
      <c r="E294" s="13" t="n">
        <v>156.638840772369</v>
      </c>
      <c r="F294" s="13" t="n">
        <v>153.98263942881</v>
      </c>
      <c r="G294" s="22" t="n">
        <f aca="false">157.646318-150.318961</f>
        <v>7.32735700000001</v>
      </c>
    </row>
    <row r="295" customFormat="false" ht="15" hidden="false" customHeight="false" outlineLevel="0" collapsed="false">
      <c r="A295" s="16" t="n">
        <v>46661</v>
      </c>
      <c r="B295" s="19"/>
      <c r="C295" s="18" t="str">
        <f aca="false">IFERROR((B295/B294-1)*100,"")</f>
        <v/>
      </c>
      <c r="D295" s="18" t="str">
        <f aca="false">IFERROR((B295/B291-1)*100,"")</f>
        <v/>
      </c>
      <c r="E295" s="17" t="n">
        <v>157.42536343585</v>
      </c>
      <c r="F295" s="17" t="n">
        <v>154.807728114834</v>
      </c>
      <c r="G295" s="23" t="n">
        <f aca="false">158.724365-150.891091</f>
        <v>7.83327400000002</v>
      </c>
    </row>
  </sheetData>
  <mergeCells count="9">
    <mergeCell ref="A4:N4"/>
    <mergeCell ref="A6:G6"/>
    <mergeCell ref="I6:L6"/>
    <mergeCell ref="A102:N102"/>
    <mergeCell ref="A104:G104"/>
    <mergeCell ref="I104:L104"/>
    <mergeCell ref="A200:N200"/>
    <mergeCell ref="A202:G202"/>
    <mergeCell ref="I202:L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21.75" hidden="false" customHeight="true" outlineLevel="0" collapsed="false">
      <c r="A4" s="9" t="s">
        <v>147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108</v>
      </c>
      <c r="B5" s="10" t="s">
        <v>109</v>
      </c>
      <c r="D5" s="5" t="s">
        <v>110</v>
      </c>
      <c r="E5" s="2" t="s">
        <v>140</v>
      </c>
      <c r="H5" s="5" t="s">
        <v>112</v>
      </c>
      <c r="I5" s="2" t="s">
        <v>113</v>
      </c>
    </row>
    <row r="6" customFormat="false" ht="18" hidden="false" customHeight="true" outlineLevel="0" collapsed="false">
      <c r="A6" s="11" t="s">
        <v>114</v>
      </c>
      <c r="B6" s="11"/>
      <c r="C6" s="11"/>
      <c r="D6" s="11"/>
      <c r="E6" s="11"/>
      <c r="F6" s="11"/>
      <c r="G6" s="11"/>
      <c r="I6" s="11" t="s">
        <v>115</v>
      </c>
      <c r="J6" s="11"/>
      <c r="K6" s="11"/>
      <c r="L6" s="11"/>
    </row>
    <row r="7" customFormat="false" ht="15" hidden="false" customHeight="false" outlineLevel="0" collapsed="false">
      <c r="A7" s="6" t="s">
        <v>116</v>
      </c>
      <c r="B7" s="6" t="s">
        <v>117</v>
      </c>
      <c r="C7" s="6" t="s">
        <v>118</v>
      </c>
      <c r="D7" s="6" t="s">
        <v>119</v>
      </c>
      <c r="E7" s="6" t="s">
        <v>120</v>
      </c>
      <c r="F7" s="6" t="s">
        <v>121</v>
      </c>
      <c r="G7" s="6" t="s">
        <v>122</v>
      </c>
      <c r="I7" s="6" t="s">
        <v>123</v>
      </c>
      <c r="J7" s="6" t="s">
        <v>117</v>
      </c>
      <c r="K7" s="6" t="s">
        <v>119</v>
      </c>
      <c r="L7" s="6" t="s">
        <v>124</v>
      </c>
    </row>
    <row r="8" customFormat="false" ht="15" hidden="false" customHeight="false" outlineLevel="0" collapsed="false">
      <c r="A8" s="12" t="n">
        <v>38353</v>
      </c>
      <c r="B8" s="13" t="n">
        <v>99.8527362273308</v>
      </c>
      <c r="C8" s="14"/>
      <c r="D8" s="14"/>
      <c r="E8" s="14"/>
      <c r="F8" s="14"/>
      <c r="G8" s="14"/>
      <c r="I8" s="15" t="n">
        <v>2005</v>
      </c>
      <c r="J8" s="13" t="n">
        <v>101.31267906081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100.385276871342</v>
      </c>
      <c r="C9" s="18" t="n">
        <f aca="false">IFERROR((B9/B8-1)*100,"")</f>
        <v>0.533326040058801</v>
      </c>
      <c r="D9" s="19"/>
      <c r="E9" s="19"/>
      <c r="F9" s="19"/>
      <c r="G9" s="19"/>
      <c r="I9" s="20" t="n">
        <v>2006</v>
      </c>
      <c r="J9" s="17" t="n">
        <v>103.40444727811</v>
      </c>
      <c r="K9" s="18" t="n">
        <f aca="false">IFERROR((J9/J8-1)*100,"")</f>
        <v>2.06466578190503</v>
      </c>
      <c r="L9" s="19"/>
    </row>
    <row r="10" customFormat="false" ht="15" hidden="false" customHeight="false" outlineLevel="0" collapsed="false">
      <c r="A10" s="12" t="n">
        <v>38534</v>
      </c>
      <c r="B10" s="13" t="n">
        <v>100.744317129473</v>
      </c>
      <c r="C10" s="21" t="n">
        <f aca="false">IFERROR((B10/B9-1)*100,"")</f>
        <v>0.357662268134074</v>
      </c>
      <c r="D10" s="14"/>
      <c r="E10" s="14"/>
      <c r="F10" s="14"/>
      <c r="G10" s="14"/>
      <c r="I10" s="15" t="n">
        <v>2007</v>
      </c>
      <c r="J10" s="13" t="n">
        <v>105.513747945749</v>
      </c>
      <c r="K10" s="21" t="n">
        <f aca="false">IFERROR((J10/J9-1)*100,"")</f>
        <v>2.03985488357823</v>
      </c>
      <c r="L10" s="14"/>
    </row>
    <row r="11" customFormat="false" ht="15" hidden="false" customHeight="false" outlineLevel="0" collapsed="false">
      <c r="A11" s="16" t="n">
        <v>38626</v>
      </c>
      <c r="B11" s="17" t="n">
        <v>101.31267906081</v>
      </c>
      <c r="C11" s="18" t="n">
        <f aca="false">IFERROR((B11/B10-1)*100,"")</f>
        <v>0.5641627711928</v>
      </c>
      <c r="D11" s="19"/>
      <c r="E11" s="19"/>
      <c r="F11" s="19"/>
      <c r="G11" s="19"/>
      <c r="I11" s="20" t="n">
        <v>2008</v>
      </c>
      <c r="J11" s="17" t="n">
        <v>107.455683590527</v>
      </c>
      <c r="K11" s="18" t="n">
        <f aca="false">IFERROR((J11/J10-1)*100,"")</f>
        <v>1.84045745941701</v>
      </c>
      <c r="L11" s="19"/>
    </row>
    <row r="12" customFormat="false" ht="15" hidden="false" customHeight="false" outlineLevel="0" collapsed="false">
      <c r="A12" s="12" t="n">
        <v>38718</v>
      </c>
      <c r="B12" s="13" t="n">
        <v>101.40747352628</v>
      </c>
      <c r="C12" s="21" t="n">
        <f aca="false">IFERROR((B12/B11-1)*100,"")</f>
        <v>0.093566241016485</v>
      </c>
      <c r="D12" s="21" t="n">
        <f aca="false">IFERROR((B12/B8-1)*100,"")</f>
        <v>1.55703024042313</v>
      </c>
      <c r="E12" s="14"/>
      <c r="F12" s="14"/>
      <c r="G12" s="14"/>
      <c r="I12" s="15" t="n">
        <v>2009</v>
      </c>
      <c r="J12" s="13" t="n">
        <v>110.111625778977</v>
      </c>
      <c r="K12" s="21" t="n">
        <f aca="false">IFERROR((J12/J11-1)*100,"")</f>
        <v>2.47166282853011</v>
      </c>
      <c r="L12" s="14"/>
    </row>
    <row r="13" customFormat="false" ht="15" hidden="false" customHeight="false" outlineLevel="0" collapsed="false">
      <c r="A13" s="16" t="n">
        <v>38808</v>
      </c>
      <c r="B13" s="17" t="n">
        <v>102.116797754791</v>
      </c>
      <c r="C13" s="18" t="n">
        <f aca="false">IFERROR((B13/B12-1)*100,"")</f>
        <v>0.699479243339063</v>
      </c>
      <c r="D13" s="18" t="n">
        <f aca="false">IFERROR((B13/B9-1)*100,"")</f>
        <v>1.72487533771311</v>
      </c>
      <c r="E13" s="19"/>
      <c r="F13" s="19"/>
      <c r="G13" s="19"/>
      <c r="I13" s="20" t="n">
        <v>2010</v>
      </c>
      <c r="J13" s="17" t="n">
        <v>112.312583615439</v>
      </c>
      <c r="K13" s="18" t="n">
        <f aca="false">IFERROR((J13/J12-1)*100,"")</f>
        <v>1.99884237553551</v>
      </c>
      <c r="L13" s="19"/>
    </row>
    <row r="14" customFormat="false" ht="15" hidden="false" customHeight="false" outlineLevel="0" collapsed="false">
      <c r="A14" s="12" t="n">
        <v>38899</v>
      </c>
      <c r="B14" s="13" t="n">
        <v>103.79115771364</v>
      </c>
      <c r="C14" s="21" t="n">
        <f aca="false">IFERROR((B14/B13-1)*100,"")</f>
        <v>1.63965184539931</v>
      </c>
      <c r="D14" s="21" t="n">
        <f aca="false">IFERROR((B14/B10-1)*100,"")</f>
        <v>3.0243299780885</v>
      </c>
      <c r="E14" s="14"/>
      <c r="F14" s="14"/>
      <c r="G14" s="14"/>
      <c r="I14" s="15" t="n">
        <v>2011</v>
      </c>
      <c r="J14" s="13" t="n">
        <v>114.613441200155</v>
      </c>
      <c r="K14" s="21" t="n">
        <f aca="false">IFERROR((J14/J13-1)*100,"")</f>
        <v>2.04861958531208</v>
      </c>
      <c r="L14" s="14"/>
    </row>
    <row r="15" customFormat="false" ht="15" hidden="false" customHeight="false" outlineLevel="0" collapsed="false">
      <c r="A15" s="16" t="n">
        <v>38991</v>
      </c>
      <c r="B15" s="17" t="n">
        <v>103.40444727811</v>
      </c>
      <c r="C15" s="18" t="n">
        <f aca="false">IFERROR((B15/B14-1)*100,"")</f>
        <v>-0.372585145063553</v>
      </c>
      <c r="D15" s="18" t="n">
        <f aca="false">IFERROR((B15/B11-1)*100,"")</f>
        <v>2.06466578190503</v>
      </c>
      <c r="E15" s="19"/>
      <c r="F15" s="19"/>
      <c r="G15" s="19"/>
      <c r="I15" s="20" t="n">
        <v>2012</v>
      </c>
      <c r="J15" s="17" t="n">
        <v>116.442439172271</v>
      </c>
      <c r="K15" s="18" t="n">
        <f aca="false">IFERROR((J15/J14-1)*100,"")</f>
        <v>1.59579710107678</v>
      </c>
      <c r="L15" s="19"/>
    </row>
    <row r="16" customFormat="false" ht="15" hidden="false" customHeight="false" outlineLevel="0" collapsed="false">
      <c r="A16" s="12" t="n">
        <v>39083</v>
      </c>
      <c r="B16" s="13" t="n">
        <v>104.275705017128</v>
      </c>
      <c r="C16" s="21" t="n">
        <f aca="false">IFERROR((B16/B15-1)*100,"")</f>
        <v>0.842572792517538</v>
      </c>
      <c r="D16" s="21" t="n">
        <f aca="false">IFERROR((B16/B12-1)*100,"")</f>
        <v>2.82842219721082</v>
      </c>
      <c r="E16" s="14"/>
      <c r="F16" s="14"/>
      <c r="G16" s="14"/>
      <c r="I16" s="15" t="n">
        <v>2013</v>
      </c>
      <c r="J16" s="13" t="n">
        <v>119.696705250253</v>
      </c>
      <c r="K16" s="21" t="n">
        <f aca="false">IFERROR((J16/J15-1)*100,"")</f>
        <v>2.7947422787731</v>
      </c>
      <c r="L16" s="14"/>
    </row>
    <row r="17" customFormat="false" ht="15" hidden="false" customHeight="false" outlineLevel="0" collapsed="false">
      <c r="A17" s="16" t="n">
        <v>39173</v>
      </c>
      <c r="B17" s="17" t="n">
        <v>104.233016594436</v>
      </c>
      <c r="C17" s="18" t="n">
        <f aca="false">IFERROR((B17/B16-1)*100,"")</f>
        <v>-0.0409380331548914</v>
      </c>
      <c r="D17" s="18" t="n">
        <f aca="false">IFERROR((B17/B13-1)*100,"")</f>
        <v>2.07235135273856</v>
      </c>
      <c r="E17" s="19"/>
      <c r="F17" s="19"/>
      <c r="G17" s="19"/>
      <c r="I17" s="20" t="n">
        <v>2014</v>
      </c>
      <c r="J17" s="17" t="n">
        <v>121.123911449423</v>
      </c>
      <c r="K17" s="18" t="n">
        <f aca="false">IFERROR((J17/J16-1)*100,"")</f>
        <v>1.19235211711659</v>
      </c>
      <c r="L17" s="19"/>
    </row>
    <row r="18" customFormat="false" ht="15" hidden="false" customHeight="false" outlineLevel="0" collapsed="false">
      <c r="A18" s="12" t="n">
        <v>39264</v>
      </c>
      <c r="B18" s="13" t="n">
        <v>104.472620090715</v>
      </c>
      <c r="C18" s="21" t="n">
        <f aca="false">IFERROR((B18/B17-1)*100,"")</f>
        <v>0.229872936721742</v>
      </c>
      <c r="D18" s="21" t="n">
        <f aca="false">IFERROR((B18/B14-1)*100,"")</f>
        <v>0.656570744643825</v>
      </c>
      <c r="E18" s="14"/>
      <c r="F18" s="14"/>
      <c r="G18" s="14"/>
      <c r="I18" s="15" t="n">
        <v>2015</v>
      </c>
      <c r="J18" s="13" t="n">
        <v>123.637798284386</v>
      </c>
      <c r="K18" s="21" t="n">
        <f aca="false">IFERROR((J18/J17-1)*100,"")</f>
        <v>2.0754670195839</v>
      </c>
      <c r="L18" s="14"/>
    </row>
    <row r="19" customFormat="false" ht="15" hidden="false" customHeight="false" outlineLevel="0" collapsed="false">
      <c r="A19" s="16" t="n">
        <v>39356</v>
      </c>
      <c r="B19" s="17" t="n">
        <v>105.513747945749</v>
      </c>
      <c r="C19" s="18" t="n">
        <f aca="false">IFERROR((B19/B18-1)*100,"")</f>
        <v>0.996555704384727</v>
      </c>
      <c r="D19" s="18" t="n">
        <f aca="false">IFERROR((B19/B15-1)*100,"")</f>
        <v>2.03985488357823</v>
      </c>
      <c r="E19" s="19"/>
      <c r="F19" s="19"/>
      <c r="G19" s="19"/>
      <c r="I19" s="20" t="n">
        <v>2016</v>
      </c>
      <c r="J19" s="17" t="n">
        <v>126.595680053033</v>
      </c>
      <c r="K19" s="18" t="n">
        <f aca="false">IFERROR((J19/J18-1)*100,"")</f>
        <v>2.39237661110951</v>
      </c>
      <c r="L19" s="19"/>
    </row>
    <row r="20" customFormat="false" ht="15" hidden="false" customHeight="false" outlineLevel="0" collapsed="false">
      <c r="A20" s="12" t="n">
        <v>39448</v>
      </c>
      <c r="B20" s="13" t="n">
        <v>106.717563643873</v>
      </c>
      <c r="C20" s="21" t="n">
        <f aca="false">IFERROR((B20/B19-1)*100,"")</f>
        <v>1.14090885932983</v>
      </c>
      <c r="D20" s="21" t="n">
        <f aca="false">IFERROR((B20/B16-1)*100,"")</f>
        <v>2.3417330300898</v>
      </c>
      <c r="E20" s="14"/>
      <c r="F20" s="14"/>
      <c r="G20" s="14"/>
      <c r="I20" s="15" t="n">
        <v>2017</v>
      </c>
      <c r="J20" s="13" t="n">
        <v>129.41886874762</v>
      </c>
      <c r="K20" s="21" t="n">
        <f aca="false">IFERROR((J20/J19-1)*100,"")</f>
        <v>2.23008296444582</v>
      </c>
      <c r="L20" s="14"/>
    </row>
    <row r="21" customFormat="false" ht="15" hidden="false" customHeight="false" outlineLevel="0" collapsed="false">
      <c r="A21" s="16" t="n">
        <v>39539</v>
      </c>
      <c r="B21" s="17" t="n">
        <v>107.524370221135</v>
      </c>
      <c r="C21" s="18" t="n">
        <f aca="false">IFERROR((B21/B20-1)*100,"")</f>
        <v>0.756020424111625</v>
      </c>
      <c r="D21" s="18" t="n">
        <f aca="false">IFERROR((B21/B17-1)*100,"")</f>
        <v>3.15768816276896</v>
      </c>
      <c r="E21" s="19"/>
      <c r="F21" s="19"/>
      <c r="G21" s="19"/>
      <c r="I21" s="20" t="n">
        <v>2018</v>
      </c>
      <c r="J21" s="17" t="n">
        <v>130.799050100728</v>
      </c>
      <c r="K21" s="18" t="n">
        <f aca="false">IFERROR((J21/J20-1)*100,"")</f>
        <v>1.06644523048629</v>
      </c>
      <c r="L21" s="19"/>
    </row>
    <row r="22" customFormat="false" ht="15" hidden="false" customHeight="false" outlineLevel="0" collapsed="false">
      <c r="A22" s="12" t="n">
        <v>39630</v>
      </c>
      <c r="B22" s="13" t="n">
        <v>107.143990611772</v>
      </c>
      <c r="C22" s="21" t="n">
        <f aca="false">IFERROR((B22/B21-1)*100,"")</f>
        <v>-0.353761299491095</v>
      </c>
      <c r="D22" s="21" t="n">
        <f aca="false">IFERROR((B22/B18-1)*100,"")</f>
        <v>2.55700538450812</v>
      </c>
      <c r="E22" s="14"/>
      <c r="F22" s="14"/>
      <c r="G22" s="14"/>
      <c r="I22" s="15" t="n">
        <v>2019</v>
      </c>
      <c r="J22" s="13" t="n">
        <v>134.312908003661</v>
      </c>
      <c r="K22" s="21" t="n">
        <f aca="false">IFERROR((J22/J21-1)*100,"")</f>
        <v>2.6864552152539</v>
      </c>
      <c r="L22" s="14"/>
    </row>
    <row r="23" customFormat="false" ht="15" hidden="false" customHeight="false" outlineLevel="0" collapsed="false">
      <c r="A23" s="16" t="n">
        <v>39722</v>
      </c>
      <c r="B23" s="17" t="n">
        <v>107.455683590527</v>
      </c>
      <c r="C23" s="18" t="n">
        <f aca="false">IFERROR((B23/B22-1)*100,"")</f>
        <v>0.29091036928548</v>
      </c>
      <c r="D23" s="18" t="n">
        <f aca="false">IFERROR((B23/B19-1)*100,"")</f>
        <v>1.84045745941701</v>
      </c>
      <c r="E23" s="19"/>
      <c r="F23" s="19"/>
      <c r="G23" s="19"/>
      <c r="I23" s="20" t="n">
        <v>2020</v>
      </c>
      <c r="J23" s="17" t="n">
        <v>136.928353502413</v>
      </c>
      <c r="K23" s="18" t="n">
        <f aca="false">IFERROR((J23/J22-1)*100,"")</f>
        <v>1.94727784367517</v>
      </c>
      <c r="L23" s="19"/>
    </row>
    <row r="24" customFormat="false" ht="15" hidden="false" customHeight="false" outlineLevel="0" collapsed="false">
      <c r="A24" s="12" t="n">
        <v>39814</v>
      </c>
      <c r="B24" s="13" t="n">
        <v>108.566194295762</v>
      </c>
      <c r="C24" s="21" t="n">
        <f aca="false">IFERROR((B24/B23-1)*100,"")</f>
        <v>1.03345925327332</v>
      </c>
      <c r="D24" s="21" t="n">
        <f aca="false">IFERROR((B24/B20-1)*100,"")</f>
        <v>1.73226467018817</v>
      </c>
      <c r="E24" s="14"/>
      <c r="F24" s="14"/>
      <c r="G24" s="14"/>
      <c r="I24" s="15" t="n">
        <v>2021</v>
      </c>
      <c r="J24" s="13" t="n">
        <v>140.046661417551</v>
      </c>
      <c r="K24" s="21" t="n">
        <f aca="false">IFERROR((J24/J23-1)*100,"")</f>
        <v>2.27732813210513</v>
      </c>
      <c r="L24" s="14"/>
    </row>
    <row r="25" customFormat="false" ht="15" hidden="false" customHeight="false" outlineLevel="0" collapsed="false">
      <c r="A25" s="16" t="n">
        <v>39904</v>
      </c>
      <c r="B25" s="17" t="n">
        <v>108.548725497064</v>
      </c>
      <c r="C25" s="18" t="n">
        <f aca="false">IFERROR((B25/B24-1)*100,"")</f>
        <v>-0.0160904587392263</v>
      </c>
      <c r="D25" s="18" t="n">
        <f aca="false">IFERROR((B25/B21-1)*100,"")</f>
        <v>0.952672658134901</v>
      </c>
      <c r="E25" s="19"/>
      <c r="F25" s="19"/>
      <c r="G25" s="19"/>
      <c r="I25" s="20" t="n">
        <v>2022</v>
      </c>
      <c r="J25" s="17" t="n">
        <v>142.949091462038</v>
      </c>
      <c r="K25" s="18" t="n">
        <f aca="false">IFERROR((J25/J24-1)*100,"")</f>
        <v>2.07247357067191</v>
      </c>
      <c r="L25" s="19"/>
    </row>
    <row r="26" customFormat="false" ht="15" hidden="false" customHeight="false" outlineLevel="0" collapsed="false">
      <c r="A26" s="12" t="n">
        <v>39995</v>
      </c>
      <c r="B26" s="13" t="n">
        <v>109.295874048165</v>
      </c>
      <c r="C26" s="21" t="n">
        <f aca="false">IFERROR((B26/B25-1)*100,"")</f>
        <v>0.688307069179839</v>
      </c>
      <c r="D26" s="21" t="n">
        <f aca="false">IFERROR((B26/B22-1)*100,"")</f>
        <v>2.00840329364855</v>
      </c>
      <c r="E26" s="14"/>
      <c r="F26" s="14"/>
      <c r="G26" s="14"/>
      <c r="I26" s="15" t="n">
        <v>2023</v>
      </c>
      <c r="J26" s="13" t="n">
        <v>145.211394216833</v>
      </c>
      <c r="K26" s="21" t="n">
        <f aca="false">IFERROR((J26/J25-1)*100,"")</f>
        <v>1.58259330762873</v>
      </c>
      <c r="L26" s="14"/>
    </row>
    <row r="27" customFormat="false" ht="15" hidden="false" customHeight="false" outlineLevel="0" collapsed="false">
      <c r="A27" s="16" t="n">
        <v>40087</v>
      </c>
      <c r="B27" s="17" t="n">
        <v>110.111625778977</v>
      </c>
      <c r="C27" s="18" t="n">
        <f aca="false">IFERROR((B27/B26-1)*100,"")</f>
        <v>0.74637010584051</v>
      </c>
      <c r="D27" s="18" t="n">
        <f aca="false">IFERROR((B27/B23-1)*100,"")</f>
        <v>2.47166282853011</v>
      </c>
      <c r="E27" s="19"/>
      <c r="F27" s="19"/>
      <c r="G27" s="19"/>
      <c r="I27" s="20" t="n">
        <v>2024</v>
      </c>
      <c r="J27" s="17" t="n">
        <v>148.179082854161</v>
      </c>
      <c r="K27" s="18" t="n">
        <f aca="false">IFERROR((J27/J26-1)*100,"")</f>
        <v>2.04370232331568</v>
      </c>
      <c r="L27" s="19"/>
    </row>
    <row r="28" customFormat="false" ht="15" hidden="false" customHeight="false" outlineLevel="0" collapsed="false">
      <c r="A28" s="12" t="n">
        <v>40179</v>
      </c>
      <c r="B28" s="13" t="n">
        <v>109.861092434605</v>
      </c>
      <c r="C28" s="21" t="n">
        <f aca="false">IFERROR((B28/B27-1)*100,"")</f>
        <v>-0.22752669629571</v>
      </c>
      <c r="D28" s="21" t="n">
        <f aca="false">IFERROR((B28/B24-1)*100,"")</f>
        <v>1.19272684028655</v>
      </c>
      <c r="E28" s="14"/>
      <c r="F28" s="14"/>
      <c r="G28" s="14"/>
      <c r="I28" s="15" t="n">
        <v>2025</v>
      </c>
      <c r="J28" s="13" t="n">
        <v>150.580554312352</v>
      </c>
      <c r="K28" s="21" t="n">
        <f aca="false">IFERROR((J28/J27-1)*100,"")</f>
        <v>1.62065482653442</v>
      </c>
      <c r="L28" s="14"/>
    </row>
    <row r="29" customFormat="false" ht="15" hidden="false" customHeight="false" outlineLevel="0" collapsed="false">
      <c r="A29" s="16" t="n">
        <v>40269</v>
      </c>
      <c r="B29" s="17" t="n">
        <v>110.497436569917</v>
      </c>
      <c r="C29" s="18" t="n">
        <f aca="false">IFERROR((B29/B28-1)*100,"")</f>
        <v>0.579226112912523</v>
      </c>
      <c r="D29" s="18" t="n">
        <f aca="false">IFERROR((B29/B25-1)*100,"")</f>
        <v>1.79524085974276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152.697689769467</v>
      </c>
    </row>
    <row r="30" customFormat="false" ht="15" hidden="false" customHeight="false" outlineLevel="0" collapsed="false">
      <c r="A30" s="12" t="n">
        <v>40360</v>
      </c>
      <c r="B30" s="13" t="n">
        <v>111.893555720589</v>
      </c>
      <c r="C30" s="21" t="n">
        <f aca="false">IFERROR((B30/B29-1)*100,"")</f>
        <v>1.26348555587368</v>
      </c>
      <c r="D30" s="21" t="n">
        <f aca="false">IFERROR((B30/B26-1)*100,"")</f>
        <v>2.37674266759533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154.083681798618</v>
      </c>
    </row>
    <row r="31" customFormat="false" ht="15" hidden="false" customHeight="false" outlineLevel="0" collapsed="false">
      <c r="A31" s="16" t="n">
        <v>40452</v>
      </c>
      <c r="B31" s="17" t="n">
        <v>112.312583615439</v>
      </c>
      <c r="C31" s="18" t="n">
        <f aca="false">IFERROR((B31/B30-1)*100,"")</f>
        <v>0.374487960590209</v>
      </c>
      <c r="D31" s="18" t="n">
        <f aca="false">IFERROR((B31/B27-1)*100,"")</f>
        <v>1.99884237553551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112.717107385039</v>
      </c>
      <c r="C32" s="21" t="n">
        <f aca="false">IFERROR((B32/B31-1)*100,"")</f>
        <v>0.360176710906779</v>
      </c>
      <c r="D32" s="21" t="n">
        <f aca="false">IFERROR((B32/B28-1)*100,"")</f>
        <v>2.59966006813035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112.655518756599</v>
      </c>
      <c r="C33" s="18" t="n">
        <f aca="false">IFERROR((B33/B32-1)*100,"")</f>
        <v>-0.0546400008559655</v>
      </c>
      <c r="D33" s="18" t="n">
        <f aca="false">IFERROR((B33/B29-1)*100,"")</f>
        <v>1.9530608615671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113.587729391008</v>
      </c>
      <c r="C34" s="21" t="n">
        <f aca="false">IFERROR((B34/B33-1)*100,"")</f>
        <v>0.82748776508963</v>
      </c>
      <c r="D34" s="21" t="n">
        <f aca="false">IFERROR((B34/B30-1)*100,"")</f>
        <v>1.51409405082277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114.613441200155</v>
      </c>
      <c r="C35" s="18" t="n">
        <f aca="false">IFERROR((B35/B34-1)*100,"")</f>
        <v>0.903012864721897</v>
      </c>
      <c r="D35" s="18" t="n">
        <f aca="false">IFERROR((B35/B31-1)*100,"")</f>
        <v>2.04861958531208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115.181567469944</v>
      </c>
      <c r="C36" s="21" t="n">
        <f aca="false">IFERROR((B36/B35-1)*100,"")</f>
        <v>0.495689042960468</v>
      </c>
      <c r="D36" s="21" t="n">
        <f aca="false">IFERROR((B36/B32-1)*100,"")</f>
        <v>2.18641175423884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115.292730866561</v>
      </c>
      <c r="C37" s="18" t="n">
        <f aca="false">IFERROR((B37/B36-1)*100,"")</f>
        <v>0.0965114462837979</v>
      </c>
      <c r="D37" s="18" t="n">
        <f aca="false">IFERROR((B37/B33-1)*100,"")</f>
        <v>2.34095243541508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115.852599422417</v>
      </c>
      <c r="C38" s="21" t="n">
        <f aca="false">IFERROR((B38/B37-1)*100,"")</f>
        <v>0.485606119004656</v>
      </c>
      <c r="D38" s="21" t="n">
        <f aca="false">IFERROR((B38/B34-1)*100,"")</f>
        <v>1.99393899636124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116.442439172271</v>
      </c>
      <c r="C39" s="18" t="n">
        <f aca="false">IFERROR((B39/B38-1)*100,"")</f>
        <v>0.509129491090188</v>
      </c>
      <c r="D39" s="18" t="n">
        <f aca="false">IFERROR((B39/B35-1)*100,"")</f>
        <v>1.59579710107678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116.987602662308</v>
      </c>
      <c r="C40" s="21" t="n">
        <f aca="false">IFERROR((B40/B39-1)*100,"")</f>
        <v>0.468182815399598</v>
      </c>
      <c r="D40" s="21" t="n">
        <f aca="false">IFERROR((B40/B36-1)*100,"")</f>
        <v>1.56798976783787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117.510150636225</v>
      </c>
      <c r="C41" s="18" t="n">
        <f aca="false">IFERROR((B41/B40-1)*100,"")</f>
        <v>0.446669529100419</v>
      </c>
      <c r="D41" s="18" t="n">
        <f aca="false">IFERROR((B41/B37-1)*100,"")</f>
        <v>1.92329538297642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117.516127680403</v>
      </c>
      <c r="C42" s="21" t="n">
        <f aca="false">IFERROR((B42/B41-1)*100,"")</f>
        <v>0.00508640670175975</v>
      </c>
      <c r="D42" s="21" t="n">
        <f aca="false">IFERROR((B42/B38-1)*100,"")</f>
        <v>1.43590067575448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119.696705250253</v>
      </c>
      <c r="C43" s="18" t="n">
        <f aca="false">IFERROR((B43/B42-1)*100,"")</f>
        <v>1.85555600996394</v>
      </c>
      <c r="D43" s="18" t="n">
        <f aca="false">IFERROR((B43/B39-1)*100,"")</f>
        <v>2.7947422787731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119.236381963916</v>
      </c>
      <c r="C44" s="21" t="n">
        <f aca="false">IFERROR((B44/B43-1)*100,"")</f>
        <v>-0.384574734429899</v>
      </c>
      <c r="D44" s="21" t="n">
        <f aca="false">IFERROR((B44/B40-1)*100,"")</f>
        <v>1.92223727166985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119.922110121236</v>
      </c>
      <c r="C45" s="18" t="n">
        <f aca="false">IFERROR((B45/B44-1)*100,"")</f>
        <v>0.575099769068488</v>
      </c>
      <c r="D45" s="18" t="n">
        <f aca="false">IFERROR((B45/B41-1)*100,"")</f>
        <v>2.05255415974834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121.27237115711</v>
      </c>
      <c r="C46" s="21" t="n">
        <f aca="false">IFERROR((B46/B45-1)*100,"")</f>
        <v>1.12594836307411</v>
      </c>
      <c r="D46" s="21" t="n">
        <f aca="false">IFERROR((B46/B42-1)*100,"")</f>
        <v>3.19636423599892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121.123911449423</v>
      </c>
      <c r="C47" s="18" t="n">
        <f aca="false">IFERROR((B47/B46-1)*100,"")</f>
        <v>-0.122418409296265</v>
      </c>
      <c r="D47" s="18" t="n">
        <f aca="false">IFERROR((B47/B43-1)*100,"")</f>
        <v>1.19235211711659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122.682976787521</v>
      </c>
      <c r="C48" s="21" t="n">
        <f aca="false">IFERROR((B48/B47-1)*100,"")</f>
        <v>1.28716561366093</v>
      </c>
      <c r="D48" s="21" t="n">
        <f aca="false">IFERROR((B48/B44-1)*100,"")</f>
        <v>2.89055636110196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122.70352588856</v>
      </c>
      <c r="C49" s="18" t="n">
        <f aca="false">IFERROR((B49/B48-1)*100,"")</f>
        <v>0.0167497574451447</v>
      </c>
      <c r="D49" s="18" t="n">
        <f aca="false">IFERROR((B49/B45-1)*100,"")</f>
        <v>2.31935192310426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123.098942923192</v>
      </c>
      <c r="C50" s="21" t="n">
        <f aca="false">IFERROR((B50/B49-1)*100,"")</f>
        <v>0.322254011666723</v>
      </c>
      <c r="D50" s="21" t="n">
        <f aca="false">IFERROR((B50/B46-1)*100,"")</f>
        <v>1.50617304556218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123.637798284386</v>
      </c>
      <c r="C51" s="18" t="n">
        <f aca="false">IFERROR((B51/B50-1)*100,"")</f>
        <v>0.437741664061342</v>
      </c>
      <c r="D51" s="18" t="n">
        <f aca="false">IFERROR((B51/B47-1)*100,"")</f>
        <v>2.0754670195839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125.077037999569</v>
      </c>
      <c r="C52" s="21" t="n">
        <f aca="false">IFERROR((B52/B51-1)*100,"")</f>
        <v>1.16407743841576</v>
      </c>
      <c r="D52" s="21" t="n">
        <f aca="false">IFERROR((B52/B48-1)*100,"")</f>
        <v>1.95142086924869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125.313735024317</v>
      </c>
      <c r="C53" s="18" t="n">
        <f aca="false">IFERROR((B53/B52-1)*100,"")</f>
        <v>0.189240989820294</v>
      </c>
      <c r="D53" s="18" t="n">
        <f aca="false">IFERROR((B53/B49-1)*100,"")</f>
        <v>2.12724868079808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125.174700893802</v>
      </c>
      <c r="C54" s="21" t="n">
        <f aca="false">IFERROR((B54/B53-1)*100,"")</f>
        <v>-0.110948836125602</v>
      </c>
      <c r="D54" s="21" t="n">
        <f aca="false">IFERROR((B54/B50-1)*100,"")</f>
        <v>1.68625166172618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126.595680053033</v>
      </c>
      <c r="C55" s="18" t="n">
        <f aca="false">IFERROR((B55/B54-1)*100,"")</f>
        <v>1.13519676826404</v>
      </c>
      <c r="D55" s="18" t="n">
        <f aca="false">IFERROR((B55/B51-1)*100,"")</f>
        <v>2.39237661110951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127.034315528165</v>
      </c>
      <c r="C56" s="21" t="n">
        <f aca="false">IFERROR((B56/B55-1)*100,"")</f>
        <v>0.346485342113212</v>
      </c>
      <c r="D56" s="21" t="n">
        <f aca="false">IFERROR((B56/B52-1)*100,"")</f>
        <v>1.5648575948872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127.251093436532</v>
      </c>
      <c r="C57" s="18" t="n">
        <f aca="false">IFERROR((B57/B56-1)*100,"")</f>
        <v>0.170645157936677</v>
      </c>
      <c r="D57" s="18" t="n">
        <f aca="false">IFERROR((B57/B53-1)*100,"")</f>
        <v>1.54600643883032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128.419319661698</v>
      </c>
      <c r="C58" s="21" t="n">
        <f aca="false">IFERROR((B58/B57-1)*100,"")</f>
        <v>0.918048084002732</v>
      </c>
      <c r="D58" s="21" t="n">
        <f aca="false">IFERROR((B58/B54-1)*100,"")</f>
        <v>2.5920723155145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129.41886874762</v>
      </c>
      <c r="C59" s="18" t="n">
        <f aca="false">IFERROR((B59/B58-1)*100,"")</f>
        <v>0.77834790633875</v>
      </c>
      <c r="D59" s="18" t="n">
        <f aca="false">IFERROR((B59/B55-1)*100,"")</f>
        <v>2.23008296444582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130.422760087618</v>
      </c>
      <c r="C60" s="21" t="n">
        <f aca="false">IFERROR((B60/B59-1)*100,"")</f>
        <v>0.775691635781239</v>
      </c>
      <c r="D60" s="21" t="n">
        <f aca="false">IFERROR((B60/B56-1)*100,"")</f>
        <v>2.6673458627023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131.139307430827</v>
      </c>
      <c r="C61" s="18" t="n">
        <f aca="false">IFERROR((B61/B60-1)*100,"")</f>
        <v>0.549403603119969</v>
      </c>
      <c r="D61" s="18" t="n">
        <f aca="false">IFERROR((B61/B57-1)*100,"")</f>
        <v>3.05554466314673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131.001029383191</v>
      </c>
      <c r="C62" s="21" t="n">
        <f aca="false">IFERROR((B62/B61-1)*100,"")</f>
        <v>-0.105443631162694</v>
      </c>
      <c r="D62" s="21" t="n">
        <f aca="false">IFERROR((B62/B58-1)*100,"")</f>
        <v>2.0103748628272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130.799050100728</v>
      </c>
      <c r="C63" s="18" t="n">
        <f aca="false">IFERROR((B63/B62-1)*100,"")</f>
        <v>-0.15418144682825</v>
      </c>
      <c r="D63" s="18" t="n">
        <f aca="false">IFERROR((B63/B59-1)*100,"")</f>
        <v>1.06644523048629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131.480395657169</v>
      </c>
      <c r="C64" s="21" t="n">
        <f aca="false">IFERROR((B64/B63-1)*100,"")</f>
        <v>0.520910171684119</v>
      </c>
      <c r="D64" s="21" t="n">
        <f aca="false">IFERROR((B64/B60-1)*100,"")</f>
        <v>0.810928682110945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132.528761810462</v>
      </c>
      <c r="C65" s="18" t="n">
        <f aca="false">IFERROR((B65/B64-1)*100,"")</f>
        <v>0.797355490187801</v>
      </c>
      <c r="D65" s="18" t="n">
        <f aca="false">IFERROR((B65/B61-1)*100,"")</f>
        <v>1.05952548237096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133.271961774165</v>
      </c>
      <c r="C66" s="21" t="n">
        <f aca="false">IFERROR((B66/B65-1)*100,"")</f>
        <v>0.560783903471629</v>
      </c>
      <c r="D66" s="21" t="n">
        <f aca="false">IFERROR((B66/B62-1)*100,"")</f>
        <v>1.73352255449206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134.312908003661</v>
      </c>
      <c r="C67" s="18" t="n">
        <f aca="false">IFERROR((B67/B66-1)*100,"")</f>
        <v>0.781069187876304</v>
      </c>
      <c r="D67" s="18" t="n">
        <f aca="false">IFERROR((B67/B63-1)*100,"")</f>
        <v>2.6864552152539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135.261909670538</v>
      </c>
      <c r="C68" s="21" t="n">
        <f aca="false">IFERROR((B68/B67-1)*100,"")</f>
        <v>0.706560285963231</v>
      </c>
      <c r="D68" s="21" t="n">
        <f aca="false">IFERROR((B68/B64-1)*100,"")</f>
        <v>2.87610483256306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136.447409939592</v>
      </c>
      <c r="C69" s="18" t="n">
        <f aca="false">IFERROR((B69/B68-1)*100,"")</f>
        <v>0.876447975591632</v>
      </c>
      <c r="D69" s="18" t="n">
        <f aca="false">IFERROR((B69/B65-1)*100,"")</f>
        <v>2.95682844659346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135.419738109468</v>
      </c>
      <c r="C70" s="21" t="n">
        <f aca="false">IFERROR((B70/B69-1)*100,"")</f>
        <v>-0.753163310742866</v>
      </c>
      <c r="D70" s="21" t="n">
        <f aca="false">IFERROR((B70/B66-1)*100,"")</f>
        <v>1.61157403756245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136.928353502413</v>
      </c>
      <c r="C71" s="18" t="n">
        <f aca="false">IFERROR((B71/B70-1)*100,"")</f>
        <v>1.11402917625296</v>
      </c>
      <c r="D71" s="18" t="n">
        <f aca="false">IFERROR((B71/B67-1)*100,"")</f>
        <v>1.94727784367517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136.836213786201</v>
      </c>
      <c r="C72" s="21" t="n">
        <f aca="false">IFERROR((B72/B71-1)*100,"")</f>
        <v>-0.0672904580056644</v>
      </c>
      <c r="D72" s="21" t="n">
        <f aca="false">IFERROR((B72/B68-1)*100,"")</f>
        <v>1.16389316068219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137.679023523058</v>
      </c>
      <c r="C73" s="18" t="n">
        <f aca="false">IFERROR((B73/B72-1)*100,"")</f>
        <v>0.615925940609063</v>
      </c>
      <c r="D73" s="18" t="n">
        <f aca="false">IFERROR((B73/B69-1)*100,"")</f>
        <v>0.902628773980574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139.286671630315</v>
      </c>
      <c r="C74" s="21" t="n">
        <f aca="false">IFERROR((B74/B73-1)*100,"")</f>
        <v>1.16767831883093</v>
      </c>
      <c r="D74" s="21" t="n">
        <f aca="false">IFERROR((B74/B70-1)*100,"")</f>
        <v>2.85551690974393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140.046661417551</v>
      </c>
      <c r="C75" s="18" t="n">
        <f aca="false">IFERROR((B75/B74-1)*100,"")</f>
        <v>0.545629943153436</v>
      </c>
      <c r="D75" s="18" t="n">
        <f aca="false">IFERROR((B75/B71-1)*100,"")</f>
        <v>2.27732813210513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140.174557934609</v>
      </c>
      <c r="C76" s="21" t="n">
        <f aca="false">IFERROR((B76/B75-1)*100,"")</f>
        <v>0.0913242170596185</v>
      </c>
      <c r="D76" s="21" t="n">
        <f aca="false">IFERROR((B76/B72-1)*100,"")</f>
        <v>2.43966422048469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140.065484199061</v>
      </c>
      <c r="C77" s="18" t="n">
        <f aca="false">IFERROR((B77/B76-1)*100,"")</f>
        <v>-0.0778127908195536</v>
      </c>
      <c r="D77" s="18" t="n">
        <f aca="false">IFERROR((B77/B73-1)*100,"")</f>
        <v>1.73335096003484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140.92390209171</v>
      </c>
      <c r="C78" s="21" t="n">
        <f aca="false">IFERROR((B78/B77-1)*100,"")</f>
        <v>0.612868971650937</v>
      </c>
      <c r="D78" s="21" t="n">
        <f aca="false">IFERROR((B78/B74-1)*100,"")</f>
        <v>1.17543943166418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142.949091462038</v>
      </c>
      <c r="C79" s="18" t="n">
        <f aca="false">IFERROR((B79/B78-1)*100,"")</f>
        <v>1.43708011222303</v>
      </c>
      <c r="D79" s="18" t="n">
        <f aca="false">IFERROR((B79/B75-1)*100,"")</f>
        <v>2.07247357067191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143.579130597643</v>
      </c>
      <c r="C80" s="21" t="n">
        <f aca="false">IFERROR((B80/B79-1)*100,"")</f>
        <v>0.440743714535818</v>
      </c>
      <c r="D80" s="21" t="n">
        <f aca="false">IFERROR((B80/B76-1)*100,"")</f>
        <v>2.42880927409281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144.245473460485</v>
      </c>
      <c r="C81" s="18" t="n">
        <f aca="false">IFERROR((B81/B80-1)*100,"")</f>
        <v>0.46409451016185</v>
      </c>
      <c r="D81" s="18" t="n">
        <f aca="false">IFERROR((B81/B77-1)*100,"")</f>
        <v>2.98431072103638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144.415728730367</v>
      </c>
      <c r="C82" s="21" t="n">
        <f aca="false">IFERROR((B82/B81-1)*100,"")</f>
        <v>0.118031620540782</v>
      </c>
      <c r="D82" s="21" t="n">
        <f aca="false">IFERROR((B82/B78-1)*100,"")</f>
        <v>2.47781007112982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145.211394216833</v>
      </c>
      <c r="C83" s="18" t="n">
        <f aca="false">IFERROR((B83/B82-1)*100,"")</f>
        <v>0.550954867215991</v>
      </c>
      <c r="D83" s="18" t="n">
        <f aca="false">IFERROR((B83/B79-1)*100,"")</f>
        <v>1.58259330762873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145.819820363151</v>
      </c>
      <c r="C84" s="21" t="n">
        <f aca="false">IFERROR((B84/B83-1)*100,"")</f>
        <v>0.418993392081402</v>
      </c>
      <c r="D84" s="21" t="n">
        <f aca="false">IFERROR((B84/B80-1)*100,"")</f>
        <v>1.56059571901592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147.027926882005</v>
      </c>
      <c r="C85" s="18" t="n">
        <f aca="false">IFERROR((B85/B84-1)*100,"")</f>
        <v>0.828492667077652</v>
      </c>
      <c r="D85" s="18" t="n">
        <f aca="false">IFERROR((B85/B81-1)*100,"")</f>
        <v>1.92897104828877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147.136148379104</v>
      </c>
      <c r="C86" s="21" t="n">
        <f aca="false">IFERROR((B86/B85-1)*100,"")</f>
        <v>0.0736060824593876</v>
      </c>
      <c r="D86" s="21" t="n">
        <f aca="false">IFERROR((B86/B82-1)*100,"")</f>
        <v>1.88374193909029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148.179082854161</v>
      </c>
      <c r="C87" s="18" t="n">
        <f aca="false">IFERROR((B87/B86-1)*100,"")</f>
        <v>0.708822737679626</v>
      </c>
      <c r="D87" s="18" t="n">
        <f aca="false">IFERROR((B87/B83-1)*100,"")</f>
        <v>2.04370232331568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148.663936389302</v>
      </c>
      <c r="C88" s="21" t="n">
        <f aca="false">IFERROR((B88/B87-1)*100,"")</f>
        <v>0.327207812196795</v>
      </c>
      <c r="D88" s="21" t="n">
        <f aca="false">IFERROR((B88/B84-1)*100,"")</f>
        <v>1.9504317170794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149.179609677259</v>
      </c>
      <c r="C89" s="18" t="n">
        <f aca="false">IFERROR((B89/B88-1)*100,"")</f>
        <v>0.346871810663507</v>
      </c>
      <c r="D89" s="18" t="n">
        <f aca="false">IFERROR((B89/B85-1)*100,"")</f>
        <v>1.46345176789482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151.863256418575</v>
      </c>
      <c r="C90" s="21" t="n">
        <f aca="false">IFERROR((B90/B89-1)*100,"")</f>
        <v>1.79893669592124</v>
      </c>
      <c r="D90" s="21" t="n">
        <f aca="false">IFERROR((B90/B86-1)*100,"")</f>
        <v>3.21274417710824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150.580554312352</v>
      </c>
      <c r="C91" s="18" t="n">
        <f aca="false">IFERROR((B91/B90-1)*100,"")</f>
        <v>-0.84464282965725</v>
      </c>
      <c r="D91" s="18" t="n">
        <f aca="false">IFERROR((B91/B87-1)*100,"")</f>
        <v>1.62065482653442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151.838632033543</v>
      </c>
      <c r="F92" s="13" t="n">
        <v>151.145941645565</v>
      </c>
      <c r="G92" s="22" t="n">
        <f aca="false">152.791113-149.50077</f>
        <v>3.29034300000001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152.591142197405</v>
      </c>
      <c r="F93" s="17" t="n">
        <v>151.597122804472</v>
      </c>
      <c r="G93" s="23" t="n">
        <f aca="false">153.923747-149.270499</f>
        <v>4.65324799999999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153.347381791249</v>
      </c>
      <c r="F94" s="13" t="n">
        <v>152.016036800844</v>
      </c>
      <c r="G94" s="22" t="n">
        <f aca="false">154.865557-149.166516</f>
        <v>5.69904099999999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154.107369298078</v>
      </c>
      <c r="F95" s="17" t="n">
        <v>152.697689769467</v>
      </c>
      <c r="G95" s="23" t="n">
        <f aca="false">155.988033-149.407347</f>
        <v>6.58068600000001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154.871123292498</v>
      </c>
      <c r="F96" s="13" t="n">
        <v>152.762494529836</v>
      </c>
      <c r="G96" s="22" t="n">
        <f aca="false">156.44121-149.083779</f>
        <v>7.35743100000002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155.638662441168</v>
      </c>
      <c r="F97" s="17" t="n">
        <v>153.132848044529</v>
      </c>
      <c r="G97" s="23" t="n">
        <f aca="false">157.162679-149.103018</f>
        <v>8.05966100000001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156.410005503262</v>
      </c>
      <c r="F98" s="13" t="n">
        <v>153.474975778898</v>
      </c>
      <c r="G98" s="22" t="n">
        <f aca="false">157.82769-149.122261</f>
        <v>8.70542899999998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157.185171330921</v>
      </c>
      <c r="F99" s="17" t="n">
        <v>154.083681798618</v>
      </c>
      <c r="G99" s="23" t="n">
        <f aca="false">158.736929-149.430434</f>
        <v>9.30649500000001</v>
      </c>
    </row>
    <row r="102" customFormat="false" ht="21.75" hidden="false" customHeight="true" outlineLevel="0" collapsed="false">
      <c r="A102" s="9" t="s">
        <v>148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108</v>
      </c>
      <c r="B103" s="10" t="s">
        <v>109</v>
      </c>
      <c r="D103" s="5" t="s">
        <v>110</v>
      </c>
      <c r="E103" s="2" t="s">
        <v>131</v>
      </c>
      <c r="H103" s="5" t="s">
        <v>112</v>
      </c>
      <c r="I103" s="2" t="s">
        <v>113</v>
      </c>
    </row>
    <row r="104" customFormat="false" ht="18" hidden="false" customHeight="true" outlineLevel="0" collapsed="false">
      <c r="A104" s="11" t="s">
        <v>114</v>
      </c>
      <c r="B104" s="11"/>
      <c r="C104" s="11"/>
      <c r="D104" s="11"/>
      <c r="E104" s="11"/>
      <c r="F104" s="11"/>
      <c r="G104" s="11"/>
      <c r="I104" s="11" t="s">
        <v>115</v>
      </c>
      <c r="J104" s="11"/>
      <c r="K104" s="11"/>
      <c r="L104" s="11"/>
    </row>
    <row r="105" customFormat="false" ht="15" hidden="false" customHeight="false" outlineLevel="0" collapsed="false">
      <c r="A105" s="6" t="s">
        <v>116</v>
      </c>
      <c r="B105" s="6" t="s">
        <v>117</v>
      </c>
      <c r="C105" s="6" t="s">
        <v>118</v>
      </c>
      <c r="D105" s="6" t="s">
        <v>119</v>
      </c>
      <c r="E105" s="6" t="s">
        <v>120</v>
      </c>
      <c r="F105" s="6" t="s">
        <v>121</v>
      </c>
      <c r="G105" s="6" t="s">
        <v>122</v>
      </c>
      <c r="I105" s="6" t="s">
        <v>123</v>
      </c>
      <c r="J105" s="6" t="s">
        <v>117</v>
      </c>
      <c r="K105" s="6" t="s">
        <v>119</v>
      </c>
      <c r="L105" s="6" t="s">
        <v>124</v>
      </c>
    </row>
    <row r="106" customFormat="false" ht="15" hidden="false" customHeight="false" outlineLevel="0" collapsed="false">
      <c r="A106" s="12" t="n">
        <v>38353</v>
      </c>
      <c r="B106" s="13" t="n">
        <v>100.057562500759</v>
      </c>
      <c r="C106" s="14"/>
      <c r="D106" s="14"/>
      <c r="E106" s="14"/>
      <c r="F106" s="14"/>
      <c r="G106" s="14"/>
      <c r="I106" s="15" t="n">
        <v>2005</v>
      </c>
      <c r="J106" s="13" t="n">
        <v>101.822584931427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101.121721528848</v>
      </c>
      <c r="C107" s="18" t="n">
        <f aca="false">IFERROR((B107/B106-1)*100,"")</f>
        <v>1.06354682393999</v>
      </c>
      <c r="D107" s="19"/>
      <c r="E107" s="19"/>
      <c r="F107" s="19"/>
      <c r="G107" s="19"/>
      <c r="I107" s="20" t="n">
        <v>2006</v>
      </c>
      <c r="J107" s="17" t="n">
        <v>102.916480832025</v>
      </c>
      <c r="K107" s="18" t="n">
        <f aca="false">IFERROR((J107/J106-1)*100,"")</f>
        <v>1.07431558660134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100.060419569948</v>
      </c>
      <c r="C108" s="21" t="n">
        <f aca="false">IFERROR((B108/B107-1)*100,"")</f>
        <v>-1.04952916431257</v>
      </c>
      <c r="D108" s="14"/>
      <c r="E108" s="14"/>
      <c r="F108" s="14"/>
      <c r="G108" s="14"/>
      <c r="I108" s="15" t="n">
        <v>2007</v>
      </c>
      <c r="J108" s="13" t="n">
        <v>105.840308890781</v>
      </c>
      <c r="K108" s="21" t="n">
        <f aca="false">IFERROR((J108/J107-1)*100,"")</f>
        <v>2.84097166471133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101.822584931427</v>
      </c>
      <c r="C109" s="18" t="n">
        <f aca="false">IFERROR((B109/B108-1)*100,"")</f>
        <v>1.76110131164027</v>
      </c>
      <c r="D109" s="19"/>
      <c r="E109" s="19"/>
      <c r="F109" s="19"/>
      <c r="G109" s="19"/>
      <c r="I109" s="20" t="n">
        <v>2008</v>
      </c>
      <c r="J109" s="17" t="n">
        <v>107.160409151287</v>
      </c>
      <c r="K109" s="18" t="n">
        <f aca="false">IFERROR((J109/J108-1)*100,"")</f>
        <v>1.247256621169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102.133668517536</v>
      </c>
      <c r="C110" s="21" t="n">
        <f aca="false">IFERROR((B110/B109-1)*100,"")</f>
        <v>0.305515310104521</v>
      </c>
      <c r="D110" s="21" t="n">
        <f aca="false">IFERROR((B110/B106-1)*100,"")</f>
        <v>2.07491164574536</v>
      </c>
      <c r="E110" s="14"/>
      <c r="F110" s="14"/>
      <c r="G110" s="14"/>
      <c r="I110" s="15" t="n">
        <v>2009</v>
      </c>
      <c r="J110" s="13" t="n">
        <v>109.770225077984</v>
      </c>
      <c r="K110" s="21" t="n">
        <f aca="false">IFERROR((J110/J109-1)*100,"")</f>
        <v>2.43542922928943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103.127230255545</v>
      </c>
      <c r="C111" s="18" t="n">
        <f aca="false">IFERROR((B111/B110-1)*100,"")</f>
        <v>0.972805297636326</v>
      </c>
      <c r="D111" s="18" t="n">
        <f aca="false">IFERROR((B111/B107-1)*100,"")</f>
        <v>1.98326204931685</v>
      </c>
      <c r="E111" s="19"/>
      <c r="F111" s="19"/>
      <c r="G111" s="19"/>
      <c r="I111" s="20" t="n">
        <v>2010</v>
      </c>
      <c r="J111" s="17" t="n">
        <v>111.761590063898</v>
      </c>
      <c r="K111" s="18" t="n">
        <f aca="false">IFERROR((J111/J110-1)*100,"")</f>
        <v>1.8141212560139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103.843669938308</v>
      </c>
      <c r="C112" s="21" t="n">
        <f aca="false">IFERROR((B112/B111-1)*100,"")</f>
        <v>0.694714364952387</v>
      </c>
      <c r="D112" s="21" t="n">
        <f aca="false">IFERROR((B112/B108-1)*100,"")</f>
        <v>3.78096592500874</v>
      </c>
      <c r="E112" s="14"/>
      <c r="F112" s="14"/>
      <c r="G112" s="14"/>
      <c r="I112" s="15" t="n">
        <v>2011</v>
      </c>
      <c r="J112" s="13" t="n">
        <v>114.634264362647</v>
      </c>
      <c r="K112" s="21" t="n">
        <f aca="false">IFERROR((J112/J111-1)*100,"")</f>
        <v>2.57035918789872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102.916480832025</v>
      </c>
      <c r="C113" s="18" t="n">
        <f aca="false">IFERROR((B113/B112-1)*100,"")</f>
        <v>-0.892870125674028</v>
      </c>
      <c r="D113" s="18" t="n">
        <f aca="false">IFERROR((B113/B109-1)*100,"")</f>
        <v>1.07431558660134</v>
      </c>
      <c r="E113" s="19"/>
      <c r="F113" s="19"/>
      <c r="G113" s="19"/>
      <c r="I113" s="20" t="n">
        <v>2012</v>
      </c>
      <c r="J113" s="17" t="n">
        <v>116.302720974044</v>
      </c>
      <c r="K113" s="18" t="n">
        <f aca="false">IFERROR((J113/J112-1)*100,"")</f>
        <v>1.45546065190345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103.212445347954</v>
      </c>
      <c r="C114" s="21" t="n">
        <f aca="false">IFERROR((B114/B113-1)*100,"")</f>
        <v>0.287577376855563</v>
      </c>
      <c r="D114" s="21" t="n">
        <f aca="false">IFERROR((B114/B110-1)*100,"")</f>
        <v>1.05624016651531</v>
      </c>
      <c r="E114" s="14"/>
      <c r="F114" s="14"/>
      <c r="G114" s="14"/>
      <c r="I114" s="15" t="n">
        <v>2013</v>
      </c>
      <c r="J114" s="13" t="n">
        <v>118.644419060663</v>
      </c>
      <c r="K114" s="21" t="n">
        <f aca="false">IFERROR((J114/J113-1)*100,"")</f>
        <v>2.01345081783693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105.044737618628</v>
      </c>
      <c r="C115" s="18" t="n">
        <f aca="false">IFERROR((B115/B114-1)*100,"")</f>
        <v>1.77526291959949</v>
      </c>
      <c r="D115" s="18" t="n">
        <f aca="false">IFERROR((B115/B111-1)*100,"")</f>
        <v>1.85936086747553</v>
      </c>
      <c r="E115" s="19"/>
      <c r="F115" s="19"/>
      <c r="G115" s="19"/>
      <c r="I115" s="20" t="n">
        <v>2014</v>
      </c>
      <c r="J115" s="17" t="n">
        <v>121.174172384274</v>
      </c>
      <c r="K115" s="18" t="n">
        <f aca="false">IFERROR((J115/J114-1)*100,"")</f>
        <v>2.13221434572304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105.632473951978</v>
      </c>
      <c r="C116" s="21" t="n">
        <f aca="false">IFERROR((B116/B115-1)*100,"")</f>
        <v>0.559510496835936</v>
      </c>
      <c r="D116" s="21" t="n">
        <f aca="false">IFERROR((B116/B112-1)*100,"")</f>
        <v>1.72259321606498</v>
      </c>
      <c r="E116" s="14"/>
      <c r="F116" s="14"/>
      <c r="G116" s="14"/>
      <c r="I116" s="15" t="n">
        <v>2015</v>
      </c>
      <c r="J116" s="13" t="n">
        <v>123.881795054061</v>
      </c>
      <c r="K116" s="21" t="n">
        <f aca="false">IFERROR((J116/J115-1)*100,"")</f>
        <v>2.23448827131252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105.840308890781</v>
      </c>
      <c r="C117" s="18" t="n">
        <f aca="false">IFERROR((B117/B116-1)*100,"")</f>
        <v>0.196752883869289</v>
      </c>
      <c r="D117" s="18" t="n">
        <f aca="false">IFERROR((B117/B113-1)*100,"")</f>
        <v>2.84097166471133</v>
      </c>
      <c r="E117" s="19"/>
      <c r="F117" s="19"/>
      <c r="G117" s="19"/>
      <c r="I117" s="20" t="n">
        <v>2016</v>
      </c>
      <c r="J117" s="17" t="n">
        <v>127.318635644282</v>
      </c>
      <c r="K117" s="18" t="n">
        <f aca="false">IFERROR((J117/J116-1)*100,"")</f>
        <v>2.77429027301492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106.484570654844</v>
      </c>
      <c r="C118" s="21" t="n">
        <f aca="false">IFERROR((B118/B117-1)*100,"")</f>
        <v>0.608711152503449</v>
      </c>
      <c r="D118" s="21" t="n">
        <f aca="false">IFERROR((B118/B114-1)*100,"")</f>
        <v>3.17028173865881</v>
      </c>
      <c r="E118" s="14"/>
      <c r="F118" s="14"/>
      <c r="G118" s="14"/>
      <c r="I118" s="15" t="n">
        <v>2017</v>
      </c>
      <c r="J118" s="13" t="n">
        <v>129.761604233282</v>
      </c>
      <c r="K118" s="21" t="n">
        <f aca="false">IFERROR((J118/J117-1)*100,"")</f>
        <v>1.91878319826326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106.368794573107</v>
      </c>
      <c r="C119" s="18" t="n">
        <f aca="false">IFERROR((B119/B118-1)*100,"")</f>
        <v>-0.108725687698241</v>
      </c>
      <c r="D119" s="18" t="n">
        <f aca="false">IFERROR((B119/B115-1)*100,"")</f>
        <v>1.26046957181745</v>
      </c>
      <c r="E119" s="19"/>
      <c r="F119" s="19"/>
      <c r="G119" s="19"/>
      <c r="I119" s="20" t="n">
        <v>2018</v>
      </c>
      <c r="J119" s="17" t="n">
        <v>131.300677259048</v>
      </c>
      <c r="K119" s="18" t="n">
        <f aca="false">IFERROR((J119/J118-1)*100,"")</f>
        <v>1.18607737231631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107.947924505968</v>
      </c>
      <c r="C120" s="21" t="n">
        <f aca="false">IFERROR((B120/B119-1)*100,"")</f>
        <v>1.48458007745493</v>
      </c>
      <c r="D120" s="21" t="n">
        <f aca="false">IFERROR((B120/B116-1)*100,"")</f>
        <v>2.19198743280615</v>
      </c>
      <c r="E120" s="14"/>
      <c r="F120" s="14"/>
      <c r="G120" s="14"/>
      <c r="I120" s="15" t="n">
        <v>2019</v>
      </c>
      <c r="J120" s="13" t="n">
        <v>135.414971296728</v>
      </c>
      <c r="K120" s="21" t="n">
        <f aca="false">IFERROR((J120/J119-1)*100,"")</f>
        <v>3.1334903395529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107.160409151287</v>
      </c>
      <c r="C121" s="18" t="n">
        <f aca="false">IFERROR((B121/B120-1)*100,"")</f>
        <v>-0.72953265038187</v>
      </c>
      <c r="D121" s="18" t="n">
        <f aca="false">IFERROR((B121/B117-1)*100,"")</f>
        <v>1.247256621169</v>
      </c>
      <c r="E121" s="19"/>
      <c r="F121" s="19"/>
      <c r="G121" s="19"/>
      <c r="I121" s="20" t="n">
        <v>2020</v>
      </c>
      <c r="J121" s="17" t="n">
        <v>137.08499339715</v>
      </c>
      <c r="K121" s="18" t="n">
        <f aca="false">IFERROR((J121/J120-1)*100,"")</f>
        <v>1.23326252956373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108.334745218133</v>
      </c>
      <c r="C122" s="21" t="n">
        <f aca="false">IFERROR((B122/B121-1)*100,"")</f>
        <v>1.09586747208821</v>
      </c>
      <c r="D122" s="21" t="n">
        <f aca="false">IFERROR((B122/B118-1)*100,"")</f>
        <v>1.73750483465478</v>
      </c>
      <c r="E122" s="14"/>
      <c r="F122" s="14"/>
      <c r="G122" s="14"/>
      <c r="I122" s="15" t="n">
        <v>2021</v>
      </c>
      <c r="J122" s="13" t="n">
        <v>139.68737706251</v>
      </c>
      <c r="K122" s="21" t="n">
        <f aca="false">IFERROR((J122/J121-1)*100,"")</f>
        <v>1.89837238990902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108.958932163941</v>
      </c>
      <c r="C123" s="18" t="n">
        <f aca="false">IFERROR((B123/B122-1)*100,"")</f>
        <v>0.576165056327027</v>
      </c>
      <c r="D123" s="18" t="n">
        <f aca="false">IFERROR((B123/B119-1)*100,"")</f>
        <v>2.43505400360058</v>
      </c>
      <c r="E123" s="19"/>
      <c r="F123" s="19"/>
      <c r="G123" s="19"/>
      <c r="I123" s="20" t="n">
        <v>2022</v>
      </c>
      <c r="J123" s="17" t="n">
        <v>142.419684412017</v>
      </c>
      <c r="K123" s="18" t="n">
        <f aca="false">IFERROR((J123/J122-1)*100,"")</f>
        <v>1.95601593140717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109.235804190937</v>
      </c>
      <c r="C124" s="21" t="n">
        <f aca="false">IFERROR((B124/B123-1)*100,"")</f>
        <v>0.254106773531726</v>
      </c>
      <c r="D124" s="21" t="n">
        <f aca="false">IFERROR((B124/B120-1)*100,"")</f>
        <v>1.19305645834626</v>
      </c>
      <c r="E124" s="14"/>
      <c r="F124" s="14"/>
      <c r="G124" s="14"/>
      <c r="I124" s="15" t="n">
        <v>2023</v>
      </c>
      <c r="J124" s="13" t="n">
        <v>145.13756116152</v>
      </c>
      <c r="K124" s="21" t="n">
        <f aca="false">IFERROR((J124/J123-1)*100,"")</f>
        <v>1.90835751442924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109.770225077984</v>
      </c>
      <c r="C125" s="18" t="n">
        <f aca="false">IFERROR((B125/B124-1)*100,"")</f>
        <v>0.489236007374161</v>
      </c>
      <c r="D125" s="18" t="n">
        <f aca="false">IFERROR((B125/B121-1)*100,"")</f>
        <v>2.43542922928943</v>
      </c>
      <c r="E125" s="19"/>
      <c r="F125" s="19"/>
      <c r="G125" s="19"/>
      <c r="I125" s="20" t="n">
        <v>2024</v>
      </c>
      <c r="J125" s="17" t="n">
        <v>147.561063383809</v>
      </c>
      <c r="K125" s="18" t="n">
        <f aca="false">IFERROR((J125/J124-1)*100,"")</f>
        <v>1.66979671071612</v>
      </c>
      <c r="L125" s="19"/>
    </row>
    <row r="126" customFormat="false" ht="15" hidden="false" customHeight="false" outlineLevel="0" collapsed="false">
      <c r="A126" s="12" t="n">
        <v>40179</v>
      </c>
      <c r="B126" s="13" t="n">
        <v>110.992942141443</v>
      </c>
      <c r="C126" s="21" t="n">
        <f aca="false">IFERROR((B126/B125-1)*100,"")</f>
        <v>1.11388772555585</v>
      </c>
      <c r="D126" s="21" t="n">
        <f aca="false">IFERROR((B126/B122-1)*100,"")</f>
        <v>2.45368825851522</v>
      </c>
      <c r="E126" s="14"/>
      <c r="F126" s="14"/>
      <c r="G126" s="14"/>
      <c r="I126" s="15" t="n">
        <v>2025</v>
      </c>
      <c r="J126" s="13" t="n">
        <v>151.106246086492</v>
      </c>
      <c r="K126" s="21" t="n">
        <f aca="false">IFERROR((J126/J125-1)*100,"")</f>
        <v>2.40251908015987</v>
      </c>
      <c r="L126" s="14"/>
    </row>
    <row r="127" customFormat="false" ht="15" hidden="false" customHeight="false" outlineLevel="0" collapsed="false">
      <c r="A127" s="16" t="n">
        <v>40269</v>
      </c>
      <c r="B127" s="17" t="n">
        <v>110.49283509596</v>
      </c>
      <c r="C127" s="18" t="n">
        <f aca="false">IFERROR((B127/B126-1)*100,"")</f>
        <v>-0.450575537357045</v>
      </c>
      <c r="D127" s="18" t="n">
        <f aca="false">IFERROR((B127/B123-1)*100,"")</f>
        <v>1.40778080470885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152.592596875335</v>
      </c>
    </row>
    <row r="128" customFormat="false" ht="15" hidden="false" customHeight="false" outlineLevel="0" collapsed="false">
      <c r="A128" s="12" t="n">
        <v>40360</v>
      </c>
      <c r="B128" s="13" t="n">
        <v>111.168295793956</v>
      </c>
      <c r="C128" s="21" t="n">
        <f aca="false">IFERROR((B128/B127-1)*100,"")</f>
        <v>0.611316287982544</v>
      </c>
      <c r="D128" s="21" t="n">
        <f aca="false">IFERROR((B128/B124-1)*100,"")</f>
        <v>1.76910090728195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153.934413680752</v>
      </c>
    </row>
    <row r="129" customFormat="false" ht="15" hidden="false" customHeight="false" outlineLevel="0" collapsed="false">
      <c r="A129" s="16" t="n">
        <v>40452</v>
      </c>
      <c r="B129" s="17" t="n">
        <v>111.761590063898</v>
      </c>
      <c r="C129" s="18" t="n">
        <f aca="false">IFERROR((B129/B128-1)*100,"")</f>
        <v>0.533690172818546</v>
      </c>
      <c r="D129" s="18" t="n">
        <f aca="false">IFERROR((B129/B125-1)*100,"")</f>
        <v>1.8141212560139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113.050485072793</v>
      </c>
      <c r="C130" s="21" t="n">
        <f aca="false">IFERROR((B130/B129-1)*100,"")</f>
        <v>1.15325400091211</v>
      </c>
      <c r="D130" s="21" t="n">
        <f aca="false">IFERROR((B130/B126-1)*100,"")</f>
        <v>1.85376015055823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113.894812629098</v>
      </c>
      <c r="C131" s="18" t="n">
        <f aca="false">IFERROR((B131/B130-1)*100,"")</f>
        <v>0.746858853158972</v>
      </c>
      <c r="D131" s="18" t="n">
        <f aca="false">IFERROR((B131/B127-1)*100,"")</f>
        <v>3.0789123386898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114.415072541126</v>
      </c>
      <c r="C132" s="21" t="n">
        <f aca="false">IFERROR((B132/B131-1)*100,"")</f>
        <v>0.456789822133996</v>
      </c>
      <c r="D132" s="21" t="n">
        <f aca="false">IFERROR((B132/B128-1)*100,"")</f>
        <v>2.92059595227441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114.634264362647</v>
      </c>
      <c r="C133" s="18" t="n">
        <f aca="false">IFERROR((B133/B132-1)*100,"")</f>
        <v>0.191576001878424</v>
      </c>
      <c r="D133" s="18" t="n">
        <f aca="false">IFERROR((B133/B129-1)*100,"")</f>
        <v>2.57035918789872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115.351780287243</v>
      </c>
      <c r="C134" s="21" t="n">
        <f aca="false">IFERROR((B134/B133-1)*100,"")</f>
        <v>0.625917502576745</v>
      </c>
      <c r="D134" s="21" t="n">
        <f aca="false">IFERROR((B134/B130-1)*100,"")</f>
        <v>2.03563497579715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115.683498002229</v>
      </c>
      <c r="C135" s="18" t="n">
        <f aca="false">IFERROR((B135/B134-1)*100,"")</f>
        <v>0.287570520507408</v>
      </c>
      <c r="D135" s="18" t="n">
        <f aca="false">IFERROR((B135/B131-1)*100,"")</f>
        <v>1.57047132511321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115.559905621855</v>
      </c>
      <c r="C136" s="21" t="n">
        <f aca="false">IFERROR((B136/B135-1)*100,"")</f>
        <v>-0.10683665562371</v>
      </c>
      <c r="D136" s="21" t="n">
        <f aca="false">IFERROR((B136/B132-1)*100,"")</f>
        <v>1.00059638586296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116.302720974044</v>
      </c>
      <c r="C137" s="18" t="n">
        <f aca="false">IFERROR((B137/B136-1)*100,"")</f>
        <v>0.642796779896671</v>
      </c>
      <c r="D137" s="18" t="n">
        <f aca="false">IFERROR((B137/B133-1)*100,"")</f>
        <v>1.45546065190345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118.591761398946</v>
      </c>
      <c r="C138" s="21" t="n">
        <f aca="false">IFERROR((B138/B137-1)*100,"")</f>
        <v>1.96817443799346</v>
      </c>
      <c r="D138" s="21" t="n">
        <f aca="false">IFERROR((B138/B134-1)*100,"")</f>
        <v>2.80878292787106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117.912000696979</v>
      </c>
      <c r="C139" s="18" t="n">
        <f aca="false">IFERROR((B139/B138-1)*100,"")</f>
        <v>-0.573193866039967</v>
      </c>
      <c r="D139" s="18" t="n">
        <f aca="false">IFERROR((B139/B135-1)*100,"")</f>
        <v>1.92637907154773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118.422625150319</v>
      </c>
      <c r="C140" s="21" t="n">
        <f aca="false">IFERROR((B140/B139-1)*100,"")</f>
        <v>0.433055541693372</v>
      </c>
      <c r="D140" s="21" t="n">
        <f aca="false">IFERROR((B140/B136-1)*100,"")</f>
        <v>2.47726018211787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118.644419060663</v>
      </c>
      <c r="C141" s="18" t="n">
        <f aca="false">IFERROR((B141/B140-1)*100,"")</f>
        <v>0.18729014836707</v>
      </c>
      <c r="D141" s="18" t="n">
        <f aca="false">IFERROR((B141/B137-1)*100,"")</f>
        <v>2.01345081783693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118.694836673924</v>
      </c>
      <c r="C142" s="21" t="n">
        <f aca="false">IFERROR((B142/B141-1)*100,"")</f>
        <v>0.0424947196509207</v>
      </c>
      <c r="D142" s="21" t="n">
        <f aca="false">IFERROR((B142/B138-1)*100,"")</f>
        <v>0.0869160502904087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120.202068229069</v>
      </c>
      <c r="C143" s="18" t="n">
        <f aca="false">IFERROR((B143/B142-1)*100,"")</f>
        <v>1.26983750715799</v>
      </c>
      <c r="D143" s="18" t="n">
        <f aca="false">IFERROR((B143/B139-1)*100,"")</f>
        <v>1.94218359331884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120.283712629855</v>
      </c>
      <c r="C144" s="21" t="n">
        <f aca="false">IFERROR((B144/B143-1)*100,"")</f>
        <v>0.0679226256153243</v>
      </c>
      <c r="D144" s="21" t="n">
        <f aca="false">IFERROR((B144/B140-1)*100,"")</f>
        <v>1.57156411384536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121.174172384274</v>
      </c>
      <c r="C145" s="18" t="n">
        <f aca="false">IFERROR((B145/B144-1)*100,"")</f>
        <v>0.740299525971211</v>
      </c>
      <c r="D145" s="18" t="n">
        <f aca="false">IFERROR((B145/B141-1)*100,"")</f>
        <v>2.13221434572304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121.219613499365</v>
      </c>
      <c r="C146" s="21" t="n">
        <f aca="false">IFERROR((B146/B145-1)*100,"")</f>
        <v>0.0375006605753292</v>
      </c>
      <c r="D146" s="21" t="n">
        <f aca="false">IFERROR((B146/B142-1)*100,"")</f>
        <v>2.12711596914423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121.872641264108</v>
      </c>
      <c r="C147" s="18" t="n">
        <f aca="false">IFERROR((B147/B146-1)*100,"")</f>
        <v>0.538714607225033</v>
      </c>
      <c r="D147" s="18" t="n">
        <f aca="false">IFERROR((B147/B143-1)*100,"")</f>
        <v>1.38980390242078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123.401817900784</v>
      </c>
      <c r="C148" s="21" t="n">
        <f aca="false">IFERROR((B148/B147-1)*100,"")</f>
        <v>1.2547333189922</v>
      </c>
      <c r="D148" s="21" t="n">
        <f aca="false">IFERROR((B148/B144-1)*100,"")</f>
        <v>2.59229217552075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123.881795054061</v>
      </c>
      <c r="C149" s="18" t="n">
        <f aca="false">IFERROR((B149/B148-1)*100,"")</f>
        <v>0.388954685953102</v>
      </c>
      <c r="D149" s="18" t="n">
        <f aca="false">IFERROR((B149/B145-1)*100,"")</f>
        <v>2.23448827131252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124.716135228132</v>
      </c>
      <c r="C150" s="21" t="n">
        <f aca="false">IFERROR((B150/B149-1)*100,"")</f>
        <v>0.67349700067505</v>
      </c>
      <c r="D150" s="21" t="n">
        <f aca="false">IFERROR((B150/B146-1)*100,"")</f>
        <v>2.8844521342956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124.983869679247</v>
      </c>
      <c r="C151" s="18" t="n">
        <f aca="false">IFERROR((B151/B150-1)*100,"")</f>
        <v>0.214675070411086</v>
      </c>
      <c r="D151" s="18" t="n">
        <f aca="false">IFERROR((B151/B147-1)*100,"")</f>
        <v>2.55285220937915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125.449398416064</v>
      </c>
      <c r="C152" s="21" t="n">
        <f aca="false">IFERROR((B152/B151-1)*100,"")</f>
        <v>0.372471054073964</v>
      </c>
      <c r="D152" s="21" t="n">
        <f aca="false">IFERROR((B152/B148-1)*100,"")</f>
        <v>1.65927905286281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127.318635644282</v>
      </c>
      <c r="C153" s="18" t="n">
        <f aca="false">IFERROR((B153/B152-1)*100,"")</f>
        <v>1.49003283540541</v>
      </c>
      <c r="D153" s="18" t="n">
        <f aca="false">IFERROR((B153/B149-1)*100,"")</f>
        <v>2.77429027301492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126.930124604718</v>
      </c>
      <c r="C154" s="21" t="n">
        <f aca="false">IFERROR((B154/B153-1)*100,"")</f>
        <v>-0.305148604206429</v>
      </c>
      <c r="D154" s="21" t="n">
        <f aca="false">IFERROR((B154/B150-1)*100,"")</f>
        <v>1.77522288718821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127.77526424795</v>
      </c>
      <c r="C155" s="18" t="n">
        <f aca="false">IFERROR((B155/B154-1)*100,"")</f>
        <v>0.665830625994901</v>
      </c>
      <c r="D155" s="18" t="n">
        <f aca="false">IFERROR((B155/B151-1)*100,"")</f>
        <v>2.23340385912745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128.731177616496</v>
      </c>
      <c r="C156" s="21" t="n">
        <f aca="false">IFERROR((B156/B155-1)*100,"")</f>
        <v>0.748120830875765</v>
      </c>
      <c r="D156" s="21" t="n">
        <f aca="false">IFERROR((B156/B152-1)*100,"")</f>
        <v>2.61601828455771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129.761604233282</v>
      </c>
      <c r="C157" s="18" t="n">
        <f aca="false">IFERROR((B157/B156-1)*100,"")</f>
        <v>0.800448373008966</v>
      </c>
      <c r="D157" s="18" t="n">
        <f aca="false">IFERROR((B157/B153-1)*100,"")</f>
        <v>1.91878319826326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129.946821087699</v>
      </c>
      <c r="C158" s="21" t="n">
        <f aca="false">IFERROR((B158/B157-1)*100,"")</f>
        <v>0.142736255081832</v>
      </c>
      <c r="D158" s="21" t="n">
        <f aca="false">IFERROR((B158/B154-1)*100,"")</f>
        <v>2.37665919920498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129.286207959895</v>
      </c>
      <c r="C159" s="18" t="n">
        <f aca="false">IFERROR((B159/B158-1)*100,"")</f>
        <v>-0.508371903425298</v>
      </c>
      <c r="D159" s="18" t="n">
        <f aca="false">IFERROR((B159/B155-1)*100,"")</f>
        <v>1.18250094870669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131.018842846908</v>
      </c>
      <c r="C160" s="21" t="n">
        <f aca="false">IFERROR((B160/B159-1)*100,"")</f>
        <v>1.34015446376985</v>
      </c>
      <c r="D160" s="21" t="n">
        <f aca="false">IFERROR((B160/B156-1)*100,"")</f>
        <v>1.77708716161016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131.300677259048</v>
      </c>
      <c r="C161" s="18" t="n">
        <f aca="false">IFERROR((B161/B160-1)*100,"")</f>
        <v>0.215109831544691</v>
      </c>
      <c r="D161" s="18" t="n">
        <f aca="false">IFERROR((B161/B157-1)*100,"")</f>
        <v>1.18607737231631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131.690910478247</v>
      </c>
      <c r="C162" s="21" t="n">
        <f aca="false">IFERROR((B162/B161-1)*100,"")</f>
        <v>0.29720579310426</v>
      </c>
      <c r="D162" s="21" t="n">
        <f aca="false">IFERROR((B162/B158-1)*100,"")</f>
        <v>1.34215625742076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133.057365630713</v>
      </c>
      <c r="C163" s="18" t="n">
        <f aca="false">IFERROR((B163/B162-1)*100,"")</f>
        <v>1.03762298210544</v>
      </c>
      <c r="D163" s="18" t="n">
        <f aca="false">IFERROR((B163/B159-1)*100,"")</f>
        <v>2.9169063973074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133.03791213268</v>
      </c>
      <c r="C164" s="21" t="n">
        <f aca="false">IFERROR((B164/B163-1)*100,"")</f>
        <v>-0.0146203841781212</v>
      </c>
      <c r="D164" s="21" t="n">
        <f aca="false">IFERROR((B164/B160-1)*100,"")</f>
        <v>1.5410526012138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135.414971296728</v>
      </c>
      <c r="C165" s="18" t="n">
        <f aca="false">IFERROR((B165/B164-1)*100,"")</f>
        <v>1.78675320887209</v>
      </c>
      <c r="D165" s="18" t="n">
        <f aca="false">IFERROR((B165/B161-1)*100,"")</f>
        <v>3.1334903395529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135.328720100838</v>
      </c>
      <c r="C166" s="21" t="n">
        <f aca="false">IFERROR((B166/B165-1)*100,"")</f>
        <v>-0.0636939882374454</v>
      </c>
      <c r="D166" s="21" t="n">
        <f aca="false">IFERROR((B166/B162-1)*100,"")</f>
        <v>2.7623847457507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135.251561201013</v>
      </c>
      <c r="C167" s="18" t="n">
        <f aca="false">IFERROR((B167/B166-1)*100,"")</f>
        <v>-0.0570159089421818</v>
      </c>
      <c r="D167" s="18" t="n">
        <f aca="false">IFERROR((B167/B163-1)*100,"")</f>
        <v>1.64905983212502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136.233969817459</v>
      </c>
      <c r="C168" s="21" t="n">
        <f aca="false">IFERROR((B168/B167-1)*100,"")</f>
        <v>0.726356581559706</v>
      </c>
      <c r="D168" s="21" t="n">
        <f aca="false">IFERROR((B168/B164-1)*100,"")</f>
        <v>2.40236608763873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137.08499339715</v>
      </c>
      <c r="C169" s="18" t="n">
        <f aca="false">IFERROR((B169/B168-1)*100,"")</f>
        <v>0.624677957216768</v>
      </c>
      <c r="D169" s="18" t="n">
        <f aca="false">IFERROR((B169/B165-1)*100,"")</f>
        <v>1.23326252956373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137.822634440648</v>
      </c>
      <c r="C170" s="21" t="n">
        <f aca="false">IFERROR((B170/B169-1)*100,"")</f>
        <v>0.538090293633564</v>
      </c>
      <c r="D170" s="21" t="n">
        <f aca="false">IFERROR((B170/B166-1)*100,"")</f>
        <v>1.84285666630961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138.564818410081</v>
      </c>
      <c r="C171" s="18" t="n">
        <f aca="false">IFERROR((B171/B170-1)*100,"")</f>
        <v>0.538506590333099</v>
      </c>
      <c r="D171" s="18" t="n">
        <f aca="false">IFERROR((B171/B167-1)*100,"")</f>
        <v>2.44969978878431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138.45285180876</v>
      </c>
      <c r="C172" s="21" t="n">
        <f aca="false">IFERROR((B172/B171-1)*100,"")</f>
        <v>-0.0808044946804087</v>
      </c>
      <c r="D172" s="21" t="n">
        <f aca="false">IFERROR((B172/B168-1)*100,"")</f>
        <v>1.62872886569694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139.68737706251</v>
      </c>
      <c r="C173" s="18" t="n">
        <f aca="false">IFERROR((B173/B172-1)*100,"")</f>
        <v>0.891657512013189</v>
      </c>
      <c r="D173" s="18" t="n">
        <f aca="false">IFERROR((B173/B169-1)*100,"")</f>
        <v>1.89837238990902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140.158260063388</v>
      </c>
      <c r="C174" s="21" t="n">
        <f aca="false">IFERROR((B174/B173-1)*100,"")</f>
        <v>0.337097746969572</v>
      </c>
      <c r="D174" s="21" t="n">
        <f aca="false">IFERROR((B174/B170-1)*100,"")</f>
        <v>1.6946604106209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140.301213769388</v>
      </c>
      <c r="C175" s="18" t="n">
        <f aca="false">IFERROR((B175/B174-1)*100,"")</f>
        <v>0.101994492465329</v>
      </c>
      <c r="D175" s="18" t="n">
        <f aca="false">IFERROR((B175/B171-1)*100,"")</f>
        <v>1.25312859297941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142.251238688649</v>
      </c>
      <c r="C176" s="21" t="n">
        <f aca="false">IFERROR((B176/B175-1)*100,"")</f>
        <v>1.38988456825899</v>
      </c>
      <c r="D176" s="21" t="n">
        <f aca="false">IFERROR((B176/B172-1)*100,"")</f>
        <v>2.74345152899786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142.419684412017</v>
      </c>
      <c r="C177" s="18" t="n">
        <f aca="false">IFERROR((B177/B176-1)*100,"")</f>
        <v>0.118414240129661</v>
      </c>
      <c r="D177" s="18" t="n">
        <f aca="false">IFERROR((B177/B173-1)*100,"")</f>
        <v>1.95601593140717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142.931234919789</v>
      </c>
      <c r="C178" s="21" t="n">
        <f aca="false">IFERROR((B178/B177-1)*100,"")</f>
        <v>0.359185255805161</v>
      </c>
      <c r="D178" s="21" t="n">
        <f aca="false">IFERROR((B178/B174-1)*100,"")</f>
        <v>1.97845981759974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143.28121802982</v>
      </c>
      <c r="C179" s="18" t="n">
        <f aca="false">IFERROR((B179/B178-1)*100,"")</f>
        <v>0.244861181131917</v>
      </c>
      <c r="D179" s="18" t="n">
        <f aca="false">IFERROR((B179/B175-1)*100,"")</f>
        <v>2.12400461861322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144.455095720975</v>
      </c>
      <c r="C180" s="21" t="n">
        <f aca="false">IFERROR((B180/B179-1)*100,"")</f>
        <v>0.819282322760961</v>
      </c>
      <c r="D180" s="21" t="n">
        <f aca="false">IFERROR((B180/B176-1)*100,"")</f>
        <v>1.54927089046302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145.13756116152</v>
      </c>
      <c r="C181" s="18" t="n">
        <f aca="false">IFERROR((B181/B180-1)*100,"")</f>
        <v>0.472441236592469</v>
      </c>
      <c r="D181" s="18" t="n">
        <f aca="false">IFERROR((B181/B177-1)*100,"")</f>
        <v>1.90835751442924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146.194339668038</v>
      </c>
      <c r="C182" s="21" t="n">
        <f aca="false">IFERROR((B182/B181-1)*100,"")</f>
        <v>0.728121995478359</v>
      </c>
      <c r="D182" s="21" t="n">
        <f aca="false">IFERROR((B182/B178-1)*100,"")</f>
        <v>2.28298926408914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146.935353018952</v>
      </c>
      <c r="C183" s="18" t="n">
        <f aca="false">IFERROR((B183/B182-1)*100,"")</f>
        <v>0.50686870134391</v>
      </c>
      <c r="D183" s="18" t="n">
        <f aca="false">IFERROR((B183/B179-1)*100,"")</f>
        <v>2.55032378938247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147.048812225644</v>
      </c>
      <c r="C184" s="21" t="n">
        <f aca="false">IFERROR((B184/B183-1)*100,"")</f>
        <v>0.0772170919800086</v>
      </c>
      <c r="D184" s="21" t="n">
        <f aca="false">IFERROR((B184/B180-1)*100,"")</f>
        <v>1.79551748709392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147.561063383809</v>
      </c>
      <c r="C185" s="18" t="n">
        <f aca="false">IFERROR((B185/B184-1)*100,"")</f>
        <v>0.348354502435044</v>
      </c>
      <c r="D185" s="18" t="n">
        <f aca="false">IFERROR((B185/B181-1)*100,"")</f>
        <v>1.66979671071612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148.520950312347</v>
      </c>
      <c r="C186" s="21" t="n">
        <f aca="false">IFERROR((B186/B185-1)*100,"")</f>
        <v>0.650501498515932</v>
      </c>
      <c r="D186" s="21" t="n">
        <f aca="false">IFERROR((B186/B182-1)*100,"")</f>
        <v>1.59145056476981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149.429379403172</v>
      </c>
      <c r="C187" s="18" t="n">
        <f aca="false">IFERROR((B187/B186-1)*100,"")</f>
        <v>0.611650470128633</v>
      </c>
      <c r="D187" s="18" t="n">
        <f aca="false">IFERROR((B187/B183-1)*100,"")</f>
        <v>1.69736304638553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149.989800370105</v>
      </c>
      <c r="C188" s="21" t="n">
        <f aca="false">IFERROR((B188/B187-1)*100,"")</f>
        <v>0.375040684216077</v>
      </c>
      <c r="D188" s="21" t="n">
        <f aca="false">IFERROR((B188/B184-1)*100,"")</f>
        <v>2.00000809251597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151.106246086492</v>
      </c>
      <c r="C189" s="18" t="n">
        <f aca="false">IFERROR((B189/B188-1)*100,"")</f>
        <v>0.744347758068709</v>
      </c>
      <c r="D189" s="18" t="n">
        <f aca="false">IFERROR((B189/B185-1)*100,"")</f>
        <v>2.40251908015987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151.648397031351</v>
      </c>
      <c r="F190" s="13" t="n">
        <v>150.793704369627</v>
      </c>
      <c r="G190" s="22" t="n">
        <f aca="false">152.383764-149.203645</f>
        <v>3.18011900000002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152.391136781873</v>
      </c>
      <c r="F191" s="17" t="n">
        <v>151.010416634182</v>
      </c>
      <c r="G191" s="23" t="n">
        <f aca="false">153.2591-148.761733</f>
        <v>4.497367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153.137514304688</v>
      </c>
      <c r="F192" s="13" t="n">
        <v>151.504290461424</v>
      </c>
      <c r="G192" s="22" t="n">
        <f aca="false">154.258354-148.750227</f>
        <v>5.508127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153.887547416787</v>
      </c>
      <c r="F193" s="17" t="n">
        <v>152.592596875335</v>
      </c>
      <c r="G193" s="23" t="n">
        <f aca="false">155.772716-149.412478</f>
        <v>6.36023800000001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154.641254022424</v>
      </c>
      <c r="F194" s="13" t="n">
        <v>152.358733447237</v>
      </c>
      <c r="G194" s="22" t="n">
        <f aca="false">155.914215-148.803252</f>
        <v>7.11096300000003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155.398652113545</v>
      </c>
      <c r="F195" s="17" t="n">
        <v>152.497194257912</v>
      </c>
      <c r="G195" s="23" t="n">
        <f aca="false">156.392029-148.60236</f>
        <v>7.789669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156.159759770215</v>
      </c>
      <c r="F196" s="13" t="n">
        <v>152.916729203968</v>
      </c>
      <c r="G196" s="22" t="n">
        <f aca="false">157.123631-148.709827</f>
        <v>8.413804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156.924595161053</v>
      </c>
      <c r="F197" s="17" t="n">
        <v>153.934413680752</v>
      </c>
      <c r="G197" s="23" t="n">
        <f aca="false">158.431781-149.437046</f>
        <v>8.99473499999999</v>
      </c>
    </row>
  </sheetData>
  <mergeCells count="6">
    <mergeCell ref="A4:N4"/>
    <mergeCell ref="A6:G6"/>
    <mergeCell ref="I6:L6"/>
    <mergeCell ref="A102:N102"/>
    <mergeCell ref="A104:G104"/>
    <mergeCell ref="I104:L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2.0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6" t="s">
        <v>32</v>
      </c>
      <c r="B4" s="6" t="s">
        <v>33</v>
      </c>
      <c r="C4" s="6" t="s">
        <v>151</v>
      </c>
      <c r="D4" s="6" t="s">
        <v>152</v>
      </c>
      <c r="E4" s="6" t="s">
        <v>119</v>
      </c>
      <c r="F4" s="6" t="s">
        <v>153</v>
      </c>
      <c r="G4" s="6" t="s">
        <v>108</v>
      </c>
    </row>
    <row r="5" customFormat="false" ht="15" hidden="false" customHeight="false" outlineLevel="0" collapsed="false">
      <c r="A5" s="14" t="s">
        <v>40</v>
      </c>
      <c r="B5" s="14" t="s">
        <v>41</v>
      </c>
      <c r="C5" s="12" t="n">
        <v>45931</v>
      </c>
      <c r="D5" s="22" t="n">
        <v>151.849249064158</v>
      </c>
      <c r="E5" s="21" t="n">
        <v>2.05764029445914</v>
      </c>
      <c r="F5" s="22" t="n">
        <v>154.658989634325</v>
      </c>
      <c r="G5" s="14" t="s">
        <v>109</v>
      </c>
    </row>
    <row r="6" customFormat="false" ht="15" hidden="false" customHeight="false" outlineLevel="0" collapsed="false">
      <c r="A6" s="19" t="s">
        <v>40</v>
      </c>
      <c r="B6" s="19" t="s">
        <v>48</v>
      </c>
      <c r="C6" s="16" t="n">
        <v>45931</v>
      </c>
      <c r="D6" s="23" t="n">
        <v>28264.3091971024</v>
      </c>
      <c r="E6" s="18" t="n">
        <v>1.97897254001862</v>
      </c>
      <c r="F6" s="23" t="n">
        <v>28961.3837619222</v>
      </c>
      <c r="G6" s="19" t="s">
        <v>109</v>
      </c>
    </row>
    <row r="7" customFormat="false" ht="15" hidden="false" customHeight="false" outlineLevel="0" collapsed="false">
      <c r="A7" s="14" t="s">
        <v>40</v>
      </c>
      <c r="B7" s="14" t="s">
        <v>53</v>
      </c>
      <c r="C7" s="12" t="n">
        <v>45931</v>
      </c>
      <c r="D7" s="22" t="n">
        <v>151.453024308581</v>
      </c>
      <c r="E7" s="21" t="n">
        <v>2.05386475029605</v>
      </c>
      <c r="F7" s="22" t="n">
        <v>154.257503337969</v>
      </c>
      <c r="G7" s="14" t="s">
        <v>109</v>
      </c>
    </row>
    <row r="8" customFormat="false" ht="15" hidden="false" customHeight="false" outlineLevel="0" collapsed="false">
      <c r="A8" s="19" t="s">
        <v>59</v>
      </c>
      <c r="B8" s="19" t="s">
        <v>60</v>
      </c>
      <c r="C8" s="16" t="n">
        <v>45931</v>
      </c>
      <c r="D8" s="23" t="n">
        <v>150.548257224416</v>
      </c>
      <c r="E8" s="18" t="n">
        <v>1.4207431392063</v>
      </c>
      <c r="F8" s="23" t="n">
        <v>153.466121943049</v>
      </c>
      <c r="G8" s="19" t="s">
        <v>109</v>
      </c>
    </row>
    <row r="9" customFormat="false" ht="15" hidden="false" customHeight="false" outlineLevel="0" collapsed="false">
      <c r="A9" s="14" t="s">
        <v>59</v>
      </c>
      <c r="B9" s="14" t="s">
        <v>65</v>
      </c>
      <c r="C9" s="12" t="n">
        <v>45931</v>
      </c>
      <c r="D9" s="22" t="n">
        <v>151.353873036833</v>
      </c>
      <c r="E9" s="21" t="n">
        <v>1.8774141639367</v>
      </c>
      <c r="F9" s="22" t="n">
        <v>153.905639670044</v>
      </c>
      <c r="G9" s="14" t="s">
        <v>109</v>
      </c>
    </row>
    <row r="10" customFormat="false" ht="15" hidden="false" customHeight="false" outlineLevel="0" collapsed="false">
      <c r="A10" s="19" t="s">
        <v>59</v>
      </c>
      <c r="B10" s="19" t="s">
        <v>69</v>
      </c>
      <c r="C10" s="16" t="n">
        <v>45931</v>
      </c>
      <c r="D10" s="23" t="n">
        <v>150.652154829958</v>
      </c>
      <c r="E10" s="18" t="n">
        <v>2.11373678235041</v>
      </c>
      <c r="F10" s="23" t="n">
        <v>153.831213417258</v>
      </c>
      <c r="G10" s="19" t="s">
        <v>109</v>
      </c>
    </row>
    <row r="11" customFormat="false" ht="15" hidden="false" customHeight="false" outlineLevel="0" collapsed="false">
      <c r="A11" s="14" t="s">
        <v>72</v>
      </c>
      <c r="B11" s="14" t="s">
        <v>73</v>
      </c>
      <c r="C11" s="12" t="n">
        <v>45931</v>
      </c>
      <c r="D11" s="22" t="n">
        <v>150.476289733004</v>
      </c>
      <c r="E11" s="21" t="n">
        <v>1.40663175489195</v>
      </c>
      <c r="F11" s="22" t="n">
        <v>153.910703116888</v>
      </c>
      <c r="G11" s="14" t="s">
        <v>109</v>
      </c>
    </row>
    <row r="12" customFormat="false" ht="15" hidden="false" customHeight="false" outlineLevel="0" collapsed="false">
      <c r="A12" s="19" t="s">
        <v>72</v>
      </c>
      <c r="B12" s="19" t="s">
        <v>77</v>
      </c>
      <c r="C12" s="16" t="n">
        <v>45931</v>
      </c>
      <c r="D12" s="23" t="n">
        <v>151.42547623133</v>
      </c>
      <c r="E12" s="18" t="n">
        <v>2.31615720366483</v>
      </c>
      <c r="F12" s="23" t="n">
        <v>154.411663024676</v>
      </c>
      <c r="G12" s="19" t="s">
        <v>109</v>
      </c>
    </row>
    <row r="13" customFormat="false" ht="15" hidden="false" customHeight="false" outlineLevel="0" collapsed="false">
      <c r="A13" s="14" t="s">
        <v>72</v>
      </c>
      <c r="B13" s="14" t="s">
        <v>80</v>
      </c>
      <c r="C13" s="12" t="n">
        <v>45931</v>
      </c>
      <c r="D13" s="22" t="n">
        <v>151.218459818152</v>
      </c>
      <c r="E13" s="21" t="n">
        <v>2.48154752725553</v>
      </c>
      <c r="F13" s="22" t="n">
        <v>154.259917117566</v>
      </c>
      <c r="G13" s="14" t="s">
        <v>109</v>
      </c>
    </row>
    <row r="14" customFormat="false" ht="15" hidden="false" customHeight="false" outlineLevel="0" collapsed="false">
      <c r="A14" s="19" t="s">
        <v>84</v>
      </c>
      <c r="B14" s="19" t="s">
        <v>85</v>
      </c>
      <c r="C14" s="16" t="n">
        <v>45931</v>
      </c>
      <c r="D14" s="23" t="n">
        <v>152.018952063838</v>
      </c>
      <c r="E14" s="18" t="n">
        <v>2.73040871365164</v>
      </c>
      <c r="F14" s="23" t="n">
        <v>154.929262466311</v>
      </c>
      <c r="G14" s="19" t="s">
        <v>109</v>
      </c>
    </row>
    <row r="15" customFormat="false" ht="15" hidden="false" customHeight="false" outlineLevel="0" collapsed="false">
      <c r="A15" s="14" t="s">
        <v>84</v>
      </c>
      <c r="B15" s="14" t="s">
        <v>89</v>
      </c>
      <c r="C15" s="12" t="n">
        <v>45931</v>
      </c>
      <c r="D15" s="22" t="n">
        <v>151.575627619878</v>
      </c>
      <c r="E15" s="21" t="n">
        <v>2.37765478908352</v>
      </c>
      <c r="F15" s="22" t="n">
        <v>154.07073626264</v>
      </c>
      <c r="G15" s="14" t="s">
        <v>109</v>
      </c>
    </row>
    <row r="16" customFormat="false" ht="15" hidden="false" customHeight="false" outlineLevel="0" collapsed="false">
      <c r="A16" s="19" t="s">
        <v>84</v>
      </c>
      <c r="B16" s="19" t="s">
        <v>93</v>
      </c>
      <c r="C16" s="16" t="n">
        <v>45931</v>
      </c>
      <c r="D16" s="23" t="n">
        <v>151.559632203826</v>
      </c>
      <c r="E16" s="18" t="n">
        <v>2.14696662903215</v>
      </c>
      <c r="F16" s="23" t="n">
        <v>154.807728114834</v>
      </c>
      <c r="G16" s="19" t="s">
        <v>109</v>
      </c>
    </row>
    <row r="17" customFormat="false" ht="15" hidden="false" customHeight="false" outlineLevel="0" collapsed="false">
      <c r="A17" s="14" t="s">
        <v>96</v>
      </c>
      <c r="B17" s="14" t="s">
        <v>97</v>
      </c>
      <c r="C17" s="12" t="n">
        <v>45931</v>
      </c>
      <c r="D17" s="22" t="n">
        <v>150.580554312352</v>
      </c>
      <c r="E17" s="21" t="n">
        <v>1.62065482653446</v>
      </c>
      <c r="F17" s="22" t="n">
        <v>154.083681798618</v>
      </c>
      <c r="G17" s="14" t="s">
        <v>109</v>
      </c>
    </row>
    <row r="18" customFormat="false" ht="15" hidden="false" customHeight="false" outlineLevel="0" collapsed="false">
      <c r="A18" s="19" t="s">
        <v>96</v>
      </c>
      <c r="B18" s="19" t="s">
        <v>101</v>
      </c>
      <c r="C18" s="16" t="n">
        <v>45931</v>
      </c>
      <c r="D18" s="23" t="n">
        <v>151.106246086492</v>
      </c>
      <c r="E18" s="18" t="n">
        <v>2.40251908015985</v>
      </c>
      <c r="F18" s="23" t="n">
        <v>153.934413680752</v>
      </c>
      <c r="G18" s="19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2026-05-03T15:06:04Z</dcterms:created>
  <dc:creator>openpyxl</dc:creator>
  <dc:description/>
  <dc:language>en-US</dc:language>
  <cp:lastModifiedBy/>
  <dcterms:modified xsi:type="dcterms:W3CDTF">2026-05-03T15:06:09Z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